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Q Numbers" sheetId="5" r:id="rId9"/>
    <sheet state="visible" name="help-choices" sheetId="6" r:id="rId10"/>
    <sheet state="visible" name="help-settings" sheetId="7" r:id="rId11"/>
  </sheets>
  <definedNames>
    <definedName hidden="1" localSheetId="0" name="_xlnm._FilterDatabase">survey!$A$1:$A$1299</definedName>
    <definedName hidden="1" localSheetId="4" name="_xlnm._FilterDatabase">'Q Numbers'!$A$1:$A$2000</definedName>
  </definedNames>
  <calcPr/>
</workbook>
</file>

<file path=xl/sharedStrings.xml><?xml version="1.0" encoding="utf-8"?>
<sst xmlns="http://schemas.openxmlformats.org/spreadsheetml/2006/main" count="11402" uniqueCount="5742">
  <si>
    <t>form_title</t>
  </si>
  <si>
    <t>list_name</t>
  </si>
  <si>
    <t>type</t>
  </si>
  <si>
    <t>form_id</t>
  </si>
  <si>
    <t>The survey worksheet</t>
  </si>
  <si>
    <t>version</t>
  </si>
  <si>
    <t>name</t>
  </si>
  <si>
    <t>public_key</t>
  </si>
  <si>
    <t>submission_url</t>
  </si>
  <si>
    <t>default_language</t>
  </si>
  <si>
    <t>label</t>
  </si>
  <si>
    <t>label:french</t>
  </si>
  <si>
    <t>label:hausa</t>
  </si>
  <si>
    <t>hint</t>
  </si>
  <si>
    <t>hint:french</t>
  </si>
  <si>
    <t>hint:hausa</t>
  </si>
  <si>
    <t>value</t>
  </si>
  <si>
    <t>default</t>
  </si>
  <si>
    <t>appearance</t>
  </si>
  <si>
    <t>constraint</t>
  </si>
  <si>
    <t>constraint message</t>
  </si>
  <si>
    <t>Follow-Up Round 3 2024 Woman</t>
  </si>
  <si>
    <t>constraint message:french</t>
  </si>
  <si>
    <t>fu3_w_2024</t>
  </si>
  <si>
    <t>constraint message:hausa</t>
  </si>
  <si>
    <t>relevance</t>
  </si>
  <si>
    <t>image</t>
  </si>
  <si>
    <t>disabled</t>
  </si>
  <si>
    <t>filter</t>
  </si>
  <si>
    <t>required</t>
  </si>
  <si>
    <t>filter2</t>
  </si>
  <si>
    <t>required message</t>
  </si>
  <si>
    <t>filter3</t>
  </si>
  <si>
    <t>read only</t>
  </si>
  <si>
    <t>calculation</t>
  </si>
  <si>
    <t>filter4</t>
  </si>
  <si>
    <t>repeat_count</t>
  </si>
  <si>
    <t>media:image</t>
  </si>
  <si>
    <t>media:audio</t>
  </si>
  <si>
    <t>media:video</t>
  </si>
  <si>
    <t>choice_filter</t>
  </si>
  <si>
    <t/>
  </si>
  <si>
    <t>note</t>
  </si>
  <si>
    <t>response_note</t>
  </si>
  <si>
    <t>publishable</t>
  </si>
  <si>
    <t>english</t>
  </si>
  <si>
    <t>minimum_seconds</t>
  </si>
  <si>
    <t>This worksheet specifies all of the groups, questions, and other fields in your survey form, each in its own row. Aside from overall settings and lists of multiple-choice options, everything about your survey form is specified in this worksheet.</t>
  </si>
  <si>
    <t>yesno</t>
  </si>
  <si>
    <t>Yes</t>
  </si>
  <si>
    <t>Oui</t>
  </si>
  <si>
    <t>ii</t>
  </si>
  <si>
    <t>start</t>
  </si>
  <si>
    <t>Learn more about form definitions and field types</t>
  </si>
  <si>
    <t>starttime</t>
  </si>
  <si>
    <t>No</t>
  </si>
  <si>
    <t>Non</t>
  </si>
  <si>
    <t>a'a</t>
  </si>
  <si>
    <t>label:languagename</t>
  </si>
  <si>
    <t>hint:languagename</t>
  </si>
  <si>
    <t>end</t>
  </si>
  <si>
    <t>endtime</t>
  </si>
  <si>
    <t>constraint message:languagename</t>
  </si>
  <si>
    <t>round</t>
  </si>
  <si>
    <t>required message:languagename</t>
  </si>
  <si>
    <t>Round 3</t>
  </si>
  <si>
    <t>Tour 3</t>
  </si>
  <si>
    <t>zagaye 3</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</si>
  <si>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</si>
  <si>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</si>
  <si>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</si>
  <si>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</si>
  <si>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deviceid</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</si>
  <si>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</si>
  <si>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</si>
  <si>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Round 5</t>
  </si>
  <si>
    <t>Tour 5</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</si>
  <si>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</si>
  <si>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zagaye 5</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</si>
  <si>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</si>
  <si>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</si>
  <si>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</si>
  <si>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</si>
  <si>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</si>
  <si>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</si>
  <si>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</si>
  <si>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</si>
  <si>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</si>
  <si>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</si>
  <si>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</si>
  <si>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</si>
  <si>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</si>
  <si>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</si>
  <si>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</si>
  <si>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phonenumber</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</si>
  <si>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</si>
  <si>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devicephonenum</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</si>
  <si>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</si>
  <si>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</si>
  <si>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</si>
  <si>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</si>
  <si>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t>yesnodk</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</si>
  <si>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</si>
  <si>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</si>
  <si>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</si>
  <si>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</si>
  <si>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</si>
  <si>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</si>
  <si>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</si>
  <si>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aa</t>
  </si>
  <si>
    <t>username</t>
  </si>
  <si>
    <t>Don't know</t>
  </si>
  <si>
    <t>Je ne sais pas</t>
  </si>
  <si>
    <t>Ban sani ba</t>
  </si>
  <si>
    <t>Help topic: Pre-loading data into a form</t>
  </si>
  <si>
    <t>Help topic: Using constraints to validate responses</t>
  </si>
  <si>
    <t>calculate</t>
  </si>
  <si>
    <t>device_info</t>
  </si>
  <si>
    <t>Help topic: Implementing skip patterns with "relevance"</t>
  </si>
  <si>
    <t>team</t>
  </si>
  <si>
    <t>team_id</t>
  </si>
  <si>
    <t>Help topic: Other field properties</t>
  </si>
  <si>
    <t>team_leader</t>
  </si>
  <si>
    <t>Help topic: Field type: calculate</t>
  </si>
  <si>
    <t>device-info()</t>
  </si>
  <si>
    <t>Help topic: Grouping and repeating questions</t>
  </si>
  <si>
    <t>duration</t>
  </si>
  <si>
    <t>Help topic: Images: Adding pictures and other graphics</t>
  </si>
  <si>
    <t>enum</t>
  </si>
  <si>
    <t>enum_id</t>
  </si>
  <si>
    <t>enum_name</t>
  </si>
  <si>
    <t>duration()</t>
  </si>
  <si>
    <t>Help topic: Dynamically filtering lists of multiple-choice options</t>
  </si>
  <si>
    <t>text audit</t>
  </si>
  <si>
    <t>text_audit</t>
  </si>
  <si>
    <t>Question Durations</t>
  </si>
  <si>
    <t>Help topic: Downloading printable copies of your forms</t>
  </si>
  <si>
    <t>commune</t>
  </si>
  <si>
    <t>commune_id</t>
  </si>
  <si>
    <t>commune_name</t>
  </si>
  <si>
    <t>intronote</t>
  </si>
  <si>
    <t>1. Follow-up Round 3</t>
  </si>
  <si>
    <t>Help topic: Encrypting form data (end-to-end encryption)</t>
  </si>
  <si>
    <t>1. Suivi du troisième tour</t>
  </si>
  <si>
    <t>1. Bibiyar Zagaye na 3</t>
  </si>
  <si>
    <t>Help topic: Collecting high-quality data</t>
  </si>
  <si>
    <t>2. What round is this?</t>
  </si>
  <si>
    <t>2. quel tour est-ce ?</t>
  </si>
  <si>
    <t>2. Wane kewaye ne?</t>
  </si>
  <si>
    <t>select_one round</t>
  </si>
  <si>
    <t>select_one team</t>
  </si>
  <si>
    <t>3. Who is your team leader?</t>
  </si>
  <si>
    <t>3. Qui est votre chef d'équipe?</t>
  </si>
  <si>
    <t>3. Wanene shugaban tahiyar ku ?</t>
  </si>
  <si>
    <t>intro</t>
  </si>
  <si>
    <t>select_one enum</t>
  </si>
  <si>
    <t>enumerator</t>
  </si>
  <si>
    <t>4. What is your name?</t>
  </si>
  <si>
    <t>4. Quel est votre nom?</t>
  </si>
  <si>
    <t>4. Menene sunanka?</t>
  </si>
  <si>
    <t>5. What is your partner's name?</t>
  </si>
  <si>
    <t>5. Quel est le nom de votre binôme?</t>
  </si>
  <si>
    <t>5. Menene sunan abokin aikinka</t>
  </si>
  <si>
    <t>enumerator_partner</t>
  </si>
  <si>
    <r>
      <rPr>
        <rFont val="Calibri"/>
        <color rgb="FF000000"/>
        <sz val="12.0"/>
        <u/>
      </rPr>
      <t>Examples</t>
    </r>
    <r>
      <rPr>
        <rFont val="Calibri"/>
        <color rgb="FF000000"/>
        <sz val="12.0"/>
        <u/>
      </rPr>
      <t xml:space="preserve"> (scroll right for appearance styles)</t>
    </r>
  </si>
  <si>
    <t>locality</t>
  </si>
  <si>
    <t>vn</t>
  </si>
  <si>
    <t>locality_name</t>
  </si>
  <si>
    <t>6. What commune are you surveying in?</t>
  </si>
  <si>
    <t>6. Quelle est votre commune de travail ?</t>
  </si>
  <si>
    <t>6. Cikin wane komin kake aiki?</t>
  </si>
  <si>
    <t>select_one commune</t>
  </si>
  <si>
    <t>7. What village/neighborhood are you surveying in?</t>
  </si>
  <si>
    <t>7. Dans quelle ville/village faites-vous votre enquête ?</t>
  </si>
  <si>
    <t>7. Cikin wane gari kake binciken?</t>
  </si>
  <si>
    <t>select_one locality</t>
  </si>
  <si>
    <t>8. Select the Household ID number:</t>
  </si>
  <si>
    <t xml:space="preserve">8. </t>
  </si>
  <si>
    <t>select_one id</t>
  </si>
  <si>
    <t>id</t>
  </si>
  <si>
    <t>8. Sélectionnez le numéro d'identification du ménage :</t>
  </si>
  <si>
    <t>8. Zaɓi lambar ID na Gida:</t>
  </si>
  <si>
    <t>respondent</t>
  </si>
  <si>
    <t>calculate_here</t>
  </si>
  <si>
    <t>PM - ${pm_name} (age: ${pm_age})</t>
  </si>
  <si>
    <t>9. There are no women to survey in this HH. Complete the PM and the SHM survey, if not complete already.</t>
  </si>
  <si>
    <t xml:space="preserve">9. </t>
  </si>
  <si>
    <t>PM - ${pm_name}</t>
  </si>
  <si>
    <t>note_no_woman</t>
  </si>
  <si>
    <t>speedcheck_intro_start</t>
  </si>
  <si>
    <t>9. Il n'y a aucune femme à enquêter dans ce ménage. Remplissez l'enquête PM et SHM, si ce n'est pas déjà fait.</t>
  </si>
  <si>
    <t>9. Babu mata da za su bada amsa a wannan gidan. Kammala da binciken PM da SHM, idan ba a gama ba tun tuni.</t>
  </si>
  <si>
    <t>10. You indicated that you are attempting to interview ${w_name} (age: ${w_age}). Is that correct?</t>
  </si>
  <si>
    <t xml:space="preserve">10. </t>
  </si>
  <si>
    <t>select_one yesno</t>
  </si>
  <si>
    <t>resp_confirm</t>
  </si>
  <si>
    <t>9. Vous avez indiqué que vous tentez d'interroger ${w_name} (âge : ${w_age}). Est-ce exact ?</t>
  </si>
  <si>
    <t>9. Kun nuna cewa kuna ƙoƙarin yin hira da ${w_name} (shekaru: ${w_age}). Shin hakan daidai ne?</t>
  </si>
  <si>
    <t>10. Vous avez indiqué que vous tentez d'interroger ${w_name} (âge : ${w_age}). Est-ce exact ?</t>
  </si>
  <si>
    <t>10. Kun nuna cewa kuna ƙoƙarin yin hira da ${w_name} (shekaru: ${w_age}). Shin hakan daidai ne?</t>
  </si>
  <si>
    <t>select_one resp</t>
  </si>
  <si>
    <t>resp_interview</t>
  </si>
  <si>
    <t>11. Who are you trying to interview? Here are the other respondents in this household:</t>
  </si>
  <si>
    <t>10. Qui essayez-vous d’interroger ? Voici les autres répondants de ce foyer :</t>
  </si>
  <si>
    <t>10. Wanene kuke ƙoƙarin yin hira da shi ? Ga sauran masu bada amsa a wannan gidan:</t>
  </si>
  <si>
    <t>SHM - ${shm_name} (age: ${shm_age})</t>
  </si>
  <si>
    <t>SHM - ${shm_name}</t>
  </si>
  <si>
    <t>11. Qui essayez-vous d’interroger ? Voici les autres répondants de ce foyer :</t>
  </si>
  <si>
    <t>11. Wanene kuke ƙoƙarin yin hira da shi ? Ga sauran masu bada amsa a wannan gidan:</t>
  </si>
  <si>
    <t>resp_pm</t>
  </si>
  <si>
    <t>12. End of survey. Please return and fill out the PM survey to collect survey responses.</t>
  </si>
  <si>
    <t>once(duration())</t>
  </si>
  <si>
    <t>9b. Fin de l'enquête. Veuillez revenir et remplir l'enquête PM pour recueillir les réponses aux questions.</t>
  </si>
  <si>
    <t>9b. Ƙarshen binciken kenan. Da fatan za a dawo a cika binciken PM don tattara amsoshin binciken.</t>
  </si>
  <si>
    <t>12. Fin de l'enquête. Veuillez revenir et remplir l'enquête PM pour recueillir les réponses aux questions.</t>
  </si>
  <si>
    <t>12. Ƙarshen binciken kenan. Da fatan za a dawo a cika binciken PM don tattara amsoshin binciken.</t>
  </si>
  <si>
    <t>resp_shm</t>
  </si>
  <si>
    <t>13.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</si>
  <si>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</si>
  <si>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</si>
  <si>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Woman - ${w_name} (age: ${w_age})</t>
  </si>
  <si>
    <t>fieldname</t>
  </si>
  <si>
    <t>Enumerator selection field (require a special code in order to reveal the full enumerator list):</t>
  </si>
  <si>
    <t>13. Fin de l'enquête. Veuillez revenir et remplir l'enquête du SHM pour recueillir les réponses aux questions.</t>
  </si>
  <si>
    <t>13. Ƙarshen binciken kenan. Da fatan za a dawo baya a cika binciken SHM don tattara amsoshin binciken.</t>
  </si>
  <si>
    <t>w_shm_note</t>
  </si>
  <si>
    <t>14. End of survey. The woman respondent is the Secondary HH member. Please return and fill out the SHM survey to collect survey responses.</t>
  </si>
  <si>
    <t>begin group</t>
  </si>
  <si>
    <t>14. Fin de l'enquête. La femme interrogée est le second membre du ménage. Veuillez revenir en arrière et remplir l'enquête du SHM pour recueillir les réponses aux questions.</t>
  </si>
  <si>
    <t>14. Ƙarshen binciken kenan. Matar da ta bada amsa ita ce memba na biyu a gidan. Da fatan za a dawo a cika binciken SHM don tattara amsoshin tambayoyin.</t>
  </si>
  <si>
    <t>enum_questions</t>
  </si>
  <si>
    <t>Enumerator Questions</t>
  </si>
  <si>
    <t>other-user-code(xyz)</t>
  </si>
  <si>
    <t>resp_available</t>
  </si>
  <si>
    <t>15. Is ${w_name} available to be interviewed?</t>
  </si>
  <si>
    <t>15. Est-ce que ${w_name} est disponible pour être interviewé ?</t>
  </si>
  <si>
    <t>15. Ko ${w_name} yana da damar yin hira mu?</t>
  </si>
  <si>
    <t>None</t>
  </si>
  <si>
    <t>Aucun</t>
  </si>
  <si>
    <t>Babu</t>
  </si>
  <si>
    <t>consent</t>
  </si>
  <si>
    <t>16.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</si>
  <si>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16.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</si>
  <si>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6.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</si>
  <si>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</si>
  <si>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Enumerator selection field (require a special code in order to enter a new enumerator):</t>
  </si>
  <si>
    <t>14. Woman Questions</t>
  </si>
  <si>
    <t xml:space="preserve">14. </t>
  </si>
  <si>
    <t>add-new-code(xyz)</t>
  </si>
  <si>
    <t>15. Before we begin, I would like to ask you about the locations of other respondents of this household</t>
  </si>
  <si>
    <t xml:space="preserve">15. </t>
  </si>
  <si>
    <t>16. Is ${pm_name} currently living in your household?</t>
  </si>
  <si>
    <t>16. ${pm_name} vit-il actuellement dans votre ménage?</t>
  </si>
  <si>
    <t>16. Ko ${pm_name} yana zaune a gidan ku a hali yanzu?</t>
  </si>
  <si>
    <t>resp</t>
  </si>
  <si>
    <t>${pm_name} (age: ${pm_age})</t>
  </si>
  <si>
    <t>${pm_name}</t>
  </si>
  <si>
    <t>17. Where is ${pm_name} living right now?
Enumerator: Is location in Niger?</t>
  </si>
  <si>
    <t>17. Où est ${pm_name} en ce moment?
 Énquêteur: le lieu est-il au Niger?</t>
  </si>
  <si>
    <t>17. Ina ${pm_name} yake a yanzu?
 Dan bincike: Ko wurin a Nijar ne?</t>
  </si>
  <si>
    <t>selected(., '3')</t>
  </si>
  <si>
    <t>18. Enumerator: Select region in Niger</t>
  </si>
  <si>
    <t>We are currently in round 3!</t>
  </si>
  <si>
    <t>18. Enquêteur : Sélectionnez une région au Niger</t>
  </si>
  <si>
    <t>18. Ɗan bincike: Zaɓi Jaha ɗaya a Nijar</t>
  </si>
  <si>
    <t>w_note</t>
  </si>
  <si>
    <t>17. Woman Questions</t>
  </si>
  <si>
    <t xml:space="preserve">17. </t>
  </si>
  <si>
    <t>yes</t>
  </si>
  <si>
    <t>${shm_name} (age: ${shm_age})</t>
  </si>
  <si>
    <t>${shm_name}</t>
  </si>
  <si>
    <t>Enumerator selection field:</t>
  </si>
  <si>
    <t>18. Before we begin, I would like to ask you about the locations of other respondents of this household</t>
  </si>
  <si>
    <t xml:space="preserve">18. </t>
  </si>
  <si>
    <t>filter=3</t>
  </si>
  <si>
    <t>w_resp_location</t>
  </si>
  <si>
    <t>default-to-entry</t>
  </si>
  <si>
    <t>select_one yesnodk</t>
  </si>
  <si>
    <t>w_pm_home</t>
  </si>
  <si>
    <t>19. Is ${pm_name} currently living in your household?</t>
  </si>
  <si>
    <t>19. ${pm_name} vit-il actuellement dans votre ménage?</t>
  </si>
  <si>
    <t>19. Ko ${pm_name} yana zaune a gidan ku a hali yanzu?</t>
  </si>
  <si>
    <t>w_pm_in_niger</t>
  </si>
  <si>
    <t>20. Where is ${pm_name} living right now?
Enumerator: Is location in Niger?</t>
  </si>
  <si>
    <t>20. Où est ${pm_name} en ce moment?
 Énquêteur: le lieu est-il au Niger?</t>
  </si>
  <si>
    <t>20. Ina ${pm_name} yake a yanzu?
 Dan bincike: Ko wurin a Nijar ne?</t>
  </si>
  <si>
    <t>id_key</t>
  </si>
  <si>
    <t>select_one region</t>
  </si>
  <si>
    <t>w_pm_region</t>
  </si>
  <si>
    <t>hh_id</t>
  </si>
  <si>
    <t>21. Enumerator: Select region in Niger</t>
  </si>
  <si>
    <t>21. Enquêteur : Sélectionnez une région au Niger</t>
  </si>
  <si>
    <t>21. Ɗan bincike: Zaɓi Jaha ɗaya a Nijar</t>
  </si>
  <si>
    <t>search('teams_fu3')</t>
  </si>
  <si>
    <t>select_one mig_countries</t>
  </si>
  <si>
    <t>w_pm_country</t>
  </si>
  <si>
    <t>22. Enumerator: Select country</t>
  </si>
  <si>
    <t>22. Enquêteur : sélectionnez le pays</t>
  </si>
  <si>
    <t>22. Ɗan bincike: Zaɓi ƙasa</t>
  </si>
  <si>
    <t>text</t>
  </si>
  <si>
    <t>w_pm_country_o</t>
  </si>
  <si>
    <t>23. Enumerator: Enter other country</t>
  </si>
  <si>
    <t>23. Enquêteur : Entrez un autre pays</t>
  </si>
  <si>
    <t>default-to-scan</t>
  </si>
  <si>
    <t>23. Ɗan bincike: Shigar da wata ƙasa</t>
  </si>
  <si>
    <t>select_one towns</t>
  </si>
  <si>
    <t>w_pm_town</t>
  </si>
  <si>
    <t>24. Enumerator: Select town</t>
  </si>
  <si>
    <t>24. Enquêteur : Sélectionnez la ville</t>
  </si>
  <si>
    <t>24. Ɗan bincike: Zaɓi gari</t>
  </si>
  <si>
    <t>w_pm_town_o</t>
  </si>
  <si>
    <t>25. Enumerator: Enter other town</t>
  </si>
  <si>
    <t>25. Enquêteur : Entrez un autre ville</t>
  </si>
  <si>
    <t>25. Ɗan bincike: Shigar da wata gari</t>
  </si>
  <si>
    <t>w_pm_home_2w</t>
  </si>
  <si>
    <t>19. Will ${pm_name} be in the household within the next two weeks?</t>
  </si>
  <si>
    <t>sex</t>
  </si>
  <si>
    <t>26. Will ${pm_name} be in the household within the next two weeks?</t>
  </si>
  <si>
    <t>Male</t>
  </si>
  <si>
    <t xml:space="preserve">26. </t>
  </si>
  <si>
    <t>w_shm_home</t>
  </si>
  <si>
    <t>26. Is ${shm_name} currently living in your household?</t>
  </si>
  <si>
    <t>Homme</t>
  </si>
  <si>
    <t>26. ${shm_name} vit-il actuellement dans votre ménage?</t>
  </si>
  <si>
    <t>26. Ko ${shm_name} yana zaune a gidan ku a hali yanzu?</t>
  </si>
  <si>
    <t>Namiji</t>
  </si>
  <si>
    <t>search('teams_fu3', 'matches', 'team_id', ${team_leader})</t>
  </si>
  <si>
    <t>27. Is ${shm_name} currently living in your household?</t>
  </si>
  <si>
    <t>27. ${shm_name} vit-il actuellement dans votre ménage?</t>
  </si>
  <si>
    <t>Standard text field:</t>
  </si>
  <si>
    <t>27. Ko ${shm_name} yana zaune a gidan ku a hali yanzu?</t>
  </si>
  <si>
    <t>w_shm_in_niger</t>
  </si>
  <si>
    <t>27. Where is ${shm_name} living?
Enumerator: Is location in Niger?</t>
  </si>
  <si>
    <t>27. Où habite ${shm_name}?
  Enquêteur : le lieu est-il au Niger?</t>
  </si>
  <si>
    <t>27. A ina ${shm_name} ya zaune?
 Mai bincike: Wurin a Nijar ne?</t>
  </si>
  <si>
    <t>28. Where is ${shm_name} living?
Enumerator: Is location in Niger?</t>
  </si>
  <si>
    <t>28. Où habite ${shm_name}?
 Enquêteur : le lieu est-il au Niger?</t>
  </si>
  <si>
    <t>28. A ina ${shm_name} ya zaune?
 Mai bincike: Wurin a Nijar ne?</t>
  </si>
  <si>
    <t>w_shm_region</t>
  </si>
  <si>
    <t>28. Enumerator: Select region in Niger</t>
  </si>
  <si>
    <t>28. Enquêteur : Sélectionnez une région au Niger</t>
  </si>
  <si>
    <t>28. Ɗan bincike: Zaɓi Jaha ɗaya a Nijar</t>
  </si>
  <si>
    <t>29. Enumerator: Select region in Niger</t>
  </si>
  <si>
    <t>29. Enquêteur : Sélectionnez une région au Niger</t>
  </si>
  <si>
    <t>29. Ɗan bincike: Zaɓi Jaha ɗaya a Nijar</t>
  </si>
  <si>
    <t>w_shm_country</t>
  </si>
  <si>
    <t>29. Enumerator: Select country</t>
  </si>
  <si>
    <t>29. Enquêteur : sélectionnez le pays</t>
  </si>
  <si>
    <t>29. Ɗan bincike: Zaɓi ƙasa</t>
  </si>
  <si>
    <t>Female</t>
  </si>
  <si>
    <t>Femme</t>
  </si>
  <si>
    <t>Mace</t>
  </si>
  <si>
    <t>30. Enumerator: Select country</t>
  </si>
  <si>
    <t>30. Enquêteur : sélectionnez le pays</t>
  </si>
  <si>
    <t>30. Ɗan bincike: Zaɓi ƙasa</t>
  </si>
  <si>
    <t>w_shm_country_o</t>
  </si>
  <si>
    <t>30. Enumerator: Enter other country</t>
  </si>
  <si>
    <t>30. Enquêteur : Entrez un autre pays</t>
  </si>
  <si>
    <t>30. Ɗan bincike: Shigar da wata ƙasa</t>
  </si>
  <si>
    <t>enumerator_name</t>
  </si>
  <si>
    <t>31. Enumerator: Enter other country</t>
  </si>
  <si>
    <t>31. Enquêteur : Entrez un autre pays</t>
  </si>
  <si>
    <t>CALC: Pull enumerator name</t>
  </si>
  <si>
    <t>31. Ɗan bincike: Shigar da wata ƙasa</t>
  </si>
  <si>
    <t>w_shm_town</t>
  </si>
  <si>
    <t>31. Enumerator: Select town</t>
  </si>
  <si>
    <t>31. Enquêteur : Sélectionnez la ville</t>
  </si>
  <si>
    <t>31. Ɗan bincike: Zaɓi gari</t>
  </si>
  <si>
    <t>32. Enumerator: Select town</t>
  </si>
  <si>
    <t>32. Enquêteur : Sélectionnez la ville</t>
  </si>
  <si>
    <t>32. Ɗan bincike: Zaɓi gari</t>
  </si>
  <si>
    <t>w_shm_town_o</t>
  </si>
  <si>
    <t>Text field which uses the numeric keypad:</t>
  </si>
  <si>
    <t>33. Enumerator: Enter other town</t>
  </si>
  <si>
    <t>33. Enquêteur : Entrez un autre ville</t>
  </si>
  <si>
    <t>numbers</t>
  </si>
  <si>
    <t>33. Ɗan bincike: Shigar da wata gari</t>
  </si>
  <si>
    <t>w_shm_home_2w</t>
  </si>
  <si>
    <t>19. Will ${shm_name} be in the household within the next two weeks?</t>
  </si>
  <si>
    <t>pulldata('teams_fu3', 'enum_name', 'enum_id', ${enumerator})</t>
  </si>
  <si>
    <t>34. Will ${shm_name} be in the household within the next two weeks?</t>
  </si>
  <si>
    <t xml:space="preserve">34. </t>
  </si>
  <si>
    <t>relation</t>
  </si>
  <si>
    <t>35.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</si>
  <si>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35.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</si>
  <si>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Household head</t>
  </si>
  <si>
    <t>35.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</si>
  <si>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Chef de menage</t>
  </si>
  <si>
    <t>Mai gida</t>
  </si>
  <si>
    <t>36. visiting your family or friends?</t>
  </si>
  <si>
    <t>36. rendre visite à votre famille ou à vos amis ?</t>
  </si>
  <si>
    <t>36. ziyartar danginku ko abokananku?</t>
  </si>
  <si>
    <t>w_savings_note</t>
  </si>
  <si>
    <t>33. I would like to ask you about different ways you may use money that you earn.</t>
  </si>
  <si>
    <t>33. Maintenant, je voudrais vous poser des questions sur les différentes façons dont vous pouvez utiliser l'argent que vous gagnez.</t>
  </si>
  <si>
    <t>33. Yanzu ina so in tambaye ku hanyoyi daban-daban da zaku iya amfani da su wajen kashe kuɗin da kuke samu.</t>
  </si>
  <si>
    <t>integer</t>
  </si>
  <si>
    <t>35. I would like to ask you about different ways you may use money that you earn.</t>
  </si>
  <si>
    <t>35. Maintenant, je voudrais vous poser des questions sur les différentes façons dont vous pouvez utiliser l'argent que vous gagnez.</t>
  </si>
  <si>
    <t>35. Yanzu ina so in tambaye ku hanyoyi daban-daban da zaku iya amfani da su wajen kashe kuɗin da kuke samu.</t>
  </si>
  <si>
    <t>select_multiple savings</t>
  </si>
  <si>
    <t>w_separate_savings</t>
  </si>
  <si>
    <t>34. Do you currently have savings of each of the following types that you have put aside for yourself, separate from your household?</t>
  </si>
  <si>
    <t>34. Avez-vous actuellement des économies de chacun des types suivants que vous avez mises de côté pour vous-même, séparément de votre ménage ?</t>
  </si>
  <si>
    <t>34. Ko a halin yanzu kuna da tanadi na kowane nau'in waɗannan nau'ikan da kuka ware wa kanku?</t>
  </si>
  <si>
    <t>36. Do you currently have savings of each of the following types that you have put aside for yourself, separate from your household?</t>
  </si>
  <si>
    <t>36. Avez-vous actuellement des économies de chacun des types suivants que vous avez mises de côté pour vous-même, séparément de votre ménage ?</t>
  </si>
  <si>
    <t>36. Ko a halin yanzu kuna da tanadi na kowane nau'in waɗannan nau'ikan da kuka ware wa kanku?</t>
  </si>
  <si>
    <t>w_separate_savings_o</t>
  </si>
  <si>
    <t>35. Specify other:</t>
  </si>
  <si>
    <t>Spouse</t>
  </si>
  <si>
    <t>35. Précisez autre :</t>
  </si>
  <si>
    <t>35. Ƙayyade wasu:</t>
  </si>
  <si>
    <t>Conjoint</t>
  </si>
  <si>
    <t>Uwar gida/ Mata</t>
  </si>
  <si>
    <t>Standard integer field:</t>
  </si>
  <si>
    <t>37. Specify other:</t>
  </si>
  <si>
    <t>37. Précisez autre :</t>
  </si>
  <si>
    <t>37. Ƙayyade wasu:</t>
  </si>
  <si>
    <t>38. The next set of questions are for married women only. Are you married?</t>
  </si>
  <si>
    <t xml:space="preserve">38. </t>
  </si>
  <si>
    <t>enumerator_partner_name</t>
  </si>
  <si>
    <t>w_savings_type_amt</t>
  </si>
  <si>
    <t>36. Please share with us your best estimate of the value in CFA ${w_savings_name}</t>
  </si>
  <si>
    <t>36. Veuillez partager avec nous votre meilleure estimation de la valeur en CFA ${w_savings_name}</t>
  </si>
  <si>
    <t>36. Da fatan zaku faɗa mana ƙimar da kuke ganin yayi daidai a cikin CFA ${w_savings_name}</t>
  </si>
  <si>
    <t>38. Please share with us your best estimate of the value in CFA ${w_savings_name}</t>
  </si>
  <si>
    <t>38. Veuillez partager avec nous votre meilleure estimation de la valeur en CFA ${w_savings_name}</t>
  </si>
  <si>
    <t>38. Da fatan zaku faɗa mana ƙimar da kuke ganin yayi daidai a cikin CFA ${w_savings_name}</t>
  </si>
  <si>
    <t>w_savings_interest</t>
  </si>
  <si>
    <t>37. Do you earn interest on this money ${w_savings_name}?</t>
  </si>
  <si>
    <t>37. Gagnez-vous des intérêts sur cet argent ${w_savings_name} ?</t>
  </si>
  <si>
    <t>37. Kuna samun riba akan wannan kuɗin ${w_savings_name}?</t>
  </si>
  <si>
    <t>Son/daughter</t>
  </si>
  <si>
    <t>Fils/fille</t>
  </si>
  <si>
    <t>Ɗa/ɗiya</t>
  </si>
  <si>
    <t>39. Do you earn interest on this money ${w_savings_name}?</t>
  </si>
  <si>
    <t>39. Gagnez-vous des intérêts sur cet argent ${w_savings_name} ?</t>
  </si>
  <si>
    <t>39. Kuna samun riba akan wannan kuɗin ${w_savings_name}?</t>
  </si>
  <si>
    <t>pulldata('teams_fu3', 'enum_name', 'enum_id', ${enumerator_partner})</t>
  </si>
  <si>
    <t>38. I would like to ask you a few questions about your health and wellbeing</t>
  </si>
  <si>
    <t>38. Je voudrais vous poser quelques questions sur votre santé et votre bien-être</t>
  </si>
  <si>
    <t>38. Ina so in yi muku wasu ƴan tambayoyi game da lafiyar jikinku da jin daɗin ku</t>
  </si>
  <si>
    <t>39. In general, how would you characterize your physical health?</t>
  </si>
  <si>
    <t>39. En général, comment caractériseriez-vous votre santé physique ?</t>
  </si>
  <si>
    <t>39. A taƙaice, yaya za ku siffanta lafiyar jikin ku?</t>
  </si>
  <si>
    <t>decimal</t>
  </si>
  <si>
    <t>Father/mother</t>
  </si>
  <si>
    <t>Père/mère</t>
  </si>
  <si>
    <t>40. Do you currently suffer from any illness or disability that limits your ability to travel or work?</t>
  </si>
  <si>
    <t>Uwa/uba</t>
  </si>
  <si>
    <t>40. Souffrez-vous actuellement d'une maladie ou d'un handicap qui limite votre capacité à voyager ou à travailler ?</t>
  </si>
  <si>
    <t>40. A halin yanzu, ko kuna fama da wata rashin lafiya ko naƙasa da ke iya kawo muku cikas game da tahiya bulaguro ko yin aiki?</t>
  </si>
  <si>
    <t>41. What illness limits you in this way?</t>
  </si>
  <si>
    <t>41. Quelle maladie vous limite de cette manière ?</t>
  </si>
  <si>
    <t>41. Wace cuta ce ke tsaida ku a kan wannan?</t>
  </si>
  <si>
    <t>search('locations')</t>
  </si>
  <si>
    <t>42. Other, specify:</t>
  </si>
  <si>
    <t>42. Autre précisez:</t>
  </si>
  <si>
    <t>42. Sauran, bayar da cikakkun bayanai:</t>
  </si>
  <si>
    <t>Standard decimal field:</t>
  </si>
  <si>
    <t>43. In the past three months, did you suffer from an illness or injury that disrupted your daily life?</t>
  </si>
  <si>
    <t>43. Au cours des trois derniers mois, avez-vous souffert d'une maladie ou d'une blessure qui a perturbé votre vie quotidienne ?</t>
  </si>
  <si>
    <t>43. A cikin watanni uku da suka wuce, ko kun yi fama da wata rashin lafiya ko rauni wanda ya kawo muku cikas a rayuwarku na yau da kullun?</t>
  </si>
  <si>
    <t>w_wellbeing_note</t>
  </si>
  <si>
    <t>Brother/sister</t>
  </si>
  <si>
    <t>Frère/sœur</t>
  </si>
  <si>
    <t>Wa/ƙane/Ya/ƙanwa</t>
  </si>
  <si>
    <t>40. I would like to ask you a few questions about your health and wellbeing</t>
  </si>
  <si>
    <t>40. Je voudrais vous poser quelques questions sur votre santé et votre bien-être</t>
  </si>
  <si>
    <t>40. Ina so in yi muku wasu ƴan tambayoyi game da lafiyar jikinku da jin daɗin ku</t>
  </si>
  <si>
    <t>select_one health</t>
  </si>
  <si>
    <t>w_physical_health</t>
  </si>
  <si>
    <t>41. In general, how would you characterize your physical health?</t>
  </si>
  <si>
    <t>41. En général, comment caractériseriez-vous votre santé physique ?</t>
  </si>
  <si>
    <t>41. A taƙaice, yaya za ku siffanta lafiyar jikin ku?</t>
  </si>
  <si>
    <t>w_illness_limit</t>
  </si>
  <si>
    <t>Nephew/niece</t>
  </si>
  <si>
    <t>Neveu/nièce</t>
  </si>
  <si>
    <t>42. Do you currently suffer from any illness or disability that limits your ability to travel or work?</t>
  </si>
  <si>
    <t>42. Souffrez-vous actuellement d'une maladie ou d'un handicap qui limite votre capacité à voyager ou à travailler ?</t>
  </si>
  <si>
    <t>Ɗan ƙane ko wa/Ɗiyar ƙane ko wa</t>
  </si>
  <si>
    <t>42. A halin yanzu, ko kuna fama da wata rashin lafiya ko naƙasa da ke iya kawo muku cikas game da tahiya bulaguro ko yin aiki?</t>
  </si>
  <si>
    <t>CALC: Pull commune name</t>
  </si>
  <si>
    <t>select_multiple illness</t>
  </si>
  <si>
    <t>w_illness_limit_type</t>
  </si>
  <si>
    <t>43. What illness limits you in this way?</t>
  </si>
  <si>
    <t>43. Quelle maladie vous limite de cette manière ?</t>
  </si>
  <si>
    <t>43. Wace cuta ce ke tsaida ku a kan wannan?</t>
  </si>
  <si>
    <t>w_illness_limit_type_o</t>
  </si>
  <si>
    <t>select_one listname</t>
  </si>
  <si>
    <t>44. Other, specify:</t>
  </si>
  <si>
    <t>44. Autre précisez:</t>
  </si>
  <si>
    <t>44. Sauran, bayar da cikakkun bayanai:</t>
  </si>
  <si>
    <t>w_illness</t>
  </si>
  <si>
    <t>Standard multiple-choice field (allows one selection, shown as series of radio buttons):</t>
  </si>
  <si>
    <t>Grand-parent</t>
  </si>
  <si>
    <t>Kaka</t>
  </si>
  <si>
    <t>pulldata('locations', 'commune_name', 'commune_id', ${commune})</t>
  </si>
  <si>
    <t>45. In the past three months, did you suffer from an illness or injury that disrupted your daily life?</t>
  </si>
  <si>
    <t>45. Au cours des trois derniers mois, avez-vous souffert d'une maladie ou d'une blessure qui a perturbé votre vie quotidienne ?</t>
  </si>
  <si>
    <t>45. A cikin watanni uku da suka wuce, ko kun yi fama da wata rashin lafiya ko rauni wanda ya kawo muku cikas a rayuwarku na yau da kullun?</t>
  </si>
  <si>
    <t>w_illness_type</t>
  </si>
  <si>
    <t>44. What type of illness or injury did you experience?</t>
  </si>
  <si>
    <t>44. Preciser le type de maladie ou de blessure</t>
  </si>
  <si>
    <t>44. Baiyana irin ciwo ko raunin da kuka yi fama da shi?</t>
  </si>
  <si>
    <t>46. What type of illness or injury did you experience?</t>
  </si>
  <si>
    <t>46. Preciser le type de maladie ou de blessure</t>
  </si>
  <si>
    <t>46. Baiyana irin ciwo ko raunin da kuka yi fama da shi?</t>
  </si>
  <si>
    <t>w_illness_type_o</t>
  </si>
  <si>
    <t>45. Specify other illness or injury</t>
  </si>
  <si>
    <t>45. Preciser le type de maladie ou de blessure</t>
  </si>
  <si>
    <t>45. Baiyana irin ciwo ko raunin da kuka fama?</t>
  </si>
  <si>
    <t>47. Specify other illness or injury</t>
  </si>
  <si>
    <t>47. Preciser le type de maladie ou de blessure</t>
  </si>
  <si>
    <t>47. Baiyana irin ciwo ko raunin da kuka fama?</t>
  </si>
  <si>
    <t>w_seek_treatment</t>
  </si>
  <si>
    <t>46. Did you seek any treatment for any illness or injury?</t>
  </si>
  <si>
    <t>46. Avez-vous cherché un traitement pour une maladie ou une blessure ?</t>
  </si>
  <si>
    <t>46. Ko kun nemi wani magani don wata cuta ko rauni?</t>
  </si>
  <si>
    <t>Father/mother-in-law</t>
  </si>
  <si>
    <t>Beau-père/ belle-mère</t>
  </si>
  <si>
    <t>48. Did you seek any treatment for any illness or injury?</t>
  </si>
  <si>
    <t>Siriki/sarakuwa</t>
  </si>
  <si>
    <t>48. Avez-vous cherché un traitement pour une maladie ou une blessure ?</t>
  </si>
  <si>
    <t>48. Ko kun nemi wani magani don wata cuta ko rauni?</t>
  </si>
  <si>
    <t>w_past_week_note</t>
  </si>
  <si>
    <t>47. Now I want to ask you about the past week (7 days)</t>
  </si>
  <si>
    <t>47. Maintenant, je veux vous poser des questions sur la semaine dernière (7 jours)</t>
  </si>
  <si>
    <t>47. Yanzu ina son in muku tambayoyi bisa satin (makon) da ya wuce (kwana 7)</t>
  </si>
  <si>
    <t>pm_home_location</t>
  </si>
  <si>
    <t>49. Now I want to ask you about the past week (7 days)</t>
  </si>
  <si>
    <t>49. Maintenant, je veux vous poser des questions sur la semaine dernière (7 jours)</t>
  </si>
  <si>
    <t>49. Yanzu ina son in muku tambayoyi bisa satin (makon) da ya wuce (kwana 7)</t>
  </si>
  <si>
    <t>w_sleep</t>
  </si>
  <si>
    <t>48. How many hours of sleep per night did you get on average in the last seven days?</t>
  </si>
  <si>
    <t>48. Combien d'heures de sommeil par nuit avez-vous dormi en moyenne au cours des sept derniers jours ?</t>
  </si>
  <si>
    <t>48. Misalin Sa'o'i nawa a taƙaice kuke yin barci a kowane dare a cikin kwanaki bakwai na ƙarshe da suka wuce?</t>
  </si>
  <si>
    <t>Multiple-choice field (allows one selection, shown horizontally along likert-type scale):</t>
  </si>
  <si>
    <t>50. How many hours of sleep per night did you get on average in the last seven days?</t>
  </si>
  <si>
    <t>50. Combien d'heures de sommeil par nuit avez-vous dormi en moyenne au cours des sept derniers jours ?</t>
  </si>
  <si>
    <t>50. Misalin Sa'o'i nawa a taƙaice kuke yin barci a kowane dare a cikin kwanaki bakwai na ƙarshe da suka wuce?</t>
  </si>
  <si>
    <t>Brother in law/Sister in law</t>
  </si>
  <si>
    <t>53. Worry</t>
  </si>
  <si>
    <t>likert</t>
  </si>
  <si>
    <t>53. Inquiétude</t>
  </si>
  <si>
    <t>53. Damuwa</t>
  </si>
  <si>
    <t>Beau-frère/belle-sœur</t>
  </si>
  <si>
    <t>ƙane ko wan mata/ƙanwa ko yar mata</t>
  </si>
  <si>
    <t>${commune_name}</t>
  </si>
  <si>
    <t>54. Anger</t>
  </si>
  <si>
    <t>54. Colère</t>
  </si>
  <si>
    <t>54. Fushi</t>
  </si>
  <si>
    <t>select_one freq</t>
  </si>
  <si>
    <t>w_emotion</t>
  </si>
  <si>
    <t>49. In the past week, how often did you experience the following feelings?</t>
  </si>
  <si>
    <t>49. Au cours de la semaine dernière, à quelle fréquence avez-vous ressenti les sentiments suivants ?</t>
  </si>
  <si>
    <t>49. A cikin satin da ya wuce, sau nawa kuka ji irin waɗannan abubuwan a ranku?</t>
  </si>
  <si>
    <t>51. In the past week, how often did you experience the following feelings?</t>
  </si>
  <si>
    <t>51. Au cours de la semaine dernière, à quelle fréquence avez-vous ressenti les sentiments suivants ?</t>
  </si>
  <si>
    <t>51. A cikin satin da ya wuce, sau nawa kuka ji irin waɗannan abubuwan a ranku?</t>
  </si>
  <si>
    <t>w_emotion1</t>
  </si>
  <si>
    <t>50. Enjoyment</t>
  </si>
  <si>
    <t>50. Plaisir</t>
  </si>
  <si>
    <t>50. jin daɗi</t>
  </si>
  <si>
    <t>52. Enjoyment</t>
  </si>
  <si>
    <t>52. Plaisir</t>
  </si>
  <si>
    <t>52. jin daɗi</t>
  </si>
  <si>
    <t>Son/daughter-in-law</t>
  </si>
  <si>
    <t>w_emotion2</t>
  </si>
  <si>
    <t>51. Happiness</t>
  </si>
  <si>
    <t>51. Bonheur</t>
  </si>
  <si>
    <t>Beau fils / belle-fille</t>
  </si>
  <si>
    <t>51. Farin ciki</t>
  </si>
  <si>
    <t>Mijin ɗiya/matar ɗa</t>
  </si>
  <si>
    <t>53. Happiness</t>
  </si>
  <si>
    <t>53. Bonheur</t>
  </si>
  <si>
    <t>53. Farin ciki</t>
  </si>
  <si>
    <t>w_emotion3</t>
  </si>
  <si>
    <t>52. Stress</t>
  </si>
  <si>
    <t>52. Babbar Damuwa</t>
  </si>
  <si>
    <t>54. Stress</t>
  </si>
  <si>
    <t>54. Babbar Damuwa</t>
  </si>
  <si>
    <t>w_emotion4</t>
  </si>
  <si>
    <t>Multiple-choice field (allows one selection, shown horizontally along likert-type scale, labels only at ends of the scale):</t>
  </si>
  <si>
    <t>Grandchildren</t>
  </si>
  <si>
    <t>55. Worry</t>
  </si>
  <si>
    <t>likert-min</t>
  </si>
  <si>
    <t>55. Inquiétude</t>
  </si>
  <si>
    <t>55. Damuwa</t>
  </si>
  <si>
    <t>Petits-enfants</t>
  </si>
  <si>
    <t>Jikoki</t>
  </si>
  <si>
    <t>w_emotion5</t>
  </si>
  <si>
    <t>pulldata('locations', 'commune_id', 'commune_name', ${commune_name})</t>
  </si>
  <si>
    <t>56. Anger</t>
  </si>
  <si>
    <t>56. Colère</t>
  </si>
  <si>
    <t>56. Fushi</t>
  </si>
  <si>
    <t>w_emotion6</t>
  </si>
  <si>
    <t>55. Physical pain</t>
  </si>
  <si>
    <t>55. Douleur physique</t>
  </si>
  <si>
    <t>55. ciwon jiki</t>
  </si>
  <si>
    <t>57. Physical pain</t>
  </si>
  <si>
    <t>57. Douleur physique</t>
  </si>
  <si>
    <t>57. ciwon jiki</t>
  </si>
  <si>
    <t>Cousin</t>
  </si>
  <si>
    <t>w_emotion7</t>
  </si>
  <si>
    <t>Cousin/Cousine</t>
  </si>
  <si>
    <t>56. Loneliness</t>
  </si>
  <si>
    <t>Dan/ Wa/Kanen uba</t>
  </si>
  <si>
    <t>56. Solitude</t>
  </si>
  <si>
    <t>56. kadaici</t>
  </si>
  <si>
    <t>58. Loneliness</t>
  </si>
  <si>
    <t>58. Solitude</t>
  </si>
  <si>
    <t>58. kadaici</t>
  </si>
  <si>
    <t>Multiple-choice field (allows one selection, shown horizontally along likert-type scale, labels only at ends and middle of scale):</t>
  </si>
  <si>
    <t>60.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</si>
  <si>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search('locations', 'matches', 'commune_id', ${commune})</t>
  </si>
  <si>
    <t>60.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</si>
  <si>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60.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</si>
  <si>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select_one agree_likert</t>
  </si>
  <si>
    <t>w_self_esteem_note</t>
  </si>
  <si>
    <t>57. I will now read out several statements. You should tell me whether these statements are true for you by using the following scale.</t>
  </si>
  <si>
    <t>57. Je vais maintenant lire plusieurs déclarations. Vous devez me dire si ces affirmations sont vraies pour vous en utilisant l'échelle suivante.</t>
  </si>
  <si>
    <t>57. Yanzu zan karanta wasu maganganu da yawa. Za ku gaya mini ko waɗannan maganganun sun yi daidai da ku ta hanyar yin amfani da kuranga mai zuwa.</t>
  </si>
  <si>
    <t>likert-mid</t>
  </si>
  <si>
    <t>Co-spouse</t>
  </si>
  <si>
    <t>Co-épouse</t>
  </si>
  <si>
    <t>Kishiya</t>
  </si>
  <si>
    <t>59. I will now read out several statements. You should tell me whether these statements are true for you by using the following scale.</t>
  </si>
  <si>
    <t>59. Je vais maintenant lire plusieurs déclarations. Vous devez me dire si ces affirmations sont vraies pour vous en utilisant l'échelle suivante.</t>
  </si>
  <si>
    <t>59. Yanzu zan karanta wasu maganganu da yawa. Za ku gaya mini ko waɗannan maganganun sun yi daidai da ku ta hanyar yin amfani da kuranga mai zuwa.</t>
  </si>
  <si>
    <t>w_self_esteem_4</t>
  </si>
  <si>
    <t>58. I feel I do not have much to be proud of.</t>
  </si>
  <si>
    <t>58. Je sens que je n'ai pas beaucoup de raisons d'être fier (comblé).</t>
  </si>
  <si>
    <t>58. Ina jin ba ni da hujjojin jin daɗi.</t>
  </si>
  <si>
    <t>60. I feel I do not have much to be proud of.</t>
  </si>
  <si>
    <t>60. Je sens que je n'ai pas beaucoup de raisons d'être fier (comblé).</t>
  </si>
  <si>
    <t>60. Ina jin ba ni da hujjojin jin daɗi.</t>
  </si>
  <si>
    <t>w_self_esteem_9</t>
  </si>
  <si>
    <t>59. At times I think I am no good at all.</t>
  </si>
  <si>
    <t>59. Parfois, je pense que je suis utile a rien</t>
  </si>
  <si>
    <t>59. A wasu lokuta ina ganin bani da amfani.</t>
  </si>
  <si>
    <t>61. At times I think I am no good at all.</t>
  </si>
  <si>
    <t>61. Parfois, je pense que je suis utile a rien</t>
  </si>
  <si>
    <t>61. A wasu lokuta ina ganin bani da amfani.</t>
  </si>
  <si>
    <t>No family relation</t>
  </si>
  <si>
    <t>63. Your own health problems, illness</t>
  </si>
  <si>
    <t>63. Vos propres problèmes de santé</t>
  </si>
  <si>
    <t>CALC: Pull locality name</t>
  </si>
  <si>
    <t>Aucun lien de parenté</t>
  </si>
  <si>
    <t>63. Matsalolin lafiyar jikinku</t>
  </si>
  <si>
    <t>Babu dangantaka</t>
  </si>
  <si>
    <t>w_ladder_scale</t>
  </si>
  <si>
    <t>Multiple-choice field (allows one selection, auto-advances to next question as soon as an option is selected):</t>
  </si>
  <si>
    <t>quick</t>
  </si>
  <si>
    <t>pulldata('locations', 'locality_name', 'vn', ${locality})</t>
  </si>
  <si>
    <t>62.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</si>
  <si>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62.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</si>
  <si>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62.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</si>
  <si>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65. Accidents and disasters</t>
  </si>
  <si>
    <t>65. Accidents et catastrophes</t>
  </si>
  <si>
    <t>65. Hatsari da bala'o'i</t>
  </si>
  <si>
    <t>66. Not enough money for basic needs (sucha as food and clothing)</t>
  </si>
  <si>
    <t>66. Pas assez d'argent pour les besoins de base (tels que la nourriture et les vêtements)</t>
  </si>
  <si>
    <t>village_id</t>
  </si>
  <si>
    <t>66. Rashin isassun kuɗi don buƙatun asali (kamar abinci da sutura)</t>
  </si>
  <si>
    <t>call</t>
  </si>
  <si>
    <t>w_worries_note</t>
  </si>
  <si>
    <t>61. Now I am going to ask you about the areas of your life that worry you.</t>
  </si>
  <si>
    <t>61. Je voudrais maintenant vous poser des questions sur les choses qui vous inquiètent dans votre vie.</t>
  </si>
  <si>
    <t>61. Yanzu ina son in tambaye ku bisa abubuwan da ke damun ku a cikin rayuwar ku.</t>
  </si>
  <si>
    <t>Phone did not ring</t>
  </si>
  <si>
    <t>Le téléphone n'a pas sonné</t>
  </si>
  <si>
    <t>Waya ba ta yi ƙara ba</t>
  </si>
  <si>
    <t>63. Now I am going to ask you about the areas of your life that worry you.</t>
  </si>
  <si>
    <t>63. Je voudrais maintenant vous poser des questions sur les choses qui vous inquiètent dans votre vie.</t>
  </si>
  <si>
    <t>63. Yanzu ina son in tambaye ku bisa abubuwan da ke damun ku a cikin rayuwar ku.</t>
  </si>
  <si>
    <t>select_one worries</t>
  </si>
  <si>
    <t>w_risk_prob_note</t>
  </si>
  <si>
    <t>62. How stressed are you about the following areas of your life?</t>
  </si>
  <si>
    <t>62. Dans quelle mesure êtes-vous stressé par les domaines suivants de votre vie ?</t>
  </si>
  <si>
    <t>62. Yaya damuwarku game da abubuwa na rayuwarku da zan zana?</t>
  </si>
  <si>
    <t>Multiple-choice field (allows one selection, shown as a drop-down selector):</t>
  </si>
  <si>
    <t>pulldata('locations', 'village_id', 'vn', ${locality})</t>
  </si>
  <si>
    <t>64. How stressed are you about the following areas of your life?</t>
  </si>
  <si>
    <t>64. Dans quelle mesure êtes-vous stressé par les domaines suivants de votre vie ?</t>
  </si>
  <si>
    <t>64. Yaya damuwarku game da abubuwa na rayuwarku da zan zana?</t>
  </si>
  <si>
    <t>w_health_problems</t>
  </si>
  <si>
    <t>minimal</t>
  </si>
  <si>
    <t>65. Your own health problems, illness</t>
  </si>
  <si>
    <t>65. Vos propres problèmes de santé</t>
  </si>
  <si>
    <t>65. Matsalolin lafiyar jikinku</t>
  </si>
  <si>
    <t>w_home_problems</t>
  </si>
  <si>
    <t>64. Problems at home and with relatives</t>
  </si>
  <si>
    <t>64. Problèmes dans le ménage et avec les proches</t>
  </si>
  <si>
    <t>64. Matsaloli na cikin gida da na dangi</t>
  </si>
  <si>
    <t>66. Problems at home and with relatives</t>
  </si>
  <si>
    <t>66. Problèmes dans le ménage et avec les proches</t>
  </si>
  <si>
    <t>66. Matsaloli na cikin gida da na dangi</t>
  </si>
  <si>
    <t>w_accidents_disasters</t>
  </si>
  <si>
    <t>Phone rang but no one picked up</t>
  </si>
  <si>
    <t>id_startswith</t>
  </si>
  <si>
    <t>Le téléphone a sonné mais personne n'a décroché</t>
  </si>
  <si>
    <t>Waya tayi ƙara amma babu wanda ya dauka</t>
  </si>
  <si>
    <t>67. Accidents and disasters</t>
  </si>
  <si>
    <t>67. Accidents et catastrophes</t>
  </si>
  <si>
    <t>67. Hatsari da bala'o'i</t>
  </si>
  <si>
    <t>w_money_problems</t>
  </si>
  <si>
    <t>68. Not enough money for basic needs (sucha as food and clothing)</t>
  </si>
  <si>
    <t>68. Pas assez d'argent pour les besoins de base (tels que la nourriture et les vêtements)</t>
  </si>
  <si>
    <t>68. Rashin isassun kuɗi don buƙatun asali (kamar abinci da sutura)</t>
  </si>
  <si>
    <t>w_cant_educate_children</t>
  </si>
  <si>
    <t>67. Not being able to educate all children</t>
  </si>
  <si>
    <t>67. Ne pas pouvoir scolariser tous les enfants</t>
  </si>
  <si>
    <t>concat(${commune_id}, '-', ${village_id})</t>
  </si>
  <si>
    <t>67. Rashin iya rubuta dukkan yara a makarantar boko</t>
  </si>
  <si>
    <t>Phone rang and was answered</t>
  </si>
  <si>
    <t>Le téléphone a sonné et on a répondu</t>
  </si>
  <si>
    <t>69. Not being able to educate all children</t>
  </si>
  <si>
    <t>69. Ne pas pouvoir scolariser tous les enfants</t>
  </si>
  <si>
    <t>69. Rashin iya rubuta dukkan yara a makarantar boko</t>
  </si>
  <si>
    <t>Waya tayi kara kuma an amsa</t>
  </si>
  <si>
    <t>Multiple-choice field (allows one selection, shown as a compact table of options):</t>
  </si>
  <si>
    <t>w_cant_find_work</t>
  </si>
  <si>
    <t>68. Difficulty finding work</t>
  </si>
  <si>
    <t>68. Difficulté à trouver du travail</t>
  </si>
  <si>
    <t>68. Wahalar neman aiki</t>
  </si>
  <si>
    <t>70. Difficulty finding work</t>
  </si>
  <si>
    <t>70. Difficulté à trouver du travail</t>
  </si>
  <si>
    <t>70. Wahalar neman aiki</t>
  </si>
  <si>
    <t>compact</t>
  </si>
  <si>
    <t>w_idleness</t>
  </si>
  <si>
    <t>69. Idleness of children or spouse</t>
  </si>
  <si>
    <t>69. L'oisiveté des enfants ou du conjoint</t>
  </si>
  <si>
    <t>69. Zaman banza na yara ko mata</t>
  </si>
  <si>
    <t>end group</t>
  </si>
  <si>
    <t>71. Idleness of children or spouse</t>
  </si>
  <si>
    <t>71. L'oisiveté des enfants ou du conjoint</t>
  </si>
  <si>
    <t>71. Zaman banza na yara ko mata</t>
  </si>
  <si>
    <t>w_alcohol_consumption</t>
  </si>
  <si>
    <t>70. Alcohol comsumption of children or spouse</t>
  </si>
  <si>
    <t>70. Consommation d'alcool des enfants ou du conjoint</t>
  </si>
  <si>
    <t>70. Shan giya na yara ko mata</t>
  </si>
  <si>
    <t>72. Alcohol comsumption of children or spouse</t>
  </si>
  <si>
    <t>72. Consommation d'alcool des enfants ou du conjoint</t>
  </si>
  <si>
    <t>72. Shan giya na yara ko mata</t>
  </si>
  <si>
    <t>w_family_death</t>
  </si>
  <si>
    <t>71. Death of a family member</t>
  </si>
  <si>
    <t>71. Décès d'un membre de la famille</t>
  </si>
  <si>
    <t>71. Mutuwar wani ɗan uwa</t>
  </si>
  <si>
    <t>73. Death of a family member</t>
  </si>
  <si>
    <t>73. Décès d'un membre de la famille</t>
  </si>
  <si>
    <t>73. Mutuwar wani ɗan uwa</t>
  </si>
  <si>
    <t>w_debt_owed</t>
  </si>
  <si>
    <t>72. Debts owed to others</t>
  </si>
  <si>
    <t>72. Dettes envers autrui</t>
  </si>
  <si>
    <t>72. Bashi da wasu ke binku</t>
  </si>
  <si>
    <t>74. Debts owed to others</t>
  </si>
  <si>
    <t>74. Dettes envers autrui</t>
  </si>
  <si>
    <t>74. Bashi da wasu ke binku</t>
  </si>
  <si>
    <t>Multiple-choice field (allows one selection, shown as a compact table of options with exactly three columns):</t>
  </si>
  <si>
    <t>76. Have you experienced any of the following during ${period}?</t>
  </si>
  <si>
    <t>76. Avez-vous vécu l'une des situations suivantes depuis le debut de ${period_french} ?</t>
  </si>
  <si>
    <t>compact-3</t>
  </si>
  <si>
    <t>76. Ko kun taɓa fuskantar ɗayan waɗannan abubuwan a wannan wurin, lokacin ${period_hausa}?</t>
  </si>
  <si>
    <t>w_three_months_note</t>
  </si>
  <si>
    <t>73. Now I will ask about some things that may have happened to you during the past three months.</t>
  </si>
  <si>
    <t>73. Maintenant, je vais vous poser des questions sur certaines choses qui vous sont peut-être arrivées au cours des trois derniers mois.</t>
  </si>
  <si>
    <t>73. Yanzu zan yi tambayoyi game da wasu abubuwa da wataƙila sun faru da ku a cikin watanni uku da suka wuce.</t>
  </si>
  <si>
    <t>contact_relation</t>
  </si>
  <si>
    <t>75. Now I will ask about some things that may have happened to you during the past three months.</t>
  </si>
  <si>
    <t>75. Maintenant, je vais vous poser des questions sur certaines choses qui vous sont peut-être arrivées au cours des trois derniers mois.</t>
  </si>
  <si>
    <t>75. Yanzu zan yi tambayoyi game da wasu abubuwa da wataƙila sun faru da ku a cikin watanni uku da suka wuce.</t>
  </si>
  <si>
    <t>Spouse/partner</t>
  </si>
  <si>
    <t>w_disc</t>
  </si>
  <si>
    <t>74. How often, if at all, were you personally discriminated against based on your identity (ethnicity, religion, nationality)?</t>
  </si>
  <si>
    <t>Conjoint/partenaire</t>
  </si>
  <si>
    <t>74. À quelle fréquence, si ça vous est déjà arrivé, avez-vous personnellement été victime de discrimination liée a votre identité (ethnie, religion, nationalité) ?</t>
  </si>
  <si>
    <t>74. Sau nawa, idan ya faru a gareku, aka nuna muku wariya dangance da kabilarku, ko addininku, ko ƙasarku2?</t>
  </si>
  <si>
    <t>Miji/mace/</t>
  </si>
  <si>
    <t>76. How often, if at all, were you personally discriminated against based on your identity (ethnicity, religion, nationality)?</t>
  </si>
  <si>
    <t>76. À quelle fréquence, si ça vous est déjà arrivé, avez-vous personnellement été victime de discrimination liée a votre identité (ethnie, religion, nationalité) ?</t>
  </si>
  <si>
    <t>76. Sau nawa, idan ya faru a gareku, aka nuna muku wariya dangance da kabilarku, ko addininku, ko ƙasarku2?</t>
  </si>
  <si>
    <t>w_felt_unsafe</t>
  </si>
  <si>
    <t>75. How often, if ever, have you felt unsafe walking in the neighborhood where you are staying?</t>
  </si>
  <si>
    <t>75. Combien de fois, vous vous êtes-vous senti en danger en vous promenant dans le quartier où vous séjournez, si cela vous est jamais arrivé ?</t>
  </si>
  <si>
    <t>75. Sau nawa, idan ya faru a gareku, kuka ji kuna cikin hatsari yayin da kuke yawo a cikin unguwar da kuke zaune?</t>
  </si>
  <si>
    <t>Multiple-choice field (allows one selection, shown as a compact table of options, auto-advances to next question as soon as an option is selected):</t>
  </si>
  <si>
    <t>77. How often, if ever, have you felt unsafe walking in the neighborhood where you are staying?</t>
  </si>
  <si>
    <t>77. Combien de fois, vous vous êtes-vous senti en danger en vous promenant dans le quartier où vous séjournez, si cela vous est jamais arrivé ?</t>
  </si>
  <si>
    <t>77. Sau nawa, idan ya faru a gareku, kuka ji kuna cikin hatsari yayin da kuke yawo a cikin unguwar da kuke zaune?</t>
  </si>
  <si>
    <t>quickcompact</t>
  </si>
  <si>
    <t>80. Detention or arrest by state security forces?</t>
  </si>
  <si>
    <t>80. Détention ou arrestation par les forces de sécurité de l'État ?</t>
  </si>
  <si>
    <t>80. Kaso ko kamu daga jami'an tsaron gwamnati?</t>
  </si>
  <si>
    <t>Child</t>
  </si>
  <si>
    <t>w_experienced_note</t>
  </si>
  <si>
    <t>Enfant</t>
  </si>
  <si>
    <t>Yaro</t>
  </si>
  <si>
    <t>78. Have you experienced any of the following during ${period}?</t>
  </si>
  <si>
    <t>78. Avez-vous vécu l'une des situations suivantes depuis le debut de ${period_french} ?</t>
  </si>
  <si>
    <t>78. Ko kun taɓa fuskantar ɗayan waɗannan abubuwan a wannan wurin, lokacin ${period_hausa}?</t>
  </si>
  <si>
    <t>w_phys_attacked</t>
  </si>
  <si>
    <t>77. Physical attack</t>
  </si>
  <si>
    <t>77. Attaque physique</t>
  </si>
  <si>
    <t>77. harin jiki</t>
  </si>
  <si>
    <t>79. Physical attack</t>
  </si>
  <si>
    <t>79. Attaque physique</t>
  </si>
  <si>
    <t>79. harin jiki</t>
  </si>
  <si>
    <t>w_phys_threat</t>
  </si>
  <si>
    <t>78. Threat of physical violence/attack</t>
  </si>
  <si>
    <t>78. Menace de violence physique/agression</t>
  </si>
  <si>
    <t>78. Barazanar ​​harin jiki</t>
  </si>
  <si>
    <t>Multiple-choice field (allows one selection, shown as a compact table of options with exactly three columns, auto-advances to next question as soon as an option is selected):</t>
  </si>
  <si>
    <t>Parent</t>
  </si>
  <si>
    <t>80. Threat of physical violence/attack</t>
  </si>
  <si>
    <t>80. Menace de violence physique/agression</t>
  </si>
  <si>
    <t>quickcompact-3</t>
  </si>
  <si>
    <t>80. Barazanar ​​harin jiki</t>
  </si>
  <si>
    <t>w_theft</t>
  </si>
  <si>
    <t>Uwa</t>
  </si>
  <si>
    <t>79. Theft of either money or property?</t>
  </si>
  <si>
    <t>79. Vol d'argent ou de propriété?</t>
  </si>
  <si>
    <t>79. Satar kudi ko dukiya?</t>
  </si>
  <si>
    <t>81. Theft of either money or property?</t>
  </si>
  <si>
    <t>81. Vol d'argent ou de propriété?</t>
  </si>
  <si>
    <t>81. Satar kudi ko dukiya?</t>
  </si>
  <si>
    <t>w_arrest</t>
  </si>
  <si>
    <t>period_bl</t>
  </si>
  <si>
    <t>82. Detention or arrest by state security forces?</t>
  </si>
  <si>
    <t>82. Détention ou arrestation par les forces de sécurité de l'État ?</t>
  </si>
  <si>
    <t>82. Kaso ko kamu daga jami'an tsaron gwamnati?</t>
  </si>
  <si>
    <t>85. Detention or arrest by state security forces?</t>
  </si>
  <si>
    <t>85. Détention ou arrestation par les forces de sécurité de l'État ?</t>
  </si>
  <si>
    <t>85. Kaso ko kamu daga jami'an tsaron gwamnati?</t>
  </si>
  <si>
    <t>Sibling</t>
  </si>
  <si>
    <t>Frère et sœur</t>
  </si>
  <si>
    <t>Ɗan uwa/ƴar uwa</t>
  </si>
  <si>
    <t>w_vict_text_note</t>
  </si>
  <si>
    <t>81. Now I would like to ask you to tell me more about your specific experience with:</t>
  </si>
  <si>
    <t>81. J'aimerais maintenant vous demander de m'en dire un peu plus sur votre expérience spécifique avec :</t>
  </si>
  <si>
    <t>81. Yanzu ina so in tambaye ku ƙarin bayani game da takamaiman gogewarku na masamman game da:</t>
  </si>
  <si>
    <t>Multiple-choice field (allows one selection, loads options from pre-loaded .csv file, includes options based on a "contains" comparison):</t>
  </si>
  <si>
    <t>83. Now I would like to ask you to tell me more about your specific experience with:</t>
  </si>
  <si>
    <t>83. J'aimerais maintenant vous demander de m'en dire un peu plus sur votre expérience spécifique avec :</t>
  </si>
  <si>
    <t>83. Yanzu ina so in tambaye ku ƙarin bayani game da takamaiman gogewarku na masamman game da:</t>
  </si>
  <si>
    <t>"our interview last year during the hot season, a little before the rainy season"</t>
  </si>
  <si>
    <t>search('hhplotdata', 'contains', 'respondentname', ${nametofind})</t>
  </si>
  <si>
    <t>w_attack_note</t>
  </si>
  <si>
    <t>82. Physical attack</t>
  </si>
  <si>
    <t>82. Attaque physique</t>
  </si>
  <si>
    <t>82. harin jiki</t>
  </si>
  <si>
    <t>84. Physical attack</t>
  </si>
  <si>
    <t>84. Attaque physique</t>
  </si>
  <si>
    <t>84. harin jiki</t>
  </si>
  <si>
    <t>w_phys_threat_note</t>
  </si>
  <si>
    <t>83. Threat of physical violence/attack</t>
  </si>
  <si>
    <t>83. Menace de violence physique/agression</t>
  </si>
  <si>
    <t>83. Barazanar ​​harin jiki</t>
  </si>
  <si>
    <t>Member of spouse's family</t>
  </si>
  <si>
    <t>Membre de la famille du conjoint</t>
  </si>
  <si>
    <t>Dan gidan aure</t>
  </si>
  <si>
    <t>85. Threat of physical violence/attack</t>
  </si>
  <si>
    <t>85. Menace de violence physique/agression</t>
  </si>
  <si>
    <t>85. Barazanar ​​harin jiki</t>
  </si>
  <si>
    <t>w_theft_note</t>
  </si>
  <si>
    <t>84. Theft of either money or property?</t>
  </si>
  <si>
    <t>84. Vol d'argent ou de propriété?</t>
  </si>
  <si>
    <t>84. Satar kudi ko dukiya?</t>
  </si>
  <si>
    <t>period_french_bl</t>
  </si>
  <si>
    <t>86. Theft of either money or property?</t>
  </si>
  <si>
    <t>Multiple-choice field (allows one selection, loads options from pre-loaded .csv file, includes options based on a "starts with" comparison):</t>
  </si>
  <si>
    <t>86. Vol d'argent ou de propriété?</t>
  </si>
  <si>
    <t>86. Satar kudi ko dukiya?</t>
  </si>
  <si>
    <t>w_arrest_note</t>
  </si>
  <si>
    <t>search('hhplotdata', 'startswith', 'respondentname', ${nameprefix})</t>
  </si>
  <si>
    <t>87. Detention or arrest by state security forces?</t>
  </si>
  <si>
    <t>87. Détention ou arrestation par les forces de sécurité de l'État ?</t>
  </si>
  <si>
    <t>87. Kaso ko kamu daga jami'an tsaron gwamnati?</t>
  </si>
  <si>
    <t>Other family member</t>
  </si>
  <si>
    <t>Autre membre de la famille</t>
  </si>
  <si>
    <t>Wani dan uwa</t>
  </si>
  <si>
    <t>"notre entretien de l'année dernière pendant la saison chaude, un peu avant la saison des pluies"</t>
  </si>
  <si>
    <t>90. How many days?</t>
  </si>
  <si>
    <t>90. Pendant combien de jours?</t>
  </si>
  <si>
    <t>90. Tsawon kwanaki nawa?</t>
  </si>
  <si>
    <t>91. In the past week how many days have adults in your household consumed animal protein (including fish, meat, poultry)?</t>
  </si>
  <si>
    <t>91. Au cours des 7 derniers jours, combien de fois les adultes de votre ménage ont-ils consommé des protéines animales (y compris poisson, viande, volaille) ?</t>
  </si>
  <si>
    <t>91. A cikin kwanaki 7 da suka wuce sau nawa manyan gidanku suka ci abinci masu gina jiki kamar su kifi ko nama ko kaji?</t>
  </si>
  <si>
    <t>w_meals_note</t>
  </si>
  <si>
    <t>86. I will now ask you about meals people in your household have consumed in the past 7 days.</t>
  </si>
  <si>
    <t>86. Je vais maintenant vous poser des questions sur les repas que les membres de votre ménage ont consommé au cours des 7 derniers jours.</t>
  </si>
  <si>
    <t>86. Yanzu zan tambaye ku bisa abincin da mutanen gidanku suka ci a cikin kwanaki 7 da suka wuce.</t>
  </si>
  <si>
    <t>88. I will now ask you about meals people in your household have consumed in the past 7 days.</t>
  </si>
  <si>
    <t>Multiple-choice field (allows one selection, loads options from pre-loaded .csv file, includes options based on an "ends with" comparison):</t>
  </si>
  <si>
    <t>88. Je vais maintenant vous poser des questions sur les repas que les membres de votre ménage ont consommé au cours des 7 derniers jours.</t>
  </si>
  <si>
    <t>88. Yanzu zan tambaye ku bisa abincin da mutanen gidanku suka ci a cikin kwanaki 7 da suka wuce.</t>
  </si>
  <si>
    <t>period_hausa_bl</t>
  </si>
  <si>
    <t>w_adults_skip_days</t>
  </si>
  <si>
    <t>87. In the last 7 days, have adults gone a whole day without meals?</t>
  </si>
  <si>
    <t>87. Au cours des 7 derniers jours, des adultes sont-ils restés une journée entière sans manger de repas ?</t>
  </si>
  <si>
    <t>87. A cikin kwanaki 7 da suka wuce, ko manya gidanku sun zauna tsawon wuni guda basu ci abinci ba?</t>
  </si>
  <si>
    <t>Friend</t>
  </si>
  <si>
    <t>Ami</t>
  </si>
  <si>
    <t>Aboki</t>
  </si>
  <si>
    <t>search('hhplotdata', 'endswith', 'respondentname', ${namesuffix})</t>
  </si>
  <si>
    <t>89. In the last 7 days, have adults gone a whole day without meals?</t>
  </si>
  <si>
    <t>89. Au cours des 7 derniers jours, des adultes sont-ils restés une journée entière sans manger de repas ?</t>
  </si>
  <si>
    <t>89. A cikin kwanaki 7 da suka wuce, ko manya gidanku sun zauna tsawon wuni guda basu ci abinci ba?</t>
  </si>
  <si>
    <t>w_adults_skip_days_num</t>
  </si>
  <si>
    <t>88. How many days?</t>
  </si>
  <si>
    <t>88. Pendant combien de jours?</t>
  </si>
  <si>
    <t>88. 151a Tsawon kwanaki nawa?</t>
  </si>
  <si>
    <t>"Tun daga hirar mu ta bara a cikin rani gabanin damana"</t>
  </si>
  <si>
    <t>90. 151a Tsawon kwanaki nawa?</t>
  </si>
  <si>
    <t>w_adults_skip_meals</t>
  </si>
  <si>
    <t>89. In the last 7 days, have adults cut the size of meals or skipped meals?</t>
  </si>
  <si>
    <t>89. Au cours des 7 derniers jours, les adultes ont-ils réduit la taille de leur repas ou les ont-ils sauté?</t>
  </si>
  <si>
    <t>89. A cikin kwanaki 7 na ƙarshe, ko manyan gidanku sun rage yawan abincin da suka saba ci ko sun tsallake shi?</t>
  </si>
  <si>
    <t>91. In the last 7 days, have adults cut the size of meals or skipped meals?</t>
  </si>
  <si>
    <t>91. Au cours des 7 derniers jours, les adultes ont-ils réduit la taille de leur repas ou les ont-ils sauté?</t>
  </si>
  <si>
    <t>91. A cikin kwanaki 7 na ƙarshe, ko manyan gidanku sun rage yawan abincin da suka saba ci ko sun tsallake shi?</t>
  </si>
  <si>
    <t>w_adults_skip_meal_num</t>
  </si>
  <si>
    <t>Neighbor</t>
  </si>
  <si>
    <t>Voisin</t>
  </si>
  <si>
    <t>Makwabci</t>
  </si>
  <si>
    <t>period</t>
  </si>
  <si>
    <t>92. How many days?</t>
  </si>
  <si>
    <t>92. Pendant combien de jours?</t>
  </si>
  <si>
    <t>Multiple-choice field (allows one selection, loads options from pre-loaded .csv file, includes options based on an "exact match" comparison):</t>
  </si>
  <si>
    <t>92. Tsawon kwanaki nawa?</t>
  </si>
  <si>
    <t>w_adult_protein</t>
  </si>
  <si>
    <t>search('hhplotdata', 'matches', 'respondentname', ${nametofind})</t>
  </si>
  <si>
    <t>93. In the past week how many days have adults in your household consumed animal protein (including fish, meat, poultry)?</t>
  </si>
  <si>
    <t>93. Au cours des 7 derniers jours, combien de fois les adultes de votre ménage ont-ils consommé des protéines animales (y compris poisson, viande, volaille) ?</t>
  </si>
  <si>
    <t>93. A cikin kwanaki 7 da suka wuce sau nawa manyan gidanku suka ci abinci masu gina jiki kamar su kifi ko nama ko kaji?</t>
  </si>
  <si>
    <t>w_child_skip_days</t>
  </si>
  <si>
    <t>92. In the last 7 days, have children (&lt;14) gone a whole day without meals?</t>
  </si>
  <si>
    <t>92. Au cours des 7 derniers jours, des enfants (&lt;14) ont-ils passé une journée entière sans manger de repas ?</t>
  </si>
  <si>
    <t>92. A cikin kwanaki 7 na ƙarshe, ko yara ƴan ƙasa da shekara goma sha huɗu sun zauna tsawon wuni guda ba su ci da abinci ba?</t>
  </si>
  <si>
    <t>if(${round} = 3, "our last phone interview during the cold season", "period for round 4")</t>
  </si>
  <si>
    <t>Other</t>
  </si>
  <si>
    <t>94. In the last 7 days, have children (&lt;14) gone a whole day without meals?</t>
  </si>
  <si>
    <t>94. Au cours des 7 derniers jours, des enfants (&lt;14) ont-ils passé une journée entière sans manger de repas ?</t>
  </si>
  <si>
    <t>Autre</t>
  </si>
  <si>
    <t>94. A cikin kwanaki 7 na ƙarshe, ko yara ƴan ƙasa da shekara goma sha huɗu sun zauna tsawon wuni guda ba su ci da abinci ba?</t>
  </si>
  <si>
    <t>Wani daban</t>
  </si>
  <si>
    <t>period_french</t>
  </si>
  <si>
    <t>w_child_skip_days_num</t>
  </si>
  <si>
    <t>93. How many days?</t>
  </si>
  <si>
    <t>93. Pendant combien de jours?</t>
  </si>
  <si>
    <t>93. 154a Tsawon kwanaki nawa?</t>
  </si>
  <si>
    <t>Multiple-choice field (allows one selection, loads options from pre-loaded .csv file, includes options based on both a "contains" comparison and an "exact match" filter):</t>
  </si>
  <si>
    <t>search('hhplotdata', 'contains', 'respondentname', ${nametofind}, 'villageid', ${villageid})</t>
  </si>
  <si>
    <t>95. How many days?</t>
  </si>
  <si>
    <t>if(${round} = 3, "notre dernier entretien pendant la saison froide", "french period for round 4")</t>
  </si>
  <si>
    <t>95. Pendant combien de jours?</t>
  </si>
  <si>
    <t>95. 154a Tsawon kwanaki nawa?</t>
  </si>
  <si>
    <t>w_child_skip_meals</t>
  </si>
  <si>
    <t>94. In the last 7 days, have children (&lt;14) cut the size of meals or skipped meals?</t>
  </si>
  <si>
    <t>94. Au cours des 7 derniers jours, des enfants (&lt;14) ont-ils réduit la taille de leurs repas ou les ont-ils sauté?</t>
  </si>
  <si>
    <t>94. A cikin kwanaki 7 na ƙarshe, suna da yara (&lt;14) sun rage yawan abinci ko sun rasa gaba ɗaya?</t>
  </si>
  <si>
    <t>96. In the last 7 days, have children (&lt;14) cut the size of meals or skipped meals?</t>
  </si>
  <si>
    <t>96. Au cours des 7 derniers jours, des enfants (&lt;14) ont-ils réduit la taille de leurs repas ou les ont-ils sauté?</t>
  </si>
  <si>
    <t>96. A cikin kwanaki 7 na ƙarshe, suna da yara (&lt;14) sun rage yawan abinci ko sun rasa gaba ɗaya?</t>
  </si>
  <si>
    <t>interest</t>
  </si>
  <si>
    <t>w_child_skip_meals_num</t>
  </si>
  <si>
    <t>Not very interested</t>
  </si>
  <si>
    <t>period_hausa</t>
  </si>
  <si>
    <t>95. 155a Tsawon kwanaki nawa?</t>
  </si>
  <si>
    <t>Pas très intéressé</t>
  </si>
  <si>
    <t>select_multiple listname</t>
  </si>
  <si>
    <t>Ba sha'awa sosai</t>
  </si>
  <si>
    <t>Standard multiple-choice field (allows multiple selections, shown as series of radio buttons):</t>
  </si>
  <si>
    <t>97. How many days?</t>
  </si>
  <si>
    <t>97. Pendant combien de jours?</t>
  </si>
  <si>
    <t>97. 155a Tsawon kwanaki nawa?</t>
  </si>
  <si>
    <t>w_child_protein</t>
  </si>
  <si>
    <t>96. In the past week how many days have children in your household consumed animal protein (inlcuding fish, meat, poultry)?</t>
  </si>
  <si>
    <t>96. Au cours des 7 derniers jours, combien de fois les enfants de votre ménage ont-ils consommé des protéines animales (y compris poisson, viande, volaille) ?</t>
  </si>
  <si>
    <t>96. A cikin kwanaki 7 da suka gabata sau nawa yara a cikin gidanku suka ci abinci masu gina jiki kamar su kifi, nama, kaji ?</t>
  </si>
  <si>
    <t>if(${round} = 3, "hirar mu ta hanyar waya na ƙarshe a cikin ɗari", "hausa period for round 4")</t>
  </si>
  <si>
    <t>98. In the past week how many days have children in your household consumed animal protein (inlcuding fish, meat, poultry)?</t>
  </si>
  <si>
    <t>98. Au cours des 7 derniers jours, combien de fois les enfants de votre ménage ont-ils consommé des protéines animales (y compris poisson, viande, volaille) ?</t>
  </si>
  <si>
    <t>98. A cikin kwanaki 7 da suka gabata sau nawa yara a cikin gidanku suka ci abinci masu gina jiki kamar su kifi, nama, kaji ?</t>
  </si>
  <si>
    <t>99. Has your household spent money on the following types of expenses in the past week?</t>
  </si>
  <si>
    <t>99. Votre ménage a-t-il dépensé de l'argent pour les types de dépenses suivants au cours de la semaine dernière ?</t>
  </si>
  <si>
    <t>99. Ko gidanku sun kashe kuɗi akan ire iren waɗannan abubuwan a cikin satin da ya gabata?</t>
  </si>
  <si>
    <t>select_multiple cons_month</t>
  </si>
  <si>
    <t>w_monthly_consumption_any</t>
  </si>
  <si>
    <t>97. Has your household spent money on the following types of expenses in the past month?</t>
  </si>
  <si>
    <t>97. Votre ménage a-t-il dépensé de l'argent pour les types de dépenses suivants au cours du dernier mois ?</t>
  </si>
  <si>
    <t>97. Shin gidanku ya kashe kuɗi akan irin waɗannan abubuwan a cikin watan da ya gabata?</t>
  </si>
  <si>
    <t>Somewhat interested</t>
  </si>
  <si>
    <t>Un peu intéressé</t>
  </si>
  <si>
    <t>99. Has your household spent money on the following types of expenses in the past month?</t>
  </si>
  <si>
    <t>Da ɗan sha'awa</t>
  </si>
  <si>
    <t>99. Votre ménage a-t-il dépensé de l'argent pour les types de dépenses suivants au cours du dernier mois ?</t>
  </si>
  <si>
    <t>Multiple-choice field (allows multiple selections, shown as a pop-up selector):</t>
  </si>
  <si>
    <t>99. Shin gidanku ya kashe kuɗi akan irin waɗannan abubuwan a cikin watan da ya gabata?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</si>
  <si>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</si>
  <si>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</si>
  <si>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</si>
  <si>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81. Other, specify:</t>
  </si>
  <si>
    <t>81. Autre précisez:</t>
  </si>
  <si>
    <t>81. Sauran, bayar da cikakkun bayanai:</t>
  </si>
  <si>
    <t>search('baseline_ids', 'startswith', 'hh_id', ${id_startswith})</t>
  </si>
  <si>
    <t>100. How much did your household spend on ${w_item_week} in the past week (in CFA)?</t>
  </si>
  <si>
    <t>100. Combien votre ménage a-t-il dépensé en ${w_item_week} la semaine dernière (en CFA) ?</t>
  </si>
  <si>
    <t>100. Nawa ne gidan ku ya kashe (a CFA) a ${w_item_week} satin da ya gabata ?</t>
  </si>
  <si>
    <t>w_monthly_consumption_amt</t>
  </si>
  <si>
    <t>98. How much did your household spend on ${w_item} in the past month (in CFA)?</t>
  </si>
  <si>
    <t>Very interested</t>
  </si>
  <si>
    <t>98. Combien votre ménage a-t-il dépensé pour ${w_item} au cours du dernier mois (en CFA) ?</t>
  </si>
  <si>
    <t>Très intéressé</t>
  </si>
  <si>
    <t>98. Nawa ne (a CFA) gidanku ya kashe akan ${w_item} cikin watan da ya gabata ?</t>
  </si>
  <si>
    <t>Da Sha'awa sosai</t>
  </si>
  <si>
    <t>100. How much did your household spend on ${w_item} in the past month (in CFA)?</t>
  </si>
  <si>
    <t>100. Combien votre ménage a-t-il dépensé pour ${w_item} au cours du dernier mois (en CFA) ?</t>
  </si>
  <si>
    <t>100. Nawa ne (a CFA) gidanku ya kashe akan ${w_item} cikin watan da ya gabata ?</t>
  </si>
  <si>
    <t>84. What is the highest level of education that ${hoh_roster_name} has completed?</t>
  </si>
  <si>
    <t>84. Quel est le plus haut niveau d'études atteint par ${hoh_roster_name} ?</t>
  </si>
  <si>
    <t>84. Menene mafi girman mastayin ilimi da ${hoh_roster_name} ya kai?</t>
  </si>
  <si>
    <t>select_multiple cons_week</t>
  </si>
  <si>
    <t>w_weekly_consumption_any</t>
  </si>
  <si>
    <t>Multiple-choice field (allows multiple selections, shown as a compact table of options):</t>
  </si>
  <si>
    <t>101. Has your household spent money on the following types of expenses in the past week?</t>
  </si>
  <si>
    <t>101. Votre ménage a-t-il dépensé de l'argent pour les types de dépenses suivants au cours de la semaine dernière ?</t>
  </si>
  <si>
    <t>101. Ko gidanku sun kashe kuɗi akan ire iren waɗannan abubuwan a cikin satin da ya gabata?</t>
  </si>
  <si>
    <t>102. Clothing</t>
  </si>
  <si>
    <t>102. Vêtements</t>
  </si>
  <si>
    <t>102. Tufafi</t>
  </si>
  <si>
    <t>103. Sheep</t>
  </si>
  <si>
    <t>103. Mouton</t>
  </si>
  <si>
    <t>103. Rago</t>
  </si>
  <si>
    <t>w_weekly_consumption_amt</t>
  </si>
  <si>
    <t>102. How much did your household spend on ${w_item_week} in the past week (in CFA)?</t>
  </si>
  <si>
    <t>patient</t>
  </si>
  <si>
    <t>102. Combien votre ménage a-t-il dépensé en ${w_item_week} la semaine dernière (en CFA) ?</t>
  </si>
  <si>
    <t>102. Nawa ne gidan ku ya kashe (a CFA) a ${w_item_week} satin da ya gabata ?</t>
  </si>
  <si>
    <t>Impatient</t>
  </si>
  <si>
    <t>Babu haƙuri</t>
  </si>
  <si>
    <t>105. Poultry</t>
  </si>
  <si>
    <t>105. Volaille</t>
  </si>
  <si>
    <t>105. Kaji</t>
  </si>
  <si>
    <t>w_purchase</t>
  </si>
  <si>
    <t>101. For Tabaski, did your household purchase any of the following?</t>
  </si>
  <si>
    <t>if(${id}!= null, pulldata('baseline_ids', 'hh_id', 'id_key', ${id}), null)</t>
  </si>
  <si>
    <t>101. Pour la Tabaski, votre ménage a-t-il acheté l'un des articles suivants ?</t>
  </si>
  <si>
    <t>101. Don sallar layya, gidanku ya sayi ɗaya daga cikin waɗannan abubuwa?</t>
  </si>
  <si>
    <t>Somewhat patient</t>
  </si>
  <si>
    <t>103. For Tabaski, did your household purchase any of the following?</t>
  </si>
  <si>
    <t>103. Pour la Tabaski, votre ménage a-t-il acheté l'un des articles suivants ?</t>
  </si>
  <si>
    <t>Un peu patient</t>
  </si>
  <si>
    <t>103. Don sallar layya, gidanku ya sayi ɗaya daga cikin waɗannan abubuwa?</t>
  </si>
  <si>
    <t>Da ɗan haƙuri</t>
  </si>
  <si>
    <t>w_purchase_clothing</t>
  </si>
  <si>
    <t>Multiple-choice field (allows multiple selections, shown as a compact table of options with exactly three columns):</t>
  </si>
  <si>
    <t>104. Clothing</t>
  </si>
  <si>
    <t>104. Vêtements</t>
  </si>
  <si>
    <t>104. Tufafi</t>
  </si>
  <si>
    <t>w_purchase_sheep</t>
  </si>
  <si>
    <t>phase</t>
  </si>
  <si>
    <t>105. Sheep</t>
  </si>
  <si>
    <t>105. Mouton</t>
  </si>
  <si>
    <t>105. Rago</t>
  </si>
  <si>
    <t>w_purchase_goat</t>
  </si>
  <si>
    <t>104. Goat</t>
  </si>
  <si>
    <t>104. Chèvre</t>
  </si>
  <si>
    <t>Very patient</t>
  </si>
  <si>
    <t>104. Akuya</t>
  </si>
  <si>
    <t>Très patient</t>
  </si>
  <si>
    <t>Da Hakuri sosai</t>
  </si>
  <si>
    <t>106. Goat</t>
  </si>
  <si>
    <t>106. Chèvre</t>
  </si>
  <si>
    <t>106. Akuya</t>
  </si>
  <si>
    <t>pulldata('baseline_ids', 'phase', 'hh_id', ${hh_id})</t>
  </si>
  <si>
    <t>w_purchase_poultry</t>
  </si>
  <si>
    <t>107. Poultry</t>
  </si>
  <si>
    <t>107. Volaille</t>
  </si>
  <si>
    <t>107. Kaji</t>
  </si>
  <si>
    <t>Multiple-choice field (allows multiple selections, loads options from pre-loaded .csv file, includes options based on a "contains" comparison):</t>
  </si>
  <si>
    <t>pm_name</t>
  </si>
  <si>
    <t>108. In response to ${w_emergency_name}, did you or your household take the following actions?</t>
  </si>
  <si>
    <t>108. En réponse à ${w_emergency_name}, avez-vous vous ou votre ménage pris les mesures suivantes ??</t>
  </si>
  <si>
    <t>108. Dangance da ${w_emergency_name}, ku ko ƴan gindanku kun ɗauki waɗannan matakai?</t>
  </si>
  <si>
    <t>select_multiple emergency</t>
  </si>
  <si>
    <t>w_emergency</t>
  </si>
  <si>
    <t>106. During ${period}, was your household negatively affected by any of the following types of events?</t>
  </si>
  <si>
    <t>106. Au cours de ${period_french}, votre ménage a-t-il été affecté négativement par l'un des types d'événements suivants ?</t>
  </si>
  <si>
    <t>106. A lokacin ${period_hausa}, ko gidanku ya fuskanci wani daga cikin matsaloli nan masu zuwa? Zaɓi duk abin da ya dace</t>
  </si>
  <si>
    <t>108. During ${period}, was your household negatively affected by any of the following types of events?</t>
  </si>
  <si>
    <t>108. Au cours de ${period_french}, votre ménage a-t-il été affecté négativement par l'un des types d'événements suivants ?</t>
  </si>
  <si>
    <t>108. A lokacin ${period_hausa}, ko gidanku ya fuskanci wani daga cikin matsaloli nan masu zuwa? Zaɓi duk abin da ya dace</t>
  </si>
  <si>
    <t>w_emergency_o</t>
  </si>
  <si>
    <t>107. Please briefly describe the event(s) that negatveily affected your household</t>
  </si>
  <si>
    <t>107. Veuillez décrire brièvement le/les événement(s) qui ont eu des effets négatifs sur votre ménage au cours des 3 derniers mois</t>
  </si>
  <si>
    <t>107. Da fatan za ku yi taƙaitaccen bayani a kan abin da ya shafi gidan ku</t>
  </si>
  <si>
    <t>pulldata('baseline_ids', 'pm_name', 'hh_id', ${hh_id})</t>
  </si>
  <si>
    <t>109. Please briefly describe the event(s) that negatveily affected your household</t>
  </si>
  <si>
    <t>109. Veuillez décrire brièvement le/les événement(s) qui ont eu des effets négatifs sur votre ménage au cours des 3 derniers mois</t>
  </si>
  <si>
    <t>109. Da fatan za ku yi taƙaitaccen bayani a kan abin da ya shafi gidan ku</t>
  </si>
  <si>
    <t>111. Spend your savings?</t>
  </si>
  <si>
    <t>111. Utiliser votre épargne</t>
  </si>
  <si>
    <t>111. Kashe kuɗin ajiyar ku</t>
  </si>
  <si>
    <t>Multiple-choice field (allows multiple selections, loads options from pre-loaded .csv file, includes options based on a "starts with" comparison):</t>
  </si>
  <si>
    <t>112. Reduce spending on food or change your food consumption?</t>
  </si>
  <si>
    <t>112. Réduire les dépenses alimentaires ou changé des habitudes de consommation ?</t>
  </si>
  <si>
    <t>112. Rage kashe kuɗi akan abinci ko canza abincin?</t>
  </si>
  <si>
    <t>shm_name</t>
  </si>
  <si>
    <t>w_emerg_note</t>
  </si>
  <si>
    <t>110. In response to ${w_emergency_name}, did you or your household take the following actions?</t>
  </si>
  <si>
    <t>110. En réponse à ${w_emergency_name}, avez-vous vous ou votre ménage pris les mesures suivantes ??</t>
  </si>
  <si>
    <t>110. Dangance da ${w_emergency_name}, ku ko ƴan gindanku kun ɗauki waɗannan matakai?</t>
  </si>
  <si>
    <t>w_emerg_sell</t>
  </si>
  <si>
    <t>109. Sell assets?</t>
  </si>
  <si>
    <t>109. Vendre des actifs</t>
  </si>
  <si>
    <t>109. Saida kadarori</t>
  </si>
  <si>
    <t>pulldata('baseline_ids', 'shm_name', 'hh_id', ${hh_id})</t>
  </si>
  <si>
    <t>savings</t>
  </si>
  <si>
    <t>111. Sell assets?</t>
  </si>
  <si>
    <t>111. Vendre des actifs</t>
  </si>
  <si>
    <t>111. Saida kadarori</t>
  </si>
  <si>
    <t>w_emerg_borrow</t>
  </si>
  <si>
    <t>In cash</t>
  </si>
  <si>
    <t>110. Borrow money?</t>
  </si>
  <si>
    <t>110. Emprunter de l'argent</t>
  </si>
  <si>
    <t>110. Bashin kuɗi</t>
  </si>
  <si>
    <t>En argent liquide</t>
  </si>
  <si>
    <t>A Tsabar kudi</t>
  </si>
  <si>
    <t>w_name</t>
  </si>
  <si>
    <t>112. Borrow money?</t>
  </si>
  <si>
    <t>112. Emprunter de l'argent</t>
  </si>
  <si>
    <t>112. Bashin kuɗi</t>
  </si>
  <si>
    <t>w_emerg_spend</t>
  </si>
  <si>
    <t>Multiple-choice field (allows multiple selections, loads options from pre-loaded .csv file, includes options based on an "ends with" comparison):</t>
  </si>
  <si>
    <t>In a bank account</t>
  </si>
  <si>
    <t>Dans un compte bancaire</t>
  </si>
  <si>
    <t>113. Spend your savings?</t>
  </si>
  <si>
    <t>pulldata('baseline_ids', 'w_name', 'hh_id', ${hh_id})</t>
  </si>
  <si>
    <t>A cikin asusun banki</t>
  </si>
  <si>
    <t>113. Utiliser votre épargne</t>
  </si>
  <si>
    <t>113. Kashe kuɗin ajiyar ku</t>
  </si>
  <si>
    <t>w_emerg_consume</t>
  </si>
  <si>
    <t>114. Reduce spending on food or change your food consumption?</t>
  </si>
  <si>
    <t>114. Réduire les dépenses alimentaires ou changé des habitudes de consommation ?</t>
  </si>
  <si>
    <t>114. Rage kashe kuɗi akan abinci ko canza abincin?</t>
  </si>
  <si>
    <t>pm_age</t>
  </si>
  <si>
    <t>In a mobile money account</t>
  </si>
  <si>
    <t>98. In ${hoh_destination}, what was the name of the region that ${hoh_roster_name} moved to?</t>
  </si>
  <si>
    <t xml:space="preserve">98. </t>
  </si>
  <si>
    <t>Dans un compte mobile money</t>
  </si>
  <si>
    <t>A cikin asusun wayar hannu</t>
  </si>
  <si>
    <t>Multiple-choice field (allows multiple selections, loads options from pre-loaded .csv file, includes options based on an "exact match" comparison):</t>
  </si>
  <si>
    <t>w_emerg_note2</t>
  </si>
  <si>
    <t>113. For ${w_emergency_name}
What was the value of the following in CFA?</t>
  </si>
  <si>
    <t>113. Par rapport à ${w_emergency_name}
Quelle était la valeur des éléments suivantes en CFA?</t>
  </si>
  <si>
    <t>pulldata('baseline_ids', 'pm_age', 'hh_id', ${hh_id})</t>
  </si>
  <si>
    <t>113. Game da ${w_emergency_name}
 Nawa ne kimar waɗannan abubuwan a kuɗin CFA?</t>
  </si>
  <si>
    <t>115. For ${w_emergency_name}
What was the value of the following in CFA?</t>
  </si>
  <si>
    <t>115. Par rapport à ${w_emergency_name}
Quelle était la valeur des éléments suivantes en CFA?</t>
  </si>
  <si>
    <t>In Jewelery or other valuables</t>
  </si>
  <si>
    <t>115. Game da ${w_emergency_name}
 Nawa ne kimar waɗannan abubuwan a kuɗin CFA?</t>
  </si>
  <si>
    <t>Dans les bijoux ou autres objets de valeur</t>
  </si>
  <si>
    <t>A cikin kayan ado ko wasu abubuwa masu mahimmanci</t>
  </si>
  <si>
    <t>w_emerg_sell_amt</t>
  </si>
  <si>
    <t>114. Assets you sold</t>
  </si>
  <si>
    <t>114. Les actifs que vous avez vendus</t>
  </si>
  <si>
    <t>114. Kadarorin da kuka saida</t>
  </si>
  <si>
    <t>116. Assets you sold</t>
  </si>
  <si>
    <t>116. Les actifs que vous avez vendus</t>
  </si>
  <si>
    <t>116. Kadarorin da kuka saida</t>
  </si>
  <si>
    <t>w_emerg_borrow_amt</t>
  </si>
  <si>
    <t>115. Loan(s) you took</t>
  </si>
  <si>
    <t>115. Les prêt(s) que vous avez contracté</t>
  </si>
  <si>
    <t>115. Bashin da kuka ɗauka</t>
  </si>
  <si>
    <t>shm_age</t>
  </si>
  <si>
    <t>Multiple-choice field (allows multiple selections, loads options from pre-loaded .csv file, includes options based on both a "contains" comparison and an "exact match" filter):</t>
  </si>
  <si>
    <t>117. Loan(s) you took</t>
  </si>
  <si>
    <t>117. Les prêt(s) que vous avez contracté</t>
  </si>
  <si>
    <t>117. Bashin da kuka ɗauka</t>
  </si>
  <si>
    <t>w_emerg_spend_amt</t>
  </si>
  <si>
    <t>116. Savings you spent?</t>
  </si>
  <si>
    <t>116. L'épargne que vous avez utilisé</t>
  </si>
  <si>
    <t>116. Ajiyar da kuka kashe</t>
  </si>
  <si>
    <t>With a 'big man' in the area</t>
  </si>
  <si>
    <t>Avec un "grand homme" dans la région</t>
  </si>
  <si>
    <t>Tare da wani 'babban mutum' a jahar</t>
  </si>
  <si>
    <t>pulldata('baseline_ids', 'shm_age', 'hh_id', ${hh_id})</t>
  </si>
  <si>
    <t>118. Savings you spent?</t>
  </si>
  <si>
    <t>118. L'épargne que vous avez utilisé</t>
  </si>
  <si>
    <t>118. Ajiyar da kuka kashe</t>
  </si>
  <si>
    <t>geopoint</t>
  </si>
  <si>
    <t>119. How to use money that you earn</t>
  </si>
  <si>
    <t>119. Comment utiliser l'argent que vous gagnez</t>
  </si>
  <si>
    <t>By buying stocks of cereals</t>
  </si>
  <si>
    <t>119. Yadda ake amfani da kuɗin da kuke samu</t>
  </si>
  <si>
    <t xml:space="preserve">Achat du céréale </t>
  </si>
  <si>
    <t>w_age</t>
  </si>
  <si>
    <t>120. Daily household expenses (Less than 500 CFA)</t>
  </si>
  <si>
    <t>120. Dépenses quotidiennes du ménage (Moins de 500 CFA)</t>
  </si>
  <si>
    <t>120. Kashe Kuɗin gidan na yau da kullum ( Kasa da dala ɗari CFA 500)</t>
  </si>
  <si>
    <t>Standard GPS location-capture field:</t>
  </si>
  <si>
    <t>121. Household purchases (over 500 CFA)</t>
  </si>
  <si>
    <t>121. Achats du ménage (plus de 500 CFA)</t>
  </si>
  <si>
    <t>121. Sayayya na gida (sama da dala ɗari CFA 500)</t>
  </si>
  <si>
    <t>w_opinion_note</t>
  </si>
  <si>
    <t>117. I would like to ask your opinion about a several different topics. There are no right answers to these questions, we just want to understand what you think.</t>
  </si>
  <si>
    <t>117. J'aimerais vous demander votre avis sur plusieurs sujets différents. Il n'y a pas de bonnes réponses à ces questions, nous voulons juste comprendre ce que vous pensez.</t>
  </si>
  <si>
    <t>117. Ina so in tambayi ra'ayin ku game bisa batutuwa daban-daban. Babu amsoshin da suka dace ga waɗannan tambayoyin, muna son mu fafimci ra'ayinki ne kawai.</t>
  </si>
  <si>
    <t>119. I would like to ask your opinion about a several different topics. There are no right answers to these questions, we just want to understand what you think.</t>
  </si>
  <si>
    <t>119. J'aimerais vous demander votre avis sur plusieurs sujets différents. Il n'y a pas de bonnes réponses à ces questions, nous voulons juste comprendre ce que vous pensez.</t>
  </si>
  <si>
    <t>119. Ina so in tambayi ra'ayin ku game bisa batutuwa daban-daban. Babu amsoshin da suka dace ga waɗannan tambayoyin, muna son mu fafimci ra'ayinki ne kawai.</t>
  </si>
  <si>
    <t>pulldata('baseline_ids', 'w_age', 'hh_id', ${hh_id})</t>
  </si>
  <si>
    <t>123. Whether children attend school or not</t>
  </si>
  <si>
    <t>123. Que les enfants soient scolarisés ou non</t>
  </si>
  <si>
    <t>123. Ko za'a rubuta yara makaranta ko a'a</t>
  </si>
  <si>
    <t>select_one opinion_important</t>
  </si>
  <si>
    <t>w_matter_note</t>
  </si>
  <si>
    <t>118. I would like to ask you about how decisions are made in your household. Please tell me to what degree does your opinion matter in decisions related to the following topics:</t>
  </si>
  <si>
    <t>118. Je voudrais vous poser quelques quetions sur la prise de décision dans votre ménage, dans quelle mesure votre opinion compte-t-elle dans les décisions liées aux sujets suivants :</t>
  </si>
  <si>
    <t>geoshape</t>
  </si>
  <si>
    <t>118. Ina son in tambaye ku yadda ake yanke hukunci a gidanku. Da fatan za ku gaya mani matsayin ra'ayinku a yanke shawara bisa abubuwa masu zuwa:</t>
  </si>
  <si>
    <t>120. I would like to ask you about how decisions are made in your household. Please tell me to what degree does your opinion matter in decisions related to the following topics:</t>
  </si>
  <si>
    <t>120. Je voudrais vous poser quelques quetions sur la prise de décision dans votre ménage, dans quelle mesure votre opinion compte-t-elle dans les décisions liées aux sujets suivants :</t>
  </si>
  <si>
    <t>120. Ina son in tambaye ku yadda ake yanke hukunci a gidanku. Da fatan za ku gaya mani matsayin ra'ayinku a yanke shawara bisa abubuwa masu zuwa:</t>
  </si>
  <si>
    <t>w_use_money_opinion</t>
  </si>
  <si>
    <t>pm_hoh</t>
  </si>
  <si>
    <t>Boundary-capture field (GPS polygon):</t>
  </si>
  <si>
    <t>121. How to use money that you earn</t>
  </si>
  <si>
    <t>121. Comment utiliser l'argent que vous gagnez</t>
  </si>
  <si>
    <t>121. Yadda ake amfani da kuɗin da kuke samu</t>
  </si>
  <si>
    <t>w_daily_hh_expenses_opinion</t>
  </si>
  <si>
    <t>pulldata('baseline_ids', 'pm_hoh', 'hh_id', ${hh_id})</t>
  </si>
  <si>
    <t>122. Daily household expenses (Less than 500 CFA)</t>
  </si>
  <si>
    <t>122. Dépenses quotidiennes du ménage (Moins de 500 CFA)</t>
  </si>
  <si>
    <t>122. Kashe Kuɗin gidan na yau da kullum ( Kasa da dala ɗari CFA 500)</t>
  </si>
  <si>
    <t>w_hh_purchases_opinion</t>
  </si>
  <si>
    <t>freq</t>
  </si>
  <si>
    <t>Never</t>
  </si>
  <si>
    <t>Jamais</t>
  </si>
  <si>
    <t>123. Household purchases (over 500 CFA)</t>
  </si>
  <si>
    <t>Har abada</t>
  </si>
  <si>
    <t>123. Achats du ménage (plus de 500 CFA)</t>
  </si>
  <si>
    <t>123. Sayayya na gida (sama da dala ɗari CFA 500)</t>
  </si>
  <si>
    <t>shm_hoh</t>
  </si>
  <si>
    <t>w_illnesses_opinion</t>
  </si>
  <si>
    <t>122. What to do if someone in your household falls ill</t>
  </si>
  <si>
    <t>122. Que faire si un membre de votre ménage tombe malade</t>
  </si>
  <si>
    <t>geotrace</t>
  </si>
  <si>
    <t>122. Abin da za'a yi idan wani a cikin gidanku ya kamu da rashin lafiya</t>
  </si>
  <si>
    <t>124. What to do if someone in your household falls ill</t>
  </si>
  <si>
    <t>124. Que faire si un membre de votre ménage tombe malade</t>
  </si>
  <si>
    <t>124. Abin da za'a yi idan wani a cikin gidanku ya kamu da rashin lafiya</t>
  </si>
  <si>
    <t>w_attend_school_opinion</t>
  </si>
  <si>
    <t>pulldata('baseline_ids', 'shm_hoh', 'hh_id', ${hh_id})</t>
  </si>
  <si>
    <t>125. Whether children attend school or not</t>
  </si>
  <si>
    <t>125. Que les enfants soient scolarisés ou non</t>
  </si>
  <si>
    <t>Boundary- or path-capture field (GPS polyline or polygon):</t>
  </si>
  <si>
    <t>125. Ko za'a rubuta yara makaranta ko a'a</t>
  </si>
  <si>
    <t>w_migrate_opinion</t>
  </si>
  <si>
    <t>Rarely</t>
  </si>
  <si>
    <t>124. Whether you will migrate to find work or stay at home</t>
  </si>
  <si>
    <t>124. Si vous migrez pour trouver du travail ou rester à la maison</t>
  </si>
  <si>
    <t>Rarement</t>
  </si>
  <si>
    <t>124. Ko za ku yi tahiya wurin biɗa ko za ku zauna a gida</t>
  </si>
  <si>
    <t>Jehi jehi</t>
  </si>
  <si>
    <t>126. Whether you will migrate to find work or stay at home</t>
  </si>
  <si>
    <t>126. Si vous migrez pour trouver du travail ou rester à la maison</t>
  </si>
  <si>
    <t>126. Ko za ku yi tahiya wurin biɗa ko za ku zauna a gida</t>
  </si>
  <si>
    <t>w_hoh</t>
  </si>
  <si>
    <t>130. Whether you will migrate to find work</t>
  </si>
  <si>
    <t>130. Si vous migrez pour trouver du travail</t>
  </si>
  <si>
    <t>130. Ko za ku yi tahiya don neman aiki</t>
  </si>
  <si>
    <t>w_input_note</t>
  </si>
  <si>
    <t>125. Can you make your own decisions, without the input of anyone else if you want to regarding:</t>
  </si>
  <si>
    <t>125. Pouvez-vous prendre vos propres décisions, sans l'intervention de quelqu'un d'autre, si vous le souhaitez concernant :</t>
  </si>
  <si>
    <t>125. Za ku iya yanke shawara da kanku, ba tare da sa bakin wani ba idan kuna so dangance da:</t>
  </si>
  <si>
    <t>pulldata('baseline_ids', 'w_hoh', 'hh_id', ${hh_id})</t>
  </si>
  <si>
    <t>barcode</t>
  </si>
  <si>
    <t>127. Can you make your own decisions, without the input of anyone else if you want to regarding:</t>
  </si>
  <si>
    <t>Sometimes</t>
  </si>
  <si>
    <t>127. Pouvez-vous prendre vos propres décisions, sans l'intervention de quelqu'un d'autre, si vous le souhaitez concernant :</t>
  </si>
  <si>
    <t>Parfois</t>
  </si>
  <si>
    <t>127. Za ku iya yanke shawara da kanku, ba tare da sa bakin wani ba idan kuna so dangance da:</t>
  </si>
  <si>
    <t>Lokaci zuwa lokaci</t>
  </si>
  <si>
    <t>w_use_money_decide</t>
  </si>
  <si>
    <t>126. How to use money that you earn</t>
  </si>
  <si>
    <t>126. Comment utiliser l'argent que vous gagnez</t>
  </si>
  <si>
    <t>126. Yadda ake amfani da kuɗin da kuke samu</t>
  </si>
  <si>
    <t>128. How to use money that you earn</t>
  </si>
  <si>
    <t>128. Comment utiliser l'argent que vous gagnez</t>
  </si>
  <si>
    <t>128. Yadda ake amfani da kuɗin da kuke samu</t>
  </si>
  <si>
    <t>w_daily_hh_expenses_decide</t>
  </si>
  <si>
    <t>127. Daily household expenses (less than 500 CFA)</t>
  </si>
  <si>
    <t>127. Dépenses quotidiennes du ménage (moins de 500 CFA)</t>
  </si>
  <si>
    <t>127. Kashe Kuɗin gida na yau da kullum ( Kasa da dala ɗari CFA 500)</t>
  </si>
  <si>
    <t>Standard scan-barcode field:</t>
  </si>
  <si>
    <t>w_shm</t>
  </si>
  <si>
    <t>129. Daily household expenses (less than 500 CFA)</t>
  </si>
  <si>
    <t>129. Dépenses quotidiennes du ménage (moins de 500 CFA)</t>
  </si>
  <si>
    <t>129. Kashe Kuɗin gida na yau da kullum ( Kasa da dala ɗari CFA 500)</t>
  </si>
  <si>
    <t>w_hh_purchases_decide</t>
  </si>
  <si>
    <t>128. Household purchases (over 500 CFA)</t>
  </si>
  <si>
    <t>128. Achats du ménage (plus de 500 CFA)</t>
  </si>
  <si>
    <t>128. Sayayya na gida (sama da dala ɗari CFA 500)</t>
  </si>
  <si>
    <t>Often</t>
  </si>
  <si>
    <t>Souvent</t>
  </si>
  <si>
    <t>Sau da yawa</t>
  </si>
  <si>
    <t>130. Household purchases (over 500 CFA)</t>
  </si>
  <si>
    <t>130. Achats du ménage (plus de 500 CFA)</t>
  </si>
  <si>
    <t>130. Sayayya na gida (sama da dala ɗari CFA 500)</t>
  </si>
  <si>
    <t>w_job_decide</t>
  </si>
  <si>
    <t>pulldata('baseline_ids', 'w_shm', 'hh_id', ${hh_id})</t>
  </si>
  <si>
    <t>129. What job you do</t>
  </si>
  <si>
    <t>129. Quel travail tu fais</t>
  </si>
  <si>
    <t>129. Wane aiki kuke yi</t>
  </si>
  <si>
    <t>131. What job you do</t>
  </si>
  <si>
    <t>131. Quel travail tu fais</t>
  </si>
  <si>
    <t>131. Wane aiki kuke yi</t>
  </si>
  <si>
    <t>w_migrate_decide</t>
  </si>
  <si>
    <t>date</t>
  </si>
  <si>
    <t>Standard date field:</t>
  </si>
  <si>
    <t>132. Whether you will migrate to find work</t>
  </si>
  <si>
    <t>132. Si vous migrez pour trouver du travail</t>
  </si>
  <si>
    <t>132. Ko za ku yi tahiya don neman aiki</t>
  </si>
  <si>
    <t>w_married</t>
  </si>
  <si>
    <t>131. The next set of questions are for married women only. Are you married?</t>
  </si>
  <si>
    <t xml:space="preserve">131. </t>
  </si>
  <si>
    <t>missed_previous_fu</t>
  </si>
  <si>
    <t>133. The next set of questions are for married women only. Are you married?</t>
  </si>
  <si>
    <t xml:space="preserve">133. </t>
  </si>
  <si>
    <t>w_husband_wife_discuss</t>
  </si>
  <si>
    <t>132. I am now going to mention some things that husband and wives sometimes speak about. Please tell me if you and your spouse talk about these things</t>
  </si>
  <si>
    <t>132. Je vais maintenant mentionner certaines choses dont les maris et les femmes parlent parfois. Veuillez me dire si vous et votre conjoint parlez de ces choses</t>
  </si>
  <si>
    <t>132. Yanzu zan ambaci wasu abubuwa da mata da miji suke magana akai. Don Allah ku gaya mini idan ku da mijinku kuna magana a kan waɗannan abubuwan</t>
  </si>
  <si>
    <t>if(${round} = 3, pulldata('baseline_ids', 'missed_shm_fu_2', 'hh_id', ${hh_id}), pulldata('baseline_ids', 'missed_shm_fu_4', 'hh_id', ${hh_id}))</t>
  </si>
  <si>
    <t>134. I am now going to mention some things that husband and wives sometimes speak about. Please tell me if you and your spouse talk about these things</t>
  </si>
  <si>
    <t>134. Je vais maintenant mentionner certaines choses dont les maris et les femmes parlent parfois. Veuillez me dire si vous et votre conjoint parlez de ces choses</t>
  </si>
  <si>
    <t>134. Yanzu zan ambaci wasu abubuwa da mata da miji suke magana akai. Don Allah ku gaya mini idan ku da mijinku kuna magana a kan waɗannan abubuwan</t>
  </si>
  <si>
    <t>w_discuss_work</t>
  </si>
  <si>
    <t>133. Things that happen at work or in the fields?</t>
  </si>
  <si>
    <t>133. Des choses qui se passent au travail ou dans les champs ?</t>
  </si>
  <si>
    <t>Date field (but for smaller screens):</t>
  </si>
  <si>
    <t>133. Abubuwan da ke faruwa a wurin aiki ko a gona?</t>
  </si>
  <si>
    <t>no-calendar</t>
  </si>
  <si>
    <t>135. Things that happen at work or in the fields?</t>
  </si>
  <si>
    <t>135. Des choses qui se passent au travail ou dans les champs ?</t>
  </si>
  <si>
    <t>135. Abubuwan da ke faruwa a wurin aiki ko a gona?</t>
  </si>
  <si>
    <t>w_discuss_community</t>
  </si>
  <si>
    <t>134. Things that happen in the community?</t>
  </si>
  <si>
    <t>treatment</t>
  </si>
  <si>
    <t>134. Des choses qui se passent dans la communauté ?</t>
  </si>
  <si>
    <t>134. Abubuwan da ke faruwa a cikin al'umma?</t>
  </si>
  <si>
    <t>136. Things that happen in the community?</t>
  </si>
  <si>
    <t>136. Des choses qui se passent dans la communauté ?</t>
  </si>
  <si>
    <t>136. Abubuwan da ke faruwa a cikin al'umma?</t>
  </si>
  <si>
    <t>w_discuss_election</t>
  </si>
  <si>
    <t>135. Who to vote for in local elections?</t>
  </si>
  <si>
    <t>135. Pour qui voter aux élections municipales ?</t>
  </si>
  <si>
    <t>pulldata('baseline_ids', 'treatment_group', 'hh_id', ${hh_id})</t>
  </si>
  <si>
    <t>135. Wanene za'a zaɓa a zaɓen ƙananan hukumomi?</t>
  </si>
  <si>
    <t>datetime</t>
  </si>
  <si>
    <t>Standard date+time field:</t>
  </si>
  <si>
    <t>137. Who to vote for in local elections?</t>
  </si>
  <si>
    <t>137. Pour qui voter aux élections municipales ?</t>
  </si>
  <si>
    <t>137. Wanene za'a zaɓa a zaɓen ƙananan hukumomi?</t>
  </si>
  <si>
    <t>w_discuss_invest</t>
  </si>
  <si>
    <t>136. How to you invest your money such as whether to improve your house</t>
  </si>
  <si>
    <t>136. Comment investir votre argent, par exemple pour améliorer votre maison</t>
  </si>
  <si>
    <t>136. Yadda za ku kashe kuɗin ku, kamar gyaran gidanku</t>
  </si>
  <si>
    <t>treatment_cfa</t>
  </si>
  <si>
    <t>138. How to you invest your money such as whether to improve your house</t>
  </si>
  <si>
    <t>138. Comment investir votre argent, par exemple pour améliorer votre maison</t>
  </si>
  <si>
    <t>138. Yadda za ku kashe kuɗin ku, kamar gyaran gidanku</t>
  </si>
  <si>
    <t>w_discuss_children</t>
  </si>
  <si>
    <t>137. Family planning (when to have children)</t>
  </si>
  <si>
    <t>137. Planification familiale (quand avoir des enfants)</t>
  </si>
  <si>
    <t>137. Tsarin iyali (lokacin ɗaukan ciki)</t>
  </si>
  <si>
    <t>139. Family planning (when to have children)</t>
  </si>
  <si>
    <t>139. Planification familiale (quand avoir des enfants)</t>
  </si>
  <si>
    <t>139. Tsarin iyali (lokacin ɗaukan ciki)</t>
  </si>
  <si>
    <t>w_spouse_disagree</t>
  </si>
  <si>
    <t>"1000"</t>
  </si>
  <si>
    <t>138. Do you and your spouse ever disagree about any of these topics?</t>
  </si>
  <si>
    <t>Date+time field (but for smaller screens):</t>
  </si>
  <si>
    <t>138. Vous et votre conjoint avez-vous déjà eu un désaccord sur ces sujets ?</t>
  </si>
  <si>
    <t>138. Ko ke da mijnki kun taɓa samun saɓani game da waɗannan batutuwa?</t>
  </si>
  <si>
    <t>140. Do you and your spouse ever disagree about any of these topics?</t>
  </si>
  <si>
    <t>140. Vous et votre conjoint avez-vous déjà eu un désaccord sur ces sujets ?</t>
  </si>
  <si>
    <t>140. Ko ke da mijnki kun taɓa samun saɓani game da waɗannan batutuwa?</t>
  </si>
  <si>
    <t>w_spouse_contentious</t>
  </si>
  <si>
    <t>139. Do these conversations ever get contentious?</t>
  </si>
  <si>
    <t>139. Ces conversations deviennent-elles parfois controversées ?</t>
  </si>
  <si>
    <t>139. Ko waɗannan hirarrakin sun taɓa zama sabani?</t>
  </si>
  <si>
    <t>141. Do these conversations ever get contentious?</t>
  </si>
  <si>
    <t>141. Ces conversations deviennent-elles parfois controversées ?</t>
  </si>
  <si>
    <t>141. Ko waɗannan hirarrakin sun taɓa zama sabani?</t>
  </si>
  <si>
    <t>w_agree_note</t>
  </si>
  <si>
    <t>140. I will read you several statements. Please tell me the extent do you agree/disagree with each:</t>
  </si>
  <si>
    <t>140. Je vais vous lire plusieurs déclarations. Veuillez me dire dans quelle mesure êtes-vous d'accord/pas d'accord avec chacun :</t>
  </si>
  <si>
    <t>140. Zan karanta muku maganganu da yawa. Da fatan za a gaya mini iya yarda/rishin yarda da kowanne:</t>
  </si>
  <si>
    <t>time</t>
  </si>
  <si>
    <t>Standard time field:</t>
  </si>
  <si>
    <t>142. I will read you several statements. Please tell me the extent do you agree/disagree with each:</t>
  </si>
  <si>
    <t>142. Je vais vous lire plusieurs déclarations. Veuillez me dire dans quelle mesure êtes-vous d'accord/pas d'accord avec chacun :</t>
  </si>
  <si>
    <t>142. Zan karanta muku maganganu da yawa. Da fatan za a gaya mini iya yarda/rishin yarda da kowanne:</t>
  </si>
  <si>
    <t>w_respect_decision</t>
  </si>
  <si>
    <t>141. I must always respect decisions taken by my household even if you do not agree</t>
  </si>
  <si>
    <t>141. Je dois toujours respecter les décisions prises par mon ménage même si je ne suis pas d'accord</t>
  </si>
  <si>
    <t>empty(${w_name})</t>
  </si>
  <si>
    <t>141. Dole ne in mutunta shawarar da gidanmu ya yanke ko da ba ra'ayina ba ne</t>
  </si>
  <si>
    <t>143. I must always respect decisions taken by my household even if you do not agree</t>
  </si>
  <si>
    <t>143. Je dois toujours respecter les décisions prises par mon ménage même si je ne suis pas d'accord</t>
  </si>
  <si>
    <t>143. Dole ne in mutunta shawarar da gidanmu ya yanke ko da ba ra'ayina ba ne</t>
  </si>
  <si>
    <t>w_duty_family</t>
  </si>
  <si>
    <t>142. I should always sacrifice my personal needs and wants to satisfy my parents.</t>
  </si>
  <si>
    <t>142. Je devrais toujours sacrifier mes besoins personnels et vouloir satisfaire mes parents.</t>
  </si>
  <si>
    <t>142. Dole ne ko yaushe in sadaukar da bukatuna na kaina don in gamsar da iyayena.</t>
  </si>
  <si>
    <t>144. I should always sacrifice my personal needs and wants to satisfy my parents.</t>
  </si>
  <si>
    <t>144. Je devrais toujours sacrifier mes besoins personnels et vouloir satisfaire mes parents.</t>
  </si>
  <si>
    <t>144. Dole ne ko yaushe in sadaukar da bukatuna na kaina don in gamsar da iyayena.</t>
  </si>
  <si>
    <t>w_emergency_capital</t>
  </si>
  <si>
    <t>143. If I had an emergency that required 5,000 CFA urgently (within 3 days), I would be able to find the money.</t>
  </si>
  <si>
    <t>143. Si j'avais une urgence qui nécessitait 5 000 CFA en urgence (dans les 3 jours), je serais capable de trouver l'argent.</t>
  </si>
  <si>
    <t>143. Idan ina da biƙatar gaggawa na 5,000 CFA (a cikin kwanaki 3), zan iya samun kuɗin.</t>
  </si>
  <si>
    <t>Standard image-capture field:</t>
  </si>
  <si>
    <t>145. If I had an emergency that required 5,000 CFA urgently (within 3 days), I would be able to find the money.</t>
  </si>
  <si>
    <t>145. Si j'avais une urgence qui nécessitait 5 000 CFA en urgence (dans les 3 jours), je serais capable de trouver l'argent.</t>
  </si>
  <si>
    <t>145. Idan ina da biƙatar gaggawa na 5,000 CFA (a cikin kwanaki 3), zan iya samun kuɗin.</t>
  </si>
  <si>
    <t>select_one contact_relation</t>
  </si>
  <si>
    <t>hh_has_woman</t>
  </si>
  <si>
    <t>w_emergency_who</t>
  </si>
  <si>
    <t>144. What type of person would you go to first for this money?</t>
  </si>
  <si>
    <t>144. Vers quel type de personne iriez-vous en premier pour cet argent ?</t>
  </si>
  <si>
    <t>HH has woman to survey</t>
  </si>
  <si>
    <t>144. Wane irin mutum ne za ku fara zuwa wurin shi don wannan kuɗin?</t>
  </si>
  <si>
    <t>146. What type of person would you go to first for this money?</t>
  </si>
  <si>
    <t>146. Vers quel type de personne iriez-vous en premier pour cet argent ?</t>
  </si>
  <si>
    <t>146. Wane irin mutum ne za ku fara zuwa wurin shi don wannan kuɗin?</t>
  </si>
  <si>
    <t>w_emergency_who_o</t>
  </si>
  <si>
    <t>145. Specify your relationship with this person</t>
  </si>
  <si>
    <t>145. Précisez votre relation avec cette personne</t>
  </si>
  <si>
    <t>145. Faɗi dangantakar ku da wannan mutumen</t>
  </si>
  <si>
    <t>not(empty(${w_name}))</t>
  </si>
  <si>
    <t>147. Specify your relationship with this person</t>
  </si>
  <si>
    <t>147. Précisez votre relation avec cette personne</t>
  </si>
  <si>
    <t>147. Faɗi dangantakar ku da wannan mutumen</t>
  </si>
  <si>
    <t>w_roles_note</t>
  </si>
  <si>
    <t>146. The next set of questions are about your opinions regarding the roles that women and men play</t>
  </si>
  <si>
    <t>146. La prochaine série de questions porte sur vos opinions concernant les rôles que jouent les femmes et les hommes</t>
  </si>
  <si>
    <t>146. Tambayoyi na gaba sun ta'allaƙa ne da ra'ayoyin ku game da rawar da mata da maza suke takawa.</t>
  </si>
  <si>
    <t>148. The next set of questions are about your opinions regarding the roles that women and men play</t>
  </si>
  <si>
    <t>148. La prochaine série de questions porte sur vos opinions concernant les rôles que jouent les femmes et les hommes</t>
  </si>
  <si>
    <t>148. Tambayoyi na gaba sun ta'allaƙa ne da ra'ayoyin ku game da rawar da mata da maza suke takawa.</t>
  </si>
  <si>
    <t>w_discuss_women</t>
  </si>
  <si>
    <t>147. How often, if ever do you talk about the role of women in society with other people?</t>
  </si>
  <si>
    <t>147. À quelle fréquence, si jamais cela est arrivé, parlez-vous du rôle des femmes dans la société avec d'autres personnes ?</t>
  </si>
  <si>
    <t>Image-capture field which allows user to annotate image:</t>
  </si>
  <si>
    <t>147. Sau nawa, idan ya na faruwa, kuke yin magana game da taka rawan mata a cikin al'umma tare da sauran mutane?</t>
  </si>
  <si>
    <t>annotate</t>
  </si>
  <si>
    <t>149. How often, if ever do you talk about the role of women in society with other people?</t>
  </si>
  <si>
    <t>149. À quelle fréquence, si jamais cela est arrivé, parlez-vous du rôle des femmes dans la société avec d'autres personnes ?</t>
  </si>
  <si>
    <t>149. Sau nawa, idan ya na faruwa, kuke yin magana game da taka rawan mata a cikin al'umma tare da sauran mutane?</t>
  </si>
  <si>
    <t>w_influence_note</t>
  </si>
  <si>
    <t>148. In your opinion, how much influence a wife should have over the following decisions within a couple?</t>
  </si>
  <si>
    <t>148. Selon vous, quelle influence une épouse devrait-elle avoir sur les décisions suivantes au sein d'un couple ?</t>
  </si>
  <si>
    <t>148. A ra'ayinka, wane tasiri mace ya kamata ta yi bisa yanke shawarwari da zan zana a tsakanin ta da mijinta?</t>
  </si>
  <si>
    <t>150. In your opinion, how much influence a wife should have over the following decisions within a couple?</t>
  </si>
  <si>
    <t>150. Selon vous, quelle influence une épouse devrait-elle avoir sur les décisions suivantes au sein d'un couple ?</t>
  </si>
  <si>
    <t>150. A ra'ayinka, wane tasiri mace ya kamata ta yi bisa yanke shawarwari da zan zana a tsakanin ta da mijinta?</t>
  </si>
  <si>
    <t>select_one husbandwife</t>
  </si>
  <si>
    <t>w_daily_hh_expenses_couple</t>
  </si>
  <si>
    <t>149. Daily household expenses (Less than 500 CFA)</t>
  </si>
  <si>
    <t>149. Dépenses quotidiennes du ménage (Moins de 500 CFA)</t>
  </si>
  <si>
    <t>149. Kashe kashen kuɗin gida na yau da kullun ( Kasa da dala ɗari CFA 500)</t>
  </si>
  <si>
    <t>151. Daily household expenses (Less than 500 CFA)</t>
  </si>
  <si>
    <t>151. Dépenses quotidiennes du ménage (Moins de 500 CFA)</t>
  </si>
  <si>
    <t>151. Kashe kashen kuɗin gida na yau da kullun ( Kasa da dala ɗari CFA 500)</t>
  </si>
  <si>
    <t>w_hh_purchases_couple</t>
  </si>
  <si>
    <t>150. Household purchases worth more than 500 CFA</t>
  </si>
  <si>
    <t>150. Achats des ménages d'une valeur supérieure à 500 CFA</t>
  </si>
  <si>
    <t>150. Siyayyar gida na sama da dala ɗari 500 CFA</t>
  </si>
  <si>
    <t>Image-capture field which allows user to draw image:</t>
  </si>
  <si>
    <t>152. Household purchases worth more than 500 CFA</t>
  </si>
  <si>
    <t>152. Achats des ménages d'une valeur supérieure à 500 CFA</t>
  </si>
  <si>
    <t>152. Siyayyar gida na sama da dala ɗari 500 CFA</t>
  </si>
  <si>
    <t>w_fam_plan_couple</t>
  </si>
  <si>
    <t>151. Family planning (how many children to have)</t>
  </si>
  <si>
    <t>151. Planification familiale (combien d'enfants avoir)</t>
  </si>
  <si>
    <t>151. Tsarin iyali (ƴaƴa nawa za a haifa)</t>
  </si>
  <si>
    <t>draw</t>
  </si>
  <si>
    <t>153. Family planning (how many children to have)</t>
  </si>
  <si>
    <t>153. Planification familiale (combien d'enfants avoir)</t>
  </si>
  <si>
    <t>153. Tsarin iyali (ƴaƴa nawa za a haifa)</t>
  </si>
  <si>
    <t>w_migrate_couple</t>
  </si>
  <si>
    <t>152. Whether the husband will migrate to find work</t>
  </si>
  <si>
    <t>152. Si le mari va migrer pour trouver du travail</t>
  </si>
  <si>
    <t>152. Ko miji zai yi tahiya don neman aiki</t>
  </si>
  <si>
    <t>154. Whether the husband will migrate to find work</t>
  </si>
  <si>
    <t>154. Si le mari va migrer pour trouver du travail</t>
  </si>
  <si>
    <t>154. Ko miji zai yi tahiya don neman aiki</t>
  </si>
  <si>
    <t>w_vote_couple</t>
  </si>
  <si>
    <t>153. Who to vote for in local elections?</t>
  </si>
  <si>
    <t>153. Pour qui voter aux élections municipales ?</t>
  </si>
  <si>
    <t>153. Wanene za'a zaɓa a zaɓen ƙananan hukumomi?</t>
  </si>
  <si>
    <t>155. Who to vote for in local elections?</t>
  </si>
  <si>
    <t>155. Pour qui voter aux élections municipales ?</t>
  </si>
  <si>
    <t>155. Wanene za'a zaɓa a zaɓen ƙananan hukumomi?</t>
  </si>
  <si>
    <t>w_marry_couple</t>
  </si>
  <si>
    <t>154. To whom your daughter should marry?</t>
  </si>
  <si>
    <t>154. Avec qui votre fille devrait-elle se marier ?</t>
  </si>
  <si>
    <t>Image-capture field which collects a signature as the image:</t>
  </si>
  <si>
    <t>154. Wa ya kamata ƴarku ta aura?</t>
  </si>
  <si>
    <t>${resp_confirm} = 0</t>
  </si>
  <si>
    <t>156. To whom your daughter should marry?</t>
  </si>
  <si>
    <t>signature</t>
  </si>
  <si>
    <t>156. Avec qui votre fille devrait-elle se marier ?</t>
  </si>
  <si>
    <t>156. Wa ya kamata ƴarku ta aura?</t>
  </si>
  <si>
    <t>w_school_couple</t>
  </si>
  <si>
    <t>155. Children's enrollment in school</t>
  </si>
  <si>
    <t>155. Inscription des enfants à l'école</t>
  </si>
  <si>
    <t>155. Rubuta yara a makaranta</t>
  </si>
  <si>
    <t>157. Children's enrollment in school</t>
  </si>
  <si>
    <t>157. Inscription des enfants à l'école</t>
  </si>
  <si>
    <t>157. Rubuta yara a makaranta</t>
  </si>
  <si>
    <t>w_marry_daughter_relig</t>
  </si>
  <si>
    <t>156. Imagine one of your daughters wanted to marry someone of a different religious faith, would you give them your permission?</t>
  </si>
  <si>
    <t>156. Imaginez qu'une de vos filles veuille épouser quelqu'un d'une confession religieuse différente, leur donneriez-vous votre permission ?</t>
  </si>
  <si>
    <t>156. Ku ƙaddara da wata ɗiyarku ta na son ta auri wani mai bin wani addini daban, za ku bada izininku?</t>
  </si>
  <si>
    <t>158. Imagine one of your daughters wanted to marry someone of a different religious faith, would you give them your permission?</t>
  </si>
  <si>
    <t>158. Imaginez qu'une de vos filles veuille épouser quelqu'un d'une confession religieuse différente, leur donneriez-vous votre permission ?</t>
  </si>
  <si>
    <t>158. Ku ƙaddara da wata ɗiyarku ta na son ta auri wani mai bin wani addini daban, za ku bada izininku?</t>
  </si>
  <si>
    <t>w_marry_son_relig</t>
  </si>
  <si>
    <t>157. Imagine one of your sons wanted to marry someone of a different religious faith, would you give them your permission?</t>
  </si>
  <si>
    <t>157. Imaginez que l'un de vos fils veuille épouser quelqu'un d'une confession religieuse différente, leur donneriez-vous votre permission ?</t>
  </si>
  <si>
    <t>157. Ku ƙaddara da wani ɗanku ya na son ya auri wata ƴa mai bin wani addini daban, za ku bada izininku?</t>
  </si>
  <si>
    <t>audio</t>
  </si>
  <si>
    <t>159. Imagine one of your sons wanted to marry someone of a different religious faith, would you give them your permission?</t>
  </si>
  <si>
    <t>159. Imaginez que l'un de vos fils veuille épouser quelqu'un d'une confession religieuse différente, leur donneriez-vous votre permission ?</t>
  </si>
  <si>
    <t>159. Ku ƙaddara da wani ɗanku ya na son ya auri wata ƴa mai bin wani addini daban, za ku bada izininku?</t>
  </si>
  <si>
    <t>w_marry_daughter_eth</t>
  </si>
  <si>
    <t>158. Imagine one of your daughters wanted to marry someone of a different ethnic group, would you give them your permission?</t>
  </si>
  <si>
    <t>158. Imaginez qu'une de vos filles veuille épouser quelqu'un d'un groupe ethnique différent, leur donneriez-vous votre permission ?</t>
  </si>
  <si>
    <t>158. Ku ƙaddara da wata ɗiyarka tana son ta auri ɗan wata kabila daban, za ku bada izininka?</t>
  </si>
  <si>
    <t>160. Imagine one of your daughters wanted to marry someone of a different ethnic group, would you give them your permission?</t>
  </si>
  <si>
    <t>160. Imaginez qu'une de vos filles veuille épouser quelqu'un d'un groupe ethnique différent, leur donneriez-vous votre permission ?</t>
  </si>
  <si>
    <t>160. Ku ƙaddara da wata ɗiyarka tana son ta auri ɗan wata kabila daban, za ku bada izininka?</t>
  </si>
  <si>
    <t>w_marry_son_eth</t>
  </si>
  <si>
    <t>159. Imagine one of your sons wanted to marry someone of a different ethnic group, would you give them your permission?</t>
  </si>
  <si>
    <t>159. Imaginez que l'un de vos fils veuille épouser quelqu'un d'un groupe ethnique différent, leur donneriez-vous votre permission ?</t>
  </si>
  <si>
    <t>159. Ku ƙaddara da wani ɗanku ya na son ya auri wani ɗan wata ƙabila daban, za ku bada izininka?</t>
  </si>
  <si>
    <t>${resp_interview} = 1</t>
  </si>
  <si>
    <t>161. Imagine one of your sons wanted to marry someone of a different ethnic group, would you give them your permission?</t>
  </si>
  <si>
    <t>161. Imaginez que l'un de vos fils veuille épouser quelqu'un d'un groupe ethnique différent, leur donneriez-vous votre permission ?</t>
  </si>
  <si>
    <t>161. Ku ƙaddara da wani ɗanku ya na son ya auri wani ɗan wata ƙabila daban, za ku bada izininka?</t>
  </si>
  <si>
    <t>w_statement_note</t>
  </si>
  <si>
    <t>160. Please tell me the degree to which you agree or disagree with the following statements.</t>
  </si>
  <si>
    <t>160. Veuillez me dire dans quelle mesure vous êtes d'accord ou pas d'accord avec les énoncés suivants.</t>
  </si>
  <si>
    <t>160. Yanzu ina son ku gaya mini har zuwa wane matsayi kuka yarda ko baku yarda ba da waɗannan maganganun da zan zana muku.</t>
  </si>
  <si>
    <t>Standard audio-capture field:</t>
  </si>
  <si>
    <t>162. Please tell me the degree to which you agree or disagree with the following statements.</t>
  </si>
  <si>
    <t>162. Veuillez me dire dans quelle mesure vous êtes d'accord ou pas d'accord avec les énoncés suivants.</t>
  </si>
  <si>
    <t>162. Yanzu ina son ku gaya mini har zuwa wane matsayi kuka yarda ko baku yarda ba da waɗannan maganganun da zan zana muku.</t>
  </si>
  <si>
    <t>w_male_education_priority</t>
  </si>
  <si>
    <t>161. Middle school education for males is more important than middle school education for females.</t>
  </si>
  <si>
    <t>161. L'enseignement secondaire pour les hommes est plus important que l'enseignement secondaire pour les femmes.</t>
  </si>
  <si>
    <t>161. Ilimin koleji ga maza yana da mahimmanci fiye da ilimin koleji ga mata.</t>
  </si>
  <si>
    <t>163. Middle school education for males is more important than middle school education for females.</t>
  </si>
  <si>
    <t>163. L'enseignement secondaire pour les hommes est plus important que l'enseignement secondaire pour les femmes.</t>
  </si>
  <si>
    <t>163. Ilimin koleji ga maza yana da mahimmanci fiye da ilimin koleji ga mata.</t>
  </si>
  <si>
    <t>w_equal_rights_inheritance</t>
  </si>
  <si>
    <t>162. Women and men should have equal rights to their inheritance (Women should not be denied their right)</t>
  </si>
  <si>
    <t>162. Les femmes et les hommes devraient avoir des droits égaux à l'héritage (les femmes ne devraient pas être privées de leur droit)</t>
  </si>
  <si>
    <t>162. Ya kamata mata da maza su samu haƙƙi daidai akan gado (Bai Kamata a hana ma mata haƙƙinsu ba)</t>
  </si>
  <si>
    <t>164. Women and men should have equal rights to their inheritance (Women should not be denied their right)</t>
  </si>
  <si>
    <t>164. Les femmes et les hommes devraient avoir des droits égaux à l'héritage (les femmes ne devraient pas être privées de leur droit)</t>
  </si>
  <si>
    <t>video</t>
  </si>
  <si>
    <t>164. Ya kamata mata da maza su samu haƙƙi daidai akan gado (Bai Kamata a hana ma mata haƙƙinsu ba)</t>
  </si>
  <si>
    <t>w_woman_reject_marriage</t>
  </si>
  <si>
    <t>163. A woman can reject a marriage that her family chose for her without her consent</t>
  </si>
  <si>
    <t>163. Une femme peut refuser un mariage que sa famille a choisi pour elle sans son consentement</t>
  </si>
  <si>
    <t>163. Mace za ta iya ƙin auren da danginta suka zaɓa mata idan bata yarda ba</t>
  </si>
  <si>
    <t>165. A woman can reject a marriage that her family chose for her without her consent</t>
  </si>
  <si>
    <t>165. Une femme peut refuser un mariage que sa famille a choisi pour elle sans son consentement</t>
  </si>
  <si>
    <t>165. Mace za ta iya ƙin auren da danginta suka zaɓa mata idan bata yarda ba</t>
  </si>
  <si>
    <t>w_equal_rights_divorce</t>
  </si>
  <si>
    <t>164. Women and men should have equal rights in making the decision to divorce.</t>
  </si>
  <si>
    <t>164. Les femmes et les hommes devraient avoir des droits égaux dans la décision de divorcer.</t>
  </si>
  <si>
    <t>164. Yakamata a ce mata da maza suna da haƙƙi daidai wajen yanke shawarar rabuwar aure.</t>
  </si>
  <si>
    <t>${resp_interview} = 2</t>
  </si>
  <si>
    <t>Standard video-capture field:</t>
  </si>
  <si>
    <t>166. Women and men should have equal rights in making the decision to divorce.</t>
  </si>
  <si>
    <t>166. Les femmes et les hommes devraient avoir des droits égaux dans la décision de divorcer.</t>
  </si>
  <si>
    <t>166. Yakamata a ce mata da maza suna da haƙƙi daidai wajen yanke shawarar rabuwar aure.</t>
  </si>
  <si>
    <t>w_polygamy</t>
  </si>
  <si>
    <t>165. The law should not allow a man to marry more than one woman.</t>
  </si>
  <si>
    <t>165. La loi ne devrait pas permettre à un homme d'épouser plus d'une femme.</t>
  </si>
  <si>
    <t>165. Yakamata doka ta hana ma namiji ya auri fiye da mace ɗaya.</t>
  </si>
  <si>
    <t>167. The law should not allow a man to marry more than one woman.</t>
  </si>
  <si>
    <t>167. La loi ne devrait pas permettre à un homme d'épouser plus d'une femme.</t>
  </si>
  <si>
    <t>167. Yakamata doka ta hana ma namiji ya auri fiye da mace ɗaya.</t>
  </si>
  <si>
    <t>w_gbv_note</t>
  </si>
  <si>
    <t>166. In your opinion, is a husband justified in hitting or beating his wife if:</t>
  </si>
  <si>
    <t>166. A votre avis, est-il justifié pour un mari de frapper ou de battre sa femme si :</t>
  </si>
  <si>
    <t>education</t>
  </si>
  <si>
    <t>166. A ganinku, ko ya cancanta miji ya bugi matarshi ko ya bata kashi idan:</t>
  </si>
  <si>
    <t>Bai taɓa yin makaranta ba</t>
  </si>
  <si>
    <t>168. In your opinion, is a husband justified in hitting or beating his wife if:</t>
  </si>
  <si>
    <t>168. A votre avis, est-il justifié pour un mari de frapper ou de battre sa femme si :</t>
  </si>
  <si>
    <t>168. A ganinku, ko ya cancanta miji ya bugi matarshi ko ya bata kashi idan:</t>
  </si>
  <si>
    <t>w_neglects_children</t>
  </si>
  <si>
    <t>167. She neglects the children</t>
  </si>
  <si>
    <t>167. Elle néglige les enfants</t>
  </si>
  <si>
    <t>167. Ta yi sakaci da yara</t>
  </si>
  <si>
    <t>169. She neglects the children</t>
  </si>
  <si>
    <t>169. Elle néglige les enfants</t>
  </si>
  <si>
    <t>169. Ta yi sakaci da yara</t>
  </si>
  <si>
    <t>w_argues</t>
  </si>
  <si>
    <t>168. She argues with him</t>
  </si>
  <si>
    <t>168. Elle se dispute avec lui</t>
  </si>
  <si>
    <t>168. Ta yi mishi gardama</t>
  </si>
  <si>
    <t>file</t>
  </si>
  <si>
    <t>170. She argues with him</t>
  </si>
  <si>
    <t>170. Elle se dispute avec lui</t>
  </si>
  <si>
    <t>170. Ta yi mishi gardama</t>
  </si>
  <si>
    <t>w_refuses_pray</t>
  </si>
  <si>
    <t>${w_shm} = 1 and ${resp_confirm} = 1</t>
  </si>
  <si>
    <t>169. She refuses to pray</t>
  </si>
  <si>
    <t>169. Elle refuse de prier</t>
  </si>
  <si>
    <t>169. Ta ƙi yin sallah</t>
  </si>
  <si>
    <t>Preschool</t>
  </si>
  <si>
    <t>171. She refuses to pray</t>
  </si>
  <si>
    <t>171. Elle refuse de prier</t>
  </si>
  <si>
    <t>Préscolaire</t>
  </si>
  <si>
    <t>171. Ta ƙi yin sallah</t>
  </si>
  <si>
    <t>Makarantar yara ƙanana</t>
  </si>
  <si>
    <t>w_burns_food</t>
  </si>
  <si>
    <t>170. She burns the food</t>
  </si>
  <si>
    <t>170. Elle brûle la nourriture</t>
  </si>
  <si>
    <t>170. Ta ƙona abincin</t>
  </si>
  <si>
    <t>172. She burns the food</t>
  </si>
  <si>
    <t>172. Elle brûle la nourriture</t>
  </si>
  <si>
    <t>172. Ta ƙona abincin</t>
  </si>
  <si>
    <t>Attach text, image, video, audio, PDF, ZIP, or MS Office file (Excel or Word):</t>
  </si>
  <si>
    <t>174. visiting your family or friends?</t>
  </si>
  <si>
    <t>174. rendre visite à votre famille ou à vos amis ?</t>
  </si>
  <si>
    <t>174. ziyartar danginku ko abokananku?</t>
  </si>
  <si>
    <t>select_multiple changes</t>
  </si>
  <si>
    <t>w_other_changes</t>
  </si>
  <si>
    <t>171. I've asked you a lot of questions about your life in the past period in order to better understand your experiences. Is there anything else that has happened recently to you that has changed your life in an important way?</t>
  </si>
  <si>
    <t>171. Je vous ai posé beaucoup de questions sur votre vie au cours de la période écoulée afin de mieux comprendre vos expériences. Y a-t-il autre chose qui vous est arrivé récemment qui a changé votre vie de manière importante ?</t>
  </si>
  <si>
    <t>171. Na yi muku tambayoyi da yawa game da rayuwarku a cikin kwanakin da suka wuce don in gane yanda kuke tahiyar rayuwarku. Ko akwai wani abu da ya faru da ku cikin kwanan nan wanda ya kawo wani mahimmin canji ga rayuwarku ?</t>
  </si>
  <si>
    <t>Primary school</t>
  </si>
  <si>
    <t>École primaire</t>
  </si>
  <si>
    <t>Makarantar firamere</t>
  </si>
  <si>
    <t>173. I've asked you a lot of questions about your life in the past period in order to better understand your experiences. Is there anything else that has happened recently to you that has changed your life in an important way?</t>
  </si>
  <si>
    <t>173. Je vous ai posé beaucoup de questions sur votre vie au cours de la période écoulée afin de mieux comprendre vos expériences. Y a-t-il autre chose qui vous est arrivé récemment qui a changé votre vie de manière importante ?</t>
  </si>
  <si>
    <t>173. Na yi muku tambayoyi da yawa game da rayuwarku a cikin kwanakin da suka wuce don in gane yanda kuke tahiyar rayuwarku. Ko akwai wani abu da ya faru da ku cikin kwanan nan wanda ya kawo wani mahimmin canji ga rayuwarku ?</t>
  </si>
  <si>
    <t>w_other_change_desc</t>
  </si>
  <si>
    <t>172. Enumerator: Briefly summarize the changes described by the respondent</t>
  </si>
  <si>
    <t>172. Enquêteur : Résumez brièvement les changements décrits par le répondant</t>
  </si>
  <si>
    <t>172. Ɗan bincike: A taƙaice rubuta canje-canjen da mai bada amsa ya gaya maka</t>
  </si>
  <si>
    <t>174. Enumerator: Briefly summarize the changes described by the respondent</t>
  </si>
  <si>
    <t>174. Enquêteur : Résumez brièvement les changements décrits par le répondant</t>
  </si>
  <si>
    <t>174. Ɗan bincike: A taƙaice rubuta canje-canjen da mai bada amsa ya gaya maka</t>
  </si>
  <si>
    <t>${resp_confirm} = 1</t>
  </si>
  <si>
    <t>Middle school</t>
  </si>
  <si>
    <t>College</t>
  </si>
  <si>
    <t>Koleji/SEJ</t>
  </si>
  <si>
    <t>w_private_note</t>
  </si>
  <si>
    <t>173.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</si>
  <si>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173.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</si>
  <si>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173.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</si>
  <si>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Koranic school</t>
  </si>
  <si>
    <t>Ecole coranique</t>
  </si>
  <si>
    <t>175.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</si>
  <si>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Karatun kur'ani</t>
  </si>
  <si>
    <t>175.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</si>
  <si>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175.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</si>
  <si>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w_prevent_visit</t>
  </si>
  <si>
    <t>select_one unavail_why</t>
  </si>
  <si>
    <t>resp_available_why</t>
  </si>
  <si>
    <t>Standard note field (read-only).</t>
  </si>
  <si>
    <t>Enumerator: Please specify why ${w_name} is not available right now:</t>
  </si>
  <si>
    <t>Enqueteur: veuillez specifier pourquoi ${w_name} n'est pas disponible maintenant</t>
  </si>
  <si>
    <t>Dan binkike: dan mine ${w_name} bai nan a yanzu</t>
  </si>
  <si>
    <t>176. visiting your family or friends?</t>
  </si>
  <si>
    <t>176. rendre visite à votre famille ou à vos amis ?</t>
  </si>
  <si>
    <t>176. ziyartar danginku ko abokananku?</t>
  </si>
  <si>
    <t>w_prevent_work</t>
  </si>
  <si>
    <t>175. working outside the household?</t>
  </si>
  <si>
    <t>175. travailler en dehors du ménage ?</t>
  </si>
  <si>
    <t>175. aiki a wajen gidanku?</t>
  </si>
  <si>
    <t>177. working outside the household?</t>
  </si>
  <si>
    <t>177. travailler en dehors du ménage ?</t>
  </si>
  <si>
    <t>177. aiki a wajen gidanku?</t>
  </si>
  <si>
    <t>${resp_available} = 0</t>
  </si>
  <si>
    <t>High school</t>
  </si>
  <si>
    <t>179. He respects you and your wishes</t>
  </si>
  <si>
    <t>Lycee</t>
  </si>
  <si>
    <t>179. Il vous respecte et respecte vos souhaits</t>
  </si>
  <si>
    <t>Babbar makaranta/lise</t>
  </si>
  <si>
    <t>179. Yana girmama ku kuma ya na girmama buƙatuntu</t>
  </si>
  <si>
    <t>More than high school</t>
  </si>
  <si>
    <t>Plus qu'une école secondaire</t>
  </si>
  <si>
    <t>Jami'a</t>
  </si>
  <si>
    <t>180. Now I am going to ask you about some situations which happen to some women. Please tell me if these apply to your relationship with your husband?</t>
  </si>
  <si>
    <t>180. Maintenant, je vais vous poser des questions sur certaines situations qui arrivent à certaines femmes. Veuillez me dire si cela s'applique à votre relation avec votre mari ?</t>
  </si>
  <si>
    <t>180. To, yanzu zan tambaye ku game da wasu al’amura da suke faruwa ga wasu mata. Ko kun gaya mini idan waɗannan sun shafi zamantakewarku da mijinku?</t>
  </si>
  <si>
    <t>resp_available_why_o</t>
  </si>
  <si>
    <t>Other, specify:</t>
  </si>
  <si>
    <t>Autre précisez:</t>
  </si>
  <si>
    <t>181. He does not trust your fidelty</t>
  </si>
  <si>
    <t>Sauran, bayar da cikakkun bayanai:</t>
  </si>
  <si>
    <t>181. Il est jaloux et vous montre qu'il n’a pas confiance en vous ?</t>
  </si>
  <si>
    <t>181. Yana zargin ku kullum da nuna rashin yarda?</t>
  </si>
  <si>
    <t>w_married_note</t>
  </si>
  <si>
    <t>176. The next set of questions are for married women only</t>
  </si>
  <si>
    <t xml:space="preserve">176. </t>
  </si>
  <si>
    <t>178. The next set of questions are for married women only</t>
  </si>
  <si>
    <t xml:space="preserve">178. </t>
  </si>
  <si>
    <t>w_relationship_note</t>
  </si>
  <si>
    <t>177. When two people marry or live together, they share both good and bad moments. In your relationship with your husband/partner do the following happen frequently, only sometimes, or never?</t>
  </si>
  <si>
    <t>${resp_available_why} = -777</t>
  </si>
  <si>
    <t>177. Lorsque deux personnes se marient ou vivent ensemble, elles partagent de bons et de mauvais moments. Dans votre relation avec votre mari/partenaire, les situations suivantes se produisent-elles a quelle frequence?</t>
  </si>
  <si>
    <t>177. Idan mutum biyu suka yi aure ko suna zaune tare, suna raba lokutta masu daɗi da marasa daɗi. A cikin zamantakewarku da mijinki/abokin zaman, ko waɗannan abubuwan suna faruwa kai-aka?</t>
  </si>
  <si>
    <t>179. When two people marry or live together, they share both good and bad moments. In your relationship with your husband/partner do the following happen frequently, only sometimes, or never?</t>
  </si>
  <si>
    <t>179. Lorsque deux personnes se marient ou vivent ensemble, elles partagent de bons et de mauvais moments. Dans votre relation avec votre mari/partenaire, les situations suivantes se produisent-elles a quelle frequence?</t>
  </si>
  <si>
    <t>179. Idan mutum biyu suka yi aure ko suna zaune tare, suna raba lokutta masu daɗi da marasa daɗi. A cikin zamantakewarku da mijinki/abokin zaman, ko waɗannan abubuwan suna faruwa kai-aka?</t>
  </si>
  <si>
    <t>w_affectionate</t>
  </si>
  <si>
    <t>178. He is affectionnate with you</t>
  </si>
  <si>
    <t>178. Il est affectueux avec vous</t>
  </si>
  <si>
    <t>178. Yana nuna muku soyayya</t>
  </si>
  <si>
    <t>region</t>
  </si>
  <si>
    <t>180. He is affectionnate with you</t>
  </si>
  <si>
    <t>180. Il est affectueux avec vous</t>
  </si>
  <si>
    <t>180. Yana nuna muku soyayya</t>
  </si>
  <si>
    <t>Agadez</t>
  </si>
  <si>
    <t>w_respectful</t>
  </si>
  <si>
    <t>181. He respects you and your wishes</t>
  </si>
  <si>
    <t>181. Il vous respecte et respecte vos souhaits</t>
  </si>
  <si>
    <t>181. Yana girmama ku kuma ya na girmama buƙatuntu</t>
  </si>
  <si>
    <t>184. Now if you will permit me, I need to ask some more questions about your relationship with your husband. Does he ever?</t>
  </si>
  <si>
    <t>184. Maintenant, si vous me le permettez, je dois poser quelques questions supplémentaires sur votre relation avec votre mari. Est-ce qu'il a jamais?</t>
  </si>
  <si>
    <t>184. Yanzu idan za ki ba ni izini, Ina bukatar yin wasu tambayoyi game da dangantakarki da mijinki. Ko ya taba?</t>
  </si>
  <si>
    <t>185. Say or do something to humiliate you in front of others</t>
  </si>
  <si>
    <t>Diffa</t>
  </si>
  <si>
    <t>185. Dit ou fait quelque chose pour vous humilier devant les autres</t>
  </si>
  <si>
    <t>185. Fadi ko yin wani abu don wulaƙanta ku a gaban wasu</t>
  </si>
  <si>
    <t>w_situations_note</t>
  </si>
  <si>
    <t>182. Now I am going to ask you about some situations which happen to some women. Please tell me if these apply to your relationship with your husband?</t>
  </si>
  <si>
    <t>182. Maintenant, je vais vous poser des questions sur certaines situations qui arrivent à certaines femmes. Veuillez me dire si cela s'applique à votre relation avec votre mari ?</t>
  </si>
  <si>
    <t>182. To, yanzu zan tambaye ku game da wasu al’amura da suke faruwa ga wasu mata. Ko kun gaya mini idan waɗannan sun shafi zamantakewarku da mijinku?</t>
  </si>
  <si>
    <t>w_accuse_unfaithful</t>
  </si>
  <si>
    <t>183. He does not trust your fidelty</t>
  </si>
  <si>
    <t>Dosso</t>
  </si>
  <si>
    <t>183. Il est jaloux et vous montre qu'il n’a pas confiance en vous ?</t>
  </si>
  <si>
    <t>183. Yana zargin ku kullum da nuna rashin yarda?</t>
  </si>
  <si>
    <t>w_not_permit_friends</t>
  </si>
  <si>
    <t>182. He (does/did) not permit you to meet your girl friends?</t>
  </si>
  <si>
    <t>182. Il ne vous a pas permis de rencontrer vos copines ?</t>
  </si>
  <si>
    <t>182. Bai baku izinin ganin ƙawayenku ba?</t>
  </si>
  <si>
    <t>184. He (does/did) not permit you to meet your girl friends?</t>
  </si>
  <si>
    <t>184. Il ne vous a pas permis de rencontrer vos copines ?</t>
  </si>
  <si>
    <t>184. Bai baku izinin ganin ƙawayenku ba?</t>
  </si>
  <si>
    <t>w_limit_fam_contact</t>
  </si>
  <si>
    <t>183. He (tries/tried) to limit your contact with your family?</t>
  </si>
  <si>
    <t>183. Il essaie de limiter vos contacts avec votre famille ?</t>
  </si>
  <si>
    <t>183. Ya na ƙoƙarin ya rage hulɗarku da danginku?</t>
  </si>
  <si>
    <t>185. He (tries/tried) to limit your contact with your family?</t>
  </si>
  <si>
    <t>185. Il essaie de limiter vos contacts avec votre famille ?</t>
  </si>
  <si>
    <t>185. Ya na ƙoƙarin ya rage hulɗarku da danginku?</t>
  </si>
  <si>
    <t>16.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</si>
  <si>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Maradi</t>
  </si>
  <si>
    <t>16.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</si>
  <si>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190. Kick you or drag you</t>
  </si>
  <si>
    <t>190. Vous donner un coup de pied ou vous traîner</t>
  </si>
  <si>
    <t>190. Habre ku ko jan ku</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</si>
  <si>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</si>
  <si>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191. Try to strangle you or burn you</t>
  </si>
  <si>
    <t>191. Essayer de vous étrangler ou de vous brûler</t>
  </si>
  <si>
    <t>191. Yi ƙoƙarin shake ku ko kona ku</t>
  </si>
  <si>
    <t>w_actions_note</t>
  </si>
  <si>
    <t>${resp_available} = 1</t>
  </si>
  <si>
    <t>Niamey</t>
  </si>
  <si>
    <t>186. Now if you will permit me, I need to ask some more questions about your relationship with your husband. Does he ever?</t>
  </si>
  <si>
    <t>186. Maintenant, si vous me le permettez, je dois poser quelques questions supplémentaires sur votre relation avec votre mari. Est-ce qu'il a jamais?</t>
  </si>
  <si>
    <t>186. Yanzu idan za ki ba ni izini, Ina bukatar yin wasu tambayoyi game da dangantakarki da mijinki. Ko ya taba?</t>
  </si>
  <si>
    <t>w_humiliate</t>
  </si>
  <si>
    <t>187. Say or do something to humiliate you in front of others</t>
  </si>
  <si>
    <t>187. Dit ou fait quelque chose pour vous humilier devant les autres</t>
  </si>
  <si>
    <t>187. Fadi ko yin wani abu don wulaƙanta ku a gaban wasu</t>
  </si>
  <si>
    <t>w_threaten</t>
  </si>
  <si>
    <t>186. Threaten you or someone close to you with harm</t>
  </si>
  <si>
    <t>186. Vous menacer vous-même ou quelqu'un proche de vous à vous faire du mal</t>
  </si>
  <si>
    <t>186. Yi muku barazana ko wani na kusa da ku da cutarwa</t>
  </si>
  <si>
    <t>188. Threaten you or someone close to you with harm</t>
  </si>
  <si>
    <t>188. Vous menacer vous-même ou quelqu'un proche de vous à vous faire du mal</t>
  </si>
  <si>
    <t>188. Yi muku barazana ko wani na kusa da ku da cutarwa</t>
  </si>
  <si>
    <t>w_push_shake</t>
  </si>
  <si>
    <t>187. Push you shake you or throw something at you</t>
  </si>
  <si>
    <t>187. Vous pousser, vous secouer ou jeter quelque chose sur vous</t>
  </si>
  <si>
    <t>Tahoua</t>
  </si>
  <si>
    <t>187. Tura ku girgiza ku ko jefar da wani abu bisanku</t>
  </si>
  <si>
    <t>189. Push you shake you or throw something at you</t>
  </si>
  <si>
    <t>speedcheck_intro_end</t>
  </si>
  <si>
    <t>189. Vous pousser, vous secouer ou jeter quelque chose sur vous</t>
  </si>
  <si>
    <t>189. Tura ku girgiza ku ko jefar da wani abu bisanku</t>
  </si>
  <si>
    <t>w_slap_twist</t>
  </si>
  <si>
    <t>188. Slap you or twist your arm</t>
  </si>
  <si>
    <t>188. Vous gifler ou vous tordre le bras</t>
  </si>
  <si>
    <t>188. Mari ko murɗa hannunku</t>
  </si>
  <si>
    <t>subscriberid</t>
  </si>
  <si>
    <t>190. Slap you or twist your arm</t>
  </si>
  <si>
    <t>190. Vous gifler ou vous tordre le bras</t>
  </si>
  <si>
    <t>190. Mari ko murɗa hannunku</t>
  </si>
  <si>
    <t>w_punch</t>
  </si>
  <si>
    <t>189. Punch you with his fist or with something that could hurt you</t>
  </si>
  <si>
    <t>189. Vous frapper avec son poing ou avec quelque chose qui pourrait vous blesser</t>
  </si>
  <si>
    <t>189. Yi muku naushi da hannu ko da wani abu da zai iya cutar da ku</t>
  </si>
  <si>
    <t>191. Punch you with his fist or with something that could hurt you</t>
  </si>
  <si>
    <t>191. Vous frapper avec son poing ou avec quelque chose qui pourrait vous blesser</t>
  </si>
  <si>
    <t>191. Yi muku naushi da hannu ko da wani abu da zai iya cutar da ku</t>
  </si>
  <si>
    <t>Tillaberi</t>
  </si>
  <si>
    <t>w_kick</t>
  </si>
  <si>
    <t>192. Kick you or drag you</t>
  </si>
  <si>
    <t>192. Vous donner un coup de pied ou vous traîner</t>
  </si>
  <si>
    <t>192. Habre ku ko jan ku</t>
  </si>
  <si>
    <t>w_strangle_burn</t>
  </si>
  <si>
    <t>dur_intro</t>
  </si>
  <si>
    <t>193. Try to strangle you or burn you</t>
  </si>
  <si>
    <t>193. Essayer de vous étrangler ou de vous brûler</t>
  </si>
  <si>
    <t>193. Yi ƙoƙarin shake ku ko kona ku</t>
  </si>
  <si>
    <t>w_threaten_weapon</t>
  </si>
  <si>
    <t>192. threaten you with a knife, gun, or other type of weapon</t>
  </si>
  <si>
    <t>Zinder</t>
  </si>
  <si>
    <t>192. Vous menacer avec un couteau, une arme à feu ou tout autre type d'arme</t>
  </si>
  <si>
    <t>192. yi muku barazana da wuka, bindiga, ko wani makami daban</t>
  </si>
  <si>
    <t>194. threaten you with a knife, gun, or other type of weapon</t>
  </si>
  <si>
    <t>194. Vous menacer avec un couteau, une arme à feu ou tout autre type d'arme</t>
  </si>
  <si>
    <t>194. yi muku barazana da wuka, bindiga, ko wani makami daban</t>
  </si>
  <si>
    <t>w_attack_weapon</t>
  </si>
  <si>
    <t>193. attack you with a knife, gun, or other type of weapon</t>
  </si>
  <si>
    <t>193. Vous attaquer avec un couteau, une arme à feu ou tout autre type d'arme</t>
  </si>
  <si>
    <t>193. Kawo muku hari da wuka, bindiga, ko wani makami daban</t>
  </si>
  <si>
    <t>195. attack you with a knife, gun, or other type of weapon</t>
  </si>
  <si>
    <t>195. Vous attaquer avec un couteau, une arme à feu ou tout autre type d'arme</t>
  </si>
  <si>
    <t>195. Kawo muku hari da wuka, bindiga, ko wani makami daban</t>
  </si>
  <si>
    <t>w_sexual_assault</t>
  </si>
  <si>
    <t>194. force you to perform sexual actswith him even when you did not want to</t>
  </si>
  <si>
    <t>194. vous forcer à accomplir des actes sexuels avec lui même lorsque vous ne le vouliez pas</t>
  </si>
  <si>
    <t>194. tilasta muku ka yin jima'i da shi ko da ba ki da buƙata</t>
  </si>
  <si>
    <t>${speedcheck_intro_end} - ${speedcheck_intro_start}</t>
  </si>
  <si>
    <t>simserial</t>
  </si>
  <si>
    <t>196. force you to perform sexual actswith him even when you did not want to</t>
  </si>
  <si>
    <t>196. vous forcer à accomplir des actes sexuels avec lui même lorsque vous ne le vouliez pas</t>
  </si>
  <si>
    <t>196. tilasta muku ka yin jima'i da shi ko da ba ki da buƙata</t>
  </si>
  <si>
    <t>consented</t>
  </si>
  <si>
    <t>153. How many ${hoh_livestock_act_name} did you sell?</t>
  </si>
  <si>
    <t>153. Au cours des trois derniers mois, combien de ${hoh_livestock_act_name} avez-vous vendu ?</t>
  </si>
  <si>
    <t>153. ${hoh_livestock_act_name} nawa kuka saida?</t>
  </si>
  <si>
    <t>Consent: Yes</t>
  </si>
  <si>
    <t>154. How many ${hoh_livestock_act_name} did you consume?</t>
  </si>
  <si>
    <t>154. Au cours des trois derniers mois, combien de ${hoh_livestock_act_name} avez-vous consommé ?</t>
  </si>
  <si>
    <t>154. ${hoh_livestock_act_name} Nawa kuka cinye ?</t>
  </si>
  <si>
    <t>towns</t>
  </si>
  <si>
    <t>w_enum_note</t>
  </si>
  <si>
    <t>195. Enumerator: THANK THE RESPONDENT FOR HER COOPERATION AND REASSURE HER ABOUT THE CONFIDENTIALITY OF HER ANSWERS.</t>
  </si>
  <si>
    <t>195. Enquêteur : REMERCIER LA RÉPONDANTE POUR SA COOPÉRATION ET LA RASSURER SUR LA CONFIDENTIALITÉ DE SES RÉPONSES.</t>
  </si>
  <si>
    <t>195. Ɗan bincike: Ka gode wa mai bada amsa bisa haɗin kai da kuma ka tabbatar mata game da kiyaye SIRRIN HIRAR A KA YI DA ITA.</t>
  </si>
  <si>
    <t>197. Enumerator: THANK THE RESPONDENT FOR HER COOPERATION AND REASSURE HER ABOUT THE CONFIDENTIALITY OF HER ANSWERS.</t>
  </si>
  <si>
    <t>197. Enquêteur : REMERCIER LA RÉPONDANTE POUR SA COOPÉRATION ET LA RASSURER SUR LA CONFIDENTIALITÉ DE SES RÉPONSES.</t>
  </si>
  <si>
    <t>197. Ɗan bincike: Ka gode wa mai bada amsa bisa haɗin kai da kuma ka tabbatar mata game da kiyaye SIRRIN HIRAR A KA YI DA ITA.</t>
  </si>
  <si>
    <t>${consent} = 1</t>
  </si>
  <si>
    <t>town_id</t>
  </si>
  <si>
    <t>155. In the past three months, how much did you spend on food and health expense for all of your animals (in CFA)?</t>
  </si>
  <si>
    <t>155. Au cours des trois derniers mois, combien avez-vous dépensé en frais de nourriture et de santé pour tous vos animaux (en CFA) ?</t>
  </si>
  <si>
    <t>155. Nawa kuka kashe akan abinci da kiwon lafiyar dukkan dabbobinku (a sefa) ?</t>
  </si>
  <si>
    <t>town_name</t>
  </si>
  <si>
    <t>156. When thinking about the past three months, I would like to ask you about how many days a typical week people in your household worked. We know people may work more during some weeks rather than others, please think about what happens during most weeks.</t>
  </si>
  <si>
    <t>156.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</si>
  <si>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156. Tuna da watanni uku da suka wuce. Ina son in tambaye ku game da yawan kwanaki da ƴan gidanku ke yin aiki a cikin sati na yau da kullun. Mun san da mutane na iya yin aiki a cikin wani sati fiye da wani satin, amma yi tunanin abinda ke kasancewa a yawancin makonni.</t>
  </si>
  <si>
    <t>157. How many days did people in your household work to care for your animals in a typical week in the past three months?</t>
  </si>
  <si>
    <t>157. Dans les trois derniers mois, au cours d'une semaine normale, combien de jours les membres de votre ménage ont-ils travaillé pour s'occuper de vos animaux ?</t>
  </si>
  <si>
    <t>157. A cikin watanni uku da suka wuce, kwana nawa a cikin sati mutanen gidanku suka yi aiki don kula da bisashenku?</t>
  </si>
  <si>
    <t>158. In the past three months, did you hire anyone outside your household to care for your animals?</t>
  </si>
  <si>
    <t>158. Au cours des trois derniers mois, avez-vous embauché quelqu'un en dehors de votre ménage pour s'occuper de vos animaux ?</t>
  </si>
  <si>
    <t>158. A cikin watanni uku da suka wuce, Ko kun ɗauki wani wanda ba ɗan gidanku ba don kula da dabbobinku?</t>
  </si>
  <si>
    <t>form_questions</t>
  </si>
  <si>
    <t>159. In the last 3 months, for how many weeks did you hire people to care for your livestock?</t>
  </si>
  <si>
    <t>159. Au cours des trois derniers mois, combien de semaines avez-vous embauché des personnes pour s'occuper de votre bétail ?</t>
  </si>
  <si>
    <t>159. A cikin watanni 3 da suka wuce, sati nawa kuka dauki ƴan aiki don kula da dabbobinku?</t>
  </si>
  <si>
    <t>hoh_note</t>
  </si>
  <si>
    <t>196. HoH Questions</t>
  </si>
  <si>
    <t xml:space="preserve">196. </t>
  </si>
  <si>
    <t>198. HoH Questions</t>
  </si>
  <si>
    <t xml:space="preserve">198. </t>
  </si>
  <si>
    <t>Wni daban</t>
  </si>
  <si>
    <t>162. In the past three months, did any member of your household care for livestock owned by other people?</t>
  </si>
  <si>
    <t>162. Au cours des trois derniers mois, un membre de votre ménage s'est-il occupé du bétail appartenant à d'autres personnes ?</t>
  </si>
  <si>
    <t>162. A cikin watanni uku da suka wuce, akwai wani ɗan gidanku da ya kula da dabbobin wasu mutane?</t>
  </si>
  <si>
    <t>197. A household is a group of people, related or unrelated, who live together in the same housing, pool their resources together, share their meals and recognize the authority of the same one person who is the head of household.</t>
  </si>
  <si>
    <t>197. Un ménage est l’ensemble des personnes apparentées ou non qui vivent habituellement dans un même logement, mettent en commun leurs ressources, partagent leurs repas, et reconnaissent l’autorité d’une seule et même personne appelée chef de ménage.</t>
  </si>
  <si>
    <t>197. Gida shine mutanen da ko dangi ko a'a wanda suke rayuwa cikin gida guda, sun sa dukiyar su tare, suna cin abinci tare, kuma sun yarda da shugabancin mutum ɗaya wanda a ke ce ma mai gida.</t>
  </si>
  <si>
    <t>198. Are there new members in the household since we last spoke to you? For reference, these are the members you mentioned:
${hoh_roster_list}</t>
  </si>
  <si>
    <t>198. Y a-t-il de nouveaux membres dans le foyer depuis notre dernière conversation ? Pour référence, voici les membres que vous avez mentionnés : 
${hoh_roster_list}</t>
  </si>
  <si>
    <t>198. Shin akwai sabbin membobi a gidan tun da muka yi magana da ku a ƙarshe? Don tunani, waɗannan su ne membobin da ka ambata: 
${hoh_roster_list}</t>
  </si>
  <si>
    <t>199. How many?</t>
  </si>
  <si>
    <t>199. Combien?</t>
  </si>
  <si>
    <t>199. Nawa?</t>
  </si>
  <si>
    <t>countries</t>
  </si>
  <si>
    <t>166. Do you or another member of your household own land that is currently not used for agriculture, outside of your current home?</t>
  </si>
  <si>
    <t>166. Est-ce que vous ou un autre membre de votre ménage possédez des terres qui ne sont actuellement pas utilisées pour l'agriculture, en dehors de votre domicile actuel ?</t>
  </si>
  <si>
    <t>166. Shin kai ko wani na gidanku kuna da wasu hilaye wanda ba na noma ba bancin gidanku da kuke ciki a halin yanzu?</t>
  </si>
  <si>
    <t>167. In the past three months, what is the total revenue from rent of land or other property in CFA?</t>
  </si>
  <si>
    <t>167. Au cours des trois derniers mois, quel a été le revenu total provenant de la location d'un terrain ou d'une autre propriété en CFA?</t>
  </si>
  <si>
    <t>167. A cikin watanni uku da suka gabata, menene jimillar kuɗin da aka samu ta hanyar hayan filaye ko wasu kadarori (a sefa)?</t>
  </si>
  <si>
    <t>168. In the past three months, what is the total value of interest from loans you have given to others in CFA?</t>
  </si>
  <si>
    <t>168. Au cours des trois derniers mois, quelle est la valeur totale des intérêts des prêts que vous avez accordés à d'autres en CFA?</t>
  </si>
  <si>
    <t>168. A cikin watanni uku da suka gabata, nawa ne jimillar kudin ruwan basussuka da kuka baiwa wasu (a sefa)?</t>
  </si>
  <si>
    <t>hoh_definition_note</t>
  </si>
  <si>
    <t>speedcheck_w_start</t>
  </si>
  <si>
    <t>Niger</t>
  </si>
  <si>
    <t>Nijar</t>
  </si>
  <si>
    <t>199. A household is a group of people, related or unrelated, who live together in the same housing, pool their resources together, share their meals and recognize the authority of the same one person who is the head of household.</t>
  </si>
  <si>
    <t>199. Un ménage est l’ensemble des personnes apparentées ou non qui vivent habituellement dans un même logement, mettent en commun leurs ressources, partagent leurs repas, et reconnaissent l’autorité d’une seule et même personne appelée chef de ménage.</t>
  </si>
  <si>
    <t>199. Gida shine mutanen da ko dangi ko a'a wanda suke rayuwa cikin gida guda, sun sa dukiyar su tare, suna cin abinci tare, kuma sun yarda da shugabancin mutum ɗaya wanda a ke ce ma mai gida.</t>
  </si>
  <si>
    <t>hoh_new_hh_mems</t>
  </si>
  <si>
    <t>200. Are there new members in the household since we last spoke to you? For reference, these are the members you mentioned:
${hoh_roster_list}</t>
  </si>
  <si>
    <t>200. Y a-t-il de nouveaux membres dans le foyer depuis notre dernière conversation ? Pour référence, voici les membres que vous avez mentionnés : 
${hoh_roster_list}</t>
  </si>
  <si>
    <t>200. Shin akwai sabbin membobi a gidan tun da muka yi magana da ku a ƙarshe? Don tunani, waɗannan su ne membobin da ka ambata: 
${hoh_roster_list}</t>
  </si>
  <si>
    <t>hoh_new_hh_mems_num</t>
  </si>
  <si>
    <t>Algeria</t>
  </si>
  <si>
    <t>Algérie</t>
  </si>
  <si>
    <t>Aljeriya</t>
  </si>
  <si>
    <t>201. How many?</t>
  </si>
  <si>
    <t>201. Combien?</t>
  </si>
  <si>
    <t>201. Nawa?</t>
  </si>
  <si>
    <t>comments</t>
  </si>
  <si>
    <t>201. What is the first name of ${hoh_hhtext}?</t>
  </si>
  <si>
    <t>201. Quel est le prenom de cette personne ${hoh_hhtextfrench} ?</t>
  </si>
  <si>
    <t>201. Menene sunan ${hoh_hhtexthausa}?</t>
  </si>
  <si>
    <t>Benin</t>
  </si>
  <si>
    <t>Bénin</t>
  </si>
  <si>
    <t>w_questions</t>
  </si>
  <si>
    <t>174. How much do you pay per day for people to work in this business in CFA?</t>
  </si>
  <si>
    <t>174. Combien payez-vous par jour pour que les gens travaillent dans cette entreprise (en CFA) ?</t>
  </si>
  <si>
    <t>Woman Questionnaire</t>
  </si>
  <si>
    <t>174. Nawa kuke biyan su a wuni (a sefa) ?</t>
  </si>
  <si>
    <t>202. What is ${hoh_new_mem_name}'s relationship to you, the household head?</t>
  </si>
  <si>
    <t>202. Quelle est la relation entre ${hoh_new_mem_name} et vous, le chef de ménage ?</t>
  </si>
  <si>
    <t>202. Menene alaƙa tsakanin ${hoh_new_mem_name} da, mai gida?</t>
  </si>
  <si>
    <t>203. What is ${hoh_new_mem_name}'s sex?</t>
  </si>
  <si>
    <t>203. Quel est le sexe de ${hoh_new_mem_name} ?</t>
  </si>
  <si>
    <t>203. Menene jinsin ${hoh_new_mem_name}?</t>
  </si>
  <si>
    <t>Burkina Faso</t>
  </si>
  <si>
    <t>204. What is ${hoh_new_mem_name}'s age?</t>
  </si>
  <si>
    <t>204. Quel âge a ${hoh_new_mem_name} ?</t>
  </si>
  <si>
    <t>204. ${hoh_new_mem_name} Shekarun shi/ta nawa?</t>
  </si>
  <si>
    <t>182. How much in total did members of your household receive from people out of Niger?</t>
  </si>
  <si>
    <t>182. Combien au total les membres de votre ménage ont-ils reçu des personnes qui ne sont pas au Niger ?</t>
  </si>
  <si>
    <t>182. Nawa ne yan gidanku ya samu daga mutanen da ke zaune a ƙasar waje ba Nijar ba?</t>
  </si>
  <si>
    <t>hoh_new_mem_name_last</t>
  </si>
  <si>
    <t>200. What is the last name of ${hoh_hhtext}?</t>
  </si>
  <si>
    <t>200. Quel est le nom de ${hoh_hhtextfrench} ?</t>
  </si>
  <si>
    <t>200. Menene sunan uban ${hoh_hhtexthausa}?</t>
  </si>
  <si>
    <t>202. What is the last name of ${hoh_hhtext}?</t>
  </si>
  <si>
    <t>Cameroon</t>
  </si>
  <si>
    <t>202. Quel est le nom de ${hoh_hhtextfrench} ?</t>
  </si>
  <si>
    <t>202. Menene sunan uban ${hoh_hhtexthausa}?</t>
  </si>
  <si>
    <t>Cameroun</t>
  </si>
  <si>
    <t>hoh_new_mem_name_first</t>
  </si>
  <si>
    <t>Kamaru</t>
  </si>
  <si>
    <t>17. Questions de la femme</t>
  </si>
  <si>
    <t>203. What is the first name of ${hoh_hhtext}?</t>
  </si>
  <si>
    <t>203. Quel est le prenom de cette personne ${hoh_hhtextfrench} ?</t>
  </si>
  <si>
    <t>17. Tambayoyin Mata</t>
  </si>
  <si>
    <t>203. Menene sunan ${hoh_hhtexthausa}?</t>
  </si>
  <si>
    <t>176. Thinking about all of the revenues from this business in the past three months, what was the total amount of money coming in from this business in the last three months?</t>
  </si>
  <si>
    <t>176. Pense à tous les revenus de cette entreprise au cours des trois derniers mois, quel a été le montant total provenant de cette entreprise au cours des trois derniers mois ?</t>
  </si>
  <si>
    <t>176. Tuna da dukkan kuɗaɗen shiga na wannan kasuwancin a cikin watanni uku da suka wuce, nawa ne yawan kuɗin da aka samu daga wannan kasuwancin a cikin watanni uku da suka wuce?</t>
  </si>
  <si>
    <t>(${age1}+${age2}+${age3}) div 3</t>
  </si>
  <si>
    <t>177. Thinking about all of the the expenses from this business, what was the total amount of money you spent on costs related to this business in the last three months?</t>
  </si>
  <si>
    <t>177. Pense à toutes les dépenses de cette entreprise, quel a été le montant total que vous avez dépensé pour les coûts liés à cette entreprise au cours des trois derniers mois ?</t>
  </si>
  <si>
    <t>177. Tuna da dukkan kuɗin da aka kashe don wannan kasuwancin, nawa ne jimillar kuɗin da kuka kashe a kan wannan kasuwancin a cikin watanni uku da suka wuce?</t>
  </si>
  <si>
    <t>Cote d'Ivoire</t>
  </si>
  <si>
    <t>select_one relation</t>
  </si>
  <si>
    <t>hoh_new_mem_relation</t>
  </si>
  <si>
    <t>Côte d'Ivoire</t>
  </si>
  <si>
    <t>Cote d'Ivoire/Abija</t>
  </si>
  <si>
    <t>204. What is ${hoh_new_mem_name}'s relationship to you, the household head?</t>
  </si>
  <si>
    <t>204. Quelle est la relation entre ${hoh_new_mem_name} et vous, le chef de ménage ?</t>
  </si>
  <si>
    <t>204. Menene alaƙa tsakanin ${hoh_new_mem_name} da, mai gida?</t>
  </si>
  <si>
    <t>select_one sex</t>
  </si>
  <si>
    <t>hoh_new_mem_sex</t>
  </si>
  <si>
    <t>205. What is ${hoh_new_mem_name}'s sex?</t>
  </si>
  <si>
    <t>205. Quel est le sexe de ${hoh_new_mem_name} ?</t>
  </si>
  <si>
    <t>205. Menene jinsin ${hoh_new_mem_name}?</t>
  </si>
  <si>
    <t>hoh_new_mem_age</t>
  </si>
  <si>
    <t>Gambia</t>
  </si>
  <si>
    <t>206. What is ${hoh_new_mem_name}'s age?</t>
  </si>
  <si>
    <t>Gambie</t>
  </si>
  <si>
    <t>206. Quel âge a ${hoh_new_mem_name} ?</t>
  </si>
  <si>
    <t>206. ${hoh_new_mem_name} Shekarun shi/ta nawa?</t>
  </si>
  <si>
    <t>speedcheck_w_loc_start</t>
  </si>
  <si>
    <t>190. How much did your household send to people elsewhere in Niger?</t>
  </si>
  <si>
    <t>190. Combien votre ménage a-t-il envoyé à des personnes qui sont quelque part au Niger ?</t>
  </si>
  <si>
    <t>once(format-date-time(now(), '%Y-%b-%e %H:%M:%S'))</t>
  </si>
  <si>
    <t>190. Nawa ne gidanku ya aikawa mutanen da ke wasu wurare a Nijar?</t>
  </si>
  <si>
    <t>191. How did you transmit the money to the recipient?</t>
  </si>
  <si>
    <t>191. Comment avez-vous envoyé l'argent au destinataire ?</t>
  </si>
  <si>
    <t>191. Ta wace hanya kuka aika kuɗin ga mai karɓa?</t>
  </si>
  <si>
    <t>Gabon</t>
  </si>
  <si>
    <t>192. Specify other transfer method</t>
  </si>
  <si>
    <t>192. Précisez la méthode du transfert</t>
  </si>
  <si>
    <t>192. Wani daban a Bayyana</t>
  </si>
  <si>
    <t>180. In the past three months, did ${hoh_member_act_name} earn money from any other activity?</t>
  </si>
  <si>
    <t>180. Au cours des trois derniers mois, ${hoh_member_act_name} a-t-il gagné de l'argent grâce à une autre activité ?</t>
  </si>
  <si>
    <t>180. A cikin watanni uku da suka gabata, ${hoh_member_act_name} ya samu kuɗi daga yin wani aiki?</t>
  </si>
  <si>
    <t>181. What was the activity?</t>
  </si>
  <si>
    <t>181. Quelle était l'activité ?</t>
  </si>
  <si>
    <t>181. Menene aikin?</t>
  </si>
  <si>
    <t>hoh_roster_note</t>
  </si>
  <si>
    <t>205. I want to ask a few questions about the members of your household who are currently residing here.</t>
  </si>
  <si>
    <t>205. Je veux poser quelques questions sur les membres de votre ménage qui résident actuellement ici.</t>
  </si>
  <si>
    <t>205. Ina so in muku ƴan tambayoyi bisa yan gidanku da ke zaune a gida a yanzu.</t>
  </si>
  <si>
    <t>Ghana</t>
  </si>
  <si>
    <t>207. I want to ask a few questions about the members of your household who are currently residing here.</t>
  </si>
  <si>
    <t>207. Je veux poser quelques questions sur les membres de votre ménage qui résident actuellement ici.</t>
  </si>
  <si>
    <t>207. Ina so in muku ƴan tambayoyi bisa yan gidanku da ke zaune a gida a yanzu.</t>
  </si>
  <si>
    <t>196. Specify other transfer method</t>
  </si>
  <si>
    <t>p = 50</t>
  </si>
  <si>
    <t>196. Precisez la methode du transfert</t>
  </si>
  <si>
    <t>196. Wani daban a Bayyana</t>
  </si>
  <si>
    <t>18. Avant de commencer, j'aimerais vous poser des questions sur l'endroit où vivent les autres répondants de ce ménage.</t>
  </si>
  <si>
    <t>18. Kafin mu fara, Ina so in tambaye ku game da inda sauran masu bada amsan wannan gidan suke</t>
  </si>
  <si>
    <t>Guinea</t>
  </si>
  <si>
    <t>Guinée</t>
  </si>
  <si>
    <t>Gini</t>
  </si>
  <si>
    <t>Libya</t>
  </si>
  <si>
    <t>Libye</t>
  </si>
  <si>
    <t>206. ${hoh_roster_name}
Sex: ${hoh_roster_sex}
Age: ${hoh_roster_age}</t>
  </si>
  <si>
    <t>207. Is ${hoh_roster_name} a Nigerien national?</t>
  </si>
  <si>
    <t>207. ${hoh_roster_name} est-il un citoyen(ne) du Niger ?</t>
  </si>
  <si>
    <t>207. Ko ${hoh_roster_name} ɗan ƙasar Nijar ne?</t>
  </si>
  <si>
    <t>208. Where are they a cititzen of?</t>
  </si>
  <si>
    <t>Mali</t>
  </si>
  <si>
    <t xml:space="preserve">208. </t>
  </si>
  <si>
    <t>209. Please enter the nationality of ${hoh_roster_name}</t>
  </si>
  <si>
    <t xml:space="preserve">209. </t>
  </si>
  <si>
    <t>210. Is ${hoh_roster_name} still a member of this household?</t>
  </si>
  <si>
    <t>210. ${hoh_roster_name} est-il toujours membre de ce ménage ?</t>
  </si>
  <si>
    <t>210. Ko suna yana cikin ƴan gidan nan?</t>
  </si>
  <si>
    <t>p = 50; eventlog; choices</t>
  </si>
  <si>
    <t>211. Why are they not a member of this household?</t>
  </si>
  <si>
    <t>211. Pourquoi ne font-ils pas partie de ce ménage ?</t>
  </si>
  <si>
    <t>211. Me ya sa ba su cikin ƴan gidan nan ?</t>
  </si>
  <si>
    <t>Senegal</t>
  </si>
  <si>
    <t>Sénégal</t>
  </si>
  <si>
    <t>212. Other, specify:</t>
  </si>
  <si>
    <t>212. Autre précisez:</t>
  </si>
  <si>
    <t>212. Sauran, bayar da cikakkun bayanai:</t>
  </si>
  <si>
    <t>213. Enumerator: Record any details about the death of the family member</t>
  </si>
  <si>
    <t>213. Enqueteur: Veuillez noter toute information pertinente concernant le décès</t>
  </si>
  <si>
    <t>Togo</t>
  </si>
  <si>
    <t>hoh_info</t>
  </si>
  <si>
    <t>audio audit</t>
  </si>
  <si>
    <t>208. ${hoh_roster_name}
Sex: ${hoh_roster_sex}
Age: ${hoh_roster_age}</t>
  </si>
  <si>
    <t>hoh_nationality</t>
  </si>
  <si>
    <t>p = 50; s = 0; d = 60</t>
  </si>
  <si>
    <t>209. Is ${hoh_roster_name} a Nigerien national?</t>
  </si>
  <si>
    <t>209. ${hoh_roster_name} est-il un citoyen(ne) du Niger ?</t>
  </si>
  <si>
    <t>20. Where is ${pm_name} living right now?
 Enumerator: Is location in Niger?</t>
  </si>
  <si>
    <t>209. Ko ${hoh_roster_name} ɗan ƙasar Nijar ne?</t>
  </si>
  <si>
    <t>hoh_nationality_country</t>
  </si>
  <si>
    <t>20. Où est ${pm_name} en ce moment?
  Énquêteur: le lieu est-il au Niger?</t>
  </si>
  <si>
    <t>449. D'où sont-ils citoyens ?</t>
  </si>
  <si>
    <t>Cape Verde</t>
  </si>
  <si>
    <t>449.Ƴan wace ƙasa ce?</t>
  </si>
  <si>
    <t>20. Ina ${pm_name} yake a yanzu?
  Dan bincike: Ko wurin a Nijar ne?</t>
  </si>
  <si>
    <t>Cap-Vert</t>
  </si>
  <si>
    <t>210. Where are they a cititzen of?</t>
  </si>
  <si>
    <t>210. D'où sont-ils citoyens ?</t>
  </si>
  <si>
    <t>210. Ƴan wace ƙasa ce?</t>
  </si>
  <si>
    <t>hoh_nationality_country_o</t>
  </si>
  <si>
    <t>450. Veuillez saisir la nationalité de ${hoh_roster_name}</t>
  </si>
  <si>
    <t>450. Da fatan za a shigar da ƙasar ${hoh_roster_name}</t>
  </si>
  <si>
    <t>${w_pm_home} = 0</t>
  </si>
  <si>
    <t>211. Please enter the nationality of ${hoh_roster_name}</t>
  </si>
  <si>
    <t>211. Veuillez saisir la nationalité de ${hoh_roster_name}</t>
  </si>
  <si>
    <t>211. Da fatan za a shigar da ƙasar ${hoh_roster_name}</t>
  </si>
  <si>
    <t>hoh_roster_in</t>
  </si>
  <si>
    <t>Guinea-Bissau</t>
  </si>
  <si>
    <t>Guinée-Bissau</t>
  </si>
  <si>
    <t>212. Is ${hoh_roster_name} still a member of this household?</t>
  </si>
  <si>
    <t>212. ${hoh_roster_name} est-il toujours membre de ce ménage ?</t>
  </si>
  <si>
    <t>212. Ko suna yana cikin ƴan gidan nan?</t>
  </si>
  <si>
    <t>select_one whyno_in</t>
  </si>
  <si>
    <t>hoh_roster_notin_why</t>
  </si>
  <si>
    <t>213. Why are they not a member of this household?</t>
  </si>
  <si>
    <t>213. Pourquoi ne font-ils pas partie de ce ménage ?</t>
  </si>
  <si>
    <t>213. Me ya sa ba su cikin ƴan gidan nan ?</t>
  </si>
  <si>
    <t>hoh_roster_notin_why_o</t>
  </si>
  <si>
    <t>p = 50; s = 0-600; d = 60</t>
  </si>
  <si>
    <t>214. Other, specify:</t>
  </si>
  <si>
    <t>Liberia</t>
  </si>
  <si>
    <t>214. Autre précisez:</t>
  </si>
  <si>
    <t>214. Sauran, bayar da cikakkun bayanai:</t>
  </si>
  <si>
    <t>Libéria</t>
  </si>
  <si>
    <t>hoh_roster_notin_death</t>
  </si>
  <si>
    <t>Laberiya</t>
  </si>
  <si>
    <t>${w_pm_in_niger} = 1</t>
  </si>
  <si>
    <t>215. Enumerator: Record any details about the death of the family member</t>
  </si>
  <si>
    <t>215. Enqueteur: Veuillez noter toute information pertinente concernant le décès</t>
  </si>
  <si>
    <t>hoh_living_in_hh</t>
  </si>
  <si>
    <t>214. Is ${hoh_roster_name} currently living in your household?</t>
  </si>
  <si>
    <t>214. Est-ce que ${hoh_roster_name} vit actuellement dans votre ménage ?</t>
  </si>
  <si>
    <t>214. Ko ${hoh_roster_name} yana zaune a gidanku a halin yanzu ?</t>
  </si>
  <si>
    <t>216. Is ${hoh_roster_name} currently living in your household?</t>
  </si>
  <si>
    <t>216. Est-ce que ${hoh_roster_name} vit actuellement dans votre ménage ?</t>
  </si>
  <si>
    <t>216. Ko ${hoh_roster_name} yana zaune a gidanku a halin yanzu ?</t>
  </si>
  <si>
    <t>hoh_in_niger</t>
  </si>
  <si>
    <t>215. Is ${hoh_roster_name} currently living in Niger?</t>
  </si>
  <si>
    <t>215. Est-ce que ${hoh_roster_name} vit actuellement au Niger ?</t>
  </si>
  <si>
    <t>215. Ko ${hoh_roster_name} yana zaune a Nijar a halin yanzu?</t>
  </si>
  <si>
    <t>Nigeria</t>
  </si>
  <si>
    <t>217. Is ${hoh_roster_name} currently living in Niger?</t>
  </si>
  <si>
    <t>217. Est-ce que ${hoh_roster_name} vit actuellement au Niger ?</t>
  </si>
  <si>
    <t>217. Ko ${hoh_roster_name} yana zaune a Nijar a halin yanzu?</t>
  </si>
  <si>
    <t>Najeriya</t>
  </si>
  <si>
    <t>hoh_in_niger_region</t>
  </si>
  <si>
    <t>216. What region is ${hoh_roster_name} currently living in?</t>
  </si>
  <si>
    <t>216. Dans quelle région vit actuellement ${hoh_roster_name} ?</t>
  </si>
  <si>
    <t>216. A cikin wace jaha ce ${hoh_roster_name} yake zaune a yanzu?</t>
  </si>
  <si>
    <t>p = 50; s = firstfield; d = lastfield</t>
  </si>
  <si>
    <t>218. What region is ${hoh_roster_name} currently living in?</t>
  </si>
  <si>
    <t>218. Dans quelle région vit actuellement ${hoh_roster_name} ?</t>
  </si>
  <si>
    <t>218. A cikin wace jaha ce ${hoh_roster_name} yake zaune a yanzu?</t>
  </si>
  <si>
    <t>select_one countries</t>
  </si>
  <si>
    <t>hoh_out_niger</t>
  </si>
  <si>
    <t>217. What country is ${hoh_roster_name} currently living in?</t>
  </si>
  <si>
    <t>217. Dans quel pays vit actuellement ${hoh_roster_name} ?</t>
  </si>
  <si>
    <t>217. A cikin wace kasa ce ${hoh_roster_name} yake zaune a yanzu?</t>
  </si>
  <si>
    <t>${w_pm_in_niger} = 0</t>
  </si>
  <si>
    <t>219. What country is ${hoh_roster_name} currently living in?</t>
  </si>
  <si>
    <t>219. Dans quel pays vit actuellement ${hoh_roster_name} ?</t>
  </si>
  <si>
    <t>219. A cikin wace kasa ce ${hoh_roster_name} yake zaune a yanzu?</t>
  </si>
  <si>
    <t>hoh_out_niger_o</t>
  </si>
  <si>
    <t>218. Specify other</t>
  </si>
  <si>
    <t>218. Autre à préciser</t>
  </si>
  <si>
    <t>218. Wani daban a Bayyana</t>
  </si>
  <si>
    <t>Sierra Leone</t>
  </si>
  <si>
    <t>filter!=0</t>
  </si>
  <si>
    <t>Saliyo</t>
  </si>
  <si>
    <t>220. Specify other</t>
  </si>
  <si>
    <t>220. Autre à préciser</t>
  </si>
  <si>
    <t>220. Wani daban a Bayyana</t>
  </si>
  <si>
    <t>hoh_out_town</t>
  </si>
  <si>
    <t>219. Enumerator: Select town</t>
  </si>
  <si>
    <t>219. Enquêteur : Sélectionnez la ville</t>
  </si>
  <si>
    <t>219. Ɗan bincike: Zaɓi gari</t>
  </si>
  <si>
    <t>221. Enumerator: Select town</t>
  </si>
  <si>
    <t>221. Enquêteur : Sélectionnez la ville</t>
  </si>
  <si>
    <t>221. Ɗan bincike: Zaɓi gari</t>
  </si>
  <si>
    <t>hoh_out_town_o</t>
  </si>
  <si>
    <t>groupname</t>
  </si>
  <si>
    <t>222. Specify other</t>
  </si>
  <si>
    <t>Standard group</t>
  </si>
  <si>
    <t>222. Autre à préciser</t>
  </si>
  <si>
    <t>222. Wani daban a Bayyana</t>
  </si>
  <si>
    <t>Central African Republic</t>
  </si>
  <si>
    <t>République centrafricaine</t>
  </si>
  <si>
    <t>Jamhuriyar Afirka ta Tsakiya</t>
  </si>
  <si>
    <t>228. What kind of school is ${hoh_roster_name} enrolled in?</t>
  </si>
  <si>
    <t>228. Dans quel type d'école est inscrit ${hoh_roster_name} ?</t>
  </si>
  <si>
    <t>228. Wace irin makaranta aka rubuta ${hoh_roster_name}?</t>
  </si>
  <si>
    <t>hoh_illness_limit</t>
  </si>
  <si>
    <t>221. Does ${hoh_roster_name} currently suffer from any illness or disability that limits their ability to travel or work?</t>
  </si>
  <si>
    <t>221. Est-ce que ${hoh_roster_name} souffre actuellement d'une maladie ou d'un handicap qui limite sa capacité à voyager ou à travailler ?</t>
  </si>
  <si>
    <t>221. ko a halin yanzu ${hoh_roster_name} yana da rashin lafiya ko naƙasa wanda ke iya hanashi zuwa balaguro ko yin aiki?</t>
  </si>
  <si>
    <t>223. Does ${hoh_roster_name} currently suffer from any illness or disability that limits their ability to travel or work?</t>
  </si>
  <si>
    <t>223. Est-ce que ${hoh_roster_name} souffre actuellement d'une maladie ou d'un handicap qui limite sa capacité à voyager ou à travailler ?</t>
  </si>
  <si>
    <t>223. ko a halin yanzu ${hoh_roster_name} yana da rashin lafiya ko naƙasa wanda ke iya hanashi zuwa balaguro ko yin aiki?</t>
  </si>
  <si>
    <t>hoh_illness_limit_type</t>
  </si>
  <si>
    <t>222. What illness limits ${hoh_roster_name} in this way?</t>
  </si>
  <si>
    <t>222. Quelle maladie limite ${hoh_roster_name} de cette manière ?</t>
  </si>
  <si>
    <t>222. Wace rashin lafiya ke tsaida ${hoh_roster_name} ta haka ?</t>
  </si>
  <si>
    <t>${w_pm_country} = -777</t>
  </si>
  <si>
    <t>224. What illness limits ${hoh_roster_name} in this way?</t>
  </si>
  <si>
    <t>224. Quelle maladie limite ${hoh_roster_name} de cette manière ?</t>
  </si>
  <si>
    <t>224. Wace rashin lafiya ke tsaida ${hoh_roster_name} ta haka ?</t>
  </si>
  <si>
    <t>Chad</t>
  </si>
  <si>
    <t>hoh_illness_limit_type_o</t>
  </si>
  <si>
    <t>Tchad</t>
  </si>
  <si>
    <t>223. Other, specify:</t>
  </si>
  <si>
    <t>223. Autre précisez:</t>
  </si>
  <si>
    <t>Cadi</t>
  </si>
  <si>
    <t>223. Sauran, bayar da cikakkun bayanai:</t>
  </si>
  <si>
    <t>225. Other, specify:</t>
  </si>
  <si>
    <t>225. Autre précisez:</t>
  </si>
  <si>
    <t>225. Sauran, bayar da cikakkun bayanai:</t>
  </si>
  <si>
    <t>hoh_any_children</t>
  </si>
  <si>
    <t>224. Does ${hoh_roster_name} have children?</t>
  </si>
  <si>
    <t>224. Est-ce que ${hoh_roster_name} a des enfants ?</t>
  </si>
  <si>
    <t>224. ko ${hoh_roster_name} yana da yara?</t>
  </si>
  <si>
    <t>226. Does ${hoh_roster_name} have children?</t>
  </si>
  <si>
    <t>226. Est-ce que ${hoh_roster_name} a des enfants ?</t>
  </si>
  <si>
    <t>226. ko ${hoh_roster_name} yana da yara?</t>
  </si>
  <si>
    <t>hoh_children</t>
  </si>
  <si>
    <t>…</t>
  </si>
  <si>
    <t>225. How many children is ${hoh_roster_name} responsible for?</t>
  </si>
  <si>
    <t>225. De combien d'enfants ${hoh_roster_name} est-il responsable ?</t>
  </si>
  <si>
    <t>225. Yara nawa ne ${hoh_roster_name} yake ɗauke da Nauyinsu?</t>
  </si>
  <si>
    <t>227. How many children is ${hoh_roster_name} responsible for?</t>
  </si>
  <si>
    <t>227. De combien d'enfants ${hoh_roster_name} est-il responsable ?</t>
  </si>
  <si>
    <t>227. Yara nawa ne ${hoh_roster_name} yake ɗauke da Nauyinsu?</t>
  </si>
  <si>
    <t>select_one education</t>
  </si>
  <si>
    <t>hoh_education</t>
  </si>
  <si>
    <t>226. What is the highest level of education that ${hoh_roster_name} has completed?</t>
  </si>
  <si>
    <t>226. Quel est le plus haut niveau d'études atteint par ${hoh_roster_name} ?</t>
  </si>
  <si>
    <t>226. Menene mafi girman mastayin ilimi da ${hoh_roster_name} ya kai?</t>
  </si>
  <si>
    <t>search('towns', 'matches', 'country_id', ${w_pm_country})</t>
  </si>
  <si>
    <t>228. What is the highest level of education that ${hoh_roster_name} has completed?</t>
  </si>
  <si>
    <t>228. Quel est le plus haut niveau d'études atteint par ${hoh_roster_name} ?</t>
  </si>
  <si>
    <t>228. Menene mafi girman mastayin ilimi da ${hoh_roster_name} ya kai?</t>
  </si>
  <si>
    <t>hoh_attending_school</t>
  </si>
  <si>
    <t>227. Is ${hoh_roster_name} currently enrolled in school?</t>
  </si>
  <si>
    <t>227. Est-ce que ${hoh_roster_name} est actuellement inscrit à l'école ?</t>
  </si>
  <si>
    <t>${w_pm_in_niger} = 0  and ${w_pm_country} != -999</t>
  </si>
  <si>
    <t>227. Ko ${hoh_roster_name} yana yin lakwal a halin yanzu?</t>
  </si>
  <si>
    <t>229. Is ${hoh_roster_name} currently enrolled in school?</t>
  </si>
  <si>
    <t>229. Est-ce que ${hoh_roster_name} est actuellement inscrit à l'école ?</t>
  </si>
  <si>
    <t>229. Ko ${hoh_roster_name} yana yin lakwal a halin yanzu?</t>
  </si>
  <si>
    <t>select_one schools</t>
  </si>
  <si>
    <t>hoh_school_type</t>
  </si>
  <si>
    <t>230. What kind of school is ${hoh_roster_name} enrolled in?</t>
  </si>
  <si>
    <t>230. Dans quel type d'école est inscrit ${hoh_roster_name} ?</t>
  </si>
  <si>
    <t>230. Wace irin makaranta aka rubuta ${hoh_roster_name}?</t>
  </si>
  <si>
    <t>hoh_school_cost</t>
  </si>
  <si>
    <t>229. What is the cost of school fees for the current academic year in CFA?</t>
  </si>
  <si>
    <t>229. Quel est le coût des frais de scolarité pour l'année scolaire en cours (en CFA) ?</t>
  </si>
  <si>
    <t>229. Nawa ne kuɗin makaranta na wannan shekarar (a sefa)?</t>
  </si>
  <si>
    <t>231. What is the cost of school fees for the current academic year in CFA?</t>
  </si>
  <si>
    <t>231. Quel est le coût des frais de scolarité pour l'année scolaire en cours (en CFA) ?</t>
  </si>
  <si>
    <t>231. Nawa ne kuɗin makaranta na wannan shekarar (a sefa)?</t>
  </si>
  <si>
    <t>hoh_school_absent_health</t>
  </si>
  <si>
    <t>230. In the past month (four weeks) how many days has ${hoh_roster_name} missed school for health reasons?</t>
  </si>
  <si>
    <t>230. Au cours du dernier mois (quatre semaines), combien de jours ${hoh_roster_name} a-t-il manqué l'école pour des raisons de santé ?</t>
  </si>
  <si>
    <t>230. A cikin watan da ya gabata (sati hudu), kwanaki nawa ${hoh_roster_name} yayi fashin zuwa makaranta saboda wata rishin lafiya?</t>
  </si>
  <si>
    <t>232. In the past month (four weeks) how many days has ${hoh_roster_name} missed school for health reasons?</t>
  </si>
  <si>
    <t>232. Au cours du dernier mois (quatre semaines), combien de jours ${hoh_roster_name} a-t-il manqué l'école pour des raisons de santé ?</t>
  </si>
  <si>
    <t>232. A cikin watan da ya gabata (sati hudu), kwanaki nawa ${hoh_roster_name} yayi fashin zuwa makaranta saboda wata rishin lafiya?</t>
  </si>
  <si>
    <t>hoh_school_absent_work</t>
  </si>
  <si>
    <t>231. In the past month (four weeks) how many days has ${hoh_roster_name} missed school for work or other reasons?</t>
  </si>
  <si>
    <t>231. Au cours du dernier mois (quatre semaines), combien de jours ${hoh_roster_name} a-t-il manqué l'école pour le travail ou pour d'autres raisons ?</t>
  </si>
  <si>
    <t>selected(${w_pm_town}, '-777')</t>
  </si>
  <si>
    <t>231. A cikin watan da ya gabata (makonni hudu), kwanaki nawa ${hoh_roster_name} yayi fashin makaranta saboda aiki ko wasu dalilai?</t>
  </si>
  <si>
    <t>233. In the past month (four weeks) how many days has ${hoh_roster_name} missed school for work or other reasons?</t>
  </si>
  <si>
    <t>233. Au cours du dernier mois (quatre semaines), combien de jours ${hoh_roster_name} a-t-il manqué l'école pour le travail ou pour d'autres raisons ?</t>
  </si>
  <si>
    <t>233. A cikin watan da ya gabata (makonni hudu), kwanaki nawa ${hoh_roster_name} yayi fashin makaranta saboda aiki ko wasu dalilai?</t>
  </si>
  <si>
    <t>hoh_married</t>
  </si>
  <si>
    <t>232. Is ${hoh_roster_name} married?</t>
  </si>
  <si>
    <t>232. Est-ce que ${hoh_roster_name} est marié ?</t>
  </si>
  <si>
    <t>232. Ko ${hoh_roster_name} yanada aure?</t>
  </si>
  <si>
    <t>234. Is ${hoh_roster_name} married?</t>
  </si>
  <si>
    <t>whyno_in</t>
  </si>
  <si>
    <t>234. Est-ce que ${hoh_roster_name} est marié ?</t>
  </si>
  <si>
    <t>234. Ko ${hoh_roster_name} yanada aure?</t>
  </si>
  <si>
    <t>hoh_wives</t>
  </si>
  <si>
    <t>233. How many wives does ${hoh_new_mem_name} have?</t>
  </si>
  <si>
    <t>233. Combien de femmes a ${hoh_roster_name} ?</t>
  </si>
  <si>
    <t>Permanently moved away from household</t>
  </si>
  <si>
    <t>233. Mata nawa ${hoh_roster_name} yake da su?</t>
  </si>
  <si>
    <t>Définitivement parti du ménage</t>
  </si>
  <si>
    <t>Ya yi ƙaura daga gidan nan na dindindin</t>
  </si>
  <si>
    <t>235. How many wives does ${hoh_new_mem_name} have?</t>
  </si>
  <si>
    <t>235. Combien de femmes a ${hoh_roster_name} ?</t>
  </si>
  <si>
    <t>235. Mata nawa ${hoh_roster_name} yake da su?</t>
  </si>
  <si>
    <t>begin repeat</t>
  </si>
  <si>
    <t>repeatname</t>
  </si>
  <si>
    <t>Standard repeated group</t>
  </si>
  <si>
    <t>220. In the past three months did your household make a significant investment or improvement in the house you reside in?</t>
  </si>
  <si>
    <t>220. &lt;b&gt; Au cours des trois derniers mois&lt;/b&gt;, votre ménage a-t-il fait un investissement important ou des améliorations dans la maison que vous habitez ?</t>
  </si>
  <si>
    <t>220. A cikin watanni uku da suka wuce, gidanku ya saka wani babban jari ko ya gyara gidan da kuke zaune?</t>
  </si>
  <si>
    <t>26. Est-ce que ${pm_name} sera dans le ménage au cours des deux prochaines semaines ?</t>
  </si>
  <si>
    <t>34. Ko ${pm_name} zai kasance a gidan nan cikin sati biyu masu zuwa?</t>
  </si>
  <si>
    <t>Enumerator: If yes, please ask the respondent when the best time to return to survey ${pm_name} and note it down. We would like you to return to the household then to survey ${pm_name}.</t>
  </si>
  <si>
    <t>221. Build additional rooms</t>
  </si>
  <si>
    <t>Enquêteur : Si oui, veuillez demander au répondant quel est le meilleur moment pour revenir à l'enquête ${pm_name} et notez-le. Nous aimerions que vous retourniez au ménage pour enquêter ${pm_name}.</t>
  </si>
  <si>
    <t>221. Construire des chambres supplémentaires</t>
  </si>
  <si>
    <t>221. Ginin ƙarin ɗakuna</t>
  </si>
  <si>
    <t>Mai bincike: Idan eh ne, ka tambayi mai bada amsa lokacin da ya fi dacewa don komawa binciken ${pm_name} kuma arubuta shi. Da fatan za'a koma gidan don yin binciken ${pm_name}.</t>
  </si>
  <si>
    <t>hoh_past_migration_note</t>
  </si>
  <si>
    <t>234. We would now like to ask you about the migration history of ${hoh_roster_name}.</t>
  </si>
  <si>
    <t>475. Nous aimerions maintenant vous poser des questions sur l'historique de migration de ${hoh_roster_name}.</t>
  </si>
  <si>
    <t>475. Yanzu muna so mu tambaye ka tarihin zuwa biɗa na ${hoh_roster_name}.</t>
  </si>
  <si>
    <t>Married out of family</t>
  </si>
  <si>
    <t>Marié hors famille</t>
  </si>
  <si>
    <t>Ya yi aure a wani gidan daban.</t>
  </si>
  <si>
    <t>236. We would now like to ask you about the migration history of ${hoh_roster_name}.</t>
  </si>
  <si>
    <t>236. Nous aimerions maintenant vous poser des questions sur l'historique de migration de ${hoh_roster_name}.</t>
  </si>
  <si>
    <t>236. Yanzu muna so mu tambaye ka tarihin zuwa biɗa na ${hoh_roster_name}.</t>
  </si>
  <si>
    <t>hoh_mem_migrate</t>
  </si>
  <si>
    <t>235. Since ${period}, has ${hoh_roster_name} spent more than a week (7 days) away from home?</t>
  </si>
  <si>
    <t>476. Depuis cette ${period_french}, ${hoh_roster_name} a-t-il passé plus d'une semaine (7 jours) loin de chez lui ?</t>
  </si>
  <si>
    <t>476. Tun wancan ${period_hausa}, ${hoh_roster_name} ya shafe fiye da mako guda (kwana 7) baya gida?</t>
  </si>
  <si>
    <t>237. Since ${period}, has ${hoh_roster_name} spent more than a week (7 days) away from home?</t>
  </si>
  <si>
    <t>237. Depuis cette ${period_french}, ${hoh_roster_name} a-t-il passé plus d'une semaine (7 jours) loin de chez lui ?</t>
  </si>
  <si>
    <t>237. Tun wancan ${period_hausa}, ${hoh_roster_name} ya shafe fiye da mako guda (kwana 7) baya gida?</t>
  </si>
  <si>
    <t>select_multiple countries</t>
  </si>
  <si>
    <t>hoh_dest_country</t>
  </si>
  <si>
    <t>236. Since ${period}, in which of the following countries has ${hoh_roster_name} spent more than one week? Select all that apply</t>
  </si>
  <si>
    <t>477. Depuis cette ${period_french}, dans lequel des pays suivants hoh_roster_name a-t-il passé plus d'une semaine ? Sélectionnez tout ce qui s'y rapporte</t>
  </si>
  <si>
    <t>477. Tun daga wancan ${period_hausa}, a cikin waɗanne ƙasashe ne ${hoh_roster_name} ya shafe fiye da mako ɗaya? Zaɓi duk abin da ya dace</t>
  </si>
  <si>
    <t>Divorced</t>
  </si>
  <si>
    <t>Divorcé</t>
  </si>
  <si>
    <t>238. Since ${period}, in which of the following countries has ${hoh_roster_name} spent more than one week? Select all that apply</t>
  </si>
  <si>
    <t>An rabu</t>
  </si>
  <si>
    <t>238. Depuis cette ${period_french}, dans lequel des pays suivants hoh_roster_name a-t-il passé plus d'une semaine ? Sélectionnez tout ce qui s'y rapporte</t>
  </si>
  <si>
    <t>238. Tun daga wancan ${period_hausa}, a cikin waɗanne ƙasashe ne ${hoh_roster_name} ya shafe fiye da mako ɗaya? Zaɓi duk abin da ya dace</t>
  </si>
  <si>
    <t>hoh_dest_country_o</t>
  </si>
  <si>
    <t>237. Specify other</t>
  </si>
  <si>
    <t>237. Autre à préciser</t>
  </si>
  <si>
    <t>237. Wani daban a Bayyana</t>
  </si>
  <si>
    <t>239. Specify other</t>
  </si>
  <si>
    <t>239. Autre à préciser</t>
  </si>
  <si>
    <t>239. Wani daban a Bayyana</t>
  </si>
  <si>
    <t>Deceased</t>
  </si>
  <si>
    <t>238. In ${hoh_destination}, what was the name of the city or town that ${hoh_roster_name} moved to?</t>
  </si>
  <si>
    <t>238. À ${hoh_destination}, quel était le nom de la ville dans laquelle ${hoh_roster_name} il a séjourné ?</t>
  </si>
  <si>
    <t>Décédé</t>
  </si>
  <si>
    <t>238. A ${hoh_destination}, menene sunan birnin da ${hoh_roster_name} ya zauna?</t>
  </si>
  <si>
    <t>Ya Mutu</t>
  </si>
  <si>
    <t>240. In ${hoh_destination}, what was the name of the region that ${hoh_roster_name} moved to?</t>
  </si>
  <si>
    <t xml:space="preserve">240. </t>
  </si>
  <si>
    <t>end repeat</t>
  </si>
  <si>
    <t>241. Specify other</t>
  </si>
  <si>
    <t>241. Autre à préciser</t>
  </si>
  <si>
    <t>241. Wani daban a Bayyana</t>
  </si>
  <si>
    <t>242. How many times did ${hoh_roster_name} travel to ${hoh_destination} since ${period}?</t>
  </si>
  <si>
    <t xml:space="preserve">242. </t>
  </si>
  <si>
    <t>28. Where is ${shm_name} living?
 Enumerator: Is location in Niger?</t>
  </si>
  <si>
    <t>28. Où habite ${shm_name}?
  Enquêteur : le lieu est-il au Niger?</t>
  </si>
  <si>
    <t>28. A ina ${shm_name} ya zaune?
  Mai bincike: Wurin a Nijar ne?</t>
  </si>
  <si>
    <t>select_multiple towns</t>
  </si>
  <si>
    <t>hoh_dest_town</t>
  </si>
  <si>
    <t>240. In ${hoh_destination}, what was the name of the city or town that ${hoh_roster_name} moved to?</t>
  </si>
  <si>
    <t>240. À ${hoh_destination}, quel était le nom de la ville dans laquelle ${hoh_roster_name} il a séjourné ?</t>
  </si>
  <si>
    <t>240. A ${hoh_destination}, menene sunan birnin da ${hoh_roster_name} ya zauna?</t>
  </si>
  <si>
    <t>${w_shm_home} = 0</t>
  </si>
  <si>
    <t>hoh_dest_town_o</t>
  </si>
  <si>
    <t>Group repeated exactly three times</t>
  </si>
  <si>
    <t>select_multiple region</t>
  </si>
  <si>
    <t xml:space="preserve">hoh_dest_region </t>
  </si>
  <si>
    <t>481. Dans ${hoh_destination}, quel était le nom de la région vers laquelle ${hoh_roster_name} est allé ?</t>
  </si>
  <si>
    <t>481. A ${hoh_destination}, menene sunan yankin da ${hoh_roster_name} ya je?</t>
  </si>
  <si>
    <t>illness</t>
  </si>
  <si>
    <t>242. In ${hoh_destination}, what was the name of the region that ${hoh_roster_name} moved to?</t>
  </si>
  <si>
    <t>242. Dans ${hoh_destination}, quel était le nom de la région vers laquelle ${hoh_roster_name} est allé ?</t>
  </si>
  <si>
    <t>242. A ${hoh_destination}, menene sunan yankin da ${hoh_roster_name} ya je?</t>
  </si>
  <si>
    <t>malaria</t>
  </si>
  <si>
    <t>hoh_dest_region_o</t>
  </si>
  <si>
    <t>Paludisme</t>
  </si>
  <si>
    <t>Masassarar cizon sauro</t>
  </si>
  <si>
    <t>243. Specify other</t>
  </si>
  <si>
    <t>243. Autre à préciser</t>
  </si>
  <si>
    <t>243. Wani daban a Bayyana</t>
  </si>
  <si>
    <t>hoh_dest_frequency</t>
  </si>
  <si>
    <t>483. Combien de fois ${hoh_roster_name} s'est-il rendu à ${hoh_destination} depuis la ${period_french}?</t>
  </si>
  <si>
    <t>483. Sau nawa ${hoh_roster_name} yayi tafiya zuwa ${hoh_destination} tun daga wancan ${period_hausa}?</t>
  </si>
  <si>
    <t>244. How many times did ${hoh_roster_name} travel to ${hoh_destination} since ${period}?</t>
  </si>
  <si>
    <t>244. Combien de fois ${hoh_roster_name} s'est-il rendu à ${hoh_destination} depuis la ${period_french}?</t>
  </si>
  <si>
    <t>244. Sau nawa ${hoh_roster_name} yayi tafiya zuwa ${hoh_destination} tun daga wancan ${period_hausa}?</t>
  </si>
  <si>
    <t>tuberculosis</t>
  </si>
  <si>
    <t>Tuberculose</t>
  </si>
  <si>
    <t>Babban Tari</t>
  </si>
  <si>
    <t>${w_shm_in_niger} = 1</t>
  </si>
  <si>
    <t>246. In ${hoh_failed_country}, what was the name of the city or town that ${hoh_roster_name} planned to move to?</t>
  </si>
  <si>
    <t xml:space="preserve">246. </t>
  </si>
  <si>
    <t>hoh_failed_prep</t>
  </si>
  <si>
    <t>243. Since ${period}, was there ever a time when ${hoh_roster_name} planned to migrate but then had to cancel their plans?</t>
  </si>
  <si>
    <t>484. Depuis cette ${period_french}, y a-t-il déjà eu un moment où ${hoh_roster_name} avait prévu de migrer mais a ensuite dû annuler ses projets ?</t>
  </si>
  <si>
    <t>484. Tun daga ${period_hausa}, ko akwai lokacin da ${hoh_roster_name} ya shirya zuwa biɗa amma sai ya soke shirinshi?</t>
  </si>
  <si>
    <t>245. Since ${period}, was there ever a time when ${hoh_roster_name} planned to migrate but then had to cancel their plans?</t>
  </si>
  <si>
    <t>245. Depuis cette ${period_french}, y a-t-il déjà eu un moment où ${hoh_roster_name} avait prévu de migrer mais a ensuite dû annuler ses projets ?</t>
  </si>
  <si>
    <t>245. Tun daga ${period_hausa}, ko akwai lokacin da ${hoh_roster_name} ya shirya zuwa biɗa amma sai ya soke shirinshi?</t>
  </si>
  <si>
    <t>hoh_failed_prep_country</t>
  </si>
  <si>
    <t>244. Where did they plan to migrate?</t>
  </si>
  <si>
    <t>485. Où envisageait-il de migrer ?</t>
  </si>
  <si>
    <t>485. Zuwa ina ya shirya zuwa biɗar?</t>
  </si>
  <si>
    <t>246. Where did they plan to migrate?</t>
  </si>
  <si>
    <t>246. Où envisageait-il de migrer ?</t>
  </si>
  <si>
    <t>yellow fever</t>
  </si>
  <si>
    <t>246. Zuwa ina ya shirya zuwa biɗar?</t>
  </si>
  <si>
    <t>Fièvre jaune</t>
  </si>
  <si>
    <t>hoh_failed_prep_country_o</t>
  </si>
  <si>
    <t>245. Specify other</t>
  </si>
  <si>
    <t>Farar masassara</t>
  </si>
  <si>
    <t>245. Autre à préciser</t>
  </si>
  <si>
    <t>245. Wani daban a Bayyana</t>
  </si>
  <si>
    <t>247. Specify other</t>
  </si>
  <si>
    <t>247. Autre à préciser</t>
  </si>
  <si>
    <t>247. Wani daban a Bayyana</t>
  </si>
  <si>
    <t>${w_shm_in_niger} = 0</t>
  </si>
  <si>
    <t>250. How many times did they plan to migrate to ${hoh_failed_country} and fail?</t>
  </si>
  <si>
    <t xml:space="preserve">250. </t>
  </si>
  <si>
    <t>typhoid</t>
  </si>
  <si>
    <t>Typhoïde</t>
  </si>
  <si>
    <t>Masassarar kayan ɗanye</t>
  </si>
  <si>
    <t>251. Why did they change their plans?</t>
  </si>
  <si>
    <t>251. Pourquoi a-t-il changé son plan?</t>
  </si>
  <si>
    <t>251. Me yasa ya fasa tafiyar?</t>
  </si>
  <si>
    <t>252. Specify other reason</t>
  </si>
  <si>
    <t>252. Précisez une autre raison</t>
  </si>
  <si>
    <t>252. Baiyana wani dalili daban</t>
  </si>
  <si>
    <t>hoh_failed_town</t>
  </si>
  <si>
    <t>487. Dans ${hoh_failed_country}, quel était le nom de la ville ou du village vers lequel ${hoh_roster_name} prévoyait de voyager ?</t>
  </si>
  <si>
    <t>487. A ƙasar ${hoh_failed_country}, menene sunan birni ko garin da sunan ${hoh_roster_name} yayi shirin zuwa?</t>
  </si>
  <si>
    <t>cholera</t>
  </si>
  <si>
    <t>248. In ${hoh_failed_country}, what was the name of the city or town that ${hoh_roster_name} planned to move to?</t>
  </si>
  <si>
    <t>248. Dans ${hoh_failed_country}, quel était le nom de la ville ou du village vers lequel ${hoh_roster_name} prévoyait de voyager ?</t>
  </si>
  <si>
    <t>Choléra</t>
  </si>
  <si>
    <t>248. A ƙasar ${hoh_failed_country}, menene sunan birni ko garin da sunan ${hoh_roster_name} yayi shirin zuwa?</t>
  </si>
  <si>
    <t>speed violations count</t>
  </si>
  <si>
    <t>kwalara</t>
  </si>
  <si>
    <t>hoh_failed_town_o</t>
  </si>
  <si>
    <t>${w_shm_country} = -777</t>
  </si>
  <si>
    <t>249. Specify other</t>
  </si>
  <si>
    <t>249. Autre à préciser</t>
  </si>
  <si>
    <t>249. Wani daban a Bayyana</t>
  </si>
  <si>
    <t xml:space="preserve">hoh_failed_region </t>
  </si>
  <si>
    <t>248. In ${hoh_failed_country}, what was the name of the region that ${hoh_roster_name} planned to move to?</t>
  </si>
  <si>
    <t>489. Dans ${hoh_failed_country}, quel était le nom de la région dans laquelle ${hoh_roster_name} prévoyait de voyager ?</t>
  </si>
  <si>
    <t>489. A kasar ${hoh_failed_country}, menene sunan yankin da sunan ${hoh_roster_name} ya shirya zuwa?</t>
  </si>
  <si>
    <t>250. In ${hoh_failed_country}, what was the name of the region that ${hoh_roster_name} planned to move to?</t>
  </si>
  <si>
    <t>diarrhea</t>
  </si>
  <si>
    <t>250. Dans ${hoh_failed_country}, quel était le nom de la région dans laquelle ${hoh_roster_name} prévoyait de voyager ?</t>
  </si>
  <si>
    <t>250. A kasar ${hoh_failed_country}, menene sunan yankin da sunan ${hoh_roster_name} ya shirya zuwa?</t>
  </si>
  <si>
    <t>Diarrhée</t>
  </si>
  <si>
    <t>hoh_failed_region_o</t>
  </si>
  <si>
    <t>zawo</t>
  </si>
  <si>
    <t>251. Specify other</t>
  </si>
  <si>
    <t>251. Autre à préciser</t>
  </si>
  <si>
    <t>251. Wani daban a Bayyana</t>
  </si>
  <si>
    <t>hoh_failed_prep_count</t>
  </si>
  <si>
    <t>491. Combien de fois ont-ils prévu de migrer vers ${hoh_failed_country} et ont-ils échoué ?</t>
  </si>
  <si>
    <t>491. Sau nawa ya shirya zuwa ƙasar ${hoh_failed_country} kuma ya kasa?</t>
  </si>
  <si>
    <t>252. How many times did they plan to migrate to ${hoh_failed_country} and fail?</t>
  </si>
  <si>
    <t>252. Combien de fois ont-ils prévu de migrer vers ${hoh_failed_country} et ont-ils échoué ?</t>
  </si>
  <si>
    <t>252. Sau nawa ya shirya zuwa ƙasar ${hoh_failed_country} kuma ya kasa?</t>
  </si>
  <si>
    <t>select_multiple fail_reason</t>
  </si>
  <si>
    <t>hoh_failed_prep_reason</t>
  </si>
  <si>
    <t>speed violations list</t>
  </si>
  <si>
    <t>search('towns', 'matches', 'country_id', ${w_shm_country})</t>
  </si>
  <si>
    <t>meningitis</t>
  </si>
  <si>
    <t>Méningite</t>
  </si>
  <si>
    <t>${w_shm_in_niger} = 0 and ${w_shm_country} != -999</t>
  </si>
  <si>
    <t>253. Why did they change their plans?</t>
  </si>
  <si>
    <t>Sanƙarau</t>
  </si>
  <si>
    <t>253. Pourquoi a-t-il changé son plan?</t>
  </si>
  <si>
    <t>253. Me yasa ya fasa tafiyar?</t>
  </si>
  <si>
    <t>hoh_failed_prep_reason_o</t>
  </si>
  <si>
    <t>254. Specify other reason</t>
  </si>
  <si>
    <t>254. Précisez une autre raison</t>
  </si>
  <si>
    <t>254. Baiyana wani dalili daban</t>
  </si>
  <si>
    <t>245. For ${hoh_emergency_name}
What was the value of the following in CFA?</t>
  </si>
  <si>
    <t>245. Par rapport à ${hoh_emergency_name}
Quelle était la valeur des éléments suivantes en CFA?</t>
  </si>
  <si>
    <t>245. Game da ${hoh_emergency_name}
 Nawa ne kimar waɗannan abubuwan a kuɗin CFA?</t>
  </si>
  <si>
    <t>chicken pox</t>
  </si>
  <si>
    <t>Varicelle</t>
  </si>
  <si>
    <t>Kashin kaji/Farankama</t>
  </si>
  <si>
    <t>246. Assets you sold</t>
  </si>
  <si>
    <t>246. Les actifs que vous avez vendus</t>
  </si>
  <si>
    <t>246. Kadarorin da kuka saida</t>
  </si>
  <si>
    <t>speed violations audit</t>
  </si>
  <si>
    <t>247. Loan(s) you took</t>
  </si>
  <si>
    <t>selected(${w_shm_town}, '-777')</t>
  </si>
  <si>
    <t>247. Les prêt(s) que vous avez contracté</t>
  </si>
  <si>
    <t>247. Bashin da kuka ɗauka</t>
  </si>
  <si>
    <t>v = 5; d = 120</t>
  </si>
  <si>
    <t>248. Savings you spent?</t>
  </si>
  <si>
    <t>248. L'épargne que vous avez utilisé</t>
  </si>
  <si>
    <t>248. Ajiyar da kuka kashe</t>
  </si>
  <si>
    <t>pneumonia</t>
  </si>
  <si>
    <t>Pneumonie</t>
  </si>
  <si>
    <t>ciwon huhu</t>
  </si>
  <si>
    <t>34. Est-ce que ${shm_name} sera dans le ménage au cours des deux prochaines semaines ?</t>
  </si>
  <si>
    <t>34. Ko ${shm_name} zai kasance a gidan nan cikin sati biyu masu zuwa?</t>
  </si>
  <si>
    <t>Enumerator: If yes, please ask the respondent when the best time to return to survey ${shm_name} and note it down. We would like you to return to the household then to survey ${shm_name}.</t>
  </si>
  <si>
    <t>Enquêteur : Si oui, veuillez demander au répondant quel est le meilleur moment pour revenir à l'enquête ${shm_name} et notez-le. Nous aimerions que vous retourniez au ménage pour enquêter ${shm_name}.</t>
  </si>
  <si>
    <t>253. Now I will ask you about how your household manages its resources.</t>
  </si>
  <si>
    <t>253. Je vais maintenant vous demander comment votre ménage gère ses ressources.</t>
  </si>
  <si>
    <t>253. Yanzu zan tambaye ku yadda gidanku yake sarrafa dukiyoyinshi.</t>
  </si>
  <si>
    <t>sensor_stream movement</t>
  </si>
  <si>
    <t>254. Do you or another member of the household own this house?</t>
  </si>
  <si>
    <t>254. Est-ce que vous ou un autre membre du ménage êtes propriétaire de cette maison ?</t>
  </si>
  <si>
    <t>254. Shin wannan gidan mallakarku ne kai ko wani dan cikin gidan ?</t>
  </si>
  <si>
    <t>Mai bincike: Idan eh ne, ka tambayi mai bada amsa lokacin da ya fi dacewa don komawa binciken ${shm_name} kuma arubuta shi. Da fatan za'a koma gidan don yin binciken ${shm_name}.</t>
  </si>
  <si>
    <t>255. What is your best estimate of the value of your home in CFA?</t>
  </si>
  <si>
    <t>255. Quelle est votre meilleure estimation de la valeur de votre maison en CFA ?</t>
  </si>
  <si>
    <t>255. A ganinka wannan gidan aƙalla ya yi nawa a kudin CFA ?</t>
  </si>
  <si>
    <t>256. Does your household own the following goods?</t>
  </si>
  <si>
    <t>256. Votre ménage possède-t-il les biens suivants ?</t>
  </si>
  <si>
    <t>256. Ko gidanku na da kadarori masu zuwa?</t>
  </si>
  <si>
    <t>257. Does your household own any of the following types of livestock?</t>
  </si>
  <si>
    <t>257. Votre ménage possède-t-il l'un des types de bétail suivants ?</t>
  </si>
  <si>
    <t>257. ko gidanku yana da ɗaya daga cikin irin wadannan dabbobi?</t>
  </si>
  <si>
    <t>period = 1</t>
  </si>
  <si>
    <t>254. In the last 7 days, have adults gone a whole day without meals?</t>
  </si>
  <si>
    <t>254. Au cours des 7 derniers jours, des adultes sont-ils restés une journée entière sans manger de repas ?</t>
  </si>
  <si>
    <t>254. A cikin kwanaki 7 da suka wuce, ko manya gidanku sun zauna tsawon wuni guda basu ci abinci ba?</t>
  </si>
  <si>
    <t>hoh_hh_resources_note</t>
  </si>
  <si>
    <t>sensor_statistic pct_movement_between</t>
  </si>
  <si>
    <t>schools</t>
  </si>
  <si>
    <t>255. Now I will ask you about how your household manages its resources.</t>
  </si>
  <si>
    <t>speedcheck_w_loc_end</t>
  </si>
  <si>
    <t>255. Je vais maintenant vous demander comment votre ménage gère ses ressources.</t>
  </si>
  <si>
    <t>255. Yanzu zan tambaye ku yadda gidanku yake sarrafa dukiyoyinshi.</t>
  </si>
  <si>
    <t>hoh_own_home</t>
  </si>
  <si>
    <t>Public school</t>
  </si>
  <si>
    <t>École publique</t>
  </si>
  <si>
    <t>Makarantar gwamnati</t>
  </si>
  <si>
    <t>256. Do you or another member of the household own this house?</t>
  </si>
  <si>
    <t>256. Est-ce que vous ou un autre membre du ménage êtes propriétaire de cette maison ?</t>
  </si>
  <si>
    <t>256. Shin wannan gidan mallakarku ne kai ko wani dan cikin gidan ?</t>
  </si>
  <si>
    <t>hoh_home_value</t>
  </si>
  <si>
    <t>min = 0.25; max = 2</t>
  </si>
  <si>
    <t>257. What is your best estimate of the value of your home in CFA?</t>
  </si>
  <si>
    <t>257. Quelle est votre meilleure estimation de la valeur de votre maison en CFA ?</t>
  </si>
  <si>
    <t>257. A ganinka wannan gidan aƙalla ya yi nawa a kudin CFA ?</t>
  </si>
  <si>
    <t>select_multiple assets</t>
  </si>
  <si>
    <t>hoh_durable_asset</t>
  </si>
  <si>
    <t>258. Does your household own the following goods?</t>
  </si>
  <si>
    <t>258. Votre ménage possède-t-il les biens suivants ?</t>
  </si>
  <si>
    <t>258. Ko gidanku na da kadarori masu zuwa?</t>
  </si>
  <si>
    <t>select_multiple livestock</t>
  </si>
  <si>
    <t>hoh_livestock_any</t>
  </si>
  <si>
    <t>Franco Arab School</t>
  </si>
  <si>
    <t>Ecole franco arabe</t>
  </si>
  <si>
    <t>Makarantar Franco Arab /madarissa</t>
  </si>
  <si>
    <t>dur_w_loc</t>
  </si>
  <si>
    <t>259. Does your household own any of the following types of livestock?</t>
  </si>
  <si>
    <t>259. Votre ménage possède-t-il l'un des types de bétail suivants ?</t>
  </si>
  <si>
    <t>259. ko gidanku yana da ɗaya daga cikin irin wadannan dabbobi?</t>
  </si>
  <si>
    <t>Quick reference for relevance, constraint, and selected calculation expressions</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</si>
  <si>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</si>
  <si>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</si>
  <si>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</si>
  <si>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</si>
  <si>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</si>
  <si>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 xml:space="preserve">${speedcheck_w_loc_end} - ${speedcheck_w_loc_start} </t>
  </si>
  <si>
    <t>261. A ganinka da gonakan da kuka mallaka da na haya da na aro wanda kuka noma a bana sun kai eka nawa?</t>
  </si>
  <si>
    <t>Koranic School</t>
  </si>
  <si>
    <t>Makarantar Kur'ani/makarantar allo</t>
  </si>
  <si>
    <t>262. How much of this land (in hectares) do you or another member of your household own?</t>
  </si>
  <si>
    <t>262. Quelle superficie de cette terre (en hectares) vous ou un autre membre de votre ménage possédez?</t>
  </si>
  <si>
    <t>262. Eka nawa ne mallakinku cikin wadannan gonakin, ku ko wani ɗan gidanku?</t>
  </si>
  <si>
    <t>hoh_livestock_own</t>
  </si>
  <si>
    <t>258. How many ${hoh_livestock_name} does your household own?</t>
  </si>
  <si>
    <t>258. Combien de ${hoh_livestock_name} votre ménage possède-t-il ?</t>
  </si>
  <si>
    <t>258. ${hoh_livestock_name} Nawa gidan ku ya mallaka ?</t>
  </si>
  <si>
    <t>Learn about all available expressions in "Using expressions in your forms: a reference for all operators and functions"</t>
  </si>
  <si>
    <t>260. How many ${hoh_livestock_name} does your household own?</t>
  </si>
  <si>
    <t>260. Combien de ${hoh_livestock_name} votre ménage possède-t-il ?</t>
  </si>
  <si>
    <t>260. ${hoh_livestock_name} Nawa gidan ku ya mallaka ?</t>
  </si>
  <si>
    <t>hoh_livestock_value</t>
  </si>
  <si>
    <t>259. How much is ${hoh_livestock_name} worth in CFA?</t>
  </si>
  <si>
    <t>259. Combien vaut ${hoh_livestock_name} en CFA ?</t>
  </si>
  <si>
    <t>259. Nawa ne kuɗin ${hoh_livestock_name} a sefa?</t>
  </si>
  <si>
    <t>speedcheck_w_savings_start</t>
  </si>
  <si>
    <t>Private School</t>
  </si>
  <si>
    <t>École privée</t>
  </si>
  <si>
    <t>261. How much is ${hoh_livestock_name} worth in CFA?</t>
  </si>
  <si>
    <t>Makaranta masu zaman kansu/ marantar biya</t>
  </si>
  <si>
    <t>261. Combien vaut ${hoh_livestock_name} en CFA ?</t>
  </si>
  <si>
    <t>261. Nawa ne kuɗin ${hoh_livestock_name} a sefa?</t>
  </si>
  <si>
    <t>265. How much of this land (in hectares) did you rent during the last agricultural season?</t>
  </si>
  <si>
    <t>265. Quelle superficie de cette terre (en hectares) avez-vous louée au cours de la dernière saison agricole ?</t>
  </si>
  <si>
    <t>265. Eka nawa ne kuka yi haya a lokacin noman da ta wuce?</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</si>
  <si>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</si>
  <si>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</si>
  <si>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</si>
  <si>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267. Now we will focus on agricultural activities during last agricultural season</t>
  </si>
  <si>
    <t>Operation</t>
  </si>
  <si>
    <t>267. Maintenant, nous allons nous concentrer sur les activités agricoles au cours de la dernière saison agricole</t>
  </si>
  <si>
    <t>267. Yanzu za mu maida hankali kan ayyukan noma a lokacin damanar da ta wuce</t>
  </si>
  <si>
    <t>Operator</t>
  </si>
  <si>
    <t>Example</t>
  </si>
  <si>
    <t>Example answer</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</si>
  <si>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</si>
  <si>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</si>
  <si>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</si>
  <si>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hoh_agriculture_note</t>
  </si>
  <si>
    <t>Addition</t>
  </si>
  <si>
    <t>+</t>
  </si>
  <si>
    <t>1 + 1</t>
  </si>
  <si>
    <t>262. Now we'll talk about your households' agricultural and and animal husbandry activities. 
Let's starting with the most recent agricultural season</t>
  </si>
  <si>
    <t>262. Maintenant, nous allons parler des activités agricoles et d'élevage de votre ménage.
Commençons par la dernière saison agricole</t>
  </si>
  <si>
    <t>262. Yanzu za mu yi hira bisa aikin noma da kiwo na gidanku.</t>
  </si>
  <si>
    <t>unit</t>
  </si>
  <si>
    <t>hoh_land_access_amt</t>
  </si>
  <si>
    <t>Subtraction</t>
  </si>
  <si>
    <t>-</t>
  </si>
  <si>
    <t>kg</t>
  </si>
  <si>
    <t>kilo</t>
  </si>
  <si>
    <t>263. Thinking of all the agricultural land your household owned, rented or and had access to during the last agricultural season, please estimate its total size in hectres</t>
  </si>
  <si>
    <t>263. En pensant à toutes les terres agricoles que votre ménage possédait, louait ou auxquelles il avait accès au cours de la dernière saison agricole, veuillez estimer leur superficie totale en hectares</t>
  </si>
  <si>
    <t>263. A ganinka da gonakan da kuka mallaka da na haya da na aro wanda kuka noma a bana sun kai eka nawa?</t>
  </si>
  <si>
    <t>hoh_own_hectares</t>
  </si>
  <si>
    <t>Multiplication</t>
  </si>
  <si>
    <t>*</t>
  </si>
  <si>
    <t>3 * 2</t>
  </si>
  <si>
    <t>264. How much of this land (in hectares) do you or another member of your household own?</t>
  </si>
  <si>
    <t>264. Quelle superficie de cette terre (en hectares) vous ou un autre membre de votre ménage possédez?</t>
  </si>
  <si>
    <t>264. Eka nawa ne mallakinku cikin wadannan gonakin, ku ko wani ɗan gidanku?</t>
  </si>
  <si>
    <t>Division</t>
  </si>
  <si>
    <t>hoh_land_sold</t>
  </si>
  <si>
    <t>div</t>
  </si>
  <si>
    <t>263. How much of this land, if any have you sold in the past year?</t>
  </si>
  <si>
    <t>10 div 2</t>
  </si>
  <si>
    <t>263. Quelle superficie de ce terrain, si c'est déjà arrivé, avez-vous vendu au cours de l'année écoulée ?</t>
  </si>
  <si>
    <t>263. Eka nawa ne kuka saida, idan ya taɓa faruwa, a cikin shekarar da ta gabata?</t>
  </si>
  <si>
    <t>Modulus</t>
  </si>
  <si>
    <t>mod</t>
  </si>
  <si>
    <t>265. How much of this land, if any have you sold in the past year?</t>
  </si>
  <si>
    <t>265. Quelle superficie de ce terrain, si c'est déjà arrivé, avez-vous vendu au cours de l'année écoulée ?</t>
  </si>
  <si>
    <t>9 mod 2</t>
  </si>
  <si>
    <t>265. Eka nawa ne kuka saida, idan ya taɓa faruwa, a cikin shekarar da ta gabata?</t>
  </si>
  <si>
    <t>hoh_land_purchased</t>
  </si>
  <si>
    <t>264. How much of this land, if any have you purchased in the past year?</t>
  </si>
  <si>
    <t>264. Quelle superficie de ce terrain, si c'est déjà arrivé, avez-vous acheté au cours de la dernière année ?</t>
  </si>
  <si>
    <t>264. Eka nawa ne kuka saye, idan ya faru, a cikin shekarar da ta gabata?</t>
  </si>
  <si>
    <t>box</t>
  </si>
  <si>
    <t>Equal</t>
  </si>
  <si>
    <t>boîte</t>
  </si>
  <si>
    <t>=</t>
  </si>
  <si>
    <t>kwanko</t>
  </si>
  <si>
    <t>${fieldname} = 3</t>
  </si>
  <si>
    <t xml:space="preserve"> </t>
  </si>
  <si>
    <t>266. How much of this land, if any have you purchased in the past year?</t>
  </si>
  <si>
    <t>266. Quelle superficie de ce terrain, si c'est déjà arrivé, avez-vous acheté au cours de la dernière année ?</t>
  </si>
  <si>
    <t>266. Eka nawa ne kuka saye, idan ya faru, a cikin shekarar da ta gabata?</t>
  </si>
  <si>
    <t>true or false</t>
  </si>
  <si>
    <t>hoh_rent_land</t>
  </si>
  <si>
    <t>Not equal</t>
  </si>
  <si>
    <t>!=</t>
  </si>
  <si>
    <t>${fieldname} != 3</t>
  </si>
  <si>
    <t>Greater-than</t>
  </si>
  <si>
    <t>267. How much of this land (in hectares) did you rent during the last agricultural season?</t>
  </si>
  <si>
    <t>267. Quelle superficie de cette terre (en hectares) avez-vous louée au cours de la dernière saison agricole ?</t>
  </si>
  <si>
    <t>267. Eka nawa ne kuka yi haya a lokacin noman da ta wuce?</t>
  </si>
  <si>
    <t>&gt;</t>
  </si>
  <si>
    <t>${fieldname} &gt; 3</t>
  </si>
  <si>
    <t>hoh_rent_land_amt</t>
  </si>
  <si>
    <t>&gt;-or-equal</t>
  </si>
  <si>
    <t>&gt;=</t>
  </si>
  <si>
    <t>${fieldname} &gt;= 3</t>
  </si>
  <si>
    <t>tia</t>
  </si>
  <si>
    <t>268. How much did you pay to rent this land during the last agricultural season (in CFA)?</t>
  </si>
  <si>
    <t>268. A combien avez-vous loué ce terrain (en CFA) au cours de la dernière saison agricole ?</t>
  </si>
  <si>
    <t>268. A nawa kuka yi hayar wannan gonar a lokacin noman da ta wuce (a sefa)?</t>
  </si>
  <si>
    <t>Less-than</t>
  </si>
  <si>
    <t>tiya</t>
  </si>
  <si>
    <t>&lt;</t>
  </si>
  <si>
    <t>${fieldname} &lt; 3</t>
  </si>
  <si>
    <t>&lt;-or-equal</t>
  </si>
  <si>
    <t>269. Clothing</t>
  </si>
  <si>
    <t>269. Vêtements</t>
  </si>
  <si>
    <t>&lt;=</t>
  </si>
  <si>
    <t>269. Tufafi</t>
  </si>
  <si>
    <t>${fieldname} &lt;= 3</t>
  </si>
  <si>
    <t>Or</t>
  </si>
  <si>
    <t>or</t>
  </si>
  <si>
    <t>272. Specify other unit:</t>
  </si>
  <si>
    <t>${fieldname} = 3 or ${fieldname} = 4</t>
  </si>
  <si>
    <t>272. Spécifiez une autre unité :</t>
  </si>
  <si>
    <t>272. Baiyana wani amfanin gonar daban:</t>
  </si>
  <si>
    <t>selected(${w_separate_savings}, '-777')</t>
  </si>
  <si>
    <t>hoh_last_season_note</t>
  </si>
  <si>
    <t>And</t>
  </si>
  <si>
    <t>and</t>
  </si>
  <si>
    <t>${fieldname} &gt; 3 and ${fieldname} &lt; 5</t>
  </si>
  <si>
    <t>50kg sack</t>
  </si>
  <si>
    <t>sac de 50 kg</t>
  </si>
  <si>
    <t>Not</t>
  </si>
  <si>
    <t>269. Now we will focus on agricultural activities during last agricultural season</t>
  </si>
  <si>
    <t>269. Maintenant, nous allons nous concentrer sur les activités agricoles au cours de la dernière saison agricole</t>
  </si>
  <si>
    <t>Buhun kilo 50</t>
  </si>
  <si>
    <t>269. Yanzu za mu maida hankali kan ayyukan noma a lokacin damanar da ta wuce</t>
  </si>
  <si>
    <t>not()</t>
  </si>
  <si>
    <t>select_multiple crops</t>
  </si>
  <si>
    <t>hoh_crops</t>
  </si>
  <si>
    <t>not(${fieldname} &gt; 3 and ${fieldname} &lt; 5)</t>
  </si>
  <si>
    <t>false or true</t>
  </si>
  <si>
    <t>270. Which of the following crops did your household grow during the last agricultural season?</t>
  </si>
  <si>
    <t>270. Laquelle des cultures suivantes votre ménage a-t-il cultivées au cours de la dernière saison agricole ?</t>
  </si>
  <si>
    <t>270. Wanne daga cikin waɗannan amfanin gidanku ya noma a damanar da ta gabata?</t>
  </si>
  <si>
    <t>hoh_crops_o</t>
  </si>
  <si>
    <t>269. Specify other:</t>
  </si>
  <si>
    <t>269. Précisez la culture</t>
  </si>
  <si>
    <t>269. Baiyana wani abu daban:</t>
  </si>
  <si>
    <t>w_savings_amt</t>
  </si>
  <si>
    <t>271. Specify other:</t>
  </si>
  <si>
    <t>271. Précisez la culture</t>
  </si>
  <si>
    <t>271. Baiyana wani abu daban:</t>
  </si>
  <si>
    <t>Function</t>
  </si>
  <si>
    <t>Savings Amount</t>
  </si>
  <si>
    <t>Montant de l'épargne</t>
  </si>
  <si>
    <t>Yawan kuɗin ajiye</t>
  </si>
  <si>
    <t>100 kg sack</t>
  </si>
  <si>
    <t>sac de 100 kg</t>
  </si>
  <si>
    <t>relevant(field)</t>
  </si>
  <si>
    <t>275. How many ${hoh_crop_unit_name}s of ${hoh_crop_name} did your household consume?</t>
  </si>
  <si>
    <t>Buhun kilo 100</t>
  </si>
  <si>
    <t>275. Quelle quantité (${hoh_crop_unit_name}) de ${hoh_crop_name} votre ménage a-t-il consommé ?</t>
  </si>
  <si>
    <t>275. Nawa yawan ${hoh_crop_unit_name} na ${hoh_crop_name} gidanku ya cinye?</t>
  </si>
  <si>
    <t>relevant(${followup_question})</t>
  </si>
  <si>
    <t>not(selected(${w_separate_savings}, '0'))</t>
  </si>
  <si>
    <t>empty(field)</t>
  </si>
  <si>
    <t>empty(${consent})</t>
  </si>
  <si>
    <t>count-selected(${w_separate_savings})</t>
  </si>
  <si>
    <t>once(expression)</t>
  </si>
  <si>
    <t>once(random())</t>
  </si>
  <si>
    <t>276. The amount you have left (${hoh_qty_left}) is negative. Please return and revise your responses.</t>
  </si>
  <si>
    <t xml:space="preserve">276. </t>
  </si>
  <si>
    <t>basket</t>
  </si>
  <si>
    <t>panier</t>
  </si>
  <si>
    <t>277. Based on your responses, you had ${hoh_qty_left} ${hoh_crop_unit_name} left over. Does this sound correct?</t>
  </si>
  <si>
    <t xml:space="preserve">277. </t>
  </si>
  <si>
    <t>sanho</t>
  </si>
  <si>
    <t>hoh_crop_quantity</t>
  </si>
  <si>
    <t>pulldata(csvname, colname, lookupcolname, lookupval)</t>
  </si>
  <si>
    <t>270. How much of ${hoh_crop_name} did your household produce?</t>
  </si>
  <si>
    <t>270. Quelle quantité de ${hoh_crop_name} votre ménage a-t-il produit ?</t>
  </si>
  <si>
    <t>270. ${hoh_crop_name} Nawa gidanku ya samu?</t>
  </si>
  <si>
    <t>w_savings_name</t>
  </si>
  <si>
    <t>pulldata('hhplotdata', 'plot1size', 'hhid_key', ${hhid})</t>
  </si>
  <si>
    <t>Savings Type Name</t>
  </si>
  <si>
    <t>Nom du type d'épargne</t>
  </si>
  <si>
    <t>272. How much of ${hoh_crop_name} did your household produce?</t>
  </si>
  <si>
    <t>272. Quelle quantité de ${hoh_crop_name} votre ménage a-t-il produit ?</t>
  </si>
  <si>
    <t>Sunan Nau'in Ajiya</t>
  </si>
  <si>
    <t>string-length(field)</t>
  </si>
  <si>
    <t>272. ${hoh_crop_name} Nawa gidanku ya samu?</t>
  </si>
  <si>
    <t>string-length(.) &gt; 3</t>
  </si>
  <si>
    <t>select_one unit</t>
  </si>
  <si>
    <t>hoh_crop_unit</t>
  </si>
  <si>
    <t>271. Select crop unit for ${hoh_crop_name}</t>
  </si>
  <si>
    <t>271. Sélectionnez l'unité de culture pour ${hoh_crop_name}</t>
  </si>
  <si>
    <t>271. Zaɓi amfanin gonar don ${hoh_crop_name}</t>
  </si>
  <si>
    <t>count-selected(field)</t>
  </si>
  <si>
    <t>count-selected(.) &gt;= 1</t>
  </si>
  <si>
    <t>273. Select crop unit for ${hoh_crop_name}</t>
  </si>
  <si>
    <t>273. Sélectionnez l'unité de culture pour ${hoh_crop_name}</t>
  </si>
  <si>
    <t>273. Zaɓi amfanin gonar don ${hoh_crop_name}</t>
  </si>
  <si>
    <t>selected(field, value)</t>
  </si>
  <si>
    <t>if(selected-at(${w_separate_savings}, index()-1) = '-777', ${w_separate_savings_o}, choice-label(${w_separate_savings}, selected-at(${w_separate_savings}, index()-1)))</t>
  </si>
  <si>
    <t>selected(${fieldname}, 'Male')</t>
  </si>
  <si>
    <t>unité</t>
  </si>
  <si>
    <t>283.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</si>
  <si>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ɗaya</t>
  </si>
  <si>
    <t>283.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</si>
  <si>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283.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</si>
  <si>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selected-at(field, number)</t>
  </si>
  <si>
    <t>hoh_crop_unit_o</t>
  </si>
  <si>
    <t>selected-at(${fieldname}, 0) = 'Shona'</t>
  </si>
  <si>
    <t>choice-label(field, value)</t>
  </si>
  <si>
    <t>274. Specify other unit:</t>
  </si>
  <si>
    <t>274. Spécifiez une autre unité :</t>
  </si>
  <si>
    <t>274. Baiyana wani amfanin gonar daban:</t>
  </si>
  <si>
    <t>choice-label(${selectonefield}, ${selectonefield})</t>
  </si>
  <si>
    <t>concat(fieldorstring, fieldorstring, ...)</t>
  </si>
  <si>
    <t>concat(${firstname}, ' ', ${lastname})</t>
  </si>
  <si>
    <t>hoh_qty_sold</t>
  </si>
  <si>
    <t>273. What quantity (${hoh_crop_unit_name}) of ${hoh_crop_name} did your household sell since the last harvest?</t>
  </si>
  <si>
    <t>273. Quelle quantité (${hoh_crop_unit_name}) de ${hoh_crop_name} votre ménage a-t-il vendu depuis la dernière récolte ?</t>
  </si>
  <si>
    <t>273. Nawa ne yawan (${hoh_crop_unit_name}) na ${hoh_crop_name} gidanku ya saida tun daga kaka na ƙarshe?</t>
  </si>
  <si>
    <t>index()</t>
  </si>
  <si>
    <t>maraba (1.5 tia)</t>
  </si>
  <si>
    <t>275. What quantity (${hoh_crop_unit_name}) of ${hoh_crop_name} did your household sell since the last harvest?</t>
  </si>
  <si>
    <t>275. Quelle quantité (${hoh_crop_unit_name}) de ${hoh_crop_name} votre ménage a-t-il vendu depuis la dernière récolte ?</t>
  </si>
  <si>
    <t>Demi tiya (1.5 tia)</t>
  </si>
  <si>
    <t>275. Nawa ne yawan (${hoh_crop_unit_name}) na ${hoh_crop_name} gidanku ya saida tun daga kaka na ƙarshe?</t>
  </si>
  <si>
    <t>count(repeatgroup)</t>
  </si>
  <si>
    <t>count(${repeatgroupname})</t>
  </si>
  <si>
    <t>. &gt; 0</t>
  </si>
  <si>
    <t>sum(repeatedfield)</t>
  </si>
  <si>
    <t>hoh_price_sold</t>
  </si>
  <si>
    <t>274. What was the price per ${hoh_crop_unit_name} of ${hoh_crop_name} you sold in CFA?</t>
  </si>
  <si>
    <t>sum(${loan_size})</t>
  </si>
  <si>
    <t>274. Quel était le prix unitaire (${hoh_crop_unit_name}) de ${hoh_crop_name} que vous avez vendu en CFA ?</t>
  </si>
  <si>
    <t>274. Nawa farashin kowane ${hoh_crop_unit_name} na ${hoh_crop_name} da kuka saida a CFA?</t>
  </si>
  <si>
    <t>join(string, repeatedfield)</t>
  </si>
  <si>
    <t>join(' ,', ${hh_member_name})</t>
  </si>
  <si>
    <t>276. What was the price per ${hoh_crop_unit_name} of ${hoh_crop_name} you sold in CFA?</t>
  </si>
  <si>
    <t>276. Quel était le prix unitaire (${hoh_crop_unit_name}) de ${hoh_crop_name} que vous avez vendu en CFA ?</t>
  </si>
  <si>
    <t>276. Nawa farashin kowane ${hoh_crop_unit_name} na ${hoh_crop_name} da kuka saida a CFA?</t>
  </si>
  <si>
    <t>min(repeatedfield)</t>
  </si>
  <si>
    <t>hoh_qty_consume</t>
  </si>
  <si>
    <t>min(${hh_member_age})</t>
  </si>
  <si>
    <t>max(repeatedfield)</t>
  </si>
  <si>
    <t>max(${hh_member_age})</t>
  </si>
  <si>
    <t>ladle</t>
  </si>
  <si>
    <t>277. How many ${hoh_crop_unit_name}s of ${hoh_crop_name} did your household consume?</t>
  </si>
  <si>
    <t>louche</t>
  </si>
  <si>
    <t>277. Quelle quantité (${hoh_crop_unit_name}) de ${hoh_crop_name} votre ménage a-t-il consommé ?</t>
  </si>
  <si>
    <t>277. Nawa yawan ${hoh_crop_unit_name} na ${hoh_crop_name} gidanku ya cinye?</t>
  </si>
  <si>
    <t>lude</t>
  </si>
  <si>
    <t>indexed-repeat(repeatedfield, repeatgroup, index)</t>
  </si>
  <si>
    <t>indexed-repeat(${name}, ${names}, 1)</t>
  </si>
  <si>
    <t>280. Fertilizer</t>
  </si>
  <si>
    <t>280. Engrais</t>
  </si>
  <si>
    <t>280. Takin zamani</t>
  </si>
  <si>
    <t>hoh_qty_left_over</t>
  </si>
  <si>
    <t>517. Le montant qu'il vous reste (${hoh_qty_left}) est négatif. Veuillez revenir et réviser vos réponses.</t>
  </si>
  <si>
    <t>517. jimillar kuɗin da suka saura (${hoh_qty_left}) maras kyau ne. Da fatan za a dawo a sake duba amsoshin.</t>
  </si>
  <si>
    <t>substr(fieldorstring, startindex, endindex)</t>
  </si>
  <si>
    <t>substr(${phone}, 0, 3)</t>
  </si>
  <si>
    <t>278. The amount you have left (${hoh_qty_left}) is negative. Please return and revise your responses.</t>
  </si>
  <si>
    <t>278. Le montant qu'il vous reste (${hoh_qty_left}) est négatif. Veuillez revenir et réviser vos réponses.</t>
  </si>
  <si>
    <t>278. jimillar kuɗin da suka saura (${hoh_qty_left}) maras kyau ne. Da fatan za a dawo a sake duba amsoshin.</t>
  </si>
  <si>
    <t>coalesce(field1, field2)</t>
  </si>
  <si>
    <t>hoh_qty_left_confirm</t>
  </si>
  <si>
    <t>coalesce(${id}, ${id2})</t>
  </si>
  <si>
    <t>518. D'après vos réponses, il vous restait ${hoh_qty_left} ${hoh_crop_unit_name}. Est-ce que cela semble correct ?</t>
  </si>
  <si>
    <t>518. Dangane da amsoshinku, kuna da sauran ${hoh_qty_left} ${hoh_crop_unit_name}. Ko wannan yayi daidai?</t>
  </si>
  <si>
    <t>round(field, digits)</t>
  </si>
  <si>
    <t>round(${interest_rate}, 2)</t>
  </si>
  <si>
    <t>279. Based on your responses, you had ${hoh_qty_left} ${hoh_crop_unit_name} left over. Does this sound correct?</t>
  </si>
  <si>
    <t>279. D'après vos réponses, il vous restait ${hoh_qty_left} ${hoh_crop_unit_name}. Est-ce que cela semble correct ?</t>
  </si>
  <si>
    <t>regex(field, expression)</t>
  </si>
  <si>
    <t>279. Dangane da amsoshinku, kuna da sauran ${hoh_qty_left} ${hoh_crop_unit_name}. Ko wannan yayi daidai?</t>
  </si>
  <si>
    <t>regex(., '[A-Za-z0-9._%+-]+@[A-Za-z0-9.-]+.[A-Za-z]{2,4}')</t>
  </si>
  <si>
    <t>packet</t>
  </si>
  <si>
    <t>paquet</t>
  </si>
  <si>
    <t>if(expression, valueiftrue, valueiffalse)</t>
  </si>
  <si>
    <t>pake</t>
  </si>
  <si>
    <t>if(selected(${country}, 'South Africa') or selected(${country}, 'Zimbabwe'), 'SADC', 'Non-SADC')</t>
  </si>
  <si>
    <t>today()</t>
  </si>
  <si>
    <t>format-date-time(today(), '%Y-%b-%e')</t>
  </si>
  <si>
    <t>now()</t>
  </si>
  <si>
    <t>283. We want to understand how many days people worked in your fields and who did this work.</t>
  </si>
  <si>
    <t>283. Nous voulons comprendre combien de jours des gens ont travaillé dans vos champs et qui a fait ce travail.</t>
  </si>
  <si>
    <t>283. Muna son mu fahimci kwanaki nawa mutane suka yi aiki a gonakinku da kuma wanda ya yi wannan aikin.</t>
  </si>
  <si>
    <t>username()</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</si>
  <si>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</si>
  <si>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</si>
  <si>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</si>
  <si>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bundle</t>
  </si>
  <si>
    <t>hoh_spend_ag</t>
  </si>
  <si>
    <t>278. How much did your household spend on the following types of expenses during the last agricultural season in CFA?</t>
  </si>
  <si>
    <t>botte</t>
  </si>
  <si>
    <t>278. Combien votre ménage a-t-il dépensé pour les types de dépenses suivantes au cours de la dernière saison agricole (en CFA) ?</t>
  </si>
  <si>
    <t>278. Nawa ne gidanku ya kashe akan waɗannan abubuwan a lokacin noman da ya wuce (a sefa)?</t>
  </si>
  <si>
    <t>Dame</t>
  </si>
  <si>
    <t>rank-index(index, repeatedfield)</t>
  </si>
  <si>
    <t>rank-index(1, ${random_draw})</t>
  </si>
  <si>
    <t>280. How much did your household spend on the following types of expenses during the last agricultural season in CFA?</t>
  </si>
  <si>
    <t>rank-value(fieldorvalue, fieldorlist)</t>
  </si>
  <si>
    <t>280. Combien votre ménage a-t-il dépensé pour les types de dépenses suivantes au cours de la dernière saison agricole (en CFA) ?</t>
  </si>
  <si>
    <t>280. Nawa ne gidanku ya kashe akan waɗannan abubuwan a lokacin noman da ya wuce (a sefa)?</t>
  </si>
  <si>
    <t>rank-value(${random_draw}, ${list_of_draws})</t>
  </si>
  <si>
    <t>hoh_spend_seeds</t>
  </si>
  <si>
    <t>279. Seeds</t>
  </si>
  <si>
    <t>279. Semences</t>
  </si>
  <si>
    <t>279. Iri</t>
  </si>
  <si>
    <t>de-duplicate(string, field)</t>
  </si>
  <si>
    <t>speedcheck_w_savings_end</t>
  </si>
  <si>
    <t>de-duplicate(' ', join(' ', ${repeatedfield}))</t>
  </si>
  <si>
    <t>281. Seeds</t>
  </si>
  <si>
    <t>281. Semences</t>
  </si>
  <si>
    <t>281. Iri</t>
  </si>
  <si>
    <t>distance-between(geopointfield1, geopointfield2)</t>
  </si>
  <si>
    <t>hoh_spend_fert</t>
  </si>
  <si>
    <t>other (to specify)</t>
  </si>
  <si>
    <t>282. Fertilizer</t>
  </si>
  <si>
    <t>282. Engrais</t>
  </si>
  <si>
    <t>autre unite (a specifier)</t>
  </si>
  <si>
    <t>Wani daban ( a baiyyana)</t>
  </si>
  <si>
    <t>282. Takin zamani</t>
  </si>
  <si>
    <t>hoh_spend_rent</t>
  </si>
  <si>
    <t>281. Renting machines and tools (i.e. for plowing or spraying)</t>
  </si>
  <si>
    <t>281. Location de machines et d'outils (c'est-à-dire pour labourer ou pulvériser)</t>
  </si>
  <si>
    <t>281. Hayar injina da kayan aiki ( don noma ko feshi)</t>
  </si>
  <si>
    <t>distance-between(${start_gps}, ${end_gps})</t>
  </si>
  <si>
    <t>283. Renting machines and tools (i.e. for plowing or spraying)</t>
  </si>
  <si>
    <t>283. Location de machines et d'outils (c'est-à-dire pour labourer ou pulvériser)</t>
  </si>
  <si>
    <t>283. Hayar injina da kayan aiki ( don noma ko feshi)</t>
  </si>
  <si>
    <t>hoh_spend_water</t>
  </si>
  <si>
    <t>282. Water</t>
  </si>
  <si>
    <t>282. Eau</t>
  </si>
  <si>
    <t>282. Ruwa</t>
  </si>
  <si>
    <t>area(repeatedgeopointfield)</t>
  </si>
  <si>
    <t>area(${gps_reading})</t>
  </si>
  <si>
    <t>284. Water</t>
  </si>
  <si>
    <t>284. Eau</t>
  </si>
  <si>
    <t>284. Ruwa</t>
  </si>
  <si>
    <t>phone-call-log()</t>
  </si>
  <si>
    <t>dur_w_savings</t>
  </si>
  <si>
    <t>287.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</si>
  <si>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287.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</si>
  <si>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287. Idan ba za mu iya samun ku ba, ko za ku iya ba mu suna da lambar wayar wani wanda ba na gidanku ba da za mu iya kira don neman lambar ku?
 Za mu kirayi mutumen ne kawai idan bamu sameku ba bayan kira biyu zuwa uku, hakan zai taimaka mana ci gaba da tuntuɓar ku.</t>
  </si>
  <si>
    <t>286. Can you estimate how many days during the last agricultural season did ${hoh_labor_name} work in field?</t>
  </si>
  <si>
    <t xml:space="preserve">286. </t>
  </si>
  <si>
    <t>plug-in-metadata(field)</t>
  </si>
  <si>
    <t>crops</t>
  </si>
  <si>
    <t>plug-in-metadata(${counter})</t>
  </si>
  <si>
    <t>288. What is the last name of this person</t>
  </si>
  <si>
    <t>288. Quel est le nom de cette personne</t>
  </si>
  <si>
    <t>288. Menene sunan uban wannan mutumen?</t>
  </si>
  <si>
    <t xml:space="preserve">${speedcheck_w_savings_end} - ${speedcheck_w_savings_start} </t>
  </si>
  <si>
    <t>hoh_work_note</t>
  </si>
  <si>
    <t>285. We want to understand how many days people worked in your fields and who did this work.</t>
  </si>
  <si>
    <t>285. Nous voulons comprendre combien de jours des gens ont travaillé dans vos champs et qui a fait ce travail.</t>
  </si>
  <si>
    <t>285. Muna son mu fahimci kwanaki nawa mutane suka yi aiki a gonakinku da kuma wanda ya yi wannan aikin.</t>
  </si>
  <si>
    <t>Amaranth</t>
  </si>
  <si>
    <t>hoh_weeks_labor</t>
  </si>
  <si>
    <t>Amarante</t>
  </si>
  <si>
    <t>alaiyahu</t>
  </si>
  <si>
    <t>286. Think about the last agricultural season. How many weeks were people working in your fields? This includes work by people who are members of your household and those who are not members of your household.</t>
  </si>
  <si>
    <t>286. Pensez à la dernière saison agricole. Combien de semaines au total les gens ont-ils travaillé dans vos champs ? Cela inclut le travail des personnes qui sont membres de votre ménage et celles qui ne le sont pas.</t>
  </si>
  <si>
    <t>286. Ku tuna da lokacin noma na ƙarshe. Makonni nawa mutane ke aiki a filayenku? Wannan ya haɗa da aikin mutanen da ke cikin gidanku da waɗanda ba ƴan gidanku ba ne.</t>
  </si>
  <si>
    <t>hoh_days_labor</t>
  </si>
  <si>
    <t>285. Think about a typical week during the last agricultural season. How many days were people working in your fields? This includes work by people who are members of your household and those who are not members of your household.</t>
  </si>
  <si>
    <t>285. Pensez à une semaine typique au cours de la dernière saison agricole. Combien de jours les gens ont-ils travaillé dans vos champs par semaine ? Cela inclut le travail des personnes qui sont membres de votre ménage et celles qui ne le sont pas.</t>
  </si>
  <si>
    <t>285. Ku tuna da mako guda na lokacin damana ta ƙarshe. Kwanaki nawa mutane suke aiki a gonkinku a cikin kowane sati? Wannan ya haɗa da aikin mutanen da ke cikin gidan ku da waɗanda ba 'yan gidan ku ba ne.</t>
  </si>
  <si>
    <t>Bitter tomato</t>
  </si>
  <si>
    <t>Tomate amère</t>
  </si>
  <si>
    <t>Tumatir mai ɗaci</t>
  </si>
  <si>
    <t>287. Think about a typical week during the last agricultural season. How many days were people working in your fields? This includes work by people who are members of your household and those who are not members of your household.</t>
  </si>
  <si>
    <t>287. Pensez à une semaine typique au cours de la dernière saison agricole. Combien de jours les gens ont-ils travaillé dans vos champs par semaine ? Cela inclut le travail des personnes qui sont membres de votre ménage et celles qui ne le sont pas.</t>
  </si>
  <si>
    <t>287. Ku tuna da mako guda na lokacin damana ta ƙarshe. Kwanaki nawa mutane suke aiki a gonkinku a cikin kowane sati? Wannan ya haɗa da aikin mutanen da ke cikin gidan ku da waɗanda ba 'yan gidan ku ba ne.</t>
  </si>
  <si>
    <t>290. How many days did each laborer work in your fields?</t>
  </si>
  <si>
    <t>290. Combien de jours chaque ouvrier a-t-il travaillé dans vos champs ?</t>
  </si>
  <si>
    <t>290. Kwanaki nawa kowane ma'aikaci yayi aiki a gonakinku?</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</si>
  <si>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</si>
  <si>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</si>
  <si>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</si>
  <si>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Calabash</t>
  </si>
  <si>
    <t>Calebasse</t>
  </si>
  <si>
    <t>kwarya/ duma</t>
  </si>
  <si>
    <t>292. Thinking of your expenses related to labor and investment in your fields during the last agricultural season, you spent a total of ${hoh_total_paid} in CFA, is this correct?</t>
  </si>
  <si>
    <t>292. Pour toutes les dépenses pour vos champs dont nous avons parlé, vous avez payé ${hoh_total_paid} en CFA, est-ce correct ?</t>
  </si>
  <si>
    <t>292. Ku tuna da dukkan kuɗaɗen da kuka kashe a kan aikin gona a lokacin aikin noma na ƙarshe, kun kashe jimillar ${hoh_total_paid} a CFA, wannan daidai ne?</t>
  </si>
  <si>
    <t>speedcheck_w_nothoh_start</t>
  </si>
  <si>
    <t>hoh_ag_days_member</t>
  </si>
  <si>
    <t>527. Pouvez-vous estimer combien de jours au cours de la dernière saison agricole ${hoh_labor_name} a-t-il travaillé dans les champs ?</t>
  </si>
  <si>
    <t>527. Za ku iya ƙiyasin kwanaki nawa a lokacin noman da ya gabata ${hoh_labor_name} ya yi aikin a noma?</t>
  </si>
  <si>
    <t>Clove</t>
  </si>
  <si>
    <t>Clou de girofle</t>
  </si>
  <si>
    <t>karamfani</t>
  </si>
  <si>
    <t>288. Can you estimate how many days during the last agricultural season did ${hoh_labor_name} work in field?</t>
  </si>
  <si>
    <t>288. Pouvez-vous estimer combien de jours au cours de la dernière saison agricole ${hoh_labor_name} a-t-il travaillé dans les champs ?</t>
  </si>
  <si>
    <t>288. Za ku iya ƙiyasin kwanaki nawa a lokacin noman da ya gabata ${hoh_labor_name} ya yi aikin a noma?</t>
  </si>
  <si>
    <t>294. Have any family members worked as a day labor in fields for someone else?</t>
  </si>
  <si>
    <t>Corn</t>
  </si>
  <si>
    <t>294. Pensez à tout membre de votre ménage, y-a t-il des membres de votre ménage qui ont travaillé comme journaliers dans le champs de quelqu'un d'autre ?</t>
  </si>
  <si>
    <t>294. Ko wani ɗan gidanku ya yi aiki a matsayin ɗan barema a gonar wani?</t>
  </si>
  <si>
    <t>Maïs</t>
  </si>
  <si>
    <t>Masara</t>
  </si>
  <si>
    <t>hoh_hire_note</t>
  </si>
  <si>
    <t>287. The following questions about agricultural labor are for the last agricultural season (last 180 days).</t>
  </si>
  <si>
    <t xml:space="preserve">287. </t>
  </si>
  <si>
    <t>289. The following questions about agricultural labor are for the last agricultural season (last 180 days).</t>
  </si>
  <si>
    <t xml:space="preserve">289. </t>
  </si>
  <si>
    <t>hoh_hire_ag</t>
  </si>
  <si>
    <t>288. Did you hire anyone outside of your household to work in your fields?</t>
  </si>
  <si>
    <t>288. Avez-vous embauché quelqu'un en dehors de votre ménage pour travailler dans vos champs ?</t>
  </si>
  <si>
    <t>288. Ko kun ɗauki wani dan barema da ba ɗan gidanku ba don yin aiki a gonakinku?</t>
  </si>
  <si>
    <t>Cowpeas</t>
  </si>
  <si>
    <t>Niébé</t>
  </si>
  <si>
    <t>w_not_hoh</t>
  </si>
  <si>
    <t>Wake</t>
  </si>
  <si>
    <t>290. Did you hire anyone outside of your household to work in your fields?</t>
  </si>
  <si>
    <t>290. Avez-vous embauché quelqu'un en dehors de votre ménage pour travailler dans vos champs ?</t>
  </si>
  <si>
    <t>290. Ko kun ɗauki wani dan barema da ba ɗan gidanku ba don yin aiki a gonakinku?</t>
  </si>
  <si>
    <t>hoh_hire_ag_num</t>
  </si>
  <si>
    <t>289. How many different people did you hire people to work in your fields?</t>
  </si>
  <si>
    <t>289. Combien de personnes avez-vous embauchées pour travailler dans vos champs ?</t>
  </si>
  <si>
    <t>289. Mutane nawa kuka ɗauka don yin aiki a gonakinku?</t>
  </si>
  <si>
    <t>291. How many different people did you hire people to work in your fields?</t>
  </si>
  <si>
    <t>291. Combien de personnes avez-vous embauchées pour travailler dans vos champs ?</t>
  </si>
  <si>
    <t>291. Mutane nawa kuka ɗauka don yin aiki a gonakinku?</t>
  </si>
  <si>
    <t>hoh_hire_ag_days</t>
  </si>
  <si>
    <t>${w_shm_home} = 1 or ${w_shm_home_2w} = 1 or ${w_pm_home_2w} = 1 or ${w_pm_home} = 1</t>
  </si>
  <si>
    <t>Fonio</t>
  </si>
  <si>
    <t>Waken Awara</t>
  </si>
  <si>
    <t>292. How many days did each laborer work in your fields?</t>
  </si>
  <si>
    <t>292. Combien de jours chaque ouvrier a-t-il travaillé dans vos champs ?</t>
  </si>
  <si>
    <t>292. Kwanaki nawa kowane ma'aikaci yayi aiki a gonakinku?</t>
  </si>
  <si>
    <t>hoh_hire_ag_wage</t>
  </si>
  <si>
    <t>293. What was the daily wage you paid for people to work in your fields, or how much would you pay in CFA?</t>
  </si>
  <si>
    <t>293. Quel était le salaire journalier que vous payiez pour que les gens travaillent dans vos champs, ou combien paieriez-vous en CFA ?</t>
  </si>
  <si>
    <t>293. Nawa ne kuke biyan waɗanda suka yi aiki a gonakinku a dukkan wuni a sefa ?</t>
  </si>
  <si>
    <t>Groundnut</t>
  </si>
  <si>
    <t>Arachide</t>
  </si>
  <si>
    <t>296. What was the daily wage paid to ${hoh_paid_name} working as a day laborer for someone else in CFA?</t>
  </si>
  <si>
    <t>Gyada /Gujiya</t>
  </si>
  <si>
    <t>296. Quel était le salaire journalier payé à ${hoh_paid_name} travaillant comme journalier pour quelqu'un d'autre en CFA ?</t>
  </si>
  <si>
    <t>296. Nawa biyan ${hoh_paid_name} na wuni a lokacin da yake barema a gonar wani a sefa?</t>
  </si>
  <si>
    <t>hoh_confirm_total</t>
  </si>
  <si>
    <t>294. Thinking of your expenses related to labor and investment in your fields during the last agricultural season, you spent a total of ${hoh_total_paid} in CFA, is this correct?</t>
  </si>
  <si>
    <t>294. Pour toutes les dépenses pour vos champs dont nous avons parlé, vous avez payé ${hoh_total_paid} en CFA, est-ce correct ?</t>
  </si>
  <si>
    <t>294. Ku tuna da dukkan kuɗaɗen da kuka kashe a kan aikin gona a lokacin aikin noma na ƙarshe, kun kashe jimillar ${hoh_total_paid} a CFA, wannan daidai ne?</t>
  </si>
  <si>
    <t>hoh_paid_ag_note</t>
  </si>
  <si>
    <t>293. Now we'll ask about any work by members of your household in fields owned by other people.</t>
  </si>
  <si>
    <t>293. Nous allons maintenant poser des questions sur tout travail effectué par des membres de votre ménage dans des champs appartenant à d'autres personnes.</t>
  </si>
  <si>
    <t>293. Yanzu za mu yi tambayoyi game da duk wani aiki da ƴan gidanku suka yi a gonakin wasu mutane.</t>
  </si>
  <si>
    <t>Manioc</t>
  </si>
  <si>
    <t>295. Now we'll ask about any work by members of your household in fields owned by other people.</t>
  </si>
  <si>
    <t>Rogo</t>
  </si>
  <si>
    <t>295. Nous allons maintenant poser des questions sur tout travail effectué par des membres de votre ménage dans des champs appartenant à d'autres personnes.</t>
  </si>
  <si>
    <t>295. Yanzu za mu yi tambayoyi game da duk wani aiki da ƴan gidanku suka yi a gonakin wasu mutane.</t>
  </si>
  <si>
    <t>hoh_members_paid_ag</t>
  </si>
  <si>
    <t>296. Have any family members worked as a day labor in fields for someone else?</t>
  </si>
  <si>
    <t>296. Pensez à tout membre de votre ménage, y-a t-il des membres de votre ménage qui ont travaillé comme journaliers dans le champs de quelqu'un d'autre ?</t>
  </si>
  <si>
    <t>296. Ko wani ɗan gidanku ya yi aiki a matsayin ɗan barema a gonar wani?</t>
  </si>
  <si>
    <t>Millet</t>
  </si>
  <si>
    <t>Gero/ Hatsi</t>
  </si>
  <si>
    <t>297. Thinking about the last agricultural season, did you need to pay other expenses we did not ask you about?</t>
  </si>
  <si>
    <t>297. En pensant à la dernière saison agricole, avez-vous dû faire d'autres dépenses dont nous n'avons pas parlé ?</t>
  </si>
  <si>
    <t>297. A tunaninka a lokacin noman da ya gabata, akwai wasu kashe kashen kuɗi da kuka yi wanda ba mu yi zancen su ba?</t>
  </si>
  <si>
    <t>298. What was the expense?</t>
  </si>
  <si>
    <t>298. Quelle était la dépense ?</t>
  </si>
  <si>
    <t>298. wane kashe kuɗi ne ?</t>
  </si>
  <si>
    <t>Mint</t>
  </si>
  <si>
    <t>Menthe</t>
  </si>
  <si>
    <t>Mant</t>
  </si>
  <si>
    <t>299. What was the approximate value of ${hoh_ag_exp_other_name} in CFA?</t>
  </si>
  <si>
    <t>299. Quelle était la valeur approximative de ${hoh_ag_exp_other_name} en CFA ?</t>
  </si>
  <si>
    <t>299. Nawa farashin ${hoh_ag_exp_other_name} a wacan lokacin a sefa?</t>
  </si>
  <si>
    <t>305. How interested was the resppondent</t>
  </si>
  <si>
    <t>305. Dans quelle mesure le répondant était-il intéressé</t>
  </si>
  <si>
    <t>305. Yaya kake ganin maida hankalin mai bada amsa yake</t>
  </si>
  <si>
    <t>306. How impatient was the respondent?</t>
  </si>
  <si>
    <t>306. À quel point le répondant était-il impatient ?</t>
  </si>
  <si>
    <t>Nutgrass</t>
  </si>
  <si>
    <t>306. Yaya kake ganin rashin haƙurin mai bada amsa?</t>
  </si>
  <si>
    <t>Souchet</t>
  </si>
  <si>
    <t>hoh_paid_ag</t>
  </si>
  <si>
    <t>295. Can you estimate how many days ${hoh_paid_name} worked as a day laborer in the fields for someone else?</t>
  </si>
  <si>
    <t>Aya</t>
  </si>
  <si>
    <t>295. Pouvez-vous estimer combien de jours ${hoh_paid_name} a travaillé comme journalier dans les champs d'autres personnes ?</t>
  </si>
  <si>
    <t>295. Za ku iya misalta ko wuni nawa ${hoh_paid_name} yayi aiki a matsayin ma'aikacin barema a gonar wasu mutane?</t>
  </si>
  <si>
    <t>297. Can you estimate how many days ${hoh_paid_name} worked as a day laborer in the fields for someone else?</t>
  </si>
  <si>
    <t>297. Pouvez-vous estimer combien de jours ${hoh_paid_name} a travaillé comme journalier dans les champs d'autres personnes ?</t>
  </si>
  <si>
    <t>297. Za ku iya misalta ko wuni nawa ${hoh_paid_name} yayi aiki a matsayin ma'aikacin barema a gonar wasu mutane?</t>
  </si>
  <si>
    <t>hoh_paid_ag_wage</t>
  </si>
  <si>
    <t>Okra</t>
  </si>
  <si>
    <t>Gombo</t>
  </si>
  <si>
    <t>kuɓewa/ Miyar guro</t>
  </si>
  <si>
    <t>298. What was the daily wage paid to ${hoh_paid_name} working as a day laborer for someone else in CFA?</t>
  </si>
  <si>
    <t>298. Quel était le salaire journalier payé à ${hoh_paid_name} travaillant comme journalier pour quelqu'un d'autre en CFA ?</t>
  </si>
  <si>
    <t>298. Nawa biyan ${hoh_paid_name} na wuni a lokacin da yake barema a gonar wani a sefa?</t>
  </si>
  <si>
    <t>Onions</t>
  </si>
  <si>
    <t>Oignons</t>
  </si>
  <si>
    <t>Albasa</t>
  </si>
  <si>
    <t>309. Enumerator: Record any comments on the survey</t>
  </si>
  <si>
    <t>309. Enquêteur : Veuillez noter vos commentaires si vous en avez</t>
  </si>
  <si>
    <t xml:space="preserve">309. </t>
  </si>
  <si>
    <t>Paddy rice</t>
  </si>
  <si>
    <t>hoh_ag_exp_other</t>
  </si>
  <si>
    <t>${w_illness_limit} = 1</t>
  </si>
  <si>
    <t>Riz non décortiqué</t>
  </si>
  <si>
    <t>shinkafa maras sissika</t>
  </si>
  <si>
    <t>299. Thinking about the last agricultural season, did you need to pay other expenses we did not ask you about?</t>
  </si>
  <si>
    <t>299. En pensant à la dernière saison agricole, avez-vous dû faire d'autres dépenses dont nous n'avons pas parlé ?</t>
  </si>
  <si>
    <t>299. A tunaninka a lokacin noman da ya gabata, akwai wasu kashe kashen kuɗi da kuka yi wanda ba mu yi zancen su ba?</t>
  </si>
  <si>
    <t>hoh_ag_exp_other_name</t>
  </si>
  <si>
    <t>Peanuts</t>
  </si>
  <si>
    <t>Cacahuètes</t>
  </si>
  <si>
    <t>Gyada</t>
  </si>
  <si>
    <t>300. What was the expense?</t>
  </si>
  <si>
    <t>300. Quelle était la dépense ?</t>
  </si>
  <si>
    <t>300. wane kashe kuɗi ne ?</t>
  </si>
  <si>
    <t>hoh_ag_exp_other_amt</t>
  </si>
  <si>
    <t>Peppers</t>
  </si>
  <si>
    <t>Poivrons</t>
  </si>
  <si>
    <t>tattase</t>
  </si>
  <si>
    <t>selected(${w_illness_limit_type} , '-777')</t>
  </si>
  <si>
    <t>301. What was the approximate value of ${hoh_ag_exp_other_name} in CFA?</t>
  </si>
  <si>
    <t>301. Quelle était la valeur approximative de ${hoh_ag_exp_other_name} en CFA ?</t>
  </si>
  <si>
    <t>301. Nawa farashin ${hoh_ag_exp_other_name} a wacan lokacin a sefa?</t>
  </si>
  <si>
    <t>Sesame</t>
  </si>
  <si>
    <t>Sésame</t>
  </si>
  <si>
    <t>Riɗi</t>
  </si>
  <si>
    <t>302. How many ${hoh_livestock_act_name} did you buy?</t>
  </si>
  <si>
    <t>302. Au cours des trois derniers mois, combien de ${hoh_livestock_act_name} avez-vous acheté ?</t>
  </si>
  <si>
    <t>302. ${hoh_livestock_act_name} Nawa kuka saye?</t>
  </si>
  <si>
    <t>Sorghum</t>
  </si>
  <si>
    <t>Sorgho</t>
  </si>
  <si>
    <t>Dawa</t>
  </si>
  <si>
    <t>303. How many ${hoh_livestock_act_name} did you sell?</t>
  </si>
  <si>
    <t>303. Au cours des trois derniers mois, combien de ${hoh_livestock_act_name} avez-vous vendu ?</t>
  </si>
  <si>
    <t>303. ${hoh_livestock_act_name} nawa kuka saida?</t>
  </si>
  <si>
    <t>304. How many ${hoh_livestock_act_name} did you consume?</t>
  </si>
  <si>
    <t>304. Au cours des trois derniers mois, combien de ${hoh_livestock_act_name} avez-vous consommé ?</t>
  </si>
  <si>
    <t>304. ${hoh_livestock_act_name} Nawa kuka cinye ?</t>
  </si>
  <si>
    <t>Sorrel</t>
  </si>
  <si>
    <t>Oseille</t>
  </si>
  <si>
    <t>Yakuwa</t>
  </si>
  <si>
    <t>total_income_confirm</t>
  </si>
  <si>
    <t>300. Total income: ${hoh_total_income}
Does this seem right?</t>
  </si>
  <si>
    <t>300. Revenu total : ${hoh_total_income}
 Cela vous semble-t-il juste ?</t>
  </si>
  <si>
    <t>300. Jimillar kuɗin shiga: ${hoh_total_income}
 ko kuna ganin hakan yayi daidai?</t>
  </si>
  <si>
    <t>Squash</t>
  </si>
  <si>
    <t>Courge</t>
  </si>
  <si>
    <t>Kabewa</t>
  </si>
  <si>
    <t>302. Total income: ${hoh_total_income}
Does this seem right?</t>
  </si>
  <si>
    <t>Enumerator: do not read options, code based on response</t>
  </si>
  <si>
    <t>302. Revenu total : ${hoh_total_income}
 Cela vous semble-t-il juste ?</t>
  </si>
  <si>
    <t>302. Jimillar kuɗin shiga: ${hoh_total_income}
 ko kuna ganin hakan yayi daidai?</t>
  </si>
  <si>
    <t>Enquêteur : ne pas lire les options, code basé sur la réponse</t>
  </si>
  <si>
    <t>Ɗan bincike: kar a karanta zaɓuɓɓuka, lamba bisa amsa</t>
  </si>
  <si>
    <t>livestock_act_note</t>
  </si>
  <si>
    <t>301. Now we'll ask about income generating activity from animal husbandry in the past three months</t>
  </si>
  <si>
    <t>301. Maintenant, nous allons poser des questions sur l'activité génératrice de revenus liée à l'élevage au cours des trois derniers mois</t>
  </si>
  <si>
    <t>301. Yanzu za mu yi hira game da ayyukan samar da kuɗaɗen shiga na kiwo a cikin watanni uku da suka gabata</t>
  </si>
  <si>
    <t>${w_illness} = 1</t>
  </si>
  <si>
    <t>Sweet potatoes</t>
  </si>
  <si>
    <t>303. Now we'll ask about income generating activity from animal husbandry in the past three months</t>
  </si>
  <si>
    <t>Patates douces</t>
  </si>
  <si>
    <t>303. Maintenant, nous allons poser des questions sur l'activité génératrice de revenus liée à l'élevage au cours des trois derniers mois</t>
  </si>
  <si>
    <t>Dankali</t>
  </si>
  <si>
    <t>303. Yanzu za mu yi hira game da ayyukan samar da kuɗaɗen shiga na kiwo a cikin watanni uku da suka gabata</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</si>
  <si>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</si>
  <si>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</si>
  <si>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</si>
  <si>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308. In the past three months, did you hire anyone outside your household to care for your animals?</t>
  </si>
  <si>
    <t>Wheat</t>
  </si>
  <si>
    <t>308. Au cours des trois derniers mois, avez-vous embauché quelqu'un en dehors de votre ménage pour s'occuper de vos animaux ?</t>
  </si>
  <si>
    <t>308. A cikin watanni uku da suka wuce, Ko kun ɗauki wani wanda ba ɗan gidanku ba don kula da dabbobinku?</t>
  </si>
  <si>
    <t>Blé</t>
  </si>
  <si>
    <t>Alkama</t>
  </si>
  <si>
    <t>47. Baiyana irin ciwo ko raunin da kuka yi fama da shi?</t>
  </si>
  <si>
    <t>309. In the last 3 months, for how many weeks did you hire people to care for your livestock?</t>
  </si>
  <si>
    <t>309. Au cours des trois derniers mois, combien de semaines avez-vous embauché des personnes pour s'occuper de votre bétail ?</t>
  </si>
  <si>
    <t>309. A cikin watanni 3 da suka wuce, sati nawa kuka dauki ƴan aiki don kula da dabbobinku?</t>
  </si>
  <si>
    <t>hoh_livestock_bought</t>
  </si>
  <si>
    <t>selected(${w_illness_type} , '-777')</t>
  </si>
  <si>
    <t>304. How many ${hoh_livestock_act_name} did you buy?</t>
  </si>
  <si>
    <t>304. Au cours des trois derniers mois, combien de ${hoh_livestock_act_name} avez-vous acheté ?</t>
  </si>
  <si>
    <t>304. ${hoh_livestock_act_name} Nawa kuka saye?</t>
  </si>
  <si>
    <t>Yam</t>
  </si>
  <si>
    <t>Igname</t>
  </si>
  <si>
    <t>hoh_livestock_sold</t>
  </si>
  <si>
    <t>Doya</t>
  </si>
  <si>
    <t>305. How many ${hoh_livestock_act_name} did you sell?</t>
  </si>
  <si>
    <t>305. Au cours des trois derniers mois, combien de ${hoh_livestock_act_name} avez-vous vendu ?</t>
  </si>
  <si>
    <t>305. ${hoh_livestock_act_name} nawa kuka saida?</t>
  </si>
  <si>
    <t>hoh_livestock_consumed</t>
  </si>
  <si>
    <t>306. How many ${hoh_livestock_act_name} did you consume?</t>
  </si>
  <si>
    <t>306. Au cours des trois derniers mois, combien de ${hoh_livestock_act_name} avez-vous consommé ?</t>
  </si>
  <si>
    <t>306. ${hoh_livestock_act_name} Nawa kuka cinye ?</t>
  </si>
  <si>
    <t>312. In the past three months, did any member of your household care for livestock owned by other people?</t>
  </si>
  <si>
    <t>312. Au cours des trois derniers mois, un membre de votre ménage s'est-il occupé du bétail appartenant à d'autres personnes ?</t>
  </si>
  <si>
    <t>312. A cikin watanni uku da suka wuce, akwai wani ɗan gidanku da ya kula da dabbobin wasu mutane?</t>
  </si>
  <si>
    <t>313. In a typical week, how many days did they do this job?</t>
  </si>
  <si>
    <t>313. Au cours d'une semaine normale, combien de jours ont-ils fait ce travail ?</t>
  </si>
  <si>
    <t>313. A cikin mako, kwana nawa suka yi wannan aikin?</t>
  </si>
  <si>
    <t>assets</t>
  </si>
  <si>
    <t>Generator</t>
  </si>
  <si>
    <t>314. What was the daily wage paid to household members who cared for livestock owned by other people?</t>
  </si>
  <si>
    <t>314. Quel étaient les frais journaliers payés aux membres de votre ménage qui s'occupent des animaux du bétail appartenant à d'autres personnes en CFA ?</t>
  </si>
  <si>
    <t>Groupe electrogene</t>
  </si>
  <si>
    <t>314. Nawa ne biyan wuni na ƴan gida masu kula da dabbobin wasu mutane (a kuɗin CFA)?</t>
  </si>
  <si>
    <t>Ganareto</t>
  </si>
  <si>
    <t>hoh_livestock_expend</t>
  </si>
  <si>
    <t>305. In the past three months, how much did you spend on food and health expense for all of your animals (in CFA)?</t>
  </si>
  <si>
    <t>305. Au cours des trois derniers mois, combien avez-vous dépensé en frais de nourriture et de santé pour tous vos animaux (en CFA) ?</t>
  </si>
  <si>
    <t>305. Nawa kuka kashe akan abinci da kiwon lafiyar dukkan dabbobinku (a sefa) ?</t>
  </si>
  <si>
    <t>307. In the past three months, how much did you spend on food and health expense for all of your animals (in CFA)?</t>
  </si>
  <si>
    <t>307. Au cours des trois derniers mois, combien avez-vous dépensé en frais de nourriture et de santé pour tous vos animaux (en CFA) ?</t>
  </si>
  <si>
    <t>307. Nawa kuka kashe akan abinci da kiwon lafiyar dukkan dabbobinku (a sefa) ?</t>
  </si>
  <si>
    <t>hoh_typical_week_note</t>
  </si>
  <si>
    <t>306. When thinking about the past three months, I would like to ask you about how many days a typical week people in your household worked. We know people may work more during some weeks rather than others, please think about what happens during most weeks.</t>
  </si>
  <si>
    <t>306.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</si>
  <si>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306. Tuna da watanni uku da suka wuce. Ina son in tambaye ku game da yawan kwanaki da ƴan gidanku ke yin aiki a cikin sati na yau da kullun. Mun san da mutane na iya yin aiki a cikin wani sati fiye da wani satin, amma yi tunanin abinda ke kasancewa a yawancin makonni.</t>
  </si>
  <si>
    <t>TV set</t>
  </si>
  <si>
    <t>poste de télévision</t>
  </si>
  <si>
    <t>talabijan/ Tele</t>
  </si>
  <si>
    <t>308. When thinking about the past three months, I would like to ask you about how many days a typical week people in your household worked. We know people may work more during some weeks rather than others, please think about what happens during most weeks.</t>
  </si>
  <si>
    <t>308.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</si>
  <si>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308. 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</si>
  <si>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</si>
  <si>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Radio</t>
  </si>
  <si>
    <t>Rediyo</t>
  </si>
  <si>
    <t>309. How many days did people in your household work to care for your animals in a typical week in the past three months?</t>
  </si>
  <si>
    <t>309. Dans les trois derniers mois, au cours d'une semaine normale, combien de jours les membres de votre ménage ont-ils travaillé pour s'occuper de vos animaux ?</t>
  </si>
  <si>
    <t>309. A cikin watanni uku da suka wuce, kwana nawa a cikin sati mutanen gidanku suka yi aiki don kula da bisashenku?</t>
  </si>
  <si>
    <t>hoh_hire_livestock</t>
  </si>
  <si>
    <t>. &gt;= 0 and . &lt;= 16</t>
  </si>
  <si>
    <t>310. In the past three months, did you hire anyone outside your household to care for your animals?</t>
  </si>
  <si>
    <t>310. Au cours des trois derniers mois, avez-vous embauché quelqu'un en dehors de votre ménage pour s'occuper de vos animaux ?</t>
  </si>
  <si>
    <t>310. A cikin watanni uku da suka wuce, Ko kun ɗauki wani wanda ba ɗan gidanku ba don kula da dabbobinku?</t>
  </si>
  <si>
    <t>hoh_hire_livestock_days</t>
  </si>
  <si>
    <t>Mobile Phone</t>
  </si>
  <si>
    <t>Téléphone mobile</t>
  </si>
  <si>
    <t>Wayar Hannu/ Salula</t>
  </si>
  <si>
    <t>311. In the last 3 months, for how many weeks did you hire people to care for your livestock?</t>
  </si>
  <si>
    <t>311. Au cours des trois derniers mois, combien de semaines avez-vous embauché des personnes pour s'occuper de votre bétail ?</t>
  </si>
  <si>
    <t>311. A cikin watanni 3 da suka wuce, sati nawa kuka dauki ƴan aiki don kula da dabbobinku?</t>
  </si>
  <si>
    <t>hoh_hire_livestock_wage</t>
  </si>
  <si>
    <t>310. What was the weekly wage paid to people who care for your animals, or how much would you pay in CFA?</t>
  </si>
  <si>
    <t>310. Quel était les frais hebdomadaire payés aux personnes qui s'occupent de vos animaux, ou combien paieriez-vous en CFA ?</t>
  </si>
  <si>
    <t>310. 105 a. Nawa albashin mako-mako na wannan mutanen da ke kula da dabbobinku a CFA?</t>
  </si>
  <si>
    <t>312. What was the weekly wage paid to people who care for your animals, or how much would you pay in CFA?</t>
  </si>
  <si>
    <t>312. Quel était les frais hebdomadaire payés aux personnes qui s'occupent de vos animaux, ou combien paieriez-vous en CFA ?</t>
  </si>
  <si>
    <t>312. 105 a. Nawa albashin mako-mako na wannan mutanen da ke kula da dabbobinku a CFA?</t>
  </si>
  <si>
    <t>Traditional bed</t>
  </si>
  <si>
    <t>Lit traditionnel</t>
  </si>
  <si>
    <t>Gadon gargajiya</t>
  </si>
  <si>
    <t>320. What type of business is this?</t>
  </si>
  <si>
    <t>320. Quel type d'entreprise est-ce?</t>
  </si>
  <si>
    <t>320. Wane irin kasuwanci ne?</t>
  </si>
  <si>
    <t>hoh_livestock_total_confirm</t>
  </si>
  <si>
    <t>311. You paid ${hoh_hire_livestock_total} in CFA for people to care for your animals, is this correct?</t>
  </si>
  <si>
    <t>311. Vous avez payé ${hoh_hire_livestock_total} (en CFA) aux personnes qui s'occupent de vos animaux, est-ce exact ?</t>
  </si>
  <si>
    <t>311. ${hoh_hire_livestock_total} (a sefa) kuka biya, ko daidai ne?</t>
  </si>
  <si>
    <t>313. You paid ${hoh_hire_livestock_total} in CFA for people to care for your animals, is this correct?</t>
  </si>
  <si>
    <t>313. Vous avez payé ${hoh_hire_livestock_total} (en CFA) aux personnes qui s'occupent de vos animaux, est-ce exact ?</t>
  </si>
  <si>
    <t>313. ${hoh_hire_livestock_total} (a sefa) kuka biya, ko daidai ne?</t>
  </si>
  <si>
    <t>Iron/wooden bed</t>
  </si>
  <si>
    <t>Lit en fer/bois</t>
  </si>
  <si>
    <t>hoh_paid_livestock</t>
  </si>
  <si>
    <t>Gadon ƙarfe / katako</t>
  </si>
  <si>
    <t>314. In the past three months, did any member of your household care for livestock owned by other people?</t>
  </si>
  <si>
    <t>314. Au cours des trois derniers mois, un membre de votre ménage s'est-il occupé du bétail appartenant à d'autres personnes ?</t>
  </si>
  <si>
    <t>314. A cikin watanni uku da suka wuce, akwai wani ɗan gidanku da ya kula da dabbobin wasu mutane?</t>
  </si>
  <si>
    <t>hoh_paid_livestock_days</t>
  </si>
  <si>
    <t>Flashlight</t>
  </si>
  <si>
    <t>Torche</t>
  </si>
  <si>
    <t>315. In a typical week, how many days did they do this job?</t>
  </si>
  <si>
    <t>Tocila/ yer hannu</t>
  </si>
  <si>
    <t>315. Au cours d'une semaine normale, combien de jours ont-ils fait ce travail ?</t>
  </si>
  <si>
    <t>315. A cikin mako, kwana nawa suka yi wannan aikin?</t>
  </si>
  <si>
    <t>hoh_paid_livestock_wage</t>
  </si>
  <si>
    <t>w_emotions</t>
  </si>
  <si>
    <t>316. What was the daily wage paid to household members who cared for livestock owned by other people?</t>
  </si>
  <si>
    <t>316. Quel étaient les frais journaliers payés aux membres de votre ménage qui s'occupent des animaux du bétail appartenant à d'autres personnes en CFA ?</t>
  </si>
  <si>
    <t>316. Nawa ne biyan wuni na ƴan gida masu kula da dabbobin wasu mutane (a kuɗin CFA)?</t>
  </si>
  <si>
    <t>Bike</t>
  </si>
  <si>
    <t>Vélo</t>
  </si>
  <si>
    <t>Keke/ Belo</t>
  </si>
  <si>
    <t>hoh_other_income_note</t>
  </si>
  <si>
    <t>field-list</t>
  </si>
  <si>
    <t>315. Now we will ask about other forms of income people in your household may have earned in the past three months.</t>
  </si>
  <si>
    <t>315. Nous allons maintenant poser des questions sur les autres formes de revenus que les membres de votre ménage ont pu gagner au cours des trois derniers mois.</t>
  </si>
  <si>
    <t>315. Yanzu za mu yi tambayoyi bisa wasu hanyoyin samun kuɗin shiga da yan gidanku a cikin watanni uku da suka gabata.</t>
  </si>
  <si>
    <t>317. Now we will ask about other forms of income people in your household may have earned in the past three months.</t>
  </si>
  <si>
    <t>317. Nous allons maintenant poser des questions sur les autres formes de revenus que les membres de votre ménage ont pu gagner au cours des trois derniers mois.</t>
  </si>
  <si>
    <t>317. Yanzu za mu yi tambayoyi bisa wasu hanyoyin samun kuɗin shiga da yan gidanku a cikin watanni uku da suka gabata.</t>
  </si>
  <si>
    <t>hoh_own_other</t>
  </si>
  <si>
    <t>Motorbike</t>
  </si>
  <si>
    <t>Moto</t>
  </si>
  <si>
    <t>316. Do you or another member of your household own land that is currently not used for agriculture, outside of your current home?</t>
  </si>
  <si>
    <t>Babur/ Moto</t>
  </si>
  <si>
    <t>316. Est-ce que vous ou un autre membre de votre ménage possédez des terres qui ne sont actuellement pas utilisées pour l'agriculture, en dehors de votre domicile actuel ?</t>
  </si>
  <si>
    <t>316. Shin kai ko wani na gidanku kuna da wasu hilaye wanda ba na noma ba bancin gidanku da kuke ciki a halin yanzu?</t>
  </si>
  <si>
    <t>318. Do you or another member of your household own land that is currently not used for agriculture, outside of your current home?</t>
  </si>
  <si>
    <t>318. Est-ce que vous ou un autre membre de votre ménage possédez des terres qui ne sont actuellement pas utilisées pour l'agriculture, en dehors de votre domicile actuel ?</t>
  </si>
  <si>
    <t>318. Shin kai ko wani na gidanku kuna da wasu hilaye wanda ba na noma ba bancin gidanku da kuke ciki a halin yanzu?</t>
  </si>
  <si>
    <t>hoh_earn_rent</t>
  </si>
  <si>
    <t>317. In the past three months, what is the total revenue from rent of land or other property in CFA?</t>
  </si>
  <si>
    <t>Plow</t>
  </si>
  <si>
    <t>Charrue</t>
  </si>
  <si>
    <t>317. Au cours des trois derniers mois, quel a été le revenu total provenant de la location d'un terrain ou d'une autre propriété en CFA?</t>
  </si>
  <si>
    <t>Galma</t>
  </si>
  <si>
    <t>317. A cikin watanni uku da suka gabata, menene jimillar kuɗin da aka samu ta hanyar hayan filaye ko wasu kadarori (a sefa)?</t>
  </si>
  <si>
    <t>319. In the past three months, what is the total revenue from rent of land or other property in CFA?</t>
  </si>
  <si>
    <t>319. Au cours des trois derniers mois, quel a été le revenu total provenant de la location d'un terrain ou d'une autre propriété en CFA?</t>
  </si>
  <si>
    <t>319. A cikin watanni uku da suka gabata, menene jimillar kuɗin da aka samu ta hanyar hayan filaye ko wasu kadarori (a sefa)?</t>
  </si>
  <si>
    <t>hoh_earn_interest</t>
  </si>
  <si>
    <t>318. In the past three months, what is the total value of interest from loans you have given to others in CFA?</t>
  </si>
  <si>
    <t>318. Au cours des trois derniers mois, quelle est la valeur totale des intérêts des prêts que vous avez accordés à d'autres en CFA?</t>
  </si>
  <si>
    <t>318. A cikin watanni uku da suka gabata, nawa ne jimillar kudin ruwan basussuka da kuka baiwa wasu (a sefa)?</t>
  </si>
  <si>
    <t>Cart</t>
  </si>
  <si>
    <t>Chariot</t>
  </si>
  <si>
    <t>Amalanke</t>
  </si>
  <si>
    <t>320. In the past three months, what is the total value of interest from loans you have given to others in CFA?</t>
  </si>
  <si>
    <t>320. Au cours des trois derniers mois, quelle est la valeur totale des intérêts des prêts que vous avez accordés à d'autres en CFA?</t>
  </si>
  <si>
    <t>320. A cikin watanni uku da suka gabata, nawa ne jimillar kudin ruwan basussuka da kuka baiwa wasu (a sefa)?</t>
  </si>
  <si>
    <t>Pickaxe</t>
  </si>
  <si>
    <t>Pioche</t>
  </si>
  <si>
    <t>Diga</t>
  </si>
  <si>
    <t>list-nolabel</t>
  </si>
  <si>
    <t>325. In a typical week during the past three months, how many days did ${hoh_biz_name} work in the household business?</t>
  </si>
  <si>
    <t xml:space="preserve">325. </t>
  </si>
  <si>
    <t>hoh_own_biz</t>
  </si>
  <si>
    <t>319. Does anyone in the household fully, or partly own and operate an income generating activity that is not farming or herding? (i.e. a shop where you sell goods, restaurant, butcher shop)?</t>
  </si>
  <si>
    <t>319. Quelqu'un dans le ménage possède-t-il entièrement ou partiellement une activité génératrice de revenus autre que l'agriculture ou l'élevage ? (C'est-à-dire un magasin où vous vendez des marchandises, un restaurant, une boucherie) ?</t>
  </si>
  <si>
    <t>319. Ko akwai wani ɗan gidanku mai sana'a wanda jarin gaba daya nashi ko na hadin gwiwa ne banda noma da kiyo? ( kantin saida kaya, gidan abinci, fawa)?</t>
  </si>
  <si>
    <t>321. Does anyone in the household fully, or partly own and operate an income generating activity that is not farming or herding? (i.e. a shop where you sell goods, restaurant, butcher shop)?</t>
  </si>
  <si>
    <t>321. Quelqu'un dans le ménage possède-t-il entièrement ou partiellement une activité génératrice de revenus autre que l'agriculture ou l'élevage ? (C'est-à-dire un magasin où vous vendez des marchandises, un restaurant, une boucherie) ?</t>
  </si>
  <si>
    <t>321. Ko akwai wani ɗan gidanku mai sana'a wanda jarin gaba daya nashi ko na hadin gwiwa ne banda noma da kiyo? ( kantin saida kaya, gidan abinci, fawa)?</t>
  </si>
  <si>
    <t>select_one activities</t>
  </si>
  <si>
    <t>hoh_biz_type</t>
  </si>
  <si>
    <t>322. What type of business is this?</t>
  </si>
  <si>
    <t>322. Quel type d'entreprise est-ce?</t>
  </si>
  <si>
    <t>322. Wane irin kasuwanci ne?</t>
  </si>
  <si>
    <t>hoh_biz_type_o</t>
  </si>
  <si>
    <t>321. Specify other</t>
  </si>
  <si>
    <t>321. Autre à préciser :</t>
  </si>
  <si>
    <t>321. Baiyana wani abu daban:</t>
  </si>
  <si>
    <t>323. Specify other</t>
  </si>
  <si>
    <t>323. Autre à préciser :</t>
  </si>
  <si>
    <t>323. Baiyana wani abu daban:</t>
  </si>
  <si>
    <t>livestock</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</si>
  <si>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</si>
  <si>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</si>
  <si>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Poultry</t>
  </si>
  <si>
    <t>327. Tuna da dukkan kuɗin da aka kashe don wannan kasuwancin, nawa ne jimillar kuɗin da kuka kashe a kan wannan kasuwancin a cikin watanni uku da suka wuce?</t>
  </si>
  <si>
    <t>hoh_biz_loc</t>
  </si>
  <si>
    <t>322. Do you have a permanent location (i.e. building)?</t>
  </si>
  <si>
    <t>322. Avez-vous un emplacement permanent (c'est-à-dire un bâtiment) ?</t>
  </si>
  <si>
    <t>Volaille</t>
  </si>
  <si>
    <t>322. Kuna da wurin dindindin (kamar gini)?</t>
  </si>
  <si>
    <t>324. Do you have a permanent location (i.e. building)?</t>
  </si>
  <si>
    <t>324. Avez-vous un emplacement permanent (c'est-à-dire un bâtiment) ?</t>
  </si>
  <si>
    <t>Kaji</t>
  </si>
  <si>
    <t>324. Kuna da wurin dindindin (kamar gini)?</t>
  </si>
  <si>
    <t>hoh_biz_employ</t>
  </si>
  <si>
    <t>323. How many people outside of your household do you employ in this business?</t>
  </si>
  <si>
    <t>323. Combien de personnes en dehors de votre ménage employez-vous dans cette entreprise ?</t>
  </si>
  <si>
    <t>323. Mutane nawa ne kuka dauka aiki banda ƴan gidan a wannan kasuwancin?</t>
  </si>
  <si>
    <t>325. How many people outside of your household do you employ in this business?</t>
  </si>
  <si>
    <t>325. Combien de personnes en dehors de votre ménage employez-vous dans cette entreprise ?</t>
  </si>
  <si>
    <t>325. Mutane nawa ne kuka dauka aiki banda ƴan gidan a wannan kasuwancin?</t>
  </si>
  <si>
    <t>hoh_biz_wage</t>
  </si>
  <si>
    <t>324. How much do you pay per day for people to work in this business in CFA?</t>
  </si>
  <si>
    <t>324. Combien payez-vous par jour pour que les gens travaillent dans cette entreprise (en CFA) ?</t>
  </si>
  <si>
    <t>324. Nawa kuke biyan su a wuni (a sefa) ?</t>
  </si>
  <si>
    <t>Goats</t>
  </si>
  <si>
    <t>Chèvres</t>
  </si>
  <si>
    <t>Awaki</t>
  </si>
  <si>
    <t>326. How much do you pay per day for people to work in this business in CFA?</t>
  </si>
  <si>
    <t>326. Combien payez-vous par jour pour que les gens travaillent dans cette entreprise (en CFA) ?</t>
  </si>
  <si>
    <t>326. Nawa kuke biyan su a wuni (a sefa) ?</t>
  </si>
  <si>
    <t>Sheep</t>
  </si>
  <si>
    <t>Mouton</t>
  </si>
  <si>
    <t>Tumaki</t>
  </si>
  <si>
    <t>Cattle</t>
  </si>
  <si>
    <t>Vaches</t>
  </si>
  <si>
    <t>Shanu</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</si>
  <si>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</si>
  <si>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</si>
  <si>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</si>
  <si>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hoh_biz_days</t>
  </si>
  <si>
    <t>566. Au cours d'une semaine normale au cours des trois derniers mois, combien de jours ${hoh_biz_name} a-t-il travaillé dans l'entreprise familiale ?</t>
  </si>
  <si>
    <t>566. Kwanaki nawa a cikin kowane mako guda a cikin watanni uku da suka gabata, ${hoh_biz_name} yayi aiki a cikin kasuwancin gida?</t>
  </si>
  <si>
    <t>Horses</t>
  </si>
  <si>
    <t>Les chevaux</t>
  </si>
  <si>
    <t>Dawaki</t>
  </si>
  <si>
    <t>327. In a typical week during the past three months, how many days did ${hoh_biz_name} work in the household business?</t>
  </si>
  <si>
    <t>327. Au cours d'une semaine normale au cours des trois derniers mois, combien de jours ${hoh_biz_name} a-t-il travaillé dans l'entreprise familiale ?</t>
  </si>
  <si>
    <t>327. Kwanaki nawa a cikin kowane mako guda a cikin watanni uku da suka gabata, ${hoh_biz_name} yayi aiki a cikin kasuwancin gida?</t>
  </si>
  <si>
    <t>332. Specify the activity</t>
  </si>
  <si>
    <t>332. Précisez l'activité</t>
  </si>
  <si>
    <t>332. Baiyana aikin</t>
  </si>
  <si>
    <t>Camels</t>
  </si>
  <si>
    <t>Chameaux</t>
  </si>
  <si>
    <t>Rakumma</t>
  </si>
  <si>
    <t>333. How much does ${hoh_member_act_name} earn from this activity during an average week (that they are engaged in ${hoh_member_other_activity_name})?</t>
  </si>
  <si>
    <t>333. Combien ${hoh_member_act_name} gagne-t-il grâce à cette activité au cours d'une semaine en moyenne (pendant laquelle il est engagé comme ${hoh_member_other_activity_name}) ?</t>
  </si>
  <si>
    <t>333. A takaice nawa ${hoh_member_act_name} yake samu daga wannan aiki a cikin sati (a lokacin da suke cikin aikin ${hoh_member_other_activity_name})?</t>
  </si>
  <si>
    <t>hoh_biz_revenue</t>
  </si>
  <si>
    <t>326. Thinking about all of the revenues from this business in the past three months, what was the total amount of money coming in from this business in the last three months?</t>
  </si>
  <si>
    <t>326. Pense à tous les revenus de cette entreprise au cours des trois derniers mois, quel a été le montant total provenant de cette entreprise au cours des trois derniers mois ?</t>
  </si>
  <si>
    <t>326. Tuna da dukkan kuɗaɗen shiga na wannan kasuwancin a cikin watanni uku da suka wuce, nawa ne yawan kuɗin da aka samu daga wannan kasuwancin a cikin watanni uku da suka wuce?</t>
  </si>
  <si>
    <t>Donkey</t>
  </si>
  <si>
    <t>Âne</t>
  </si>
  <si>
    <t>Jaki</t>
  </si>
  <si>
    <t>328. Thinking about all of the revenues from this business in the past three months, what was the total amount of money coming in from this business in the last three months?</t>
  </si>
  <si>
    <t>328. Pense à tous les revenus de cette entreprise au cours des trois derniers mois, quel a été le montant total provenant de cette entreprise au cours des trois derniers mois ?</t>
  </si>
  <si>
    <t>328. Tuna da dukkan kuɗaɗen shiga na wannan kasuwancin a cikin watanni uku da suka wuce, nawa ne yawan kuɗin da aka samu daga wannan kasuwancin a cikin watanni uku da suka wuce?</t>
  </si>
  <si>
    <t>hoh_biz_expense</t>
  </si>
  <si>
    <t>329. Thinking about all of the the expenses from this business, what was the total amount of money you spent on costs related to this business in the last three months?</t>
  </si>
  <si>
    <t>329. Pense à toutes les dépenses de cette entreprise, quel a été le montant total que vous avez dépensé pour les coûts liés à cette entreprise au cours des trois derniers mois ?</t>
  </si>
  <si>
    <t>329. Tuna da dukkan kuɗin da aka kashe don wannan kasuwancin, nawa ne jimillar kuɗin da kuka kashe a kan wannan kasuwancin a cikin watanni uku da suka wuce?</t>
  </si>
  <si>
    <t>hoh_biz_income_confirm</t>
  </si>
  <si>
    <t>328. Thinking about all the revenue and expense related to this business during the past three months, you said that the net income from this business for your household is ${hoh_biz_income}. Is that correct?</t>
  </si>
  <si>
    <t>328. En pensant à tous les revenus de cette entreprise et à toutes les dépenses, vous dites que la bénéfice net de cette entreprise au cours des trois derniers mois est ${hoh_biz_income}, est-ce exact ?</t>
  </si>
  <si>
    <t>328. Ku tuna da dukkan kuɗaɗen shiga da kashe kashen kuɗi da suka shafi wannan kasuwancin a cikin watanni uku da suka wuce. Kun ce yawan riban wannan kasuwancin shine ${hoh_biz_income}. Ko hakan daidai ne?</t>
  </si>
  <si>
    <t>330. Thinking about all the revenue and expense related to this business during the past three months, you said that the net income from this business for your household is ${hoh_biz_income}. Is that correct?</t>
  </si>
  <si>
    <t>330. En pensant à tous les revenus de cette entreprise et à toutes les dépenses, vous dites que la bénéfice net de cette entreprise au cours des trois derniers mois est ${hoh_biz_income}, est-ce exact ?</t>
  </si>
  <si>
    <t>330. Ku tuna da dukkan kuɗaɗen shiga da kashe kashen kuɗi da suka shafi wannan kasuwancin a cikin watanni uku da suka wuce. Kun ce yawan riban wannan kasuwancin shine ${hoh_biz_income}. Ko hakan daidai ne?</t>
  </si>
  <si>
    <t>hoh_members_other_activity_note</t>
  </si>
  <si>
    <t>329. We have discussed work done by members of your household in agriculture, in husbandry, in a business owned by your family.</t>
  </si>
  <si>
    <t>329. Nous avons discuté du travail effectué par les membres de votre ménage dans l'agriculture, l'élevage, dans une entreprise appartenant à votre famille.</t>
  </si>
  <si>
    <t>329. “Mun tattauna bisa ayyukan da ƴan gidanku suka yi a harakar noma da kiwo, kasuwancin da ƴan gidanku suka mallaka.</t>
  </si>
  <si>
    <t>activities</t>
  </si>
  <si>
    <t>Farming/Agriculture</t>
  </si>
  <si>
    <t>Agriculture</t>
  </si>
  <si>
    <t>331. We have discussed work done by members of your household in agriculture, in husbandry, in a business owned by your family.</t>
  </si>
  <si>
    <t>Noma</t>
  </si>
  <si>
    <t>331. Nous avons discuté du travail effectué par les membres de votre ménage dans l'agriculture, l'élevage, dans une entreprise appartenant à votre famille.</t>
  </si>
  <si>
    <t>331. “Mun tattauna bisa ayyukan da ƴan gidanku suka yi a harakar noma da kiwo, kasuwancin da ƴan gidanku suka mallaka.</t>
  </si>
  <si>
    <t>Herding</t>
  </si>
  <si>
    <t>Élevage</t>
  </si>
  <si>
    <t>Kiwo</t>
  </si>
  <si>
    <t>336. In the past three months, have you or anyone in your household received money from someone who is not a member of your household and who lives elsewhere in Niger (outside your village)?</t>
  </si>
  <si>
    <t>336. Au cours des trois derniers mois, vous ou un membre de votre ménage avez reçu &lt;b&gt;de l'argent&lt;/b&gt; d'une personne qui n'est pas membre de votre ménage et qui habite &lt;b&gt;ailleurs au Niger&lt;/b&gt; (en dehors de votre village)?</t>
  </si>
  <si>
    <t>336. A cikin watanni uku da suka wuce, kai ko ɗan gidanku kun samu kuɗi daga wani da ba ɗan gidanku ba wanda yake zaune a wani gari a Nijar (wajen kauyenku)?</t>
  </si>
  <si>
    <t>hoh_member_other_activity</t>
  </si>
  <si>
    <t>Small business</t>
  </si>
  <si>
    <t>Petit commerce</t>
  </si>
  <si>
    <t>Ƙananan kasuwanci</t>
  </si>
  <si>
    <t>w_esteem</t>
  </si>
  <si>
    <t>332. In the past three months, did ${hoh_member_act_name} earn money from any other activity?</t>
  </si>
  <si>
    <t>332. Au cours des trois derniers mois, ${hoh_member_act_name} a-t-il gagné de l'argent grâce à une autre activité ?</t>
  </si>
  <si>
    <t>332. A cikin watanni uku da suka gabata, ${hoh_member_act_name} ya samu kuɗi daga yin wani aiki?</t>
  </si>
  <si>
    <t>hoh_member_other_act</t>
  </si>
  <si>
    <t>331. What was the activity?</t>
  </si>
  <si>
    <t>331. Quelle était l'activité ?</t>
  </si>
  <si>
    <t>331. Menene aikin?</t>
  </si>
  <si>
    <t>Artisan production</t>
  </si>
  <si>
    <t>Production Artisanale</t>
  </si>
  <si>
    <t>333. What was the activity?</t>
  </si>
  <si>
    <t>Aikin hannu</t>
  </si>
  <si>
    <t>333. Quelle était l'activité ?</t>
  </si>
  <si>
    <t>333. Menene aikin?</t>
  </si>
  <si>
    <t>hoh_member_other_activity_o</t>
  </si>
  <si>
    <t>334. Specify the activity</t>
  </si>
  <si>
    <t>334. Précisez l'activité</t>
  </si>
  <si>
    <t>334. Baiyana aikin</t>
  </si>
  <si>
    <t>Butcher</t>
  </si>
  <si>
    <t>Boucher</t>
  </si>
  <si>
    <t>mahauci</t>
  </si>
  <si>
    <t>340. In the past three months, have you or anyone in your household received goods (payment in kind) from someone who is not a member of your household and who lives elsewhere in Niger (outside your village)?</t>
  </si>
  <si>
    <t>340. Au cours des trois derniers mois, vous ou un membre de votre ménage avez reçu &lt;b&gt;des biens&lt;/b&gt; (paiement en nature) d'une personne qui n'est pas membre de votre ménage et qui habite &lt;b&gt;ailleurs au Niger&lt;/b&gt; (en dehors de votre village)?</t>
  </si>
  <si>
    <t>340. A cikin watanni ukun da suka wuce, kai ko wani a cikin gidanku kun karɓi kaya (a matsayin biya) daga wani wanda ba ɗan gidanku ba ne kuma yana zaune a wani wuri a Nijar (Ba'a garinku ba)?</t>
  </si>
  <si>
    <t>hoh_member_other_amt</t>
  </si>
  <si>
    <t>Lumberjack/woodcutter</t>
  </si>
  <si>
    <t>Bûcheron</t>
  </si>
  <si>
    <t>Mai saran itace</t>
  </si>
  <si>
    <t>335. How much does ${hoh_member_act_name} earn from this activity during an average week (that they are engaged in ${hoh_member_other_activity_name})?</t>
  </si>
  <si>
    <t>335. Combien ${hoh_member_act_name} gagne-t-il grâce à cette activité au cours d'une semaine en moyenne (pendant laquelle il est engagé comme ${hoh_member_other_activity_name}) ?</t>
  </si>
  <si>
    <t>335. A takaice nawa ${hoh_member_act_name} yake samu daga wannan aiki a cikin sati (a lokacin da suke cikin aikin ${hoh_member_other_activity_name})?</t>
  </si>
  <si>
    <t>hoh_member_other_weeks</t>
  </si>
  <si>
    <t>334. Think about the past 3 months how many weeks did they engage in ${hoh_member_other_activity_name}?</t>
  </si>
  <si>
    <t>334. Pensez aux 3 derniers mois, combien de semaines ont-ils participé à ${hoh_member_other_activity_name} ?</t>
  </si>
  <si>
    <t>334. A watanni 3 da suka gabata, sati nawa suka yi aikin ${hoh_member_other_activity_name}?</t>
  </si>
  <si>
    <t>Domestic labor</t>
  </si>
  <si>
    <t>Domestique</t>
  </si>
  <si>
    <t>Aikin gida</t>
  </si>
  <si>
    <t>60. Ina jin ba ni da hujjojin ji da kai na.</t>
  </si>
  <si>
    <t>336. Think about the past 3 months how many weeks did they engage in ${hoh_member_other_activity_name}?</t>
  </si>
  <si>
    <t>336. Pensez aux 3 derniers mois, combien de semaines ont-ils participé à ${hoh_member_other_activity_name} ?</t>
  </si>
  <si>
    <t>336. A watanni 3 da suka gabata, sati nawa suka yi aikin ${hoh_member_other_activity_name}?</t>
  </si>
  <si>
    <t>hoh_member_contribute</t>
  </si>
  <si>
    <t>335. Can you estimate how much ${hoh_member_act_name} contributes to the household common pot in a typical week (excluding labor) including both cash and in goods?</t>
  </si>
  <si>
    <t>335. Pouvez-vous estimer la contribution de ${hoh_member_act_name} au fond commun du ménage au cours d'une semaine normale (hors main-d'œuvre), y compris en espèces et en nature ?</t>
  </si>
  <si>
    <t>335. Ko za ku iya kimanta gudunmawar kuɗi da kaya da ${hoh_member_act_name} ya kawo gidan a cikin sati guda (banda aiki)?</t>
  </si>
  <si>
    <t>Marabout</t>
  </si>
  <si>
    <t>337. Can you estimate how much ${hoh_member_act_name} contributes to the household common pot in a typical week (excluding labor) including both cash and in goods?</t>
  </si>
  <si>
    <t>337. Pouvez-vous estimer la contribution de ${hoh_member_act_name} au fond commun du ménage au cours d'une semaine normale (hors main-d'œuvre), y compris en espèces et en nature ?</t>
  </si>
  <si>
    <t>Malumci</t>
  </si>
  <si>
    <t>337. Ko za ku iya kimanta gudunmawar kuɗi da kaya da ${hoh_member_act_name} ya kawo gidan a cikin sati guda (banda aiki)?</t>
  </si>
  <si>
    <t>344. In the past three months, have you or anyone in your household received money from someone who is not a member of your household and who lives in a foreign country (outside of Niger)?</t>
  </si>
  <si>
    <t>344. Au cours des trois derniers mois, vous ou un membre de votre ménage avez-vous reçu &lt;b&gt;de l'argent&lt;/b&gt; d'une personne qui n'est pas membre de votre ménage et qui habite &lt;b&gt;à l'extérieur du Niger&lt;/b&gt; (dans un autre pays)?</t>
  </si>
  <si>
    <t>344. A cikin watanni uku da suka wuce, kai ko dan gidanku kun samu kuɗi daga wanda ba dan gidanku ba da ke zaune a ƙetaren Nijar (a wata kasa)?</t>
  </si>
  <si>
    <t>Mechanic/driver</t>
  </si>
  <si>
    <t>Mécanicien/chauffeur</t>
  </si>
  <si>
    <t>Makaniki/direba</t>
  </si>
  <si>
    <t>61. A wasu lokuta ina ganin bani da amfani komai.</t>
  </si>
  <si>
    <t>345. How much in total did members of your household receive from people out of Niger?</t>
  </si>
  <si>
    <t>345. Combien au total les membres de votre ménage ont-ils reçu des personnes qui ne sont pas au Niger ?</t>
  </si>
  <si>
    <t>345. Nawa ne yan gidanku ya samu daga mutanen da ke zaune a ƙasar waje ba Nijar ba?</t>
  </si>
  <si>
    <t>Blacksmith</t>
  </si>
  <si>
    <t>Forgeron</t>
  </si>
  <si>
    <t>Maƙeri</t>
  </si>
  <si>
    <t>346. How was this money transmitted to your household?</t>
  </si>
  <si>
    <t>346. Comment cet argent a-t-il été envoyé à votre ménage ?</t>
  </si>
  <si>
    <t>346. Ta wace hanya aka aikawa gidanku wannan kuɗin ?</t>
  </si>
  <si>
    <t>347. Specify other transfer method</t>
  </si>
  <si>
    <t>347. Précisez la méthode du transfert</t>
  </si>
  <si>
    <t>347. Wani daban a Bayyana</t>
  </si>
  <si>
    <t>Salaried employee</t>
  </si>
  <si>
    <t>Employé salarié</t>
  </si>
  <si>
    <t>348. In the past three months, have you or anyone in your household received goods (payment in kind) from someone who is not a member of your household and who lives in a foreign country (outside of Niger)?</t>
  </si>
  <si>
    <t>Ma'aikaci mai albashi</t>
  </si>
  <si>
    <t>348. Au cours des trois derniers mois, vous ou un membre de votre ménage avez reçu &lt;b&gt;des biens&lt;/b&gt; (paiement en nature) d'une personne qui n'est pas membre de votre ménage et qui habite &lt;b&gt;à l'extérieur du Niger&lt;/b&gt; (dans un autre pays)?</t>
  </si>
  <si>
    <t>348. A cikin wata uku da suka wuce, kai ko wani a cikin gidanku an baku wasu kaya (a matsayin biya) daga wani wanda ba ɗan gidanku ba da ke zaune a ƙetaren Nijar (a wata kasa)?</t>
  </si>
  <si>
    <t>349. What was the value of the goods members of your household receive from people out of Niger?</t>
  </si>
  <si>
    <t>349. Quel était la valeur au totale des biens que les membres de votre ménage ont reçu des personnes qui ne sont pas au Niger ?</t>
  </si>
  <si>
    <t>349. Nawa kimar kayan da ƴan gidanku suka samo daga mutanen da ke zaune a ƙasar waje ba Nijar ba?</t>
  </si>
  <si>
    <t>hoh_remit_rec_niger</t>
  </si>
  <si>
    <t>Mason</t>
  </si>
  <si>
    <t>Maçon</t>
  </si>
  <si>
    <t>Magini</t>
  </si>
  <si>
    <t>338. In the past three months, have you or anyone in your household received money from someone who is not a member of your household and who lives elsewhere in Niger (outside your village)?</t>
  </si>
  <si>
    <t>338. Au cours des trois derniers mois, vous ou un membre de votre ménage avez reçu &lt;b&gt;de l'argent&lt;/b&gt; d'une personne qui n'est pas membre de votre ménage et qui habite &lt;b&gt;ailleurs au Niger&lt;/b&gt; (en dehors de votre village)?</t>
  </si>
  <si>
    <t>338. A cikin watanni uku da suka wuce, kai ko ɗan gidanku kun samu kuɗi daga wani da ba ɗan gidanku ba wanda yake zaune a wani gari a Nijar (wajen kauyenku)?</t>
  </si>
  <si>
    <t>hoh_remit_rec_niger_amt</t>
  </si>
  <si>
    <t>Use the scale from 0 to 10</t>
  </si>
  <si>
    <t>337. How much in total did members of your household receive from people elsewhere in Niger (in CFA)?</t>
  </si>
  <si>
    <t>Ca C'est une mesure de 0 à 10</t>
  </si>
  <si>
    <t>337. Combien au total les membres de votre ménage ont-ils reçu des personnes qui sont quelques part au Niger (en USD)?</t>
  </si>
  <si>
    <t>Wannan ma'auni ne daga 0 zuwa 10</t>
  </si>
  <si>
    <t>337. Nawa ne ƴan gidanku suka samu daga wasu matanen da ke wani gari a Nijar (in CFA)?</t>
  </si>
  <si>
    <t>. &gt;= 0 and . &lt;= 10</t>
  </si>
  <si>
    <t>wani daban</t>
  </si>
  <si>
    <t>339. How much in total did members of your household receive from people elsewhere in Niger (in CFA)?</t>
  </si>
  <si>
    <t>339. Combien au total les membres de votre ménage ont-ils reçu des personnes qui sont quelques part au Niger (en USD)?</t>
  </si>
  <si>
    <t>339. Nawa ne ƴan gidanku suka samu daga wasu matanen da ke wani gari a Nijar (in CFA)?</t>
  </si>
  <si>
    <t>select_multiple money_transfer</t>
  </si>
  <si>
    <t>hoh_remit_rec_niger_how</t>
  </si>
  <si>
    <t>338. How was this money transmitted to your household?</t>
  </si>
  <si>
    <t>338. Comment cet argent a-t-il été envoyé à votre ménage ?</t>
  </si>
  <si>
    <t>338. Ta wace hanya aka aikawa gidanku wannan kuɗin ?</t>
  </si>
  <si>
    <t>340. How was this money transmitted to your household?</t>
  </si>
  <si>
    <t>340. Comment cet argent a-t-il été envoyé à votre ménage ?</t>
  </si>
  <si>
    <t>340. Ta wace hanya aka aikawa gidanku wannan kuɗin ?</t>
  </si>
  <si>
    <t>hoh_remit_rec_niger_how_o</t>
  </si>
  <si>
    <t>339. Specify other transfer method</t>
  </si>
  <si>
    <t>339. Précisez la méthode du transfert</t>
  </si>
  <si>
    <t>339. Wani daban a Bayyana</t>
  </si>
  <si>
    <t>341. Specify other transfer method</t>
  </si>
  <si>
    <t>341. Précisez la méthode du transfert</t>
  </si>
  <si>
    <t>341. Wani daban a Bayyana</t>
  </si>
  <si>
    <t>hoh_goods_rec_niger</t>
  </si>
  <si>
    <t>342. In the past three months, have you or anyone in your household received goods (payment in kind) from someone who is not a member of your household and who lives elsewhere in Niger (outside your village)?</t>
  </si>
  <si>
    <t>342. Au cours des trois derniers mois, vous ou un membre de votre ménage avez reçu &lt;b&gt;des biens&lt;/b&gt; (paiement en nature) d'une personne qui n'est pas membre de votre ménage et qui habite &lt;b&gt;ailleurs au Niger&lt;/b&gt; (en dehors de votre village)?</t>
  </si>
  <si>
    <t>342. A cikin watanni ukun da suka wuce, kai ko wani a cikin gidanku kun karɓi kaya (a matsayin biya) daga wani wanda ba ɗan gidanku ba ne kuma yana zaune a wani wuri a Nijar (Ba'a garinku ba)?</t>
  </si>
  <si>
    <t>money_transfer</t>
  </si>
  <si>
    <t>hoh_goods_rec_niger_amt</t>
  </si>
  <si>
    <t>341. What was the value of the goods members of your household receive from people elsewhere in Niger (in CFA)?</t>
  </si>
  <si>
    <t>341. Quel était la valeur au totale des biens que les membres de votre ménage ont reçu des personnes qui sont quelques part au Niger 
(en USD)?</t>
  </si>
  <si>
    <t>Hand cash directly to recipient</t>
  </si>
  <si>
    <t>341. Nawa kimar kayayyakin da ƴan gidanku suka karba daga wasu mutane a wasu wurare a Nijar (in CFA)?</t>
  </si>
  <si>
    <t>Remettre l'argent directement au destinataire</t>
  </si>
  <si>
    <t>Bada kudi hannu da hannu kai tsaye ga mai karɓa</t>
  </si>
  <si>
    <t>343. What was the value of the goods members of your household receive from people elsewhere in Niger (in CFA)?</t>
  </si>
  <si>
    <t>343. Quel était la valeur au totale des biens que les membres de votre ménage ont reçu des personnes qui sont quelques part au Niger 
(en USD)?</t>
  </si>
  <si>
    <t>343. Nawa kimar kayayyakin da ƴan gidanku suka karba daga wasu mutane a wasu wurare a Nijar (in CFA)?</t>
  </si>
  <si>
    <t>select_multiple goods_transfer</t>
  </si>
  <si>
    <t>hoh_goods_rec_niger_how</t>
  </si>
  <si>
    <t>342. How were these goods transmitted to your household?</t>
  </si>
  <si>
    <t>342. Comment ces biens ont-ils été envoyé à votre ménage ?</t>
  </si>
  <si>
    <t>342. Ta yaya aka aika waɗannan kayayyakin zuwa gidanku?</t>
  </si>
  <si>
    <t>w_worries</t>
  </si>
  <si>
    <t>Worries</t>
  </si>
  <si>
    <t>Through a family member or close friend</t>
  </si>
  <si>
    <t>Par l'intermédiaire d'un membre de la famille ou d'un ami proche</t>
  </si>
  <si>
    <t>Ta hanyar dangi ko aboki na kusa</t>
  </si>
  <si>
    <t>344. How were these goods transmitted to your household?</t>
  </si>
  <si>
    <t>344. Comment ces biens ont-ils été envoyé à votre ménage ?</t>
  </si>
  <si>
    <t>344. Ta yaya aka aika waɗannan kayayyakin zuwa gidanku?</t>
  </si>
  <si>
    <t>hoh_goods_rec_niger_how_o</t>
  </si>
  <si>
    <t>343. Specify other transfer method</t>
  </si>
  <si>
    <t>343. Précisez la méthode du transfert</t>
  </si>
  <si>
    <t>343. Wani daban a Bayyana</t>
  </si>
  <si>
    <t>345. Specify other transfer method</t>
  </si>
  <si>
    <t>345. Précisez la méthode du transfert</t>
  </si>
  <si>
    <t>345. Wani daban a Bayyana</t>
  </si>
  <si>
    <t>hoh_remit_rec_out</t>
  </si>
  <si>
    <t>Through someone you know</t>
  </si>
  <si>
    <t>Par quelqu'un que tu connais</t>
  </si>
  <si>
    <t>Ta hanyar wanda a ka sani</t>
  </si>
  <si>
    <t>346. In the past three months, have you or anyone in your household received money from someone who is not a member of your household and who lives in a foreign country (outside of Niger)?</t>
  </si>
  <si>
    <t>346. Au cours des trois derniers mois, vous ou un membre de votre ménage avez-vous reçu &lt;b&gt;de l'argent&lt;/b&gt; d'une personne qui n'est pas membre de votre ménage et qui habite &lt;b&gt;à l'extérieur du Niger&lt;/b&gt; (dans un autre pays)?</t>
  </si>
  <si>
    <t>346. A cikin watanni uku da suka wuce, kai ko dan gidanku kun samu kuɗi daga wanda ba dan gidanku ba da ke zaune a ƙetaren Nijar (a wata kasa)?</t>
  </si>
  <si>
    <t>hoh_remit_rec_out_amt</t>
  </si>
  <si>
    <t>Through an app on a mobile phone</t>
  </si>
  <si>
    <t>Via une application sur un téléphone mobile</t>
  </si>
  <si>
    <t>Ta hanyar salula</t>
  </si>
  <si>
    <t>347. How much in total did members of your household receive from people out of Niger?</t>
  </si>
  <si>
    <t>347. Combien au total les membres de votre ménage ont-ils reçu des personnes qui ne sont pas au Niger ?</t>
  </si>
  <si>
    <t>347. Nawa ne yan gidanku ya samu daga mutanen da ke zaune a ƙasar waje ba Nijar ba?</t>
  </si>
  <si>
    <t>hoh_remit_rec_out_how</t>
  </si>
  <si>
    <t>348. How was this money transmitted to your household?</t>
  </si>
  <si>
    <t>348. Comment cet argent a-t-il été envoyé à votre ménage ?</t>
  </si>
  <si>
    <t>348. Ta wace hanya aka aikawa gidanku wannan kuɗin ?</t>
  </si>
  <si>
    <t>Through an exchange house</t>
  </si>
  <si>
    <t>hoh_remit_rec_out_how_o</t>
  </si>
  <si>
    <t>Par l'intermédiaire d'un bureau de change</t>
  </si>
  <si>
    <t>Ta hanyar wani ofishin canji</t>
  </si>
  <si>
    <t>349. Specify other transfer method</t>
  </si>
  <si>
    <t>349. Précisez la méthode du transfert</t>
  </si>
  <si>
    <t>349. Wani daban a Bayyana</t>
  </si>
  <si>
    <t>hoh_goods_rec_out</t>
  </si>
  <si>
    <t>Through money transfer companies</t>
  </si>
  <si>
    <t>Compagnies de Transfert (Nita, Alizza, Amana…)</t>
  </si>
  <si>
    <t>350. In the past three months, have you or anyone in your household received goods (payment in kind) from someone who is not a member of your household and who lives in a foreign country (outside of Niger)?</t>
  </si>
  <si>
    <t>350. Au cours des trois derniers mois, vous ou un membre de votre ménage avez reçu &lt;b&gt;des biens&lt;/b&gt; (paiement en nature) d'une personne qui n'est pas membre de votre ménage et qui habite &lt;b&gt;à l'extérieur du Niger&lt;/b&gt; (dans un autre pays)?</t>
  </si>
  <si>
    <t>350. A cikin wata uku da suka wuce, kai ko wani a cikin gidanku an baku wasu kaya (a matsayin biya) daga wani wanda ba ɗan gidanku ba da ke zaune a ƙetaren Nijar (a wata kasa)?</t>
  </si>
  <si>
    <t>hoh_goods_rec_out_amt</t>
  </si>
  <si>
    <t>351. What was the value of the goods members of your household receive from people out of Niger?</t>
  </si>
  <si>
    <t>351. Quel était la valeur au totale des biens que les membres de votre ménage ont reçu des personnes qui ne sont pas au Niger ?</t>
  </si>
  <si>
    <t>351. Nawa kimar kayan da ƴan gidanku suka samo daga mutanen da ke zaune a ƙasar waje ba Nijar ba?</t>
  </si>
  <si>
    <t xml:space="preserve">Other  </t>
  </si>
  <si>
    <t>hoh_goods_rec_out_how</t>
  </si>
  <si>
    <t>350. How were these goods transmitted to your household?</t>
  </si>
  <si>
    <t>350. Comment ces biens ont-ils été envoyé à votre ménage ?</t>
  </si>
  <si>
    <t>350. Ta yaya aka aika waɗannan kayan zuwa gidanku?</t>
  </si>
  <si>
    <t>Wani abu daban</t>
  </si>
  <si>
    <t>352. How were these goods transmitted to your household?</t>
  </si>
  <si>
    <t>352. Comment ces biens ont-ils été envoyé à votre ménage ?</t>
  </si>
  <si>
    <t>352. Ta yaya aka aika waɗannan kayan zuwa gidanku?</t>
  </si>
  <si>
    <t>hoh_goods_rec_out_how_o</t>
  </si>
  <si>
    <t>351. Specify other transfer method</t>
  </si>
  <si>
    <t>351. Précisez la méthode du transfert</t>
  </si>
  <si>
    <t>351. Wani daban a Bayyana</t>
  </si>
  <si>
    <t>353. Specify other transfer method</t>
  </si>
  <si>
    <t>353. Précisez la méthode du transfert</t>
  </si>
  <si>
    <t>353. Wani daban a Bayyana</t>
  </si>
  <si>
    <t>hoh_remit_send_niger</t>
  </si>
  <si>
    <t>352. In the past three months, have you or anyone in your household shared or sent money to someone who is not a member of your household and who lives elsewhere in Niger (outside your village)?</t>
  </si>
  <si>
    <t>352. Au cours des trois derniers mois, vous ou quelqu'un de votre ménage avez-vous partagé ou envoyé &lt;b&gt;de l'argent&lt;/b&gt; à quelqu'un qui n'est pas membre de votre ménage et qui habite &lt;b&gt;ailleurs au Niger&lt;/b&gt;(en dehors de votre village)</t>
  </si>
  <si>
    <t>352. A cikin watanni uku da suka wuce, kai ko wani a cikin gidanku kun bada ko kun aika kuɗi ga wani wanda ba dan gidanku ba da ke zaune a wani wuri a Nijar (wajen garinku)</t>
  </si>
  <si>
    <t>354. In the past three months, have you or anyone in your household shared or sent money to someone who is not a member of your household and who lives elsewhere in Niger (outside your village)?</t>
  </si>
  <si>
    <t>354. Au cours des trois derniers mois, vous ou quelqu'un de votre ménage avez-vous partagé ou envoyé &lt;b&gt;de l'argent&lt;/b&gt; à quelqu'un qui n'est pas membre de votre ménage et qui habite &lt;b&gt;ailleurs au Niger&lt;/b&gt;(en dehors de votre village)</t>
  </si>
  <si>
    <t>354. A cikin watanni uku da suka wuce, kai ko wani a cikin gidanku kun bada ko kun aika kuɗi ga wani wanda ba dan gidanku ba da ke zaune a wani wuri a Nijar (wajen garinku)</t>
  </si>
  <si>
    <t>hoh_remit_send_niger_amt</t>
  </si>
  <si>
    <t>353. How much did your household send to people elsewhere in Niger?</t>
  </si>
  <si>
    <t>353. Combien votre ménage a-t-il envoyé à des personnes qui sont quelque part au Niger ?</t>
  </si>
  <si>
    <t>353. Nawa ne gidanku ya aikawa mutanen da ke wasu wurare a Nijar?</t>
  </si>
  <si>
    <t>goods_transfer</t>
  </si>
  <si>
    <t>Hand directly to recipient</t>
  </si>
  <si>
    <t>Remettre directement au destinataire</t>
  </si>
  <si>
    <t>Bada tsabar kuɗi hannu da hannu ga mai karɓa</t>
  </si>
  <si>
    <t>355. How much did your household send to people elsewhere in Niger?</t>
  </si>
  <si>
    <t>355. Combien votre ménage a-t-il envoyé à des personnes qui sont quelque part au Niger ?</t>
  </si>
  <si>
    <t>355. Nawa ne gidanku ya aikawa mutanen da ke wasu wurare a Nijar?</t>
  </si>
  <si>
    <t>hoh_remit_send_niger_how</t>
  </si>
  <si>
    <t>354. How did you transmit the money to the recipient?</t>
  </si>
  <si>
    <t>354. Comment avez-vous envoyé l'argent au destinataire ?</t>
  </si>
  <si>
    <t>354. Ta wace hanya kuka aika kuɗin ga mai karɓa?</t>
  </si>
  <si>
    <t>356. How did you transmit the money to the recipient?</t>
  </si>
  <si>
    <t>356. Comment avez-vous envoyé l'argent au destinataire ?</t>
  </si>
  <si>
    <t>356. Ta wace hanya kuka aika kuɗin ga mai karɓa?</t>
  </si>
  <si>
    <t>hoh_remit_send_niger_how_o</t>
  </si>
  <si>
    <t>355. Specify other transfer method</t>
  </si>
  <si>
    <t>355. Précisez la méthode du transfert</t>
  </si>
  <si>
    <t>355. Wani daban a Bayyana</t>
  </si>
  <si>
    <t>357. Specify other transfer method</t>
  </si>
  <si>
    <t>Ta hanyar dangi ko aboki na kurkusa</t>
  </si>
  <si>
    <t>357. Précisez la méthode du transfert</t>
  </si>
  <si>
    <t>357. Wani daban a Bayyana</t>
  </si>
  <si>
    <t>hoh_goods_send_niger</t>
  </si>
  <si>
    <t>356. In the past three months, have you or anyone in your household shared or sent goods (payment in kind) to someone who is not a member of your household and who lives elsewhere in Niger (outside your village)?</t>
  </si>
  <si>
    <t>356. Au cours des trois derniers mois, vous ou quelqu'un de votre ménage avez-vous partagé ou envoyé &lt;b&gt;des biens&lt;/b&gt; (paiement en nature) à quelqu'un qui n'est pas membre de votre ménage et qui habite &lt;b&gt;ailleurs au Niger&lt;/b&gt; (en dehors de votre village) ?</t>
  </si>
  <si>
    <t>356. A cikin watanni uku da suka wuce, kai ko wani a cikin gidanku kun bada ko kun aika kaya (a matsayin biya) ga wanda ba dan giɗanku ba da ke zaune a wani wuri a cikin Nijar (Ba'a garinku ba)?</t>
  </si>
  <si>
    <t>67. Hatsari da ibtila'i</t>
  </si>
  <si>
    <t>358. In the past three months, have you or anyone in your household shared or sent goods (payment in kind) to someone who is not a member of your household and who lives elsewhere in Niger (outside your village)?</t>
  </si>
  <si>
    <t>358. Au cours des trois derniers mois, vous ou quelqu'un de votre ménage avez-vous partagé ou envoyé &lt;b&gt;des biens&lt;/b&gt; (paiement en nature) à quelqu'un qui n'est pas membre de votre ménage et qui habite &lt;b&gt;ailleurs au Niger&lt;/b&gt; (en dehors de votre village) ?</t>
  </si>
  <si>
    <t>358. A cikin watanni uku da suka wuce, kai ko wani a cikin gidanku kun bada ko kun aika kaya (a matsayin biya) ga wanda ba dan giɗanku ba da ke zaune a wani wuri a cikin Nijar (Ba'a garinku ba)?</t>
  </si>
  <si>
    <t>hoh_goods_send_niger_amt</t>
  </si>
  <si>
    <t>357. What was the value of the goods members of your household sent to people elsewhere in Niger?</t>
  </si>
  <si>
    <t>357. Quel était la valeur au totale des biens que les membres de votre ménage ont envoyé aux personnes qui sont quelques part au Niger ?</t>
  </si>
  <si>
    <t>357. Nawa ne kimar kayan da ƴan gidanku suka aika wa mutane a wasu wurare a cikin Nijar?</t>
  </si>
  <si>
    <t>Ta hanyar wanda ka sani</t>
  </si>
  <si>
    <t>359. What was the value of the goods members of your household sent to people elsewhere in Niger?</t>
  </si>
  <si>
    <t>359. Quel était la valeur au totale des biens que les membres de votre ménage ont envoyé aux personnes qui sont quelques part au Niger ?</t>
  </si>
  <si>
    <t>359. Nawa ne kimar kayan da ƴan gidanku suka aika wa mutane a wasu wurare a cikin Nijar?</t>
  </si>
  <si>
    <t>hoh_goods_send_niger_how</t>
  </si>
  <si>
    <t>358. How were these goods transmitted to the recipient?</t>
  </si>
  <si>
    <t>358. Comment ces biens ont-ils été envoyé au destinataire ?</t>
  </si>
  <si>
    <t>358. Ta yaya aka aika waɗannan kayayyaki zuwa ga mai karɓa?</t>
  </si>
  <si>
    <t>360. How were these goods transmitted to the recipient?</t>
  </si>
  <si>
    <t>360. Comment ces biens ont-ils été envoyé au destinataire ?</t>
  </si>
  <si>
    <t>360. Ta yaya aka aika waɗannan kayayyaki zuwa ga mai karɓa?</t>
  </si>
  <si>
    <t>hoh_goods_send_niger_how_o</t>
  </si>
  <si>
    <t>359. Specify other transfer method</t>
  </si>
  <si>
    <t>359. Precisez la methode du transfert</t>
  </si>
  <si>
    <t>359. Wani daban a Bayyana</t>
  </si>
  <si>
    <t>361. Specify other transfer method</t>
  </si>
  <si>
    <t>361. Precisez la methode du transfert</t>
  </si>
  <si>
    <t>361. Wani daban a Bayyana</t>
  </si>
  <si>
    <t>hoh_remit_send_out</t>
  </si>
  <si>
    <t>360. In the past three months, have you or anyone in your household shared or sent money to someone who is not a member of your household and who lives in a foreign country (outside of Niger)?</t>
  </si>
  <si>
    <t>360. Au cours des trois derniers mois, vous ou quelqu'un de votre ménage avez-vous partagé ou envoyé &lt;b&gt;de l'argent&lt;/b&gt; à quelqu'un qui n'est pas membre de votre ménage et qui habite &lt;b&gt;à l'extérieur du Niger&lt;/b&gt; (dans un autre pays)?</t>
  </si>
  <si>
    <t>360. A cikin watanni uku da suka gabata, kai ko wani a cikin gidanku kun bada ko kun aika kuɗi ga wanda ba ɗan gidanku ba da ke zaune a wajen Nijar (a wata kasa)?</t>
  </si>
  <si>
    <t>362. In the past three months, have you or anyone in your household shared or sent money to someone who is not a member of your household and who lives in a foreign country (outside of Niger)?</t>
  </si>
  <si>
    <t>362. Au cours des trois derniers mois, vous ou quelqu'un de votre ménage avez-vous partagé ou envoyé &lt;b&gt;de l'argent&lt;/b&gt; à quelqu'un qui n'est pas membre de votre ménage et qui habite &lt;b&gt;à l'extérieur du Niger&lt;/b&gt; (dans un autre pays)?</t>
  </si>
  <si>
    <t>362. A cikin watanni uku da suka gabata, kai ko wani a cikin gidanku kun bada ko kun aika kuɗi ga wanda ba ɗan gidanku ba da ke zaune a wajen Nijar (a wata kasa)?</t>
  </si>
  <si>
    <t>hoh_remit_send_out_amt</t>
  </si>
  <si>
    <t>361. How much did your household send to people people out of Niger?</t>
  </si>
  <si>
    <t>361. Combien votre ménage a-t-il envoyé à d'autres personnes qui sont quelque part hors du Niger ?</t>
  </si>
  <si>
    <t>361. Nawa gidanku ya aikawa wasu mutane da ke wani wuri ba a Nijar ba?</t>
  </si>
  <si>
    <t>363. How much did your household send to people people out of Niger?</t>
  </si>
  <si>
    <t>363. Combien votre ménage a-t-il envoyé à d'autres personnes qui sont quelque part hors du Niger ?</t>
  </si>
  <si>
    <t>363. Nawa gidanku ya aikawa wasu mutane da ke wani wuri ba a Nijar ba?</t>
  </si>
  <si>
    <t>hoh_remit_send_out_how</t>
  </si>
  <si>
    <t>362. How did you transmit the money to the recipient?</t>
  </si>
  <si>
    <t>362. Comment avez-vous transmis l'argent au destinataire ?</t>
  </si>
  <si>
    <t>362. Ta wace hanya kuka aika kuɗin ga mai karɓa?</t>
  </si>
  <si>
    <t>emergency</t>
  </si>
  <si>
    <t>364. How did you transmit the money to the recipient?</t>
  </si>
  <si>
    <t>364. Comment avez-vous transmis l'argent au destinataire ?</t>
  </si>
  <si>
    <t>364. Ta wace hanya kuka aika kuɗin ga mai karɓa?</t>
  </si>
  <si>
    <t>hoh_remit_send_out_how_o</t>
  </si>
  <si>
    <t>363. Specify other transfer method</t>
  </si>
  <si>
    <t>363. Precisez la methode du transfert</t>
  </si>
  <si>
    <t>363. Wani daban a Bayyana</t>
  </si>
  <si>
    <t>365. Specify other transfer method</t>
  </si>
  <si>
    <t>365. Precisez la methode du transfert</t>
  </si>
  <si>
    <t>365. Wani daban a Bayyana</t>
  </si>
  <si>
    <t>hoh_goods_send_out</t>
  </si>
  <si>
    <t>364. In the past three months, have you or anyone in your household shared or sent goods (payment in kind) to someone who is not a member of your household and who lives in a foreign country (outside of Niger)?</t>
  </si>
  <si>
    <t>364. Au cours des trois derniers mois, vous ou quelqu'un de votre ménage avez-vous partagé ou envoyé &lt;b&gt;des biens&lt;/b&gt; (paiement en nature) à quelqu'un qui n'est pas membre de votre ménage et qui habite &lt;b&gt;à l'extérieur du Niger&lt;/b&gt; (dans un autre pays) ?</t>
  </si>
  <si>
    <t>364. A cikin watanni uku da suka wuce, kai ko wani a cikin gidanku kun bada ko kun aika kaya (a matsayin biya) ga wanda ba ɗan gidanku ba da ke zaune a wajen Nijar (a wata kasa)?</t>
  </si>
  <si>
    <t>366. In the past three months, have you or anyone in your household shared or sent goods (payment in kind) to someone who is not a member of your household and who lives in a foreign country (outside of Niger)?</t>
  </si>
  <si>
    <t>Serious illness or injury to self</t>
  </si>
  <si>
    <t>366. Au cours des trois derniers mois, vous ou quelqu'un de votre ménage avez-vous partagé ou envoyé &lt;b&gt;des biens&lt;/b&gt; (paiement en nature) à quelqu'un qui n'est pas membre de votre ménage et qui habite &lt;b&gt;à l'extérieur du Niger&lt;/b&gt; (dans un autre pays) ?</t>
  </si>
  <si>
    <t>Maladie grave ou blessure personnelle</t>
  </si>
  <si>
    <t>366. A cikin watanni uku da suka wuce, kai ko wani a cikin gidanku kun bada ko kun aika kaya (a matsayin biya) ga wanda ba ɗan gidanku ba da ke zaune a wajen Nijar (a wata kasa)?</t>
  </si>
  <si>
    <t>Mummunan cuta ko rauni</t>
  </si>
  <si>
    <t>hoh_goods_send_out_amt</t>
  </si>
  <si>
    <t>365. What was the value of the goods members of your household sent to people out of Niger?</t>
  </si>
  <si>
    <t>365. Quel était le valeur au total des biens que les membres de votre ménage ont envoyé aux personnes qui sont quelques part hors du Niger ?</t>
  </si>
  <si>
    <t>365. Nawa ne kimar kayan da ƴan gidanku suka aikawa wasu mutane da ke wani wuri ba a Nijar ba?</t>
  </si>
  <si>
    <t>367. What was the value of the goods members of your household sent to people out of Niger?</t>
  </si>
  <si>
    <t>367. Quel était le valeur au total des biens que les membres de votre ménage ont envoyé aux personnes qui sont quelques part hors du Niger ?</t>
  </si>
  <si>
    <t>367. Nawa ne kimar kayan da ƴan gidanku suka aikawa wasu mutane da ke wani wuri ba a Nijar ba?</t>
  </si>
  <si>
    <t>hoh_goods_send_out_how</t>
  </si>
  <si>
    <t>366. How were these goods transmitted to the recipient?</t>
  </si>
  <si>
    <t>366. Comment ces biens ont-ils été envoyé au destinataire ?</t>
  </si>
  <si>
    <t>366. Ta yaya aka aika waɗannan kayayyaki zuwa ga mai karɓa?</t>
  </si>
  <si>
    <t>Serious injury or illness of household member</t>
  </si>
  <si>
    <t>Blessure grave ou maladie d'un membre du ménage</t>
  </si>
  <si>
    <t>Mummunan rauni ko rashin lafiya na ɗan gida</t>
  </si>
  <si>
    <t>368. How were these goods transmitted to the recipient?</t>
  </si>
  <si>
    <t>368. Comment ces biens ont-ils été envoyé au destinataire ?</t>
  </si>
  <si>
    <t>368. Ta yaya aka aika waɗannan kayayyaki zuwa ga mai karɓa?</t>
  </si>
  <si>
    <t>hoh_goods_send_out_how_o</t>
  </si>
  <si>
    <t>367. Specify other transfer method</t>
  </si>
  <si>
    <t>367. Precisez la methode du transfert</t>
  </si>
  <si>
    <t>367. Wani daban a Bayyana</t>
  </si>
  <si>
    <t>369. Specify other transfer method</t>
  </si>
  <si>
    <t>369. Precisez la methode du transfert</t>
  </si>
  <si>
    <t>369. Wani daban a Bayyana</t>
  </si>
  <si>
    <t>select_multiple support</t>
  </si>
  <si>
    <t>hoh_receive_support</t>
  </si>
  <si>
    <t>368. In the past three months, have you received support from any of the following sources?</t>
  </si>
  <si>
    <t>368. Au cours des trois derniers mois, avez-vous reçu de l'aide de l'une des sources suivantes ?</t>
  </si>
  <si>
    <t>368. A cikin watanni uku da suka wuce, kun samu taimako daga ɗayan waɗannan hanyoyin?</t>
  </si>
  <si>
    <t>Death of household member</t>
  </si>
  <si>
    <t>Décès d'un membre du ménage</t>
  </si>
  <si>
    <t>Mutuwar ɗan gida</t>
  </si>
  <si>
    <t>370. In the past three months, have you received support from any of the following sources?</t>
  </si>
  <si>
    <t>370. Au cours des trois derniers mois, avez-vous reçu de l'aide de l'une des sources suivantes ?</t>
  </si>
  <si>
    <t>370. A cikin watanni uku da suka wuce, kun samu taimako daga ɗayan waɗannan hanyoyin?</t>
  </si>
  <si>
    <t>hoh_receive_support_amt</t>
  </si>
  <si>
    <t>369. How much did ou receive from all the sources combined?</t>
  </si>
  <si>
    <t>610. Combien avez-vous reçu de toutes les sources confondues ?</t>
  </si>
  <si>
    <t>610. Nawa kuka samu daga duk hanyoyin shiga gaba ɗayan su?</t>
  </si>
  <si>
    <t>371. How much did ou receive from all the sources combined?</t>
  </si>
  <si>
    <t>371. Combien avez-vous reçu de toutes les sources confondues ?</t>
  </si>
  <si>
    <t>371. Nawa kuka samu daga duk hanyoyin shiga gaba ɗayan su?</t>
  </si>
  <si>
    <t>hoh_income_gifts</t>
  </si>
  <si>
    <t>Loss of asset/livestock due to theft/death/accident</t>
  </si>
  <si>
    <t>370. In addition to the transfers we just discussed, what is the total value of income from charity or gifts your household has received &lt;b&gt;in the past three months&lt;/b&gt; in CFA?</t>
  </si>
  <si>
    <t>370. En dehors des transferts qu'on vient de citer, quelle est la valeur totale des revenus provenant d'œuvres caritatives ou de cadeaux que votre ménage a reçus &lt;b&gt; au cours des trois derniers mois&lt;/b&gt; (en CFA) ?</t>
  </si>
  <si>
    <t>Perte de biens/bétail suite à un vol/un décès/un accident</t>
  </si>
  <si>
    <t>370. Nawa ne yawan kuɗin taimako ko kyauta da ƴan gidanku suka samu a cikin watanni uku da suka gabata (a sefa) ?</t>
  </si>
  <si>
    <t>Asarar kadara/dabbobi saboda sata/mutuwa/hatsari</t>
  </si>
  <si>
    <t>372. In addition to the transfers we just discussed, what is the total value of income from charity or gifts your household has received &lt;b&gt;in the past three months&lt;/b&gt; in CFA?</t>
  </si>
  <si>
    <t>372. En dehors des transferts qu'on vient de citer, quelle est la valeur totale des revenus provenant d'œuvres caritatives ou de cadeaux que votre ménage a reçus &lt;b&gt; au cours des trois derniers mois&lt;/b&gt; (en CFA) ?</t>
  </si>
  <si>
    <t>372. Nawa ne yawan kuɗin taimako ko kyauta da ƴan gidanku suka samu a cikin watanni uku da suka gabata (a sefa) ?</t>
  </si>
  <si>
    <t>Loss of job or income</t>
  </si>
  <si>
    <t>Perte d'emploi ou de revenu</t>
  </si>
  <si>
    <t>Ɓadda aiki ko kuɗin shiga</t>
  </si>
  <si>
    <t>380. Specify the improvement to your business</t>
  </si>
  <si>
    <t>380. Précisez les investissements que vous avez fait dans votre entreprise</t>
  </si>
  <si>
    <t>380. Ku bayyana kuɗin da kuka kashe don haɓɓaka kasuwancin ku</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</si>
  <si>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</si>
  <si>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</si>
  <si>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</si>
  <si>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382. Specify improvement to land</t>
  </si>
  <si>
    <t>382. Précisez les améliorations de votre terre que vous avez fait</t>
  </si>
  <si>
    <t>382. Ku bayyana kuɗin da kuka kashe don haɓɓaka gonarku</t>
  </si>
  <si>
    <t>Flood</t>
  </si>
  <si>
    <t>Inondation</t>
  </si>
  <si>
    <t>Ambaliyar ruwa</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</si>
  <si>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</si>
  <si>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</si>
  <si>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</si>
  <si>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384. Does your household currently have any savings that you keep in any of the following ways?</t>
  </si>
  <si>
    <t>384. Votre ménage dispose-t-il actuellement d'économies que vous conservez de l'une des manières suivantes ?</t>
  </si>
  <si>
    <t>384. Ko a halin yanzu gidanku na da ajiyar kuɗi daga ɗaya a cikin wanɗannan dubaru?</t>
  </si>
  <si>
    <t>hoh_improve_home</t>
  </si>
  <si>
    <t>371. In the past three months did your household make a significant investment or improvement in the house you reside in?</t>
  </si>
  <si>
    <t>371. &lt;b&gt; Au cours des trois derniers mois&lt;/b&gt;, votre ménage a-t-il fait un investissement important ou des améliorations dans la maison que vous habitez ?</t>
  </si>
  <si>
    <t>371. A cikin watanni uku da suka wuce, gidanku ya saka wani babban jari ko ya gyara gidan da kuke zaune?</t>
  </si>
  <si>
    <t>Drought</t>
  </si>
  <si>
    <t>Sécheresse</t>
  </si>
  <si>
    <t>Fari</t>
  </si>
  <si>
    <t>373. In the past three months did your household make a significant investment or improvement in the house you reside in?</t>
  </si>
  <si>
    <t>373. &lt;b&gt; Au cours des trois derniers mois&lt;/b&gt;, votre ménage a-t-il fait un investissement important ou des améliorations dans la maison que vous habitez ?</t>
  </si>
  <si>
    <t>373. A cikin watanni uku da suka wuce, gidanku ya saka wani babban jari ko ya gyara gidan da kuke zaune?</t>
  </si>
  <si>
    <t>hoh_improve_add_rooms</t>
  </si>
  <si>
    <t>372. Build additional rooms</t>
  </si>
  <si>
    <t>372. Construire des chambres supplémentaires</t>
  </si>
  <si>
    <t>372. Ginin ƙarin ɗakuna</t>
  </si>
  <si>
    <t>374. Build additional rooms</t>
  </si>
  <si>
    <t>374. Construire des chambres supplémentaires</t>
  </si>
  <si>
    <t>374. Ginin ƙarin ɗakuna</t>
  </si>
  <si>
    <t>Pest infestation/crop or livestock disease</t>
  </si>
  <si>
    <t>hoh_improve_floors</t>
  </si>
  <si>
    <t>373. Improve floors</t>
  </si>
  <si>
    <t>Infestation des ravageurs/maladie des cultures ou du bétail</t>
  </si>
  <si>
    <t>373. Améliorer les sols</t>
  </si>
  <si>
    <t>373. Inganta filalayen gida</t>
  </si>
  <si>
    <t>Bannar kwari / amfanin gona ko cututtukan dabbobi</t>
  </si>
  <si>
    <t>375. Improve floors</t>
  </si>
  <si>
    <t>375. Améliorer les sols</t>
  </si>
  <si>
    <t>375. Inganta filalayen gida</t>
  </si>
  <si>
    <t>hoh_improve_walls</t>
  </si>
  <si>
    <t>374. Improve walls</t>
  </si>
  <si>
    <t>374. Réfectionner les murs</t>
  </si>
  <si>
    <t>374. gyara katangun gida</t>
  </si>
  <si>
    <t>Divorce or abandonment by husband</t>
  </si>
  <si>
    <t>376. Improve walls</t>
  </si>
  <si>
    <t>376. Réfectionner les murs</t>
  </si>
  <si>
    <t>Divorce ou abandon par le mari</t>
  </si>
  <si>
    <t>376. gyara katangun gida</t>
  </si>
  <si>
    <t>Saki ko miji ya tsere ya bar mata</t>
  </si>
  <si>
    <t>hoh_improve_roof</t>
  </si>
  <si>
    <t>375. Improve roof</t>
  </si>
  <si>
    <t>375. Réfectionner le toit</t>
  </si>
  <si>
    <t>375. gyara rufin gida</t>
  </si>
  <si>
    <t>377. Improve roof</t>
  </si>
  <si>
    <t>377. Réfectionner le toit</t>
  </si>
  <si>
    <t>377. gyara rufin gida</t>
  </si>
  <si>
    <t>hoh_improve_o</t>
  </si>
  <si>
    <t>376. Other improvement</t>
  </si>
  <si>
    <t>376. Autre amélioration</t>
  </si>
  <si>
    <t>376. Wasu gyare gyare daban</t>
  </si>
  <si>
    <t>378. Other improvement</t>
  </si>
  <si>
    <t>378. Autre amélioration</t>
  </si>
  <si>
    <t>Cut-off or decrease of remittances to household</t>
  </si>
  <si>
    <t>378. Wasu gyare gyare daban</t>
  </si>
  <si>
    <t>Manque ou insuffisance des envois de fonds au ménage</t>
  </si>
  <si>
    <t>Rashi ko rage kuɗaɗen da ake turawa gida</t>
  </si>
  <si>
    <t>387. Do you earn interest on this money ${hoh_savings_name}?</t>
  </si>
  <si>
    <t>387. Gagnez-vous des intérêts sur cet argent ${hoh_savings_name} ?</t>
  </si>
  <si>
    <t>387. Kuna samun kudin ruwa akan wannan kuɗin ${hoh_savings_name}?</t>
  </si>
  <si>
    <t>hoh_improve_other</t>
  </si>
  <si>
    <t>377. Specify other improvement (i.e. connect to electricity, build latrine)</t>
  </si>
  <si>
    <t>377. Précisez les autres améliorations (c.-à-d. connecter de l'électricité, construire des latrines)</t>
  </si>
  <si>
    <t>377. Baiyana wasu abubuwan ingantawa (kamar sa wutar lantarki, gina salga (masai ) )</t>
  </si>
  <si>
    <t>379. Specify other improvement (i.e. connect to electricity, build latrine)</t>
  </si>
  <si>
    <t>379. Précisez les autres améliorations (c.-à-d. connecter de l'électricité, construire des latrines)</t>
  </si>
  <si>
    <t>379. Baiyana wasu abubuwan ingantawa (kamar sa wutar lantarki, gina salga (masai ) )</t>
  </si>
  <si>
    <t>Unexpected increase in price of food/other essential commodity</t>
  </si>
  <si>
    <t>hoh_improve_home_amt</t>
  </si>
  <si>
    <t>Augmentation inattendue du prix des aliments/autres produits essentiels</t>
  </si>
  <si>
    <t>378. Approximately how much did all of these investments together cost in CFA?</t>
  </si>
  <si>
    <t>Hawan ba zata na farashin abinci/sauran kayan da ake buƙata</t>
  </si>
  <si>
    <t>378. Combien ont coûté approximativement tous ces investissements (en CFA) ?</t>
  </si>
  <si>
    <t>378. Aƙalla nawa aka kashe akan waɗannan ayyukan a sefa?</t>
  </si>
  <si>
    <t>380. Approximately how much did all of these investments together cost in CFA?</t>
  </si>
  <si>
    <t>380. Combien ont coûté approximativement tous ces investissements (en CFA) ?</t>
  </si>
  <si>
    <t>380. Aƙalla nawa aka kashe akan waɗannan ayyukan a sefa?</t>
  </si>
  <si>
    <t>hoh_improve_business</t>
  </si>
  <si>
    <t>379. In the past 3 months did you make any investments in your non-agricultural business?</t>
  </si>
  <si>
    <t>379. Au cours des 3 derniers mois, avez-vous fait des investissements dans votre entreprise non agricole ?</t>
  </si>
  <si>
    <t>379. A cikin watanni 3 da suka gabata, kun zuba jari a cikin harkokinku da ba na noma ba?</t>
  </si>
  <si>
    <t>381. In the past 3 months did you make any investments in your non-agricultural business?</t>
  </si>
  <si>
    <t>Unexpected decrease in price of commodity/product you sell</t>
  </si>
  <si>
    <t>381. Au cours des 3 derniers mois, avez-vous fait des investissements dans votre entreprise non agricole ?</t>
  </si>
  <si>
    <t>Baisse inattendue du prix de la marchandise/du produit que vous vendez</t>
  </si>
  <si>
    <t>381. A cikin watanni 3 da suka gabata, kun zuba jari a cikin harkokinku da ba na noma ba?</t>
  </si>
  <si>
    <t>Faɗuwar ba zata na farashin kayayyaki/abubuwan da kuke saidawa</t>
  </si>
  <si>
    <t>hoh_improve_business_o</t>
  </si>
  <si>
    <t>The choices worksheet</t>
  </si>
  <si>
    <t>382. Specify the improvement to your business</t>
  </si>
  <si>
    <t>382. Précisez les investissements que vous avez fait dans votre entreprise</t>
  </si>
  <si>
    <t>382. Ku bayyana kuɗin da kuka kashe don haɓɓaka kasuwancin ku</t>
  </si>
  <si>
    <t>hoh_improve_land</t>
  </si>
  <si>
    <t>383. In the past 3 months did you make any investments to improve the productivity of your land?</t>
  </si>
  <si>
    <t>383. Au cours des 3 derniers mois, avez-vous fait des investissements pour améliorer la productivité de votre terre ?</t>
  </si>
  <si>
    <t>383. A cikin watanni 3 da suka gabata, kun zuba kudi don inganta samun amfanin gonakinku?</t>
  </si>
  <si>
    <t>hoh_improve_land_other</t>
  </si>
  <si>
    <t>384. Specify improvement to land</t>
  </si>
  <si>
    <t>384. Précisez les améliorations de votre terre que vous avez fait</t>
  </si>
  <si>
    <t>384. Ku bayyana kuɗin da kuka kashe don haɓɓaka gonarku</t>
  </si>
  <si>
    <t>389. During ${period}, was your household negatively affected by any of the following types of events?</t>
  </si>
  <si>
    <t>389. Au cours de ${period_french}, votre ménage a-t-il été affecté négativement par l'un des types d'événements suivants ?</t>
  </si>
  <si>
    <t>389. A lokacin ${period_hausa}, ko gidanku ya fuskanci wani daga cikin matsaloli nan masu zuwa? Zaɓi duk abin da ya dace</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</si>
  <si>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</si>
  <si>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390. Please briefly describe the event(s) that negatveily affected your household</t>
  </si>
  <si>
    <t>390. Veuillez décrire brièvement le/les événement(s) qui ont eu des effets négatifs sur votre ménage au cours des 3 derniers mois</t>
  </si>
  <si>
    <t>390. Da fatan za ku yi taƙaitaccen bayani a kan abin da ya shafi gidan ku</t>
  </si>
  <si>
    <t>hoh_use_money_note</t>
  </si>
  <si>
    <t>cons_month</t>
  </si>
  <si>
    <t>Education (children, excluding school fees)</t>
  </si>
  <si>
    <t>385. Now I will ask you about different ways your household may use money that you earn.</t>
  </si>
  <si>
    <t>Education (enfants, hors frais de scolarité)</t>
  </si>
  <si>
    <t>385. Je vais maintenant vous poser des questions sur les différentes façons dont votre ménage peut utiliser l'argent que vous gagnez.</t>
  </si>
  <si>
    <t>Tarbiya (yara, ban da kuɗin makaranta)</t>
  </si>
  <si>
    <t>385. Yanzu zan yi muku tambayoyi game hanyoyi daban-daban da gidanku ke iya amfani da su don kashe kuɗin da yake samu.</t>
  </si>
  <si>
    <t>hoh_savings_type</t>
  </si>
  <si>
    <t>Read about the select_one field type for more information</t>
  </si>
  <si>
    <t>386. Does your household currently have any savings that you keep in any of the following ways?</t>
  </si>
  <si>
    <t>386. Votre ménage dispose-t-il actuellement d'économies que vous conservez de l'une des manières suivantes ?</t>
  </si>
  <si>
    <t>386. Ko a halin yanzu gidanku na da ajiyar kuɗi daga ɗaya a cikin wanɗannan dubaru?</t>
  </si>
  <si>
    <t>hoh_savings_type_o</t>
  </si>
  <si>
    <t>385. Specify other:</t>
  </si>
  <si>
    <t>385. Autre a préciser :</t>
  </si>
  <si>
    <t>Education (adults, including vocational training)</t>
  </si>
  <si>
    <t>385. Baiyana wani abu daban:</t>
  </si>
  <si>
    <t>Éducation (adultes, y compris la formation professionnelle)</t>
  </si>
  <si>
    <t>Ilimi (manya, gami da koyar da sana'a)</t>
  </si>
  <si>
    <t>Read about the select_multiple field type for more information</t>
  </si>
  <si>
    <t>387. Specify other:</t>
  </si>
  <si>
    <t>387. Autre a préciser :</t>
  </si>
  <si>
    <t>387. Baiyana wani abu daban:</t>
  </si>
  <si>
    <t>391. In response to ${hoh_emergency_name}, did you or your household take the following actions?</t>
  </si>
  <si>
    <t>391. En réponse à ${hoh_emergency_name}, avez-vous vous ou votre ménage pris les mesures suivantes ??</t>
  </si>
  <si>
    <t>391. Dangance da ${hoh_emergency_name}, ku ko ƴan gindanku kun ɗauki waɗannan matakai?</t>
  </si>
  <si>
    <t>Healthcare</t>
  </si>
  <si>
    <t>Read about dynamically loading choice lists from external pre-loaded data</t>
  </si>
  <si>
    <t>Soins de santé</t>
  </si>
  <si>
    <t>Kiwon lafiya</t>
  </si>
  <si>
    <t>392. Sell assets?</t>
  </si>
  <si>
    <t>392. Vendre des actifs</t>
  </si>
  <si>
    <t>392. Saida kadarori</t>
  </si>
  <si>
    <t>393. Borrow money?</t>
  </si>
  <si>
    <t>393. Emprunter de l'argent</t>
  </si>
  <si>
    <t>393. Bashin kuɗi</t>
  </si>
  <si>
    <t>hoh_savings_type_amt</t>
  </si>
  <si>
    <t>386. Please share with us your best estimate of the value in CFA ${hoh_savings_name}</t>
  </si>
  <si>
    <t>386. Veuillez nous dire votre meilleure estimation de la valeur en CFA ${hoh_savings_name}</t>
  </si>
  <si>
    <t>386. Da fatan zaku baiyana mini yawan kuɗin a tsammaninku ${hoh_savings_name} a CFA</t>
  </si>
  <si>
    <t>Ceremonies</t>
  </si>
  <si>
    <t>Cérémonies</t>
  </si>
  <si>
    <t>bukukuwa</t>
  </si>
  <si>
    <t>388. Please share with us your best estimate of the value in CFA ${hoh_savings_name}</t>
  </si>
  <si>
    <t>388. Veuillez nous dire votre meilleure estimation de la valeur en CFA ${hoh_savings_name}</t>
  </si>
  <si>
    <t>388. Da fatan zaku baiyana mini yawan kuɗin a tsammaninku ${hoh_savings_name} a CFA</t>
  </si>
  <si>
    <t>hoh_savings_interest</t>
  </si>
  <si>
    <t>389. Do you earn interest on this money ${hoh_savings_name}?</t>
  </si>
  <si>
    <t>389. Gagnez-vous des intérêts sur cet argent ${hoh_savings_name} ?</t>
  </si>
  <si>
    <t>389. Kuna samun kudin ruwa akan wannan kuɗin ${hoh_savings_name}?</t>
  </si>
  <si>
    <t>Clothes + shoes</t>
  </si>
  <si>
    <t>Vêtements + chaussures</t>
  </si>
  <si>
    <t>Tufafi + takalma</t>
  </si>
  <si>
    <t>image:languagename</t>
  </si>
  <si>
    <t>396. For ${hoh_emergency_name}
What was the value of the following in CFA?</t>
  </si>
  <si>
    <t>396. Par rapport à ${hoh_emergency_name}
Quelle était la valeur des éléments suivantes en CFA?</t>
  </si>
  <si>
    <t>396. Game da ${hoh_emergency_name}
 Nawa ne kimar waɗannan abubuwan a kuɗin CFA?</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</si>
  <si>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</si>
  <si>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397. Assets you sold</t>
  </si>
  <si>
    <t>397. Les actifs que vous avez vendus</t>
  </si>
  <si>
    <t>397. Kadarorin da kuka saida</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</si>
  <si>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</si>
  <si>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hoh_savings_confirm</t>
  </si>
  <si>
    <t>388. Total savings: ${hoh_savings_total}: Does this look correct?</t>
  </si>
  <si>
    <t>388. Économies totales : ${hoh_savings_total} : cela vous semble correct ?</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</si>
  <si>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</si>
  <si>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388. Jimillar ajiya: ${hoh_savings_total}: kuna ganin ​​wannan yayi daidai?</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</si>
  <si>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</si>
  <si>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</si>
  <si>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390. Total savings: ${hoh_savings_total}: Does this look correct?</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</si>
  <si>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</si>
  <si>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390. Économies totales : ${hoh_savings_total} : cela vous semble correct ?</t>
  </si>
  <si>
    <t>390. Jimillar ajiya: ${hoh_savings_total}: kuna ganin ​​wannan yayi daidai?</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</si>
  <si>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</si>
  <si>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399. Savings you spent?</t>
  </si>
  <si>
    <t>399. L'épargne que vous avez utilisé</t>
  </si>
  <si>
    <t>399. Ajiyar da kuka kashe</t>
  </si>
  <si>
    <t>hoh_emergency</t>
  </si>
  <si>
    <t>391. During ${period}, was your household negatively affected by any of the following types of events?</t>
  </si>
  <si>
    <t>391. Au cours de ${period_french}, votre ménage a-t-il été affecté négativement par l'un des types d'événements suivants ?</t>
  </si>
  <si>
    <t>cons_week</t>
  </si>
  <si>
    <t>391. A lokacin ${period_hausa}, ko gidanku ya fuskanci wani daga cikin matsaloli nan masu zuwa? Zaɓi duk abin da ya dace</t>
  </si>
  <si>
    <t>hoh_emergency_o</t>
  </si>
  <si>
    <t>Food (for household members)</t>
  </si>
  <si>
    <t>Nourriture (pour les membres du ménage)</t>
  </si>
  <si>
    <t>Abinci (ga mutanen gida)</t>
  </si>
  <si>
    <t>392. Please briefly describe the event(s) that negatveily affected your household</t>
  </si>
  <si>
    <t>392. Veuillez décrire brièvement le/les événement(s) qui ont eu des effets négatifs sur votre ménage au cours des 3 derniers mois</t>
  </si>
  <si>
    <t>392. Da fatan za ku yi taƙaitaccen bayani a kan abin da ya shafi gidan ku</t>
  </si>
  <si>
    <t>Mobile phone credit + charging</t>
  </si>
  <si>
    <t>Crédit mobile + recharge</t>
  </si>
  <si>
    <t>Kuɗin /kiredin kira a salula + caji</t>
  </si>
  <si>
    <t>Fuel for home/ cooking (i.e. lighting, electricity, firewood)</t>
  </si>
  <si>
    <t>Combustible pour la maison/la cuisine (c.-à-d. éclairage, électricité, bois de chauffage)</t>
  </si>
  <si>
    <t>400. Now I would like to ask you about any money that you and your family owe to other people; money you have borrowed from people outside your household.</t>
  </si>
  <si>
    <t>Makamashi na gidan don / dafa abinci ( haske gida , wutar lantarki, itacen jin wuta)</t>
  </si>
  <si>
    <t>400. Maintenant, je voudrais vous poser des questions sur l'argent que vous et votre ménage devez à d'autres personnes ; l'argent que vous avez emprunté à des personnes extérieures à votre ménage.</t>
  </si>
  <si>
    <t>400. Yanzu ina son in tambaye ku game da duk wani kuɗin da ku da ƴan gidanku kuka ɗauko daga wajen wasu mutane; kuɗin da kuka aro daga mutane wanda ba ƴan gidanku ba.</t>
  </si>
  <si>
    <t>401. In the last three months did you or a member of your household try to secure a loan from any source but were refused?</t>
  </si>
  <si>
    <t>401. Au cours des trois derniers mois, vous ou un membre de votre ménage avez-vous essayé d'obtenir un prêt auprès de n'importe quelle source, mais cela a été refusé ?</t>
  </si>
  <si>
    <t>401. A cikin watanni uku da suka wuce kai ko wani dan gidanku kun yi ƙoƙarin samun bashi daga kowace hanya amma an ƙi?</t>
  </si>
  <si>
    <t>hoh_emerg_note</t>
  </si>
  <si>
    <t>w_vict</t>
  </si>
  <si>
    <t>Fuel for vehicles</t>
  </si>
  <si>
    <t>393. In response to ${hoh_emergency_name}, did you or your household take the following actions?</t>
  </si>
  <si>
    <t>Carburant pour véhicules</t>
  </si>
  <si>
    <t>393. En réponse à ${hoh_emergency_name}, avez-vous vous ou votre ménage pris les mesures suivantes ??</t>
  </si>
  <si>
    <t>393. Dangance da ${hoh_emergency_name}, ku ko ƴan gindanku kun ɗauki waɗannan matakai?</t>
  </si>
  <si>
    <t>Man fetur/isansi na mota</t>
  </si>
  <si>
    <t>hoh_emerg_sell</t>
  </si>
  <si>
    <t>394. Sell assets?</t>
  </si>
  <si>
    <t>394. Vendre des actifs</t>
  </si>
  <si>
    <t>394. Saida kadarori</t>
  </si>
  <si>
    <t>hoh_emerg_borrow</t>
  </si>
  <si>
    <t>395. Borrow money?</t>
  </si>
  <si>
    <t>395. Emprunter de l'argent</t>
  </si>
  <si>
    <t>Transportation fare (taxi, moto taxi)</t>
  </si>
  <si>
    <t>395. Bashin kuɗi</t>
  </si>
  <si>
    <t>Frais de transport (taxi, moto taxi)</t>
  </si>
  <si>
    <t>hoh_emerg_spend</t>
  </si>
  <si>
    <t>Kuɗin (taxi, kabu- kabu )</t>
  </si>
  <si>
    <t>394. Spend your savings?</t>
  </si>
  <si>
    <t>394. Utiliser votre épargne</t>
  </si>
  <si>
    <t>394. Kashe kuɗin ajiyar ku</t>
  </si>
  <si>
    <t>396. Spend your savings?</t>
  </si>
  <si>
    <t>396. Utiliser votre épargne</t>
  </si>
  <si>
    <t>396. Kashe kuɗin ajiyar ku</t>
  </si>
  <si>
    <t>hoh_emerg_consume</t>
  </si>
  <si>
    <t>395. Reduce spending on food or change your food consumption?</t>
  </si>
  <si>
    <t>395. Réduire les dépenses alimentaires ou changé des habitudes de consommation ?</t>
  </si>
  <si>
    <t>395. Rage kashe kuɗi akan abinci ko canza abincin?</t>
  </si>
  <si>
    <t>Water (to drink)</t>
  </si>
  <si>
    <t>397. Reduce spending on food or change your food consumption?</t>
  </si>
  <si>
    <t>Eau (à boire)</t>
  </si>
  <si>
    <t>397. Réduire les dépenses alimentaires ou changé des habitudes de consommation ?</t>
  </si>
  <si>
    <t>Ruwa (don sha)</t>
  </si>
  <si>
    <t>397. Rage kashe kuɗi akan abinci ko canza abincin?</t>
  </si>
  <si>
    <t>407. I will now ask you about meals people in your household have consumed in the past 7 days.</t>
  </si>
  <si>
    <t>407. Je vais maintenant vous poser des questions sur les repas que les membres de votre ménage ont consommé au cours des 7 derniers jours.</t>
  </si>
  <si>
    <t>407. Yanzu zan tambaye ku bisa abincin da mutanen gidanku suka ci a cikin kwanaki 7 da suka wuce.</t>
  </si>
  <si>
    <t>hoh_emerg_note2</t>
  </si>
  <si>
    <t>398. For ${hoh_emergency_name}
What was the value of the following in CFA?</t>
  </si>
  <si>
    <t>398. Par rapport à ${hoh_emergency_name}
Quelle était la valeur des éléments suivantes en CFA?</t>
  </si>
  <si>
    <t>398. Game da ${hoh_emergency_name}
 Nawa ne kimar waɗannan abubuwan a kuɗin CFA?</t>
  </si>
  <si>
    <t>hoh_emerg_sell_amt</t>
  </si>
  <si>
    <t>399. Assets you sold</t>
  </si>
  <si>
    <t>399. Les actifs que vous avez vendus</t>
  </si>
  <si>
    <t>399. Kadarorin da kuka saida</t>
  </si>
  <si>
    <t>hoh_emerg_borrow_amt</t>
  </si>
  <si>
    <t>398. Loan(s) you took</t>
  </si>
  <si>
    <t>398. Les prêt(s) que vous avez contracté</t>
  </si>
  <si>
    <t>398. Bashin da kuka ɗauka</t>
  </si>
  <si>
    <t>400. Loan(s) you took</t>
  </si>
  <si>
    <t>400. Les prêt(s) que vous avez contracté</t>
  </si>
  <si>
    <t>400. Bashin da kuka ɗauka</t>
  </si>
  <si>
    <t>hoh_emerg_spend_amt</t>
  </si>
  <si>
    <t>401. Savings you spent?</t>
  </si>
  <si>
    <t>support</t>
  </si>
  <si>
    <t>401. L'épargne que vous avez utilisé</t>
  </si>
  <si>
    <t>401. Ajiyar da kuka kashe</t>
  </si>
  <si>
    <t>412. In the past week how many days have adults in your household consumed animal protein (including fish, meat, poultry)?</t>
  </si>
  <si>
    <t>412. Au cours des 7 derniers jours, combien de fois les adultes de votre ménage ont-ils consommé des protéines animales (y compris poisson, viande, volaille) ?</t>
  </si>
  <si>
    <t>412. A cikin kwanaki 7 da suka wuce sau nawa manyan gidanku suka ci abinci masu gina jiki kamar su kifi ko nama ko kaji?</t>
  </si>
  <si>
    <t>413. In the last 7 days, have children (&lt;14) gone a whole day without meals?</t>
  </si>
  <si>
    <t>413. Au cours des 7 derniers jours, des enfants (&lt;14) ont-ils passé une journée entière sans manger de repas ?</t>
  </si>
  <si>
    <t>413. A cikin kwanaki 7 na ƙarshe, ko yara ƴan ƙasa da shekara goma sha huɗu sun zauna tsawon wuni guda ba su ci da abinci ba?</t>
  </si>
  <si>
    <t>Action Pour le Bien-Être (APBE)</t>
  </si>
  <si>
    <t>414. How many days?</t>
  </si>
  <si>
    <t>414. Pendant combien de jours?</t>
  </si>
  <si>
    <t>414. 154a Tsawon kwanaki nawa?</t>
  </si>
  <si>
    <t>415. In the last 7 days, have children (&lt;14) cut the size of meals or skipped meals?</t>
  </si>
  <si>
    <t>415. Au cours des 7 derniers jours, des enfants (&lt;14) ont-ils réduit la taille de leurs repas ou les ont-ils sauté?</t>
  </si>
  <si>
    <t>415. A cikin kwanaki 7 na ƙarshe, suna da yara (&lt;14) sun rage yawan abinci ko sun rasa gaba ɗaya?</t>
  </si>
  <si>
    <t>416. How many days?</t>
  </si>
  <si>
    <t>416. Pendant combien de jours?</t>
  </si>
  <si>
    <t>416. 155a Tsawon kwanaki nawa?</t>
  </si>
  <si>
    <t>ADKOUL</t>
  </si>
  <si>
    <t>hoh_owe_note</t>
  </si>
  <si>
    <t>402. Now I would like to ask you about any money that you and your family owe to other people; money you have borrowed from people outside your household.</t>
  </si>
  <si>
    <t>402. Maintenant, je voudrais vous poser des questions sur l'argent que vous et votre ménage devez à d'autres personnes ; l'argent que vous avez emprunté à des personnes extérieures à votre ménage.</t>
  </si>
  <si>
    <t>402. Yanzu ina son in tambaye ku game da duk wani kuɗin da ku da ƴan gidanku kuka ɗauko daga wajen wasu mutane; kuɗin da kuka aro daga mutane wanda ba ƴan gidanku ba.</t>
  </si>
  <si>
    <t>hoh_credit_refuse</t>
  </si>
  <si>
    <t>81. Satar kudi ko kaya?</t>
  </si>
  <si>
    <t>403. In the last three months did you or a member of your household try to secure a loan from any source but were refused?</t>
  </si>
  <si>
    <t>403. Au cours des trois derniers mois, vous ou un membre de votre ménage avez-vous essayé d'obtenir un prêt auprès de n'importe quelle source, mais cela a été refusé ?</t>
  </si>
  <si>
    <t>403. A cikin watanni uku da suka wuce kai ko wani dan gidanku kun yi ƙoƙarin samun bashi daga kowace hanya amma an ƙi?</t>
  </si>
  <si>
    <t>AND</t>
  </si>
  <si>
    <t>hoh_credit_refuse_amt</t>
  </si>
  <si>
    <t>402. What was the value of the loan in CFA?</t>
  </si>
  <si>
    <t>402. Quelle était la valeur du prêt en CFA?</t>
  </si>
  <si>
    <t>402. Nawa ne yawan kuɗin bashin a sefa?</t>
  </si>
  <si>
    <t>404. What was the value of the loan in CFA?</t>
  </si>
  <si>
    <t>404. Quelle était la valeur du prêt en CFA?</t>
  </si>
  <si>
    <t>404. Nawa ne yawan kuɗin bashin a sefa?</t>
  </si>
  <si>
    <t>hoh_borrow_total</t>
  </si>
  <si>
    <t>403. Think about all the people you or members of your household owe money, including recent loans, what is the total value your household owes (in CFA)?</t>
  </si>
  <si>
    <t>403. Pensez à toutes les personnes que vous ou les membres de votre ménage devez de l'argent, y compris les prêts récents, quelle est la valeur totale que votre ménage doit (en CFA) ?</t>
  </si>
  <si>
    <t>403. Ku tuna da duk mutanen da ke bin da ƴan gidanku kuɗi, dukan basussuka sabi da tsohi, nawa jimillar kuɗin a ke bin gidanku (a kuɗin sefa CFA)?</t>
  </si>
  <si>
    <t>ANIMAS SUTURA</t>
  </si>
  <si>
    <t>405. Think about all the people you or members of your household owe money, including recent loans, what is the total value your household owes (in CFA)?</t>
  </si>
  <si>
    <t>405. Pensez à toutes les personnes que vous ou les membres de votre ménage devez de l'argent, y compris les prêts récents, quelle est la valeur totale que votre ménage doit (en CFA) ?</t>
  </si>
  <si>
    <t>405. Ku tuna da duk mutanen da ke bin da ƴan gidanku kuɗi, dukan basussuka sabi da tsohi, nawa jimillar kuɗin a ke bin gidanku (a kuɗin sefa CFA)?</t>
  </si>
  <si>
    <t>hoh_borrow_ppm</t>
  </si>
  <si>
    <t>404. Do you know if a loan was given to your household by a household that participated in the TSARI or other Mercy Corp programs?</t>
  </si>
  <si>
    <t>645. Savez-vous si un prêt a été accordé à votre ménage par un ménage ayant participé au programme TSARI ou à d'autres programmes de Mercy Corp ?</t>
  </si>
  <si>
    <t>645. Kun san ko gidan ku ya ɗauki ramcen kuɗi daga wani gidan da yake cikin shirin TSARI ko wasu shirye-shiryen Mercy Corp?</t>
  </si>
  <si>
    <t>406. Do you know if a loan was given to your household by a household that participated in the TSARI or other Mercy Corp programs?</t>
  </si>
  <si>
    <t>406. Savez-vous si un prêt a été accordé à votre ménage par un ménage ayant participé au programme TSARI ou à d'autres programmes de Mercy Corp ?</t>
  </si>
  <si>
    <t>406. Kun san ko gidan ku ya ɗauki ramcen kuɗi daga wani gidan da yake cikin shirin TSARI ko wasu shirye-shiryen Mercy Corp?</t>
  </si>
  <si>
    <t>hoh_transfer_village</t>
  </si>
  <si>
    <t>405. In the past three months, have you or anyone in your household received money or goods from someone who is not a member of your household and lives in your village in Niger?</t>
  </si>
  <si>
    <t>646. Au cours des trois derniers mois, est-ce que vous ou un membre de votre ménage avez reçu de l'argent ou des biens d'une personne qui n'est pas membre de votre ménage et qui habite dans votre village au Niger ?</t>
  </si>
  <si>
    <t>Assainissement Total Piloté par la Communauté (ATPC)</t>
  </si>
  <si>
    <t>646. A cikin wata uku da suka wuce, kai ko wani a cikin gidanku kun karɓi kuɗi ko kaya daga wani wanda ba ɗan gidanku ba kuma yana zaune a ƙauyenku a Nijar?</t>
  </si>
  <si>
    <t>407. In the past three months, have you or anyone in your household received money or goods from someone who is not a member of your household and lives in your village in Niger?</t>
  </si>
  <si>
    <t>407. Au cours des trois derniers mois, est-ce que vous ou un membre de votre ménage avez reçu de l'argent ou des biens d'une personne qui n'est pas membre de votre ménage et qui habite dans votre village au Niger ?</t>
  </si>
  <si>
    <t>407. A cikin wata uku da suka wuce, kai ko wani a cikin gidanku kun karɓi kuɗi ko kaya daga wani wanda ba ɗan gidanku ba kuma yana zaune a ƙauyenku a Nijar?</t>
  </si>
  <si>
    <t>hoh_transfer_village_ppm</t>
  </si>
  <si>
    <t>406. Do you know if the person who gave your hosuehold money was from a household that participated in the TSARI or other Mercy Corp programs?</t>
  </si>
  <si>
    <t>647. Savez-vous si la personne qui a donné l'argent à votre ménage appartenait à un ménage qui a participé au programme TSARI ou à d'autres programmes de Mercy Corp ?</t>
  </si>
  <si>
    <t>647. Shin kun san ko mutumin da ya ba gidan ku kuɗin ɗan wani gida ne wanda suka samu shiga cikin shirin TSARI ko wasu shirye-shiryen Mercy Corp?</t>
  </si>
  <si>
    <t>CADEV</t>
  </si>
  <si>
    <t>408. Do you know if the person who gave your hosuehold money was from a household that participated in the TSARI or other Mercy Corp programs?</t>
  </si>
  <si>
    <t>408. Savez-vous si la personne qui a donné l'argent à votre ménage appartenait à un ménage qui a participé au programme TSARI ou à d'autres programmes de Mercy Corp ?</t>
  </si>
  <si>
    <t>408. Shin kun san ko mutumin da ya ba gidan ku kuɗin ɗan wani gida ne wanda suka samu shiga cikin shirin TSARI ko wasu shirye-shiryen Mercy Corp?</t>
  </si>
  <si>
    <t>419. How much did your household spend on ${hoh_item} in the past month (in CFA)?</t>
  </si>
  <si>
    <t>419. Combien votre ménage a-t-il dépensé pour ${hoh_item} au cours du dernier mois (en CFA) ?</t>
  </si>
  <si>
    <t>419. Nawa ne (a CFA) gidanku ya kashe akan ${hoh_item} cikin watan da ya gabata ?</t>
  </si>
  <si>
    <t>420. Has your household spent money on the following types of expenses in the past week?</t>
  </si>
  <si>
    <t>420. Votre ménage a-t-il dépensé de l'argent pour les types de dépenses suivants au cours de la semaine dernière ?</t>
  </si>
  <si>
    <t>420. Ko gidanku sun kashe kuɗi akan ire iren waɗannan abubuwan a cikin satin da ya gabata?</t>
  </si>
  <si>
    <t>CŒUR CITOYEN</t>
  </si>
  <si>
    <t>hoh_meals_note</t>
  </si>
  <si>
    <t>409. I will now ask you about meals people in your household have consumed in the past 7 days.</t>
  </si>
  <si>
    <t>409. Je vais maintenant vous poser des questions sur les repas que les membres de votre ménage ont consommé au cours des 7 derniers jours.</t>
  </si>
  <si>
    <t>409. Yanzu zan tambaye ku bisa abincin da mutanen gidanku suka ci a cikin kwanaki 7 da suka wuce.</t>
  </si>
  <si>
    <t>hoh_adults_skip_days</t>
  </si>
  <si>
    <t>408. In the last 7 days, have adults gone a whole day without meals?</t>
  </si>
  <si>
    <t>408. Au cours des 7 derniers jours, des adultes sont-ils restés une journée entière sans manger de repas ?</t>
  </si>
  <si>
    <t>408. A cikin kwanaki 7 da suka wuce, ko manya gidanku sun zauna tsawon wuni guda basu ci abinci ba?</t>
  </si>
  <si>
    <t>410. In the last 7 days, have adults gone a whole day without meals?</t>
  </si>
  <si>
    <t>Concern</t>
  </si>
  <si>
    <t>410. Au cours des 7 derniers jours, des adultes sont-ils restés une journée entière sans manger de repas ?</t>
  </si>
  <si>
    <t>410. A cikin kwanaki 7 da suka wuce, ko manya gidanku sun zauna tsawon wuni guda basu ci abinci ba?</t>
  </si>
  <si>
    <t>hoh_adults_skip_days_num</t>
  </si>
  <si>
    <t>409. How many days?</t>
  </si>
  <si>
    <t>409. Pendant combien de jours?</t>
  </si>
  <si>
    <t>409. 151a Tsawon kwanaki nawa?</t>
  </si>
  <si>
    <t>411. How many days?</t>
  </si>
  <si>
    <t>411. Pendant combien de jours?</t>
  </si>
  <si>
    <t>w_vict_text</t>
  </si>
  <si>
    <t>411. 151a Tsawon kwanaki nawa?</t>
  </si>
  <si>
    <t>hoh_adults_skip_meals</t>
  </si>
  <si>
    <t>410. In the last 7 days, have adults cut the size of meals or skipped meals?</t>
  </si>
  <si>
    <t>410. Au cours des 7 derniers jours, les adultes ont-ils réduit la taille de leur repas ou les ont-ils sauté?</t>
  </si>
  <si>
    <t>410. A cikin kwanaki 7 na ƙarshe, ko manyan gidanku sun rage yawan abincin da suka saba ci ko sun tsallake shi?</t>
  </si>
  <si>
    <t>CRA</t>
  </si>
  <si>
    <t>${w_phys_attacked} = 1 or ${w_phys_threat} = 1 or ${w_theft} = 1 or ${w_arrest} = 1</t>
  </si>
  <si>
    <t>412. In the last 7 days, have adults cut the size of meals or skipped meals?</t>
  </si>
  <si>
    <t>412. Au cours des 7 derniers jours, les adultes ont-ils réduit la taille de leur repas ou les ont-ils sauté?</t>
  </si>
  <si>
    <t>412. A cikin kwanaki 7 na ƙarshe, ko manyan gidanku sun rage yawan abincin da suka saba ci ko sun tsallake shi?</t>
  </si>
  <si>
    <t>hoh_adults_skip_meal_num</t>
  </si>
  <si>
    <t>411. Tsawon kwanaki nawa?</t>
  </si>
  <si>
    <t>413. How many days?</t>
  </si>
  <si>
    <t>413. Pendant combien de jours?</t>
  </si>
  <si>
    <t>413. Tsawon kwanaki nawa?</t>
  </si>
  <si>
    <t>hoh_adult_protein</t>
  </si>
  <si>
    <t>FAO</t>
  </si>
  <si>
    <t>414. In the past week how many days have adults in your household consumed animal protein (including fish, meat, poultry)?</t>
  </si>
  <si>
    <t>414. Au cours des 7 derniers jours, combien de fois les adultes de votre ménage ont-ils consommé des protéines animales (y compris poisson, viande, volaille) ?</t>
  </si>
  <si>
    <t>414. A cikin kwanaki 7 da suka wuce sau nawa manyan gidanku suka ci abinci masu gina jiki kamar su kifi ko nama ko kaji?</t>
  </si>
  <si>
    <t>hoh_child_skip_days</t>
  </si>
  <si>
    <t>83. Yanzu ina so in tambaye ku ƙarin bayani game da abin da ka fuskanta masamman game da:</t>
  </si>
  <si>
    <t>Filets Sociaux</t>
  </si>
  <si>
    <t>415. In the last 7 days, have children (&lt;14) gone a whole day without meals?</t>
  </si>
  <si>
    <t>415. Au cours des 7 derniers jours, des enfants (&lt;14) ont-ils passé une journée entière sans manger de repas ?</t>
  </si>
  <si>
    <t>415. A cikin kwanaki 7 na ƙarshe, ko yara ƴan ƙasa da shekara goma sha huɗu sun zauna tsawon wuni guda ba su ci da abinci ba?</t>
  </si>
  <si>
    <t>hoh_child_skip_days_num</t>
  </si>
  <si>
    <t>416. 154a Tsawon kwanaki nawa?</t>
  </si>
  <si>
    <t>FIM</t>
  </si>
  <si>
    <t>hoh_child_skip_meals</t>
  </si>
  <si>
    <t>417. In the last 7 days, have children (&lt;14) cut the size of meals or skipped meals?</t>
  </si>
  <si>
    <t>417. Au cours des 7 derniers jours, des enfants (&lt;14) ont-ils réduit la taille de leurs repas ou les ont-ils sauté?</t>
  </si>
  <si>
    <t>417. A cikin kwanaki 7 na ƙarshe, suna da yara (&lt;14) sun rage yawan abinci ko sun rasa gaba ɗaya?</t>
  </si>
  <si>
    <t>hoh_child_skip_meals_num</t>
  </si>
  <si>
    <t>If they refuse, enter -888</t>
  </si>
  <si>
    <t>S'il refuse, entrez -888</t>
  </si>
  <si>
    <t>Idan ya ƙiya, shigar da -888</t>
  </si>
  <si>
    <t>418. How many days?</t>
  </si>
  <si>
    <t>418. Pendant combien de jours?</t>
  </si>
  <si>
    <t>${w_phys_attacked} = 1</t>
  </si>
  <si>
    <t>418. 155a Tsawon kwanaki nawa?</t>
  </si>
  <si>
    <t>FIM (Fondation Issoufou Mahamadou)</t>
  </si>
  <si>
    <t>hoh_child_protein</t>
  </si>
  <si>
    <t>417. In the past week how many days have children in your household consumed animal protein (inlcuding fish, meat, poultry)?</t>
  </si>
  <si>
    <t>417. Au cours des 7 derniers jours, combien de fois les enfants de votre ménage ont-ils consommé des protéines animales (y compris poisson, viande, volaille) ?</t>
  </si>
  <si>
    <t>417. A cikin kwanaki 7 da suka gabata sau nawa yara a cikin gidanku suka ci abinci masu gina jiki kamar su kifi, nama, kaji ?</t>
  </si>
  <si>
    <t>419. In the past week how many days have children in your household consumed animal protein (inlcuding fish, meat, poultry)?</t>
  </si>
  <si>
    <t>419. Au cours des 7 derniers jours, combien de fois les enfants de votre ménage ont-ils consommé des protéines animales (y compris poisson, viande, volaille) ?</t>
  </si>
  <si>
    <t>419. A cikin kwanaki 7 da suka gabata sau nawa yara a cikin gidanku suka ci abinci masu gina jiki kamar su kifi, nama, kaji ?</t>
  </si>
  <si>
    <t>GIEEN</t>
  </si>
  <si>
    <t>426. Poultry</t>
  </si>
  <si>
    <t>426. Volaille</t>
  </si>
  <si>
    <t>426. Kaji</t>
  </si>
  <si>
    <t>The settings worksheet</t>
  </si>
  <si>
    <t>hoh_monthly_consumption_any</t>
  </si>
  <si>
    <t>418. Has your household spent money on the following types of expenses in the past month?</t>
  </si>
  <si>
    <t>418. Votre ménage a-t-il dépensé de l'argent pour les types de dépenses suivants au cours du dernier mois ?</t>
  </si>
  <si>
    <t>418. Shin gidanku ya kashe kuɗi akan irin waɗannan abubuwan a cikin watan da ya gabata?</t>
  </si>
  <si>
    <t>${w_phys_threat} = 1</t>
  </si>
  <si>
    <t>420. Has your household spent money on the following types of expenses in the past month?</t>
  </si>
  <si>
    <t>420. Votre ménage a-t-il dépensé de l'argent pour les types de dépenses suivants au cours du dernier mois ?</t>
  </si>
  <si>
    <t>420. Shin gidanku ya kashe kuɗi akan irin waɗannan abubuwan a cikin watan da ya gabata?</t>
  </si>
  <si>
    <t>GIZ/ProEmploi</t>
  </si>
  <si>
    <t>hoh_monthly_consumption_amt</t>
  </si>
  <si>
    <t>421. How much did your household spend on ${hoh_item} in the past month (in CFA)?</t>
  </si>
  <si>
    <t>421. Combien votre ménage a-t-il dépensé pour ${hoh_item} au cours du dernier mois (en CFA) ?</t>
  </si>
  <si>
    <t>421. Nawa ne (a CFA) gidanku ya kashe akan ${hoh_item} cikin watan da ya gabata ?</t>
  </si>
  <si>
    <t>Mercy Corps</t>
  </si>
  <si>
    <t>hoh_weekly_consumption_any</t>
  </si>
  <si>
    <t>${w_theft} = 1</t>
  </si>
  <si>
    <t>422. Has your household spent money on the following types of expenses in the past week?</t>
  </si>
  <si>
    <t>422. Votre ménage a-t-il dépensé de l'argent pour les types de dépenses suivants au cours de la semaine dernière ?</t>
  </si>
  <si>
    <t>422. Ko gidanku sun kashe kuɗi akan ire iren waɗannan abubuwan a cikin satin da ya gabata?</t>
  </si>
  <si>
    <t>This worksheet contains overall settings for your form, all specified in the second row of the worksheet. When you download a form template from your SurveyCTO server, these settings will be pre-filled for you.</t>
  </si>
  <si>
    <t>NAZARI</t>
  </si>
  <si>
    <t>hoh_weekly_consumption_amt</t>
  </si>
  <si>
    <t>421. How much did your household spend on ${hoh_item_week} in the past week (in CFA)?</t>
  </si>
  <si>
    <t>421. Combien votre ménage a-t-il dépensé en ${hoh_item_week} la semaine dernière (en CFA) ?</t>
  </si>
  <si>
    <t>421. Nawa ne gidan ku ya kashe (a CFA) a ${hoh_item_week} satin da ya gabata ?</t>
  </si>
  <si>
    <t>Organisation International pour la Migration (OIM)</t>
  </si>
  <si>
    <t>423. How much did your household spend on ${hoh_item_week} in the past week (in CFA)?</t>
  </si>
  <si>
    <t>423. Combien votre ménage a-t-il dépensé en ${hoh_item_week} la semaine dernière (en CFA) ?</t>
  </si>
  <si>
    <t>423. Nawa ne gidan ku ya kashe (a CFA) a ${hoh_item_week} satin da ya gabata ?</t>
  </si>
  <si>
    <t>428. What is the phone number where we can reach you?</t>
  </si>
  <si>
    <t>428. Quel est le numéro de téléphone auquel nous pouvons vous joindre?</t>
  </si>
  <si>
    <t>428. Wace lambar waya ce zamu iya samun ku da ita?</t>
  </si>
  <si>
    <t>PARIS</t>
  </si>
  <si>
    <t>429. I am going to read back the phone number you just shared with me. Can you confirm this is your primary phone number? ${primary_phone}</t>
  </si>
  <si>
    <t>429. Je vais relire le numéro de téléphone que vous venez de me donner. Pouvez-vous confirmer qu'il s'agit de votre numéro de téléphone principal ? ${primary_phone}</t>
  </si>
  <si>
    <t>429. Zan sake karanta lambar wayar da kuka bani. Zaku iya tabbatar mini da wannan itace lambar wayarku ta farko? ${primary_phone}</t>
  </si>
  <si>
    <t>hoh_purchase</t>
  </si>
  <si>
    <t>422. For Ramadan, did your household purchase any of the following?</t>
  </si>
  <si>
    <t>424. For Ramadan, did your household purchase any of the following?</t>
  </si>
  <si>
    <t xml:space="preserve">424. </t>
  </si>
  <si>
    <t>hoh_purchase_clothing</t>
  </si>
  <si>
    <t>423. Clothing</t>
  </si>
  <si>
    <t>423. Vêtements</t>
  </si>
  <si>
    <t>423. Tufafi</t>
  </si>
  <si>
    <t>PASAN</t>
  </si>
  <si>
    <t>${w_arrest} = 1</t>
  </si>
  <si>
    <t>425. Clothing</t>
  </si>
  <si>
    <t>425. Vêtements</t>
  </si>
  <si>
    <t>425. Tufafi</t>
  </si>
  <si>
    <t>hoh_purchase_sheep</t>
  </si>
  <si>
    <t>424. Sheep</t>
  </si>
  <si>
    <t>424. Mouton</t>
  </si>
  <si>
    <t>424. Rago</t>
  </si>
  <si>
    <t>426. Sheep</t>
  </si>
  <si>
    <t>426. Mouton</t>
  </si>
  <si>
    <t>426. Rago</t>
  </si>
  <si>
    <t>hoh_purchase_goat</t>
  </si>
  <si>
    <t>425. Goat</t>
  </si>
  <si>
    <t>425. Chèvre</t>
  </si>
  <si>
    <t>425. Akuya</t>
  </si>
  <si>
    <t>PASEC</t>
  </si>
  <si>
    <t>427. Goat</t>
  </si>
  <si>
    <t>427. Chèvre</t>
  </si>
  <si>
    <t>427. Akuya</t>
  </si>
  <si>
    <t>hoh_purchase_poultry</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</si>
  <si>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</si>
  <si>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</si>
  <si>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</si>
  <si>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428. Poultry</t>
  </si>
  <si>
    <t>428. Volaille</t>
  </si>
  <si>
    <t>428. Kaji</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</si>
  <si>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</si>
  <si>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</si>
  <si>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</si>
  <si>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435. Please tell me the phone number you use for Whatsapp</t>
  </si>
  <si>
    <t>435. Veuillez me dire le numéro de téléphone que vous utilisez pour Whatsapp</t>
  </si>
  <si>
    <t>435. Don Allah ku gaya mini lambar wayar da kuke amfani da ita don yin Whatsapp</t>
  </si>
  <si>
    <t>PECAP</t>
  </si>
  <si>
    <t>436. I am going read back the phone number you just shared with me as your Whatsapp number. Is this the phone number you use for whatsapp? ${phone_whatsapp_number}</t>
  </si>
  <si>
    <t>436. Je vais relire le numéro de téléphone que vous nous avez donné comme votre numéro Whatsapp. Est-ce le numéro de téléphone que vous utilisez pour WhatsApp ? ${phone_whatsapp_number}</t>
  </si>
  <si>
    <t>436. Zan sake karanta lambar wayar da kuka bani a zaman lambar Whatsapp dinku. Wannan shine lambar wayar da kuke amfani da ita don yin whatsapp? ${phone_whatsapp_number}</t>
  </si>
  <si>
    <t>437. Please go back and correct the number.</t>
  </si>
  <si>
    <t>437. Veuillez revenir en arrière pour corriger le numéro.</t>
  </si>
  <si>
    <t>437. Da fatan za ka koma baya ka gyara lambar.</t>
  </si>
  <si>
    <t>Help topic: Hiding forms during testing</t>
  </si>
  <si>
    <t>438. Do you have other phone numbers that you use regularly (i.e. other phone carriers)?</t>
  </si>
  <si>
    <t>438. Avez-vous d'autres numéros de téléphone que vous utilisez régulièrement (c'est-à-dire d'autres opérateurs téléphoniques) ?</t>
  </si>
  <si>
    <t>438. Ko kuna da wasu lambobin waya waɗanda kuke amfani da su kai-akai (layin wasu gidan wayar salula)?</t>
  </si>
  <si>
    <t>PICAD</t>
  </si>
  <si>
    <t>439. How many other additional phone numbers?</t>
  </si>
  <si>
    <t>439. Y-a t-il d'autres numéros de téléphone supplémentaires ?</t>
  </si>
  <si>
    <t>439. 220 a. Ko akwai ƙarin wasu lambobin waya?</t>
  </si>
  <si>
    <t>Help topic: Updating an existing form</t>
  </si>
  <si>
    <t>440. What are these additional phone numbers?</t>
  </si>
  <si>
    <t>440. Quels sont les numéros de téléphone supplémentaires ?</t>
  </si>
  <si>
    <t>440. Waɗannene ƙarin lambobin wayan?</t>
  </si>
  <si>
    <t>441.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</si>
  <si>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</si>
  <si>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441. Idan ba za mu iya samun ku ba, ko za ku iya ba mu suna da lambar wayar wani wanda ba na gidanku ba da za mu iya kira don neman lambar ku?
 Za mu kirayi mutumen ne kawai idan bamu sameku ba bayan kira biyu zuwa uku, hakan zai taimaka mana ci gaba da tuntuɓar ku.</t>
  </si>
  <si>
    <t>PICCT</t>
  </si>
  <si>
    <t>442. What is the last name of this person</t>
  </si>
  <si>
    <t>442. Quel est le nom de cette personne</t>
  </si>
  <si>
    <t>442. Menene sunan uban wannan mutumen?</t>
  </si>
  <si>
    <t>443. What is the first name of this person</t>
  </si>
  <si>
    <t>443. Quel est le prénom de cette personne</t>
  </si>
  <si>
    <t>443. Menene sunan wannan mutumen?</t>
  </si>
  <si>
    <t>PLAN Niger</t>
  </si>
  <si>
    <t>followup_note</t>
  </si>
  <si>
    <t>427. As I mentioned at the beginning of our interview, we would like to stay in touch with you.</t>
  </si>
  <si>
    <t>427. Comme je l'ai mentionné au début de notre entretien, nous aimerions rester en contact avec vous.</t>
  </si>
  <si>
    <t>427. Kamar yadda na faɗa a farkon hirarmu, muna son mu ci gaba da tuntuɓar ku.</t>
  </si>
  <si>
    <t>429. As I mentioned at the beginning of our interview, we would like to stay in touch with you.</t>
  </si>
  <si>
    <t>429. Comme je l'ai mentionné au début de notre entretien, nous aimerions rester en contact avec vous.</t>
  </si>
  <si>
    <t>429. Kamar yadda na faɗa a farkon hirarmu, muna son mu ci gaba da tuntuɓar ku.</t>
  </si>
  <si>
    <t>primary_phone</t>
  </si>
  <si>
    <t>PRADEL</t>
  </si>
  <si>
    <t>430. What is the phone number where we can reach you?</t>
  </si>
  <si>
    <t>430. Quel est le numéro de téléphone auquel nous pouvons vous joindre?</t>
  </si>
  <si>
    <t>430. Wace lambar waya ce zamu iya samun ku da ita?</t>
  </si>
  <si>
    <t>primary_phone_confirm</t>
  </si>
  <si>
    <t>431. I am going to read back the phone number you just shared with me. Can you confirm this is your primary phone number? ${primary_phone}</t>
  </si>
  <si>
    <t>431. Je vais relire le numéro de téléphone que vous venez de me donner. Pouvez-vous confirmer qu'il s'agit de votre numéro de téléphone principal ? ${primary_phone}</t>
  </si>
  <si>
    <t>431. Zan sake karanta lambar wayar da kuka bani. Zaku iya tabbatar mini da wannan itace lambar wayarku ta farko? ${primary_phone}</t>
  </si>
  <si>
    <t>primary_phone_2</t>
  </si>
  <si>
    <t>430. Please go back and correct the number.</t>
  </si>
  <si>
    <t>430. Veuillez revenir en arrière pour corriger le numéro.</t>
  </si>
  <si>
    <t>430. ko za ka koma baya ka gyara lambar.</t>
  </si>
  <si>
    <t>432. Please go back and correct the number.</t>
  </si>
  <si>
    <t>432. Veuillez revenir en arrière pour corriger le numéro.</t>
  </si>
  <si>
    <t>432. ko za ka koma baya ka gyara lambar.</t>
  </si>
  <si>
    <t>select_one call</t>
  </si>
  <si>
    <t>primary_phone_test</t>
  </si>
  <si>
    <t>431. I am going to call this phone number to confirm it is correct.</t>
  </si>
  <si>
    <t>431. Je vais appeler ce numéro de téléphone pour confirmer qu'il est correct.</t>
  </si>
  <si>
    <t>431. Zan kirayi wannan lambar don tabbatar da cewa daidai ce.</t>
  </si>
  <si>
    <t>PRAPS</t>
  </si>
  <si>
    <t>433. I am going to call this phone number to confirm it is correct.</t>
  </si>
  <si>
    <t>433. Je vais appeler ce numéro de téléphone pour confirmer qu'il est correct.</t>
  </si>
  <si>
    <t>433. Zan kirayi wannan lambar don tabbatar da cewa daidai ce.</t>
  </si>
  <si>
    <t>primary_phone_test_note</t>
  </si>
  <si>
    <t>432. Please go back and enter a new phone number.</t>
  </si>
  <si>
    <t>432. Veuillez revenir en arrière pour entrer un nouveau numéro de téléphone.</t>
  </si>
  <si>
    <t>432. Ko za ka koma baya ka shigar da sabuwar lambar waya.</t>
  </si>
  <si>
    <t>434. Please go back and enter a new phone number.</t>
  </si>
  <si>
    <t>434. Veuillez revenir en arrière pour entrer un nouveau numéro de téléphone.</t>
  </si>
  <si>
    <t>434. Ko za ka koma baya ka shigar da sabuwar lambar waya.</t>
  </si>
  <si>
    <t>use_whatsapp</t>
  </si>
  <si>
    <t>433. Do you have a Whatsapp account/ phone number you use for WhatsApp?</t>
  </si>
  <si>
    <t>433. Avez-vous un compte/numéro de téléphone Whatsapp que vous utilisez pour WhatsApp ?</t>
  </si>
  <si>
    <t>433. Kuna yin WhatsApp / lambar wayar da kuke amfani da ita ta WhatsApp ce?</t>
  </si>
  <si>
    <t>PRODAF</t>
  </si>
  <si>
    <t>435. Do you have a Whatsapp account/ phone number you use for WhatsApp?</t>
  </si>
  <si>
    <t>435. Avez-vous un compte/numéro de téléphone Whatsapp que vous utilisez pour WhatsApp ?</t>
  </si>
  <si>
    <t>435. Kuna yin WhatsApp / lambar wayar da kuke amfani da ita ta WhatsApp ce?</t>
  </si>
  <si>
    <t>phone_whatsapp</t>
  </si>
  <si>
    <t>434. Is this the phone number you use for whatsapp?</t>
  </si>
  <si>
    <t>434. Est-ce le numéro de téléphone que vous utilisez pour WhatsApp ?</t>
  </si>
  <si>
    <t>434. Wannan ita ce lambar wayar da kuke amfani da ita don yin whatsapp?</t>
  </si>
  <si>
    <t>436. Is this the phone number you use for whatsapp?</t>
  </si>
  <si>
    <t>436. Est-ce le numéro de téléphone que vous utilisez pour WhatsApp ?</t>
  </si>
  <si>
    <t>436. Wannan ita ce lambar wayar da kuke amfani da ita don yin whatsapp?</t>
  </si>
  <si>
    <t>phone_whatsapp_number</t>
  </si>
  <si>
    <t>437. Please tell me the phone number you use for Whatsapp</t>
  </si>
  <si>
    <t>Programme Alimentaire Mondial (PAM)</t>
  </si>
  <si>
    <t>437. Veuillez me dire le numéro de téléphone que vous utilisez pour Whatsapp</t>
  </si>
  <si>
    <t>437. Don Allah ku gaya mini lambar wayar da kuke amfani da ita don yin Whatsapp</t>
  </si>
  <si>
    <t>phone_whatsapp_confirm</t>
  </si>
  <si>
    <t>438. I am going read back the phone number you just shared with me as your Whatsapp number. Is this the phone number you use for whatsapp? ${phone_whatsapp_number}</t>
  </si>
  <si>
    <t>438. Je vais relire le numéro de téléphone que vous nous avez donné comme votre numéro Whatsapp. Est-ce le numéro de téléphone que vous utilisez pour WhatsApp ? ${phone_whatsapp_number}</t>
  </si>
  <si>
    <t>438. Zan sake karanta lambar wayar da kuka bani a zaman lambar Whatsapp dinku. Wannan shine lambar wayar da kuke amfani da ita don yin whatsapp? ${phone_whatsapp_number}</t>
  </si>
  <si>
    <t>whatsapp_mismatch</t>
  </si>
  <si>
    <t>. &gt;= 0 and . &lt;= 7</t>
  </si>
  <si>
    <t>439. Please go back and correct the number.</t>
  </si>
  <si>
    <t>439. Veuillez revenir en arrière pour corriger le numéro.</t>
  </si>
  <si>
    <t>Programme pour la promotion de l'éductaion (PPE)</t>
  </si>
  <si>
    <t>439. Da fatan za ka koma baya ka gyara lambar.</t>
  </si>
  <si>
    <t>${w_adults_skip_days} = 1</t>
  </si>
  <si>
    <t>primary_other_phone</t>
  </si>
  <si>
    <t>440. Do you have other phone numbers that you use regularly (i.e. other phone carriers)?</t>
  </si>
  <si>
    <t>440. Avez-vous d'autres numéros de téléphone que vous utilisez régulièrement (c'est-à-dire d'autres opérateurs téléphoniques) ?</t>
  </si>
  <si>
    <t>440. Ko kuna da wasu lambobin waya waɗanda kuke amfani da su kai-akai (layin wasu gidan wayar salula)?</t>
  </si>
  <si>
    <t>primary_other_phones</t>
  </si>
  <si>
    <t>441. How many other additional phone numbers?</t>
  </si>
  <si>
    <t>441. Y-a t-il d'autres numéros de téléphone supplémentaires ?</t>
  </si>
  <si>
    <t>441. 220 a. Ko akwai ƙarin wasu lambobin waya?</t>
  </si>
  <si>
    <t>PROGRES</t>
  </si>
  <si>
    <t>454. What is ${secondary_name2}'s relationship to you?</t>
  </si>
  <si>
    <t>454. Quelle est la relation entre ${secondary_name2} et vous ?</t>
  </si>
  <si>
    <t>454. Menene alaƙar ku da ${secondary_name2} ?</t>
  </si>
  <si>
    <t>primary_other_phone_num</t>
  </si>
  <si>
    <t>442. What are these additional phone numbers?</t>
  </si>
  <si>
    <t>442. Quels sont les numéros de téléphone supplémentaires ?</t>
  </si>
  <si>
    <t>442. Waɗannene ƙarin lambobin wayan?</t>
  </si>
  <si>
    <t>Projet LIRE</t>
  </si>
  <si>
    <t>456. Please go back and correct the name and phone number.</t>
  </si>
  <si>
    <t>456. Veuillez revenir en arrière et corriger le nom et le numéro de téléphone.</t>
  </si>
  <si>
    <t>456. Da fatan za ka koma baya ka gyara suna da lambar waya.</t>
  </si>
  <si>
    <t>secondary_contact1</t>
  </si>
  <si>
    <t>443.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</si>
  <si>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92. Tsawon kwana nawa?</t>
  </si>
  <si>
    <t>443.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</si>
  <si>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443. Idan ba za mu iya samun ku ba, ko za ku iya ba mu suna da lambar wayar wani wanda ba na gidanku ba da za mu iya kira don neman lambar ku?
 Za mu kirayi mutumen ne kawai idan bamu sameku ba bayan kira biyu zuwa uku, hakan zai taimaka mana ci gaba da tuntuɓar ku.</t>
  </si>
  <si>
    <t>Projet Pôles Ruraux (PPR)</t>
  </si>
  <si>
    <t>458. Please go back and enter a new phone number.</t>
  </si>
  <si>
    <t>458. Veuillez ressaisir le numéro</t>
  </si>
  <si>
    <t xml:space="preserve">458. </t>
  </si>
  <si>
    <t>secondary_name1_last</t>
  </si>
  <si>
    <t>${w_adults_skip_meals} = 1</t>
  </si>
  <si>
    <t>444. What is the last name of this person</t>
  </si>
  <si>
    <t>444. Quel est le nom de cette personne</t>
  </si>
  <si>
    <t>444. Menene sunan uban wannan mutumen?</t>
  </si>
  <si>
    <t>secondary_name1_first</t>
  </si>
  <si>
    <t>445. What is the first name of this person</t>
  </si>
  <si>
    <t>445. Quel est le prénom de cette personne</t>
  </si>
  <si>
    <t>445. Menene sunan wannan mutumen?</t>
  </si>
  <si>
    <t>PROMAP-ADKOUL</t>
  </si>
  <si>
    <t>459. How interested was the resppondent</t>
  </si>
  <si>
    <t>459. Dans quelle mesure le répondant était-il intéressé</t>
  </si>
  <si>
    <t>459. Yaya kake ganin maida hankalin mai bada amsa yake</t>
  </si>
  <si>
    <t>secondary_phone1</t>
  </si>
  <si>
    <t>444. What is their phone number?</t>
  </si>
  <si>
    <t>444. Quel est leur numéro de téléphone?</t>
  </si>
  <si>
    <t>444. Menene lambar wayarsu?</t>
  </si>
  <si>
    <t>REVE</t>
  </si>
  <si>
    <t>446. What is their phone number?</t>
  </si>
  <si>
    <t>446. Quel est leur numéro de téléphone?</t>
  </si>
  <si>
    <t>446. Menene lambar wayarsu?</t>
  </si>
  <si>
    <t>secondary_relation1</t>
  </si>
  <si>
    <t>445. What is ${secondary_name1}'s relationship to you?</t>
  </si>
  <si>
    <t>445. Quelle est la relation entre ${secondary_name1} et vous ?</t>
  </si>
  <si>
    <t>445. Menene alaƙar ku da ${secondary_name1} ?</t>
  </si>
  <si>
    <t>447. What is ${secondary_name1}'s relationship to you?</t>
  </si>
  <si>
    <t>447. Quelle est la relation entre ${secondary_name1} et vous ?</t>
  </si>
  <si>
    <t>447. Menene alaƙar ku da ${secondary_name1} ?</t>
  </si>
  <si>
    <t>secondary_phone1_confirm</t>
  </si>
  <si>
    <t>446. Just to confirm, is this the number? 
 ${secondary_name1}
 ${secondary_phone1}</t>
  </si>
  <si>
    <t>446. Juste pour confirmer, est-ce bien le numéro ?
 ${secondary_name1}
 ${secondary_phone1}</t>
  </si>
  <si>
    <t>446. Don tabbatarwa kawai, da wannan itace lambar?
 ${secondary_name1}
 ${secondary_phone1}</t>
  </si>
  <si>
    <t>SNV</t>
  </si>
  <si>
    <t>448. Just to confirm, is this the number? 
 ${secondary_name1}
 ${secondary_phone1}</t>
  </si>
  <si>
    <t>448. Juste pour confirmer, est-ce bien le numéro ?
 ${secondary_name1}
 ${secondary_phone1}</t>
  </si>
  <si>
    <t>448. Don tabbatarwa kawai, da wannan itace lambar?
 ${secondary_name1}
 ${secondary_phone1}</t>
  </si>
  <si>
    <t>secondary_phone1_note</t>
  </si>
  <si>
    <t>447. Please go back and correct the name and phone number.</t>
  </si>
  <si>
    <t>447. Veuillez revenir en arrière et corriger le nom et le numéro de téléphone.</t>
  </si>
  <si>
    <t>447. Da fatan za ka koma baya don ka gyara suna da lambar waya.</t>
  </si>
  <si>
    <t>449. Please go back and correct the name and phone number.</t>
  </si>
  <si>
    <t>449. Veuillez revenir en arrière et corriger le nom et le numéro de téléphone.</t>
  </si>
  <si>
    <t>449. Da fatan za ka koma baya don ka gyara suna da lambar waya.</t>
  </si>
  <si>
    <t>secondary_phone1_test</t>
  </si>
  <si>
    <t>448. I am going to call this phone number to confirm it is correct. [Enumerator: Did the phone ring?]</t>
  </si>
  <si>
    <t>448. Je vais appeler ce numéro de téléphone pour confirmer qu'il est correct. [Enquêteur : Le téléphone a-t-il sonné ?]</t>
  </si>
  <si>
    <t>448. Zan kirayi wannan lambar wayar don tabbatar da daidai ce. [Ɗan bincike: Wayar ta yi ƙara?]</t>
  </si>
  <si>
    <t>94. A cikin kwana 7 na ƙarshe, ko yara ƴan ƙasa da shekara goma sha huɗu sun zauna tsawon wuni guda ba su ci da abinci ba?</t>
  </si>
  <si>
    <t>450. I am going to call this phone number to confirm it is correct. [Enumerator: Did the phone ring?]</t>
  </si>
  <si>
    <t>450. Je vais appeler ce numéro de téléphone pour confirmer qu'il est correct. [Enquêteur : Le téléphone a-t-il sonné ?]</t>
  </si>
  <si>
    <t>450. Zan kirayi wannan lambar wayar don tabbatar da daidai ce. [Ɗan bincike: Wayar ta yi ƙara?]</t>
  </si>
  <si>
    <t>TATTALI IYALI</t>
  </si>
  <si>
    <t>secondary_phone1_test_note</t>
  </si>
  <si>
    <t>449. Please go back and enter a new phone number.</t>
  </si>
  <si>
    <t>449. Veuillez ressaisir le numéro</t>
  </si>
  <si>
    <t>449. Da fatan zaku rubuta lambar</t>
  </si>
  <si>
    <t>451. Please go back and enter a new phone number.</t>
  </si>
  <si>
    <t>451. Veuillez ressaisir le numéro</t>
  </si>
  <si>
    <t>451. Da fatan zaku rubuta lambar</t>
  </si>
  <si>
    <t>secondary_contact2</t>
  </si>
  <si>
    <t>450.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</si>
  <si>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450.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</si>
  <si>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450.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</si>
  <si>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452.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</si>
  <si>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452.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</si>
  <si>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452.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</si>
  <si>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UNICEF</t>
  </si>
  <si>
    <t>secondary_name2_last</t>
  </si>
  <si>
    <t>451. What is the last name of this person</t>
  </si>
  <si>
    <t>451. Quel est le nom de cette personne?</t>
  </si>
  <si>
    <t>451. Menene sunan uban wannan mutumen?</t>
  </si>
  <si>
    <t>453. What is the last name of this person</t>
  </si>
  <si>
    <t>453. Quel est le nom de cette personne?</t>
  </si>
  <si>
    <t>453. Menene sunan uban wannan mutumen?</t>
  </si>
  <si>
    <t>secondary_name2_first</t>
  </si>
  <si>
    <t>452. What is the first name of this person</t>
  </si>
  <si>
    <t>${w_child_skip_days} = 1</t>
  </si>
  <si>
    <t>452. Quel est le prénom de cette personne?</t>
  </si>
  <si>
    <t>452. Menene sunan wannan mutumen?</t>
  </si>
  <si>
    <t>454. What is the first name of this person</t>
  </si>
  <si>
    <t>454. Quel est le prénom de cette personne?</t>
  </si>
  <si>
    <t>454. Menene sunan wannan mutumen?</t>
  </si>
  <si>
    <t>Union Internationale pour la Conservation de la Nature (UICN)</t>
  </si>
  <si>
    <t>464. That is the end of the survey. Thank you for your time.</t>
  </si>
  <si>
    <t>464. C'est la fin de l'enquête. Merci pour votre temps.</t>
  </si>
  <si>
    <t>464. Karshen tambayoyin kenan. Na gode da lokacin da kuka bani.</t>
  </si>
  <si>
    <t>secondary_phone2</t>
  </si>
  <si>
    <t>453. What is their phone number?</t>
  </si>
  <si>
    <t>453. Quel est leur numéro de téléphone?</t>
  </si>
  <si>
    <t>453. Menene lambar wayarsu?</t>
  </si>
  <si>
    <t>455. What is their phone number?</t>
  </si>
  <si>
    <t>455. Quel est leur numéro de téléphone?</t>
  </si>
  <si>
    <t>455. Menene lambar wayarsu?</t>
  </si>
  <si>
    <t>secondary_relation2</t>
  </si>
  <si>
    <t>WHH</t>
  </si>
  <si>
    <t>456. What is ${secondary_name2}'s relationship to you?</t>
  </si>
  <si>
    <t>456. Quelle est la relation entre ${secondary_name2} et vous ?</t>
  </si>
  <si>
    <t>456. Menene alaƙar ku da ${secondary_name2} ?</t>
  </si>
  <si>
    <t>secondary_phone2_confirm</t>
  </si>
  <si>
    <t>455. Just to confirm, is this the number? 
 ${secondary_name2}
 ${secondary_phone2}</t>
  </si>
  <si>
    <t>455. Juste pour confirmer, est-ce bien le numéro ?
 ${secondary_name2}
 ${secondary_phone2}</t>
  </si>
  <si>
    <t>455. Don tabbatar kawai, da wannan itace lambar?
 ${secondary_name2}
 ${secondary_phone2}</t>
  </si>
  <si>
    <t>457. Just to confirm, is this the number? 
 ${secondary_name2}
 ${secondary_phone2}</t>
  </si>
  <si>
    <t>457. Juste pour confirmer, est-ce bien le numéro ?
 ${secondary_name2}
 ${secondary_phone2}</t>
  </si>
  <si>
    <t>457. Don tabbatar kawai, da wannan itace lambar?
 ${secondary_name2}
 ${secondary_phone2}</t>
  </si>
  <si>
    <t>secondary_phone2_note</t>
  </si>
  <si>
    <t>458. Please go back and correct the name and phone number.</t>
  </si>
  <si>
    <t>458. Veuillez revenir en arrière et corriger le nom et le numéro de téléphone.</t>
  </si>
  <si>
    <t>458. Da fatan za ka koma baya ka gyara suna da lambar waya.</t>
  </si>
  <si>
    <t>Word Vision</t>
  </si>
  <si>
    <t>secondary_phone2_test</t>
  </si>
  <si>
    <t>457. I am going to call this phone number to confirm it is correct. [Enumerator: Did the phone ring?]</t>
  </si>
  <si>
    <t>457. Je vais appeler ce numéro de téléphone pour confirmer qu'il est correct. [Enquêteur : Le téléphone a-t-il sonné ?]</t>
  </si>
  <si>
    <t>457. Zan kirayi wannan lambar wayar don tabbatar da daidai ce. [Ɗan bincike: Wayar ta yi ƙara?]</t>
  </si>
  <si>
    <t>459. I am going to call this phone number to confirm it is correct. [Enumerator: Did the phone ring?]</t>
  </si>
  <si>
    <t>459. Je vais appeler ce numéro de téléphone pour confirmer qu'il est correct. [Enquêteur : Le téléphone a-t-il sonné ?]</t>
  </si>
  <si>
    <t>459. Zan kirayi wannan lambar wayar don tabbatar da daidai ce. [Ɗan bincike: Wayar ta yi ƙara?]</t>
  </si>
  <si>
    <t>secondary_phone2_test_note</t>
  </si>
  <si>
    <t>97. 155a Tsawon kwana nawa?</t>
  </si>
  <si>
    <t>${w_child_skip_meals} = 1</t>
  </si>
  <si>
    <t>460. Please go back and enter a new phone number.</t>
  </si>
  <si>
    <t>460. Veuillez ressaisir le numéro</t>
  </si>
  <si>
    <t xml:space="preserve">460. </t>
  </si>
  <si>
    <t>select_one interest</t>
  </si>
  <si>
    <t>resp_interest</t>
  </si>
  <si>
    <t>ZARES</t>
  </si>
  <si>
    <t>461. How interested was the resppondent</t>
  </si>
  <si>
    <t>461. Dans quelle mesure le répondant était-il intéressé</t>
  </si>
  <si>
    <t>461. Yaya kake ganin maida hankalin mai bada amsa yake</t>
  </si>
  <si>
    <t>select_one patient</t>
  </si>
  <si>
    <t>resp_patient</t>
  </si>
  <si>
    <t>460. How impatient was the respondent?</t>
  </si>
  <si>
    <t>460. À quel point le répondant était-il impatient ?</t>
  </si>
  <si>
    <t>460. Yaya kake ganin rashin haƙurin mai bada amsa?</t>
  </si>
  <si>
    <t>462. How impatient was the respondent?</t>
  </si>
  <si>
    <t>462. À quel point le répondant était-il impatient ?</t>
  </si>
  <si>
    <t>462. Yaya kake ganin rashin haƙurin mai bada amsa?</t>
  </si>
  <si>
    <t>select_one comprehension</t>
  </si>
  <si>
    <t>resp_understand</t>
  </si>
  <si>
    <t>461. How well did the respondent understand the questions?</t>
  </si>
  <si>
    <t>461. Dans quelle mesure le répondant a-t-il compris les questions ?</t>
  </si>
  <si>
    <t>461. Yaya kake ganin mai bada amsa ya fahimci tambayoyin?</t>
  </si>
  <si>
    <t>463. How well did the respondent understand the questions?</t>
  </si>
  <si>
    <t>463. Dans quelle mesure le répondant a-t-il compris les questions ?</t>
  </si>
  <si>
    <t>463. Yaya kake ganin mai bada amsa ya fahimci tambayoyin?</t>
  </si>
  <si>
    <t>select_one present</t>
  </si>
  <si>
    <t>other_people</t>
  </si>
  <si>
    <t>462. Was the interview conducted in the presence of other people?</t>
  </si>
  <si>
    <t>462. L'entretien a-t-il été réalisé en présence d'autres personnes ?</t>
  </si>
  <si>
    <t>462. Ko an yi hirar ne a gaban wasu mutane?</t>
  </si>
  <si>
    <t>464. Was the interview conducted in the presence of other people?</t>
  </si>
  <si>
    <t>464. L'entretien a-t-il été réalisé en présence d'autres personnes ?</t>
  </si>
  <si>
    <t>464. Ko an yi hirar ne a gaban wasu mutane?</t>
  </si>
  <si>
    <t>comment</t>
  </si>
  <si>
    <t>463. Enumerator: Record any comments on the survey</t>
  </si>
  <si>
    <t>463. Enquêteur : Veuillez noter vos commentaires si vous en avez</t>
  </si>
  <si>
    <t xml:space="preserve">463. </t>
  </si>
  <si>
    <t>465. Enumerator: Record any comments on the survey</t>
  </si>
  <si>
    <t>465. Enquêteur : Veuillez noter vos commentaires si vous en avez</t>
  </si>
  <si>
    <t xml:space="preserve">465. </t>
  </si>
  <si>
    <t>thankyou</t>
  </si>
  <si>
    <t>mig_countries</t>
  </si>
  <si>
    <t>466. That is the end of the survey. Thank you for your time.</t>
  </si>
  <si>
    <t>466. C'est la fin de l'enquête. Merci pour votre temps.</t>
  </si>
  <si>
    <t>466. Karshen tambayoyin kenan. Na gode da lokacin da kuka bani.</t>
  </si>
  <si>
    <t>w_consumption</t>
  </si>
  <si>
    <t>not(selected(., '0') and count-selected(.)&gt; 1)</t>
  </si>
  <si>
    <t>w_cons_month</t>
  </si>
  <si>
    <t>Consumption - Monthly</t>
  </si>
  <si>
    <t>Consommation - Mensuelle</t>
  </si>
  <si>
    <t>Cimaka - kowane wata</t>
  </si>
  <si>
    <t>not(selected(${w_monthly_consumption_any}, '0'))</t>
  </si>
  <si>
    <t>count-selected(${w_monthly_consumption_any})</t>
  </si>
  <si>
    <t>w_item</t>
  </si>
  <si>
    <t>item</t>
  </si>
  <si>
    <t>article</t>
  </si>
  <si>
    <t>kaya</t>
  </si>
  <si>
    <t>choice-label(${w_monthly_consumption_any}, selected-at(${w_monthly_consumption_any}, index()-1))</t>
  </si>
  <si>
    <t>. &gt;= 0</t>
  </si>
  <si>
    <t>101. Ko a gidanku an kashe kuɗi akan ire iren waɗannan abubuwan a cikin satin da ya gabata?</t>
  </si>
  <si>
    <t>w_cons_week</t>
  </si>
  <si>
    <t>Consumption - Weekly</t>
  </si>
  <si>
    <t>Consommation - Hebdomadaire</t>
  </si>
  <si>
    <t>Cimakar - sati-sati</t>
  </si>
  <si>
    <t>not(selected(${w_weekly_consumption_any}, '0'))</t>
  </si>
  <si>
    <t>count-selected(${w_weekly_consumption_any})</t>
  </si>
  <si>
    <t>w_item_week</t>
  </si>
  <si>
    <t>item weekly</t>
  </si>
  <si>
    <t>article hebdomadaire</t>
  </si>
  <si>
    <t>kayan sati-sati</t>
  </si>
  <si>
    <t>choice-label(${w_weekly_consumption_any}, selected-at(${w_weekly_consumption_any}, index()-1))</t>
  </si>
  <si>
    <t>w_tabaski</t>
  </si>
  <si>
    <t>103. For Ramadan, did your household purchase any of the following?</t>
  </si>
  <si>
    <t>103. Pour le Ramadan, votre ménage a-t-il acheté l'un des produits suivants ?</t>
  </si>
  <si>
    <t>103. Ga sallar azumi, gidanku ya sayi ɗaya daga cikin wadannan?</t>
  </si>
  <si>
    <t>travel</t>
  </si>
  <si>
    <t>bus</t>
  </si>
  <si>
    <t>bas</t>
  </si>
  <si>
    <t>taxi</t>
  </si>
  <si>
    <t>Taxi</t>
  </si>
  <si>
    <t>on foot</t>
  </si>
  <si>
    <t>à pied</t>
  </si>
  <si>
    <t>a kafa</t>
  </si>
  <si>
    <t>motorcycle</t>
  </si>
  <si>
    <t>moto</t>
  </si>
  <si>
    <t>babur</t>
  </si>
  <si>
    <t>107. Kaji/zabi</t>
  </si>
  <si>
    <t>reason_nowork</t>
  </si>
  <si>
    <t>Health reasons</t>
  </si>
  <si>
    <t>Raisons de santé</t>
  </si>
  <si>
    <t>Dalilan lafiya</t>
  </si>
  <si>
    <t>Studies / school</t>
  </si>
  <si>
    <t>Études / école</t>
  </si>
  <si>
    <t>Karatu / makaranta</t>
  </si>
  <si>
    <t>Took time off for leisure</t>
  </si>
  <si>
    <t>A pris du temps pour les loisirs</t>
  </si>
  <si>
    <t>Ya ɗauki lokaci don nashaɗi</t>
  </si>
  <si>
    <t>108. Au cours de ${period_french}, votre ménage a-t-il été affecté négativement par l'un des types d'événements suivants ?</t>
  </si>
  <si>
    <t>Select all that apply</t>
  </si>
  <si>
    <t>Sélectionnez tout ce qui s'y rapporte</t>
  </si>
  <si>
    <t>Zaɓi duk abin da ya dace</t>
  </si>
  <si>
    <t>not(selected(., '0') and count-selected(.) &gt; 1)</t>
  </si>
  <si>
    <t>Could not find work</t>
  </si>
  <si>
    <t>Je n'ai pas trouvé de travail</t>
  </si>
  <si>
    <t>Ban samu aiki ba</t>
  </si>
  <si>
    <t>selected(${w_emergency}, '-777')</t>
  </si>
  <si>
    <t>w_emerg_resp</t>
  </si>
  <si>
    <t>Emergency response</t>
  </si>
  <si>
    <t>not(selected(${w_emergency}, '0'))</t>
  </si>
  <si>
    <t>count-selected(${hoh_emergency})</t>
  </si>
  <si>
    <t>docs</t>
  </si>
  <si>
    <t>w_emergency_name</t>
  </si>
  <si>
    <t>Emergency Name</t>
  </si>
  <si>
    <t>if(selected-at(${w_emergency}, index()-1) = '-777', ${w_emergency_o}, choice-label(${w_emergency}, selected-at(${w_emergency}, index()-1)))</t>
  </si>
  <si>
    <t>Birth certificate</t>
  </si>
  <si>
    <t>Extrait de naissance</t>
  </si>
  <si>
    <t>Takardar shaidar haihuwa</t>
  </si>
  <si>
    <t>w_emerg_yes</t>
  </si>
  <si>
    <t>Passport</t>
  </si>
  <si>
    <t>Passeport</t>
  </si>
  <si>
    <t>Fasfo</t>
  </si>
  <si>
    <t>National ID card</t>
  </si>
  <si>
    <t>Carte d'identité nationale</t>
  </si>
  <si>
    <t>Katin ID na kasa</t>
  </si>
  <si>
    <t>Vaccine booklet</t>
  </si>
  <si>
    <t>Carnet de vaccins</t>
  </si>
  <si>
    <t>Littafin rigakafi</t>
  </si>
  <si>
    <t>ECOWAS ID card</t>
  </si>
  <si>
    <t>Carte d'identité CEDEAO</t>
  </si>
  <si>
    <t>Katin ID na ECOWAS</t>
  </si>
  <si>
    <t>Travel visa</t>
  </si>
  <si>
    <t>Visa de voyage</t>
  </si>
  <si>
    <t>Visa ta balaguro</t>
  </si>
  <si>
    <t>114. Rage kashe kuɗi akan abinci ko canza abincin da ku ka saba ci?</t>
  </si>
  <si>
    <t>w_emerg_amt</t>
  </si>
  <si>
    <t>${w_emerg_sell} = 1 or ${w_emerg_borrow} = 1 or ${w_emerg_spend} = 1</t>
  </si>
  <si>
    <t>115. For ${w_emergency_name}
 What was the value of the following in CFA?</t>
  </si>
  <si>
    <t>115. Par rapport à ${w_emergency_name}
 Quelle était la valeur des éléments suivantes en CFA?</t>
  </si>
  <si>
    <t>115. Game da ${w_emergency_name}
  Nawa ne kimar waɗannan abubuwan a kuɗin CFA?</t>
  </si>
  <si>
    <t>Assets include animals, food stock</t>
  </si>
  <si>
    <t>Par exemple, des animaux, vos stocks alimentaires</t>
  </si>
  <si>
    <t>Kadarorin sun haɗa da dabbobi, ajiyar abinci</t>
  </si>
  <si>
    <t>${w_emerg_sell} = 1</t>
  </si>
  <si>
    <t>travail domestique</t>
  </si>
  <si>
    <t>${w_emerg_borrow} = 1</t>
  </si>
  <si>
    <t>${w_emerg_spend} = 1</t>
  </si>
  <si>
    <t>w_opinion_matter</t>
  </si>
  <si>
    <t>nopay</t>
  </si>
  <si>
    <t>Family business / land</t>
  </si>
  <si>
    <t>Entreprise familiale / terre</t>
  </si>
  <si>
    <t>Kasuwancin iyali / ƙasa</t>
  </si>
  <si>
    <t>Employer refused to pay me</t>
  </si>
  <si>
    <t>L'employeur a refusé de me payer</t>
  </si>
  <si>
    <t>Mai gida ya ƙi biya na</t>
  </si>
  <si>
    <t>Paid out debt through work</t>
  </si>
  <si>
    <t>Rembourser la dette par le travail</t>
  </si>
  <si>
    <t>Biyan bashi ta hanyar aiki</t>
  </si>
  <si>
    <t>Self-employed but did not earn profit</t>
  </si>
  <si>
    <t>Indépendant mais n'a pas réalisé de profit</t>
  </si>
  <si>
    <t>Mai aikin kansa amma bai samu riba ba</t>
  </si>
  <si>
    <t>Apprenticeship</t>
  </si>
  <si>
    <t>Apprentissage</t>
  </si>
  <si>
    <t>Koyo</t>
  </si>
  <si>
    <t>employer</t>
  </si>
  <si>
    <t>Self-employed</t>
  </si>
  <si>
    <t>Travailleur indépendant</t>
  </si>
  <si>
    <t>Aikin-kai</t>
  </si>
  <si>
    <t>Employed by individual</t>
  </si>
  <si>
    <t>Employé par un particulier</t>
  </si>
  <si>
    <t>Mutum wani mutum mai gida</t>
  </si>
  <si>
    <t>Employed by private businesss</t>
  </si>
  <si>
    <t>Employé par des entreprises privées</t>
  </si>
  <si>
    <t>Yin aiki da kamfanoni masu zaman kansu</t>
  </si>
  <si>
    <t>Employed by public sector</t>
  </si>
  <si>
    <t>Employé par le secteur public</t>
  </si>
  <si>
    <t>Ma'aikaci na gwamnati</t>
  </si>
  <si>
    <t>purpose</t>
  </si>
  <si>
    <t>For work</t>
  </si>
  <si>
    <t>Pour le travail</t>
  </si>
  <si>
    <t>Don aiki</t>
  </si>
  <si>
    <t>For social reasons (visit family/friends, attend ceremony)</t>
  </si>
  <si>
    <t>Pour des raisons sociales (visiter famille/amis, assister à une cérémonie)</t>
  </si>
  <si>
    <t>Don dalilai na zamantakewa (ziyarci dangi/abokai, halartar bikin)</t>
  </si>
  <si>
    <t>Accompany/reunify with spouse</t>
  </si>
  <si>
    <t>Accompagner/réunifier avec le conjoint</t>
  </si>
  <si>
    <t>Rakiya/sake haduwa da miji</t>
  </si>
  <si>
    <t>For studies</t>
  </si>
  <si>
    <t>Pour les études</t>
  </si>
  <si>
    <t>Domin karatu</t>
  </si>
  <si>
    <t>For medical reasons</t>
  </si>
  <si>
    <t>Pour des raisons médicales</t>
  </si>
  <si>
    <t>Transit (on my way somewhere else)</t>
  </si>
  <si>
    <t>Transit (en route ailleurs)</t>
  </si>
  <si>
    <t>Tafiya (a kan hanya ta zuwa wani wuri)</t>
  </si>
  <si>
    <t>other</t>
  </si>
  <si>
    <t>autre</t>
  </si>
  <si>
    <t>stay</t>
  </si>
  <si>
    <t>Home (owned by own household)</t>
  </si>
  <si>
    <t>Maison (appartenant à son propre ménage)</t>
  </si>
  <si>
    <t>Gida (mallakar gidan kansa)</t>
  </si>
  <si>
    <t>Home of friends/familiy (no cost)</t>
  </si>
  <si>
    <t>Maison d'amis/famille (sans frais)</t>
  </si>
  <si>
    <t>Gidan abokai/iyali (ba farashi)</t>
  </si>
  <si>
    <t>Rented accomodation alone</t>
  </si>
  <si>
    <t>Logement loué seul</t>
  </si>
  <si>
    <t>Gidan haya shi kaɗai</t>
  </si>
  <si>
    <t>Rented accomodation with others</t>
  </si>
  <si>
    <t>Logement en location avec d'autres</t>
  </si>
  <si>
    <t>Hayar gida tare da wasu</t>
  </si>
  <si>
    <t>Street</t>
  </si>
  <si>
    <t>Rue</t>
  </si>
  <si>
    <t>Titi</t>
  </si>
  <si>
    <t>Shelter (mosque, association)</t>
  </si>
  <si>
    <t>Abri (mosquée, association)</t>
  </si>
  <si>
    <t>Matsuguni (masallaci, ƙungiya)</t>
  </si>
  <si>
    <t>Hotel</t>
  </si>
  <si>
    <t>Hôtel</t>
  </si>
  <si>
    <t>Otal</t>
  </si>
  <si>
    <t>Employer provided room</t>
  </si>
  <si>
    <t>Chambre fournie par l'employeur</t>
  </si>
  <si>
    <t>Maigida ya ba da daki</t>
  </si>
  <si>
    <t>133. La série de questions suivante s'adresse uniquement aux femmes mariées. Es-tu marié?</t>
  </si>
  <si>
    <t>133. Tambayoyi na gaba na matan aure ne kawai. Ko ki na da aure?</t>
  </si>
  <si>
    <t>${w_married} = 1</t>
  </si>
  <si>
    <t>comprehension</t>
  </si>
  <si>
    <t>Did not understand</t>
  </si>
  <si>
    <t>N'a pas compris</t>
  </si>
  <si>
    <t>Bai gane ba</t>
  </si>
  <si>
    <t>Understood somewhat</t>
  </si>
  <si>
    <t>Un peu compris</t>
  </si>
  <si>
    <t>Ya gane ɗan kadan</t>
  </si>
  <si>
    <t>Understood well</t>
  </si>
  <si>
    <t>Bien compris</t>
  </si>
  <si>
    <t>Ya gane sosai</t>
  </si>
  <si>
    <t>present</t>
  </si>
  <si>
    <t>Alone</t>
  </si>
  <si>
    <t>Seul</t>
  </si>
  <si>
    <t>Shi kaɗai</t>
  </si>
  <si>
    <t>With spouse only</t>
  </si>
  <si>
    <t>Avec conjoint seulement</t>
  </si>
  <si>
    <t>Tare da mata kawai</t>
  </si>
  <si>
    <t>With household members</t>
  </si>
  <si>
    <t>Avec les membres du ménage</t>
  </si>
  <si>
    <t>Tare da yan gida</t>
  </si>
  <si>
    <t>With non-household members</t>
  </si>
  <si>
    <t>Avec des non-membres du ménage</t>
  </si>
  <si>
    <t>Tare da wadanda ba ƴan gida ba</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</si>
  <si>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</si>
  <si>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</si>
  <si>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Cikin waɗannan maganganun da za'a zana sai ka bada amsa idan ka yarda sosai, ka yarda, baka yarda ba, baka yarda ba sam sam da shi.</t>
  </si>
  <si>
    <t>paytype</t>
  </si>
  <si>
    <t>Cash</t>
  </si>
  <si>
    <t>Especes</t>
  </si>
  <si>
    <t>Kuɗi fari</t>
  </si>
  <si>
    <t>In-kind</t>
  </si>
  <si>
    <t>Nature</t>
  </si>
  <si>
    <t>Wani kaya</t>
  </si>
  <si>
    <t>benefits</t>
  </si>
  <si>
    <t>Housing</t>
  </si>
  <si>
    <t>Logement</t>
  </si>
  <si>
    <t>Gidaje</t>
  </si>
  <si>
    <t>Food</t>
  </si>
  <si>
    <t>Nourriture</t>
  </si>
  <si>
    <t>Abinci</t>
  </si>
  <si>
    <t>Phone Credit</t>
  </si>
  <si>
    <t>Crédit téléphonique</t>
  </si>
  <si>
    <t>Kuɗin kira/Kiredi</t>
  </si>
  <si>
    <t>${w_emergency_who} = -777</t>
  </si>
  <si>
    <t>experience</t>
  </si>
  <si>
    <t>No did not experience</t>
  </si>
  <si>
    <t>Non je n'ai pas fait l'expérience</t>
  </si>
  <si>
    <t>A'a ban taɓa godawa ba</t>
  </si>
  <si>
    <t>Threatened</t>
  </si>
  <si>
    <t>Menacé</t>
  </si>
  <si>
    <t>Barazana</t>
  </si>
  <si>
    <t>Experienced</t>
  </si>
  <si>
    <t>Vécu</t>
  </si>
  <si>
    <t>Kwarewa</t>
  </si>
  <si>
    <t>health</t>
  </si>
  <si>
    <t>Very poor</t>
  </si>
  <si>
    <t>Très faible</t>
  </si>
  <si>
    <t>Babu kyau</t>
  </si>
  <si>
    <t>Poor</t>
  </si>
  <si>
    <t>Faible</t>
  </si>
  <si>
    <t>Babu kyau sosai</t>
  </si>
  <si>
    <t>Neither good nor poor</t>
  </si>
  <si>
    <t>Ni bonne ni faible</t>
  </si>
  <si>
    <t>Ba mai kyau ba kuma ba maras kyau ba</t>
  </si>
  <si>
    <t>Good</t>
  </si>
  <si>
    <t>Bonne</t>
  </si>
  <si>
    <t>Da kyau</t>
  </si>
  <si>
    <t>Very good</t>
  </si>
  <si>
    <t>Très bonne</t>
  </si>
  <si>
    <t>Da kyau sosai</t>
  </si>
  <si>
    <t>agree_likert</t>
  </si>
  <si>
    <t>Strongly Disagree</t>
  </si>
  <si>
    <t>Pas du tout d'accord</t>
  </si>
  <si>
    <t>Ban yarda ba sam sam</t>
  </si>
  <si>
    <t>Disagree</t>
  </si>
  <si>
    <t>Pas D'accord</t>
  </si>
  <si>
    <t>Ban yarda ba</t>
  </si>
  <si>
    <t>Neither agree nor disagree</t>
  </si>
  <si>
    <t>Ni d'accord ni en désaccord</t>
  </si>
  <si>
    <t>Babu yarda ko rashin yarda</t>
  </si>
  <si>
    <t>Agree</t>
  </si>
  <si>
    <t>D'accord</t>
  </si>
  <si>
    <t>Na yarda</t>
  </si>
  <si>
    <t>Strongly Agree</t>
  </si>
  <si>
    <t>Totalement d'accord</t>
  </si>
  <si>
    <t>Na yarda sosai</t>
  </si>
  <si>
    <t>worries</t>
  </si>
  <si>
    <t>Not at all worried</t>
  </si>
  <si>
    <t>Pas du tout inquiet</t>
  </si>
  <si>
    <t>Ba damuwa ko kadan</t>
  </si>
  <si>
    <t>Not very worried</t>
  </si>
  <si>
    <t>Pas très inquiet</t>
  </si>
  <si>
    <t>Ba damuwa sosai</t>
  </si>
  <si>
    <t>Somewhat worried</t>
  </si>
  <si>
    <t>Un peu inquiet</t>
  </si>
  <si>
    <t>Dan damuwa</t>
  </si>
  <si>
    <t>Very worried</t>
  </si>
  <si>
    <t>Très inquiet</t>
  </si>
  <si>
    <t>Damuwa sosai</t>
  </si>
  <si>
    <t>state_likert</t>
  </si>
  <si>
    <t>Strongly agree with Statement 1</t>
  </si>
  <si>
    <t>Tout à fait d'accord avec l'énoncé 1</t>
  </si>
  <si>
    <t>Amincewa sosai da Bayanin 1</t>
  </si>
  <si>
    <t>Agree with Statement 1</t>
  </si>
  <si>
    <t>D'accord avec l'énoncé 1</t>
  </si>
  <si>
    <t>Amincewa da Bayanin 1</t>
  </si>
  <si>
    <t>Agree with Statement 2</t>
  </si>
  <si>
    <t>D'accord avec l'énoncé 2</t>
  </si>
  <si>
    <t>Amincewa da Bayanin 2</t>
  </si>
  <si>
    <t>Strongly agree with Statement 2</t>
  </si>
  <si>
    <t>Tout à fait d'accord avec l'énoncé 2</t>
  </si>
  <si>
    <t>statement</t>
  </si>
  <si>
    <t>Statement 1</t>
  </si>
  <si>
    <t>Énoncé 1</t>
  </si>
  <si>
    <t>Bayanin 1</t>
  </si>
  <si>
    <t>Statement 2</t>
  </si>
  <si>
    <t>Énoncé 2</t>
  </si>
  <si>
    <t>Bayanin 2</t>
  </si>
  <si>
    <t>w_gbv</t>
  </si>
  <si>
    <t>Statement 3</t>
  </si>
  <si>
    <t>Énoncé 3</t>
  </si>
  <si>
    <t>Bayanin 3</t>
  </si>
  <si>
    <t>save_or_share</t>
  </si>
  <si>
    <t>1. Save the surplus for the future</t>
  </si>
  <si>
    <t>1. Économisez le surplus pour l'avenir</t>
  </si>
  <si>
    <t>1. Ajiyar ƙarin don gaba</t>
  </si>
  <si>
    <t>2. Share its surplus with less fortunate households in the village</t>
  </si>
  <si>
    <t>2. Partager son surplus avec les ménages moins fortunés du village</t>
  </si>
  <si>
    <t>2. Raba ƙarin da sauran gidaje marasa galihu a garin</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</si>
  <si>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</si>
  <si>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</si>
  <si>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</si>
  <si>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</si>
  <si>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2. Our society must be gradually improved by reforms</t>
  </si>
  <si>
    <t>2. Notre société doit être progressivement améliorée par des réformes</t>
  </si>
  <si>
    <t>2. Dole ne a inganta al'ummarmu a hankali ta hanyar gyara</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</si>
  <si>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</si>
  <si>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</si>
  <si>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</si>
  <si>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</si>
  <si>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</si>
  <si>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</si>
  <si>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</si>
  <si>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2. There are not enough customs and habits in my society to guide me</t>
  </si>
  <si>
    <t>2. Il n'y a pas assez des us et coutumes dans ma société pour me guider</t>
  </si>
  <si>
    <t>2. Babu isassun al'adu da ɗabi'a a cikin al'ummata da za su jagorance ni</t>
  </si>
  <si>
    <t>3. There are just about the right amount of customs and habits in my society</t>
  </si>
  <si>
    <t>3. Il y a à peu près ce qu'il faut des us et coutumes dans ma société</t>
  </si>
  <si>
    <t>3. Akwai daidai adadin al'adu da halaye a cikin al'ummata</t>
  </si>
  <si>
    <t>husbandwife</t>
  </si>
  <si>
    <t>Only wife decides</t>
  </si>
  <si>
    <t>Seule la femme décide</t>
  </si>
  <si>
    <t>Mace ce kawai ta yanke shawara</t>
  </si>
  <si>
    <t>Somewhat more than the husband</t>
  </si>
  <si>
    <t>Un peu plus que le mari</t>
  </si>
  <si>
    <t>Da ɗan fiye da mijin</t>
  </si>
  <si>
    <t>Equal to husband</t>
  </si>
  <si>
    <t>Égal au mari</t>
  </si>
  <si>
    <t>Daidai da miji</t>
  </si>
  <si>
    <t>Somewhat less than husband</t>
  </si>
  <si>
    <t>Un peu moins que le mari</t>
  </si>
  <si>
    <t>Kasan miji</t>
  </si>
  <si>
    <t>Enqueteur : ne pas lire les options, code basé sur la réponse</t>
  </si>
  <si>
    <t>Ɗan bincike: kar ka zana zaɓuɓɓuka, lambar na amsar</t>
  </si>
  <si>
    <t>Only husband decides</t>
  </si>
  <si>
    <t>Seul le mari décide</t>
  </si>
  <si>
    <t>Miji ne kawai ya yanke shawara</t>
  </si>
  <si>
    <t>live_home</t>
  </si>
  <si>
    <t>selected(${w_other_changes}, '-777')</t>
  </si>
  <si>
    <t>Will surely live at home</t>
  </si>
  <si>
    <t>Est presque sûr de toujours habiter ici</t>
  </si>
  <si>
    <t>Tabbas zai rayu a gida</t>
  </si>
  <si>
    <t>Very likely to live at home</t>
  </si>
  <si>
    <t>Est probable de toujours habiter ici'</t>
  </si>
  <si>
    <t>Yiwuwar zama a gida</t>
  </si>
  <si>
    <t>speedcheck_w_nothoh_end</t>
  </si>
  <si>
    <t>More likely than not to live at home</t>
  </si>
  <si>
    <t>Plus probable de toujours habiter ici qu'ailleurs</t>
  </si>
  <si>
    <t>Mafi kusantar zama a gida</t>
  </si>
  <si>
    <t>More likely than not to live elsewhere</t>
  </si>
  <si>
    <t>Plus probable d'habiter ailleurs qu'ici</t>
  </si>
  <si>
    <t>Mai yuwuwa fiye da kada ku zauna a wani wuri</t>
  </si>
  <si>
    <t>dur_w_nothoh</t>
  </si>
  <si>
    <t>Very likely to live elsewhere</t>
  </si>
  <si>
    <t>Est probable d'habiter ailleurs</t>
  </si>
  <si>
    <t>Yiwuwar zama wani wuri</t>
  </si>
  <si>
    <t xml:space="preserve">${speedcheck_w_nothoh_end} - ${speedcheck_w_nothoh_start} </t>
  </si>
  <si>
    <t>Will surely live elsewhere</t>
  </si>
  <si>
    <t>Est presque sûr d'habiter ailleurs</t>
  </si>
  <si>
    <t>Tabbas zai rayu a wani wuri</t>
  </si>
  <si>
    <t>w_private</t>
  </si>
  <si>
    <t>175.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</si>
  <si>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live_away</t>
  </si>
  <si>
    <t>175.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</si>
  <si>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Will surely live in Niger</t>
  </si>
  <si>
    <t>175.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</si>
  <si>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Est presque sûr de toujours habiter au Niger</t>
  </si>
  <si>
    <t>Tabbas ya fi son ya zauna ya rayu a Nijar</t>
  </si>
  <si>
    <t>Very likely to live in Niger</t>
  </si>
  <si>
    <t>Est probable de toujours habiter au Niger</t>
  </si>
  <si>
    <t>Ya fi son sosai ya zauna ya rayu a Nijar</t>
  </si>
  <si>
    <t>More likely than not to live in Niger</t>
  </si>
  <si>
    <t>Plus probable de toujours habiter au Niger qu'ailleurs</t>
  </si>
  <si>
    <t>Ya fi son zama a Nijar fiye da wani wuri</t>
  </si>
  <si>
    <t>More likely than not to live in another country</t>
  </si>
  <si>
    <t>Plus probable d'habiter ailleurs que Niger</t>
  </si>
  <si>
    <t>Ya fi son sosai ya zauna ya rayu a wani wuri</t>
  </si>
  <si>
    <t>Very likely to live in another country</t>
  </si>
  <si>
    <t>Will surely live in another country</t>
  </si>
  <si>
    <t>Tabbas ya zauna ya rayu a wani wuri</t>
  </si>
  <si>
    <t>school_prefer_son</t>
  </si>
  <si>
    <t>Strongly prefer sons complete koranic school</t>
  </si>
  <si>
    <t>Préfère fortement que les fils terminent l'école coranique</t>
  </si>
  <si>
    <t>Ya fi son sosai ƴaƴa maza su kammala karatun ƙur'ani</t>
  </si>
  <si>
    <t>Somewhat prefer sons complete koranic school</t>
  </si>
  <si>
    <t>Préfère un peu que les fils terminent l'école coranique</t>
  </si>
  <si>
    <t>Ya ɗan fi son ƴaƴa maza su kammala karatun ƙur'ani</t>
  </si>
  <si>
    <t>w_married_only</t>
  </si>
  <si>
    <t>w_relationship</t>
  </si>
  <si>
    <t>Indifferent between completion of koranic school or bacalaureat</t>
  </si>
  <si>
    <t>Indifférent entre l'achèvement de l'école coranique et de l'école formelle jusqu'au baccalauréat</t>
  </si>
  <si>
    <t>Babu zaɓi tsakanin kammala karatun kur'ani ko boko har zuwa Bak</t>
  </si>
  <si>
    <t>Somewhat prefer sons complete bacalaureat</t>
  </si>
  <si>
    <t>Préfère un peu que les fils terminent l'école jusqu'au bac</t>
  </si>
  <si>
    <t>Ya ɗan fi son ƴaƴa maza su kammala karatun boko har zuwa Bak</t>
  </si>
  <si>
    <t>Strongly prefer sons complete bacalaureat</t>
  </si>
  <si>
    <t>Préfère fortement que les garçons termnent l'école jusqu'au baccalauréat</t>
  </si>
  <si>
    <t>Ya fi son sosai ƴaƴa maza su kammala karatun boko har zuwa Bak</t>
  </si>
  <si>
    <t>work_prefer_son</t>
  </si>
  <si>
    <t>Strongly prefer sons stay and work the land</t>
  </si>
  <si>
    <t>Préfère fortement que les fils restent et travaillent la terre</t>
  </si>
  <si>
    <t>Ya fi so sosai ƴaƴa maza su zauna su yi aikin gona</t>
  </si>
  <si>
    <t>Somewhat prefer sons stay and work the land</t>
  </si>
  <si>
    <t>Préfère un peu que les fils restent et travaillent la terre</t>
  </si>
  <si>
    <t>Ya ɗan fi son ƴaƴa maza su zauna su yi aikin gona</t>
  </si>
  <si>
    <t>Indifferent between sons staying and leaving</t>
  </si>
  <si>
    <t>Indifférent entre les fils restent travailler la terre et partent en ville</t>
  </si>
  <si>
    <t>Bashi da zaɓi tsakanin ƴaƴa su zauna su yi aikin gona da su je birni</t>
  </si>
  <si>
    <t>Somewhat prefer sons go to a city to find professional opportunities</t>
  </si>
  <si>
    <t>Préfère un peu que les fils aillent en ville pour trouver des opportunités professionnelles</t>
  </si>
  <si>
    <t>Ya ɗan fi son ƴaƴa maza su je birni don neman sana'a</t>
  </si>
  <si>
    <t>w_sitatuations</t>
  </si>
  <si>
    <t>Strongly prefer sons go to a city to find professional opportunities</t>
  </si>
  <si>
    <t>Préfère fortement que les fils partent en ville pour trouver des opportunités professionnelles</t>
  </si>
  <si>
    <t>Ya fi so sosai ƴaƴa maza su je birni don neman sana'a</t>
  </si>
  <si>
    <t>school_prefer_d</t>
  </si>
  <si>
    <t>Strongly prefer daughters complete koranic school</t>
  </si>
  <si>
    <t>Préfère fortement que les filles terminent l'école coranique</t>
  </si>
  <si>
    <t>Ya fi son sosai ƴaƴa mata su kammala karatun ƙur'ani</t>
  </si>
  <si>
    <t>Somewhat prefer daughters complete koranic school</t>
  </si>
  <si>
    <t>Préfére un peu que les filles terminent l'école coranique</t>
  </si>
  <si>
    <t>Ya ɗan fi son ƴaƴa mata su kammala karatun ƙur'ani</t>
  </si>
  <si>
    <t>Indifférent entre l'achèvement de l'école coranique et le baccalauréat</t>
  </si>
  <si>
    <t>Somewhat prefer daughters complete bacalaureat</t>
  </si>
  <si>
    <t>Préfère un peu que les filles terminent l'école jusqu'au bac</t>
  </si>
  <si>
    <t>Ya ɗan fi son ƴaƴa mata su kammala karatun boko har zuwa Bak</t>
  </si>
  <si>
    <t>Strongly prefer daughters complete bacalaureat</t>
  </si>
  <si>
    <t>Préfére fortement que les filles terminent l'école jusqu'au bac</t>
  </si>
  <si>
    <t>Ya fi son sosai ƴaƴa mata su kammala karatun boko har zuwa Bak</t>
  </si>
  <si>
    <t>work_prefer_d</t>
  </si>
  <si>
    <t>Strongly prefer daughters stay and work the land</t>
  </si>
  <si>
    <t>Préfère fortement que les filles restent et travaillent la terre</t>
  </si>
  <si>
    <t>Ya fi so sosai ƴaƴa mata su zauna su yi aikin gona</t>
  </si>
  <si>
    <t>w_actions</t>
  </si>
  <si>
    <t>Somewhat prefer daughters stay and work the land</t>
  </si>
  <si>
    <t>Préfère un peu que les filles restent et travaillent la terre</t>
  </si>
  <si>
    <t>Ya ɗan fi son ƴaƴa mata su zauna su yi aikin gona</t>
  </si>
  <si>
    <t>Indifferent between daughters staying and leaving</t>
  </si>
  <si>
    <t>Indifférent entre les filles qui restent travailler la terre et partent en ville</t>
  </si>
  <si>
    <t>Somewhat prefer daughters go to a city to find professional opportunities</t>
  </si>
  <si>
    <t>Préfèrent un peu que les filles aillent en ville pour trouver des opportunités professionnelles</t>
  </si>
  <si>
    <t>Ya ɗan fi son ƴaƴa mata su je birni don neman sana'a</t>
  </si>
  <si>
    <t>Strongly prefer daughters go to a city to find professional opportunities</t>
  </si>
  <si>
    <t>Préfère fortement que les filles aillent en ville pour trouver des opportunités professionnelles</t>
  </si>
  <si>
    <t>Ya fi so sosai ƴaƴa mata su je birni don neman sana'a</t>
  </si>
  <si>
    <t>ethnicity</t>
  </si>
  <si>
    <t>Arab</t>
  </si>
  <si>
    <t>Arabe</t>
  </si>
  <si>
    <t>Balarabe</t>
  </si>
  <si>
    <t>Djerma/Songhai</t>
  </si>
  <si>
    <t>Ba zabarme/ba songaye</t>
  </si>
  <si>
    <t>Gourmantche</t>
  </si>
  <si>
    <t>Ba gurme</t>
  </si>
  <si>
    <t>Haoussa</t>
  </si>
  <si>
    <t>Ba haushe</t>
  </si>
  <si>
    <t>Kanouri-Manga</t>
  </si>
  <si>
    <t>Kanouri/ Ba mange</t>
  </si>
  <si>
    <t>Peul</t>
  </si>
  <si>
    <t>Ba fullace</t>
  </si>
  <si>
    <t>Touareg</t>
  </si>
  <si>
    <t>Bouzou/Ba abzine</t>
  </si>
  <si>
    <t>Toubou</t>
  </si>
  <si>
    <t>Ba Tube</t>
  </si>
  <si>
    <t>vax</t>
  </si>
  <si>
    <t>Babu ko ɗaya</t>
  </si>
  <si>
    <t>Yellow Fever</t>
  </si>
  <si>
    <t>Farar masara</t>
  </si>
  <si>
    <t>Meningitis</t>
  </si>
  <si>
    <t>Sankarau</t>
  </si>
  <si>
    <t>COVID-19</t>
  </si>
  <si>
    <t>COVID 19</t>
  </si>
  <si>
    <t>CUTAR COVID 19</t>
  </si>
  <si>
    <t>Polio</t>
  </si>
  <si>
    <t>Cutar shan inna</t>
  </si>
  <si>
    <t>Tuberculosis</t>
  </si>
  <si>
    <t>Babban tari</t>
  </si>
  <si>
    <t>${w_shm_home} = 0 and ${w_pm_home} = 0</t>
  </si>
  <si>
    <t>languages</t>
  </si>
  <si>
    <t>French</t>
  </si>
  <si>
    <t>Français</t>
  </si>
  <si>
    <t>Faransanci</t>
  </si>
  <si>
    <t>Arabic</t>
  </si>
  <si>
    <t>arabe</t>
  </si>
  <si>
    <t>Larabci</t>
  </si>
  <si>
    <t>Haussa</t>
  </si>
  <si>
    <t>Hausa</t>
  </si>
  <si>
    <t>Songhai</t>
  </si>
  <si>
    <t>Songhaï</t>
  </si>
  <si>
    <t>Songhai/ zabarmanci</t>
  </si>
  <si>
    <t>Tamasheq</t>
  </si>
  <si>
    <t>Buzanci</t>
  </si>
  <si>
    <t>Fulfulde</t>
  </si>
  <si>
    <t>Hillanci/Fulatanci</t>
  </si>
  <si>
    <t>Kanuri</t>
  </si>
  <si>
    <t>Kanuri /Barbarci</t>
  </si>
  <si>
    <t>Gourmanchema</t>
  </si>
  <si>
    <t>Gourmanci</t>
  </si>
  <si>
    <t>Tebu</t>
  </si>
  <si>
    <t>Tubanci</t>
  </si>
  <si>
    <t>English</t>
  </si>
  <si>
    <t>Anglais</t>
  </si>
  <si>
    <t>Turanci</t>
  </si>
  <si>
    <t>Dioula</t>
  </si>
  <si>
    <t>speedcheck_w_end</t>
  </si>
  <si>
    <t>Bambara</t>
  </si>
  <si>
    <t>Bamiléké</t>
  </si>
  <si>
    <t>Chinese</t>
  </si>
  <si>
    <t>Chinois</t>
  </si>
  <si>
    <t>Canis</t>
  </si>
  <si>
    <t>dur_w</t>
  </si>
  <si>
    <t xml:space="preserve">${speedcheck_w_end} - ${speedcheck_w_start} </t>
  </si>
  <si>
    <t>transmit</t>
  </si>
  <si>
    <t>speedcheck_hoh_start</t>
  </si>
  <si>
    <t>hoh_questions</t>
  </si>
  <si>
    <t>HoH Questionnaire</t>
  </si>
  <si>
    <t>(${w_shm_home} = -999 or (${w_shm_home} = 0 and ${w_shm_home_2w} &lt; 1)) and (${w_pm_home} = -999 or (${w_pm_home} = 0 and ${w_pm_home_2w} &lt; 1))</t>
  </si>
  <si>
    <t>Ta hanyar wayar hannu</t>
  </si>
  <si>
    <t>hhmembers</t>
  </si>
  <si>
    <t>pulldata('baseline_ids', 'hhmembers', 'hh_id', ${hh_id})</t>
  </si>
  <si>
    <t>changes</t>
  </si>
  <si>
    <t>No change</t>
  </si>
  <si>
    <t>hoh_roster_label</t>
  </si>
  <si>
    <t>Pas de changement</t>
  </si>
  <si>
    <t>Babu canji</t>
  </si>
  <si>
    <t>Create line separate list of hh members</t>
  </si>
  <si>
    <t>${hhmembers}</t>
  </si>
  <si>
    <t>Respondent got married</t>
  </si>
  <si>
    <t>Le répondant s'est marié</t>
  </si>
  <si>
    <t>Mai bada amsa yana da aure</t>
  </si>
  <si>
    <t>hoh_hhmem_index</t>
  </si>
  <si>
    <t>Respondent divorced</t>
  </si>
  <si>
    <t>Le répondant a divorcé</t>
  </si>
  <si>
    <t>Mai bada amsa gobro ne</t>
  </si>
  <si>
    <t>hoh_hhmem_name</t>
  </si>
  <si>
    <t>Respondent had new baby (self or spouse)</t>
  </si>
  <si>
    <t>La répondante a eu un nouveau bébé (elle-même ou son conjoint)</t>
  </si>
  <si>
    <t>Mai bada amsa tanada jariri ita da kanta ko kishiyarta</t>
  </si>
  <si>
    <t xml:space="preserve">                          </t>
  </si>
  <si>
    <t>pulldata('baseline_ids', concat('hhname', ${hoh_hhmem_index}), 'hh_id', ${hh_id})</t>
  </si>
  <si>
    <t>Death of respondent's child</t>
  </si>
  <si>
    <t>Décès de l'enfant du répondant</t>
  </si>
  <si>
    <t>Mutuwar ɗan mai bada amsa</t>
  </si>
  <si>
    <t>hoh_hhmem_age</t>
  </si>
  <si>
    <t>Death of household head</t>
  </si>
  <si>
    <t>Décès du chef de famille</t>
  </si>
  <si>
    <t>Mutuwar maigida</t>
  </si>
  <si>
    <t>pulldata('baseline_ids', concat('hhage', ${hoh_hhmem_index}), 'hh_id', ${hh_id})</t>
  </si>
  <si>
    <t>hoh_hhmem_sex</t>
  </si>
  <si>
    <t>Death of other household member</t>
  </si>
  <si>
    <t>Décès d'un autre membre du ménage</t>
  </si>
  <si>
    <t>Mutuwar wani ɗan gida</t>
  </si>
  <si>
    <t>pulldata('baseline_ids', concat('hhsex', ${hoh_hhmem_index}), 'hh_id', ${hh_id})</t>
  </si>
  <si>
    <t>Loss of land/housing</t>
  </si>
  <si>
    <t>Perte de terrain/logement</t>
  </si>
  <si>
    <t>Badda gonaki/gidaje</t>
  </si>
  <si>
    <t>hoh_hhmem</t>
  </si>
  <si>
    <t>concat(${hoh_hhmem_name}, ' (age: ', ${hoh_hhmem_age}, ', sex: ', ${hoh_hhmem_sex}, ')')</t>
  </si>
  <si>
    <t>fail_reason</t>
  </si>
  <si>
    <t>Insufficient funds</t>
  </si>
  <si>
    <t>Fonds insuffisants</t>
  </si>
  <si>
    <t>Rashin isassun kudade</t>
  </si>
  <si>
    <t>hoh_roster_list</t>
  </si>
  <si>
    <t>Needed to stay home to help household (e.g., on farm)</t>
  </si>
  <si>
    <t>Nécessité de rester à la maison pour aider le ménage (par exemple, à la ferme)</t>
  </si>
  <si>
    <t>join(linebreak(), ${hoh_hhmem})</t>
  </si>
  <si>
    <t>Ana buƙatar zama a gida don taimakawa gida (misali, a gona)</t>
  </si>
  <si>
    <t>speedcheck_hoh_rosternew_start</t>
  </si>
  <si>
    <t>Insecurity/decided it was not safe to migrate</t>
  </si>
  <si>
    <t>Insécurité/décide qu'il n'était pas garanti de voyager</t>
  </si>
  <si>
    <t>Rashin tsaro/yanke shawarar bai kamata ya tafi nema ba</t>
  </si>
  <si>
    <t>Too much concern about finding a job or housing in destination</t>
  </si>
  <si>
    <t>Trop d'inquiétudes pour trouver un emploi ou un logement dans la destination</t>
  </si>
  <si>
    <t>Damuwa da yawa game da tabbacin samun aiki ko matsuguni a inda za'a je</t>
  </si>
  <si>
    <t>Sickness</t>
  </si>
  <si>
    <t>Maladie</t>
  </si>
  <si>
    <t>Rashin lafiya</t>
  </si>
  <si>
    <t>Decided to stay home for studies/training</t>
  </si>
  <si>
    <t>A décidé de rester à la maison pour des études/une formation</t>
  </si>
  <si>
    <t>Yanke shawarar zama a gida don karatu / horo</t>
  </si>
  <si>
    <t>Parents/household refused permission</t>
  </si>
  <si>
    <t>Les parents/le ménage ont refusé l'autorisation</t>
  </si>
  <si>
    <t>Iyaye/masu gida sun ƙi bada izini</t>
  </si>
  <si>
    <t>200. Are there new members in the household since we last spoke to you? For reference, these are the members you mentioned:
 ${hoh_roster_list}</t>
  </si>
  <si>
    <t>200. Y a-t-il de nouveaux membres dans le foyer depuis notre dernière conversation ? Pour référence, voici les membres que vous avez mentionnés : 
 ${hoh_roster_list}</t>
  </si>
  <si>
    <t>200. Shin akwai sabbin membobi a gidan tun da muka yi magana da ku a ƙarshe? Don tunani, waɗannan su ne membobin da ka ambata: 
 ${hoh_roster_list}</t>
  </si>
  <si>
    <t>Ne sait pas</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</si>
  <si>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</si>
  <si>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</si>
  <si>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opinion_important</t>
  </si>
  <si>
    <t>Doesn't matter at all</t>
  </si>
  <si>
    <t>Pas du tout important</t>
  </si>
  <si>
    <t>Babu muhimmanci ko kadan</t>
  </si>
  <si>
    <t>Please enter a number greater than 0!</t>
  </si>
  <si>
    <t>matters somewhat</t>
  </si>
  <si>
    <t>Assez important</t>
  </si>
  <si>
    <t>Da muhimmanci kadan</t>
  </si>
  <si>
    <t>${hoh_new_hh_mems} = 1</t>
  </si>
  <si>
    <t>Matters a lot</t>
  </si>
  <si>
    <t>Très important</t>
  </si>
  <si>
    <t>Da muhimmanci sosai</t>
  </si>
  <si>
    <t>hoh_roster_new</t>
  </si>
  <si>
    <t>Add new members to existing roster</t>
  </si>
  <si>
    <t>unavail_why</t>
  </si>
  <si>
    <t>Sick</t>
  </si>
  <si>
    <t>${hoh_new_hh_mems_num}</t>
  </si>
  <si>
    <t>Malade</t>
  </si>
  <si>
    <t>Rishin lafia</t>
  </si>
  <si>
    <t>hoh_hhindex</t>
  </si>
  <si>
    <t>ya rasou</t>
  </si>
  <si>
    <t>Index</t>
  </si>
  <si>
    <t>saki</t>
  </si>
  <si>
    <t>Away from home</t>
  </si>
  <si>
    <t>Exode</t>
  </si>
  <si>
    <t>tabarada</t>
  </si>
  <si>
    <t>hoh_hhtext</t>
  </si>
  <si>
    <t>Visited another village</t>
  </si>
  <si>
    <t>Rendu visite dans un autre village</t>
  </si>
  <si>
    <t>Ya ziyarci wani kauye</t>
  </si>
  <si>
    <t>concat("new member ", ${hoh_hhindex})</t>
  </si>
  <si>
    <t>hoh_hhtextfrench</t>
  </si>
  <si>
    <t>concat("nouveau membre ", ${hoh_hhindex})</t>
  </si>
  <si>
    <t>hoh_hhtexthausa</t>
  </si>
  <si>
    <t>concat("sabon memba ", ${hoh_hhindex})</t>
  </si>
  <si>
    <t>hoh_hhname</t>
  </si>
  <si>
    <t>Name</t>
  </si>
  <si>
    <t>hoh_new_mem_name</t>
  </si>
  <si>
    <t>concat(${hoh_new_mem_name_first}, ' ', ${hoh_new_mem_name_last})</t>
  </si>
  <si>
    <t>enquêteur : ne pas lire les options, code basé sur la réponse</t>
  </si>
  <si>
    <t>. &gt;= 0 and . &lt; 100</t>
  </si>
  <si>
    <t>speedcheck_hoh_rosternew_end</t>
  </si>
  <si>
    <t>dur_hoh_rosternew</t>
  </si>
  <si>
    <t xml:space="preserve">${speedcheck_hoh_rosternew_end} - ${speedcheck_hoh_rosternew_start} </t>
  </si>
  <si>
    <t>hoh_hhmembers_new</t>
  </si>
  <si>
    <t>if(${hoh_new_hh_mems} = 0, ${hhmembers}, ${hhmembers} + ${hoh_new_hh_mems_num})</t>
  </si>
  <si>
    <t>hoh_roster</t>
  </si>
  <si>
    <t>Roster</t>
  </si>
  <si>
    <t>${hoh_hhmembers_new}</t>
  </si>
  <si>
    <t>speedcheck_hoh_roster_start</t>
  </si>
  <si>
    <t>hoh_roster_index</t>
  </si>
  <si>
    <t>hoh_roster_name_cases</t>
  </si>
  <si>
    <t>Member name from case management</t>
  </si>
  <si>
    <t>pulldata('baseline_ids', concat('hhname', ${hoh_roster_index}), 'hh_id', ${hh_id})</t>
  </si>
  <si>
    <t>hoh_roster_age_cases</t>
  </si>
  <si>
    <t>Member age from case management</t>
  </si>
  <si>
    <t>pulldata('baseline_ids', concat('hhage', ${hoh_roster_index}), 'hh_id', ${hh_id})</t>
  </si>
  <si>
    <t>hoh_roster_sex_cases</t>
  </si>
  <si>
    <t>Member sex from case management</t>
  </si>
  <si>
    <t>pulldata('baseline_ids', concat('hhsex', ${hoh_roster_index}), 'hh_id', ${hh_id})</t>
  </si>
  <si>
    <t>hoh_roster_new_index</t>
  </si>
  <si>
    <t>empty(${hoh_roster_name_cases})</t>
  </si>
  <si>
    <t xml:space="preserve">${hoh_roster_index} - ${hhmembers} </t>
  </si>
  <si>
    <t>hoh_roster_name_new</t>
  </si>
  <si>
    <t>New member name (only populated if no more members to enumerate in the cases data)</t>
  </si>
  <si>
    <t>indexed-repeat(${hoh_new_mem_name}, ${hoh_roster_new}, ${hoh_roster_new_index})</t>
  </si>
  <si>
    <t>hoh_roster_age_new</t>
  </si>
  <si>
    <t>New member age</t>
  </si>
  <si>
    <t>indexed-repeat(${hoh_new_mem_age}, ${hoh_roster_new}, ${hoh_roster_new_index})</t>
  </si>
  <si>
    <t>hoh_roster_sex_new</t>
  </si>
  <si>
    <t>New member sex</t>
  </si>
  <si>
    <t>if(indexed-repeat(${hoh_new_mem_sex}, ${hoh_roster_new}, ${hoh_roster_new_index}) = 1, 'Male', 'Female')</t>
  </si>
  <si>
    <t>hoh_roster_name</t>
  </si>
  <si>
    <t>if(empty(${hoh_roster_name_cases}), ${hoh_roster_name_new}, ${hoh_roster_name_cases})</t>
  </si>
  <si>
    <t>hoh_roster_age</t>
  </si>
  <si>
    <t>if(empty(${hoh_roster_name_cases}), ${hoh_roster_age_new}, ${hoh_roster_age_cases})</t>
  </si>
  <si>
    <t>hoh_roster_sex</t>
  </si>
  <si>
    <t>if(empty(${hoh_roster_name_cases}), ${hoh_roster_sex_new}, ${hoh_roster_sex_cases})</t>
  </si>
  <si>
    <t>208. ${hoh_roster_name}
 Sex: ${hoh_roster_sex}
 Age: ${hoh_roster_age}</t>
  </si>
  <si>
    <t>${hoh_nationality} = 0</t>
  </si>
  <si>
    <t>filter != 0</t>
  </si>
  <si>
    <t>${hoh_nationality_country} = -777</t>
  </si>
  <si>
    <t>not(empty(${hoh_roster_name_cases}))</t>
  </si>
  <si>
    <t xml:space="preserve">${hoh_roster_in} = 0 </t>
  </si>
  <si>
    <t>selected(${hoh_roster_notin_why}, '-777')</t>
  </si>
  <si>
    <t>selected(${hoh_roster_notin_why}, '4')</t>
  </si>
  <si>
    <t>${hoh_roster_in} = 1</t>
  </si>
  <si>
    <t>${hoh_living_in_hh} = 0</t>
  </si>
  <si>
    <t>${hoh_in_niger} = 1</t>
  </si>
  <si>
    <t>${hoh_in_niger} = 0</t>
  </si>
  <si>
    <t>filter != 1 and filter != 2</t>
  </si>
  <si>
    <t>${hoh_out_niger} = -777</t>
  </si>
  <si>
    <t>search('towns', 'matches', 'country_id', ${hoh_out_niger})</t>
  </si>
  <si>
    <t>${hoh_in_niger} = 0 and ${hoh_out_niger} != -999</t>
  </si>
  <si>
    <t>${hoh_out_town} = -777</t>
  </si>
  <si>
    <t>hoh_mem_in_hh</t>
  </si>
  <si>
    <t>${hoh_living_in_hh} = 1 or empty(${hoh_roster_name_cases})</t>
  </si>
  <si>
    <t>${hoh_roster_age} &gt; 7</t>
  </si>
  <si>
    <t>${hoh_illness_limit} = 1</t>
  </si>
  <si>
    <t>selected(${hoh_illness_limit_type}, '-777')</t>
  </si>
  <si>
    <t>(${hoh_roster_sex} = 1 and ${hoh_roster_age} &gt; 18) or (${hoh_roster_sex} = 0 and ${hoh_roster_age} &gt; 15)</t>
  </si>
  <si>
    <t>${hoh_any_children}=1</t>
  </si>
  <si>
    <t>${hoh_roster_age} &gt;= 14</t>
  </si>
  <si>
    <t xml:space="preserve">(${hoh_roster_age} &gt; 4 and ${hoh_roster_age} &lt; 27) </t>
  </si>
  <si>
    <t>${hoh_attending_school} = 1</t>
  </si>
  <si>
    <t xml:space="preserve">. &gt;= 0 </t>
  </si>
  <si>
    <t>${hoh_attending_school}=1</t>
  </si>
  <si>
    <t>. &gt;= 0 and . &lt;= 28</t>
  </si>
  <si>
    <t>Please enter an integer between 0 and 28 days</t>
  </si>
  <si>
    <t>if(${hoh_roster_sex} = 1, ${hoh_roster_age} &gt;= 17, ${hoh_roster_age} &gt;= 14)</t>
  </si>
  <si>
    <t>. &gt; 0 and . &lt; 10</t>
  </si>
  <si>
    <t>${hoh_married} = 1 and ${hoh_roster_sex} = 1</t>
  </si>
  <si>
    <t>hoh_past_migration</t>
  </si>
  <si>
    <t>Past Migration</t>
  </si>
  <si>
    <t>(${hoh_roster_in} = 1 or empty(${hoh_roster_name_cases})) and ${hoh_roster_age} &gt; 17</t>
  </si>
  <si>
    <t>237. Since ${period_bl}, has ${hoh_roster_name} spent more than a week (7 days) away from home?</t>
  </si>
  <si>
    <t>237. Depuis cette ${period_french_bl}, ${hoh_roster_name} a-t-il passé plus d'une semaine (7 jours) loin de chez lui ?</t>
  </si>
  <si>
    <t>237. Tun wancan ${period_hausa_bl}, ${hoh_roster_name} ya shafe fiye da mako guda (kwana 7) baya gida?</t>
  </si>
  <si>
    <t>If don't know, enter -999</t>
  </si>
  <si>
    <t>Si la réponse est "Ne sait pas", saisissez -999</t>
  </si>
  <si>
    <t>238. Since ${period_bl}, in which of the following countries has ${hoh_roster_name} spent more than one week? Select all that apply</t>
  </si>
  <si>
    <t>238. Depuis cette ${period_french_bl}, dans lequel des pays suivants hoh_roster_name a-t-il passé plus d'une semaine ? Sélectionnez tout ce qui s'y rapporte</t>
  </si>
  <si>
    <t>238. Tun daga wancan ${period_hausa_bl}, a cikin waɗanne ƙasashe ne ${hoh_roster_name} ya shafe fiye da mako ɗaya? Zaɓi duk abin da ya dace</t>
  </si>
  <si>
    <t>not(count-selected(.) &gt; 1 and selected(., '-999'))</t>
  </si>
  <si>
    <t>${hoh_mem_migrate} = 1</t>
  </si>
  <si>
    <t>filter != 1</t>
  </si>
  <si>
    <t>selected(${hoh_dest_country}, '-777')</t>
  </si>
  <si>
    <t>hoh_dom_mig_ind</t>
  </si>
  <si>
    <t>if(selected(${hoh_dest_country}, '1'), 1 , 0)</t>
  </si>
  <si>
    <t>hoh_border_cross_ind</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</si>
  <si>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</si>
  <si>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hoh_border_cross_ecowas_ind</t>
  </si>
  <si>
    <t>Excludes Burkina Faso and Mali</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</si>
  <si>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</si>
  <si>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hoh_num_dest_country</t>
  </si>
  <si>
    <t>count-selected(${hoh_dest_country})</t>
  </si>
  <si>
    <t>speedcheck_hoh_rosterdest_start</t>
  </si>
  <si>
    <t>hoh_countries</t>
  </si>
  <si>
    <t>Countries</t>
  </si>
  <si>
    <t>not(selected(${hoh_dest_country}, '-999'))</t>
  </si>
  <si>
    <t>${hoh_num_dest_country}</t>
  </si>
  <si>
    <t>hoh_destinations_index</t>
  </si>
  <si>
    <t>Repeat Group Index</t>
  </si>
  <si>
    <t>hoh_dest_index</t>
  </si>
  <si>
    <t>Country Index</t>
  </si>
  <si>
    <t>selected-at(${hoh_dest_country}, index()-1)</t>
  </si>
  <si>
    <t>hoh_destination</t>
  </si>
  <si>
    <t>Country Name</t>
  </si>
  <si>
    <t>if(${hoh_dest_index} = -777, ${hoh_dest_country_o}, choice-label(${hoh_dest_country}, ${hoh_dest_index}))</t>
  </si>
  <si>
    <t>search('towns', 'matches', 'country_id', ${hoh_dest_index})</t>
  </si>
  <si>
    <t>not(${hoh_dest_index} = 1 or ${hoh_dest_index} = -999)</t>
  </si>
  <si>
    <t>selected(${hoh_dest_town}, '-777')</t>
  </si>
  <si>
    <r>
      <rPr>
        <rFont val="Fira Code"/>
        <color rgb="FF000000"/>
        <sz val="10.0"/>
      </rPr>
      <t>482. In</t>
    </r>
    <r>
      <rPr>
        <rFont val="Fira Code"/>
        <color rgb="FF000000"/>
        <sz val="10.0"/>
      </rPr>
      <t xml:space="preserve"> ${hoh_destination}</t>
    </r>
    <r>
      <rPr>
        <rFont val="Fira Code"/>
        <color rgb="FF000000"/>
        <sz val="10.0"/>
      </rPr>
      <t>, what was the name of the region that ${hoh_roster_name} moved to?</t>
    </r>
  </si>
  <si>
    <t>482. Dans ${hoh_destination}, quel était le nom de la région vers laquelle ${hoh_roster_name} a été déplacé ?</t>
  </si>
  <si>
    <t>482. A ${hoh_destination}, menene sunan yankin da ${hoh_roster_name} ya koma?</t>
  </si>
  <si>
    <t>${hoh_dest_index} = 1</t>
  </si>
  <si>
    <t>selected(${hoh_dest_region}, '-777')</t>
  </si>
  <si>
    <t>not(selected(${hoh_dest_index}, '-999'))</t>
  </si>
  <si>
    <t>Other Countries</t>
  </si>
  <si>
    <t>speedcheck_hoh_rosterdest_end</t>
  </si>
  <si>
    <t>dur_hoh_rosterdest</t>
  </si>
  <si>
    <t xml:space="preserve">${speedcheck_hoh_rosterdest_end} - ${speedcheck_hoh_rosterdest_start} </t>
  </si>
  <si>
    <t>245. Since ${period_bl}, was there ever a time when ${hoh_roster_name} planned to migrate but then had to cancel their plans?</t>
  </si>
  <si>
    <t>245. Depuis cette ${period_french_bl}, y a-t-il déjà eu un moment où ${hoh_roster_name} avait prévu de migrer mais a ensuite dû annuler ses projets ?</t>
  </si>
  <si>
    <t>245. Tun daga ${period_hausa_bl}, ko akwai lokacin da ${hoh_roster_name} ya shirya zuwa biɗa amma sai ya soke shirinshi?</t>
  </si>
  <si>
    <t>${hoh_failed_prep} = 1</t>
  </si>
  <si>
    <t>${hoh_failed_prep_country} = -777</t>
  </si>
  <si>
    <t>hoh_failed_repeat</t>
  </si>
  <si>
    <t>Failed Migrations</t>
  </si>
  <si>
    <t>count-selected(${hoh_failed_prep_country})</t>
  </si>
  <si>
    <t>hoh_failed_index</t>
  </si>
  <si>
    <t>hoh_failed_country_index</t>
  </si>
  <si>
    <t>selected-at(${hoh_failed_prep_country}, ${hoh_failed_index}-1)</t>
  </si>
  <si>
    <t>hoh_failed_country</t>
  </si>
  <si>
    <t>if(${hoh_failed_country_index} = -777, ${hoh_failed_prep_country_o}, choice-label(${hoh_failed_prep_country}, ${hoh_failed_country_index}))</t>
  </si>
  <si>
    <t>search('towns', 'matches', 'country_id', ${hoh_failed_country_index})</t>
  </si>
  <si>
    <t>not(${hoh_failed_country_index} = 1 or ${hoh_failed_country_index} = -999)</t>
  </si>
  <si>
    <t>selected(${hoh_failed_town} , '-777')</t>
  </si>
  <si>
    <t>${hoh_failed_country_index} = 1</t>
  </si>
  <si>
    <t>selected(${hoh_failed_region}, '-777')</t>
  </si>
  <si>
    <t>${hoh_failed_country_index} != -999</t>
  </si>
  <si>
    <t>selected(${hoh_failed_prep_reason}, '-777')</t>
  </si>
  <si>
    <t>speedcheck_hoh_roster_end</t>
  </si>
  <si>
    <t>dur_hoh_roster</t>
  </si>
  <si>
    <t xml:space="preserve">${speedcheck_hoh_roster_end} - ${speedcheck_hoh_roster_start} </t>
  </si>
  <si>
    <t>hoh_members_above_7</t>
  </si>
  <si>
    <t>Members 7+</t>
  </si>
  <si>
    <t>Membres 7+</t>
  </si>
  <si>
    <t>Membobi 7+</t>
  </si>
  <si>
    <t>join-if(' ', ${hoh_roster_index}, ${hoh_roster_age} &gt;= 7)</t>
  </si>
  <si>
    <t>hoh_members_living_in_hh</t>
  </si>
  <si>
    <t>Members Living in HH</t>
  </si>
  <si>
    <t>join-if(' ', ${hoh_roster_index}, ${hoh_living_in_hh} = 1)</t>
  </si>
  <si>
    <t>hoh_members_in_hh</t>
  </si>
  <si>
    <t>join-if(' ', ${hoh_roster_index}, ${hoh_roster_in} = 1 or empty(${hoh_roster_name_cases}))</t>
  </si>
  <si>
    <t>hoh_dom_mig</t>
  </si>
  <si>
    <t>if(sum(${hoh_dom_mig_ind}) &gt; 0, 1, 0)</t>
  </si>
  <si>
    <t>hoh_border_cross</t>
  </si>
  <si>
    <t>if(sum(${hoh_border_cross_ind}) &gt; 0, 1, 0)</t>
  </si>
  <si>
    <t>hoh_border_cross_ecowas</t>
  </si>
  <si>
    <t>if(sum(${hoh_border_cross_ecowas_ind}) &gt; 0, 1, 0)</t>
  </si>
  <si>
    <t>hoh_mig_any</t>
  </si>
  <si>
    <t>if(${hoh_dom_mig} = 1 or ${hoh_border_cross} = 1, 1, 0)</t>
  </si>
  <si>
    <t>hoh_hh_resources</t>
  </si>
  <si>
    <t>Household Resources</t>
  </si>
  <si>
    <t>${hoh_own_home} = 1</t>
  </si>
  <si>
    <t>speedcheck_hoh_livestock_start</t>
  </si>
  <si>
    <t>hoh_livestock</t>
  </si>
  <si>
    <t>Assets</t>
  </si>
  <si>
    <t>Actifs</t>
  </si>
  <si>
    <t>Kadara</t>
  </si>
  <si>
    <t>not(selected(${hoh_livestock_any}, '0'))</t>
  </si>
  <si>
    <t>count-selected(${hoh_livestock_any})</t>
  </si>
  <si>
    <t>hoh_livestock_name</t>
  </si>
  <si>
    <t xml:space="preserve">Asset Name </t>
  </si>
  <si>
    <t>Nom de l'actif</t>
  </si>
  <si>
    <t>Sunan kadara</t>
  </si>
  <si>
    <t>choice-label(${hoh_livestock_any}, selected-at(${hoh_livestock_any}, index()-1))</t>
  </si>
  <si>
    <t>. &gt;= 1 and . &lt;= 1000</t>
  </si>
  <si>
    <t>speedcheck_hoh_livestock_end</t>
  </si>
  <si>
    <t>dur_hoh_livestock</t>
  </si>
  <si>
    <t xml:space="preserve">${speedcheck_hoh_livestock_end} - ${speedcheck_hoh_livestock_start} </t>
  </si>
  <si>
    <t>speedcheck_hoh_land_start</t>
  </si>
  <si>
    <t>262. Now we'll talk about your households' agricultural and and animal husbandry activities. 
 Let's starting with the most recent agricultural season</t>
  </si>
  <si>
    <t>262. Maintenant, nous allons parler des activités agricoles et d'élevage de votre ménage.
 Commençons par la dernière saison agricole</t>
  </si>
  <si>
    <t>. &lt;= ${hoh_land_access_amt}</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</si>
  <si>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</si>
  <si>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</si>
  <si>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</si>
  <si>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</si>
  <si>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speedcheck_hoh_land_end</t>
  </si>
  <si>
    <t>dur_hoh_land</t>
  </si>
  <si>
    <t xml:space="preserve">${speedcheck_hoh_land_end} - ${speedcheck_hoh_land_start} </t>
  </si>
  <si>
    <t>not(count-selected(.) &gt; 1 and selected(., 0))</t>
  </si>
  <si>
    <t>selected(${hoh_crops}, '-777')</t>
  </si>
  <si>
    <t>speedcheck_hoh_cropsinfo_start</t>
  </si>
  <si>
    <t>hoh_crops_info</t>
  </si>
  <si>
    <t>Crops - ${hoh_crop_name}</t>
  </si>
  <si>
    <t>Cultures - ${hoh_crop_name}</t>
  </si>
  <si>
    <t>amfanin gona - ${hoh_crop_name}</t>
  </si>
  <si>
    <t>${hoh_crops} != 0</t>
  </si>
  <si>
    <t>count-selected(${hoh_crops})</t>
  </si>
  <si>
    <t>hoh_crop_name</t>
  </si>
  <si>
    <t>Crop Name</t>
  </si>
  <si>
    <t>Nom de la culture</t>
  </si>
  <si>
    <t>Sunan amfanin gona</t>
  </si>
  <si>
    <t>if(selected-at(${hoh_crops}, index()-1) = '-777', ${hoh_crops_o}, choice-label(${hoh_crops}, selected-at(${hoh_crops}, index()-1)))</t>
  </si>
  <si>
    <t>hoh_crop_desc</t>
  </si>
  <si>
    <t>${hoh_crop_unit} = -777</t>
  </si>
  <si>
    <t>hoh_crop_unit_name</t>
  </si>
  <si>
    <t>Unit Name</t>
  </si>
  <si>
    <t>if(${hoh_crop_unit} = -777, ${hoh_crop_unit_o}, choice-label(${hoh_crop_unit}, ${hoh_crop_unit}))</t>
  </si>
  <si>
    <t>. &lt;= ${hoh_crop_quantity}</t>
  </si>
  <si>
    <t>${hoh_qty_sold} &gt; 0</t>
  </si>
  <si>
    <t>hoh_qty_left</t>
  </si>
  <si>
    <t>${hoh_crop_quantity} - ${hoh_qty_sold} - ${hoh_qty_consume}</t>
  </si>
  <si>
    <t>${hoh_qty_left} &lt; 0</t>
  </si>
  <si>
    <t>${hoh_qty_left} &gt; 0</t>
  </si>
  <si>
    <t>hoh_crop_revenue</t>
  </si>
  <si>
    <t>${hoh_qty_sold} * ${hoh_price_sold}</t>
  </si>
  <si>
    <t>Crops</t>
  </si>
  <si>
    <t>Cultures</t>
  </si>
  <si>
    <t>amfanin gona</t>
  </si>
  <si>
    <t>hh_agr_expenses</t>
  </si>
  <si>
    <t>Household Agriculture Expenses</t>
  </si>
  <si>
    <t>Dépenses agricoles du ménage</t>
  </si>
  <si>
    <t>Kashe kashen kuɗin aikin gona na gida</t>
  </si>
  <si>
    <t>Dépenses agricoles des ménages</t>
  </si>
  <si>
    <t>Kashe-kashen kuɗin aikin gona na gida</t>
  </si>
  <si>
    <t>speedcheck_hoh_cropsinfo_end</t>
  </si>
  <si>
    <t>dur_hoh_cropsinfo</t>
  </si>
  <si>
    <t>${speedcheck_hoh_cropsinfo_end} - ${speedcheck_hoh_cropsinfo_start}</t>
  </si>
  <si>
    <t>speedcheck_hoh_labor_start</t>
  </si>
  <si>
    <t>. &gt;= 0 and . &lt;= 26</t>
  </si>
  <si>
    <t>hoh_hh_labor</t>
  </si>
  <si>
    <t>Household Members Working</t>
  </si>
  <si>
    <t>Membres actifs du ménage</t>
  </si>
  <si>
    <t>Ƴan gida masu Ƙarhin aiki</t>
  </si>
  <si>
    <t>count-selected(${hoh_members_above_7})</t>
  </si>
  <si>
    <t>hoh_labor_index</t>
  </si>
  <si>
    <t>selected-at(${hoh_members_above_7}, index()-1)</t>
  </si>
  <si>
    <t>hoh_labor_name</t>
  </si>
  <si>
    <t>Household Name</t>
  </si>
  <si>
    <t>Nom du ménage</t>
  </si>
  <si>
    <t>Sunan gida</t>
  </si>
  <si>
    <t>indexed-repeat(${hoh_roster_name}, ${hoh_roster}, ${hoh_labor_index})</t>
  </si>
  <si>
    <t>. &gt;= 0 and . &lt;= 180</t>
  </si>
  <si>
    <t>289. Les questions suivantes sur le travail agricole concernent la dernière saison agricole (180 derniers jours).\</t>
  </si>
  <si>
    <t>289. Tambayoyi masu zuwa game da aikin noma na ƙarshe ne (kwanaki 180 na ƙarshe).</t>
  </si>
  <si>
    <t>${hoh_days_labor} &gt; 0</t>
  </si>
  <si>
    <t>${hoh_hire_ag} = 1</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</si>
  <si>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</si>
  <si>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</si>
  <si>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</si>
  <si>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</si>
  <si>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${hoh_income3} + ${hoh_income4} + ${hoh_income5} + ${hoh_income6} + ${hoh_income7} + ${hoh_income8}</t>
  </si>
  <si>
    <t>. = 1</t>
  </si>
  <si>
    <t>Veuillez revenir et corriger vos réponses aux questions 88 à 93.</t>
  </si>
  <si>
    <t>296. Pensez à tout membre de votre ménage, y-a t-il des membres de votre ménage qui ont travaillé comme journaliers dans le champs de quelqu'un d'autre ?</t>
  </si>
  <si>
    <t>speedcheck_hoh_labor_end</t>
  </si>
  <si>
    <t>dur_hoh_labor</t>
  </si>
  <si>
    <t xml:space="preserve">${speedcheck_hoh_labor_end} - ${speedcheck_hoh_labor_start} </t>
  </si>
  <si>
    <t>speedcheck_hoh_paid_start</t>
  </si>
  <si>
    <t>hoh_hh_paid</t>
  </si>
  <si>
    <t>Household Day Laborers</t>
  </si>
  <si>
    <t>Travaileurs journaliers</t>
  </si>
  <si>
    <t>Masu aikin wuni</t>
  </si>
  <si>
    <t>${hoh_members_paid_ag} = 1</t>
  </si>
  <si>
    <t>hoh_paid_name</t>
  </si>
  <si>
    <t>indexed-repeat(${hoh_roster_name}, ${hoh_roster}, index())</t>
  </si>
  <si>
    <t>hoh_paid_age</t>
  </si>
  <si>
    <t>indexed-repeat(${hoh_roster_age}, ${hoh_roster}, index())</t>
  </si>
  <si>
    <t>${hoh_paid_age} &gt; 7</t>
  </si>
  <si>
    <t>${hoh_paid_ag} &gt; 0</t>
  </si>
  <si>
    <t>hoh_paid_ag_total</t>
  </si>
  <si>
    <t>paid_ag * paid_ag_wage</t>
  </si>
  <si>
    <t>payé_ag * payé_ag_wage</t>
  </si>
  <si>
    <t>biya_ag * biya_ag_wage</t>
  </si>
  <si>
    <t>${hoh_paid_ag} * ${hoh_paid_ag_wage}</t>
  </si>
  <si>
    <t>speedcheck_hoh_paid_end</t>
  </si>
  <si>
    <t>dur_hoh_paid</t>
  </si>
  <si>
    <t xml:space="preserve">${speedcheck_hoh_paid_end} - ${speedcheck_hoh_paid_start} </t>
  </si>
  <si>
    <t>${hoh_ag_exp_other}=1</t>
  </si>
  <si>
    <t>hoh_income1</t>
  </si>
  <si>
    <t>Total wages from outside ag work</t>
  </si>
  <si>
    <t>if(empty(sum(${hoh_paid_ag_total})), 0, sum(${hoh_paid_ag_total}))</t>
  </si>
  <si>
    <t>hoh_income2</t>
  </si>
  <si>
    <t>Total sales of own crops (not incl. own consumption)</t>
  </si>
  <si>
    <t>if(empty(sum(${hoh_crop_revenue})), 0, sum(${hoh_crop_revenue}))</t>
  </si>
  <si>
    <t>hoh_income3</t>
  </si>
  <si>
    <t>Wages paid for work on own farm</t>
  </si>
  <si>
    <t>if(empty(${hoh_hire_ag_num}) or empty(${hoh_hire_ag_days}) or empty(${hoh_hire_ag_wage}), 0, ${hoh_hire_ag_num} * ${hoh_hire_ag_days} * ${hoh_hire_ag_wage})</t>
  </si>
  <si>
    <t>hoh_income4</t>
  </si>
  <si>
    <t>Cost of seed</t>
  </si>
  <si>
    <t>if(empty(${hoh_spend_seeds}), 0, ${hoh_spend_seeds})</t>
  </si>
  <si>
    <t>hoh_income5</t>
  </si>
  <si>
    <t>Cost of fertilizer</t>
  </si>
  <si>
    <t>if(empty(${hoh_spend_fert}), 0, ${hoh_spend_fert})</t>
  </si>
  <si>
    <t>hoh_income6</t>
  </si>
  <si>
    <t>Cost of machinery</t>
  </si>
  <si>
    <t>if(empty(${hoh_spend_rent}), 0, ${hoh_spend_rent})</t>
  </si>
  <si>
    <t>hoh_income7</t>
  </si>
  <si>
    <t>Cost of water</t>
  </si>
  <si>
    <t>if(empty(${hoh_spend_water}), 0, ${hoh_spend_water})</t>
  </si>
  <si>
    <t>hoh_income8</t>
  </si>
  <si>
    <t>Cost of other expenses</t>
  </si>
  <si>
    <t>if(empty(${hoh_ag_exp_other_amt}), 0, ${hoh_ag_exp_other_amt})</t>
  </si>
  <si>
    <t>hoh_total_income</t>
  </si>
  <si>
    <t>${hoh_income1} + ${hoh_income2}  - ${hoh_income3} - ${hoh_income4} - ${hoh_income5} - ${hoh_income6} - ${hoh_income7} - ${hoh_income8}</t>
  </si>
  <si>
    <t>302. Total income: ${hoh_total_income}
 Does this seem right?</t>
  </si>
  <si>
    <t>302. Revenu total : ${hoh_total_income}
  Cela vous semble-t-il juste ?</t>
  </si>
  <si>
    <t>302. Jimillar kuɗin shiga: ${hoh_total_income}
  ko kuna ganin hakan yayi daidai?</t>
  </si>
  <si>
    <t>Veuillez revenir et corriger vos réponses aux questions 82 à 87 et 95 à 97</t>
  </si>
  <si>
    <t>speedcheck_hoh_livestockact_start</t>
  </si>
  <si>
    <t>hoh_livestock_activity</t>
  </si>
  <si>
    <t>Livestock Activity</t>
  </si>
  <si>
    <t>Activité d'élevage</t>
  </si>
  <si>
    <t>Ayyukan kiwo</t>
  </si>
  <si>
    <t>hoh_livestock_act_name</t>
  </si>
  <si>
    <t>. &lt;= 7</t>
  </si>
  <si>
    <t>. &lt;= 12</t>
  </si>
  <si>
    <t>${hoh_hire_livestock} = 1</t>
  </si>
  <si>
    <t>hoh_hire_livestock_total</t>
  </si>
  <si>
    <t>${hoh_hire_livestock_days} * ${hoh_hire_livestock_wage} * 12</t>
  </si>
  <si>
    <t>${hoh_paid_livestock} = 1</t>
  </si>
  <si>
    <t>${hoh_own_other} = 1</t>
  </si>
  <si>
    <t>speedcheck_hoh_livestockact_end</t>
  </si>
  <si>
    <t>dur_hoh_livestockact</t>
  </si>
  <si>
    <t xml:space="preserve">${speedcheck_hoh_livestockact_end} - ${speedcheck_hoh_livestockact_start} </t>
  </si>
  <si>
    <t>speedcheck_hoh_biz_start</t>
  </si>
  <si>
    <t>${hoh_own_biz} = 1</t>
  </si>
  <si>
    <t>${hoh_biz_type} = -777</t>
  </si>
  <si>
    <t>hoh_biz_type_name</t>
  </si>
  <si>
    <t>if(${hoh_biz_type} = -777, ${hoh_biz_type_o}, choice-label(${hoh_biz_type}, ${hoh_biz_type}))</t>
  </si>
  <si>
    <t>${hoh_own_biz} = 1 and ${hoh_biz_employ} = 1</t>
  </si>
  <si>
    <t>hoh_biz_days_total</t>
  </si>
  <si>
    <t>Members in Business</t>
  </si>
  <si>
    <t>count-selected(${hoh_members_in_hh})</t>
  </si>
  <si>
    <t>hoh_biz_index</t>
  </si>
  <si>
    <t>selected-at(${hoh_members_in_hh}, index()-1)</t>
  </si>
  <si>
    <t>hoh_biz_name</t>
  </si>
  <si>
    <t>indexed-repeat(${hoh_roster_name}, ${hoh_roster}, ${hoh_biz_index})</t>
  </si>
  <si>
    <t>hoh_biz_age</t>
  </si>
  <si>
    <t>indexed-repeat(${hoh_roster_age}, ${hoh_roster}, ${hoh_biz_index})</t>
  </si>
  <si>
    <t>${hoh_own_biz} = 1 and ${hoh_biz_age} &gt;= 7</t>
  </si>
  <si>
    <t>speedcheck_hoh_biz_end</t>
  </si>
  <si>
    <t>dur_hoh_biz</t>
  </si>
  <si>
    <t xml:space="preserve">${speedcheck_hoh_biz_end} - ${speedcheck_hoh_biz_start} </t>
  </si>
  <si>
    <t>hoh_biz_income</t>
  </si>
  <si>
    <t>${hoh_biz_revenue} - ${hoh_biz_expense}</t>
  </si>
  <si>
    <t>speedcheck_hoh_memact_start</t>
  </si>
  <si>
    <t>hoh_member_activity</t>
  </si>
  <si>
    <t>Outside Activities</t>
  </si>
  <si>
    <t>Activités extérieures</t>
  </si>
  <si>
    <t>Ayyukan da ba na gida ba</t>
  </si>
  <si>
    <t>hoh_member_act_index</t>
  </si>
  <si>
    <t>hoh_member_act_name</t>
  </si>
  <si>
    <t>indexed-repeat(${hoh_roster_name}, ${hoh_roster}, ${hoh_member_act_index})</t>
  </si>
  <si>
    <t>${hoh_member_other_activity} = 1</t>
  </si>
  <si>
    <t>${hoh_member_other_activity} = 1 and ${hoh_member_other_act} = '-777'</t>
  </si>
  <si>
    <t>hoh_member_other_activity_name</t>
  </si>
  <si>
    <t>if(${hoh_member_other_act} = '-777', ${hoh_member_other_activity_o}, choice-label(${hoh_member_other_act}, ${hoh_member_other_act}))</t>
  </si>
  <si>
    <t>speedcheck_hoh_memact_end</t>
  </si>
  <si>
    <t>dur_hoh_memact</t>
  </si>
  <si>
    <t xml:space="preserve"> ${speedcheck_hoh_memact_end} - ${speedcheck_hoh_memact_start}</t>
  </si>
  <si>
    <t>hoh_remittance_qs</t>
  </si>
  <si>
    <t>Questions about remittances</t>
  </si>
  <si>
    <t>speedcheck_hoh_remit_start</t>
  </si>
  <si>
    <t>${hoh_remit_rec_niger} = 1</t>
  </si>
  <si>
    <t>selected(${hoh_remit_rec_niger_how}, '-777')</t>
  </si>
  <si>
    <t>343. Quel était la valeur au totale des biens que les membres de votre ménage ont reçu des personnes qui sont quelques part au Niger 
 (en USD)?</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</si>
  <si>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</si>
  <si>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</si>
  <si>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</si>
  <si>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</si>
  <si>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</si>
  <si>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</si>
  <si>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</si>
  <si>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</si>
  <si>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</si>
  <si>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</si>
  <si>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</si>
  <si>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</si>
  <si>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</si>
  <si>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</si>
  <si>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</si>
  <si>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</si>
  <si>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</si>
  <si>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</si>
  <si>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</si>
  <si>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</si>
  <si>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</si>
  <si>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speedcheck_hoh_remit_end</t>
  </si>
  <si>
    <t>dur_hoh_remit</t>
  </si>
  <si>
    <t xml:space="preserve">${speedcheck_hoh_remit_end} - ${speedcheck_hoh_remit_start} </t>
  </si>
  <si>
    <t>speedcheck_hoh_homeimprove_start</t>
  </si>
  <si>
    <t>hoh_improve</t>
  </si>
  <si>
    <t>Improvements</t>
  </si>
  <si>
    <t>Améliorations</t>
  </si>
  <si>
    <t>Ingantawa</t>
  </si>
  <si>
    <t>${hoh_improve_o} = 1</t>
  </si>
  <si>
    <t>${hoh_improve_add_rooms} + ${hoh_improve_floors} + ${hoh_improve_walls} + ${hoh_improve_roof} + ${hoh_improve_o} &gt; 0</t>
  </si>
  <si>
    <t>${hoh_improve_business} = 1</t>
  </si>
  <si>
    <t>${hoh_improve_land} = 1</t>
  </si>
  <si>
    <t>speedcheck_hoh_homeimprove_end</t>
  </si>
  <si>
    <t>dur_hoh_homeimprove</t>
  </si>
  <si>
    <t xml:space="preserve">${speedcheck_hoh_homeimprove_end} - ${speedcheck_hoh_homeimprove_start} </t>
  </si>
  <si>
    <t>speedcheck_hoh_savings_start</t>
  </si>
  <si>
    <t>selected(${hoh_savings_type}, '-777')</t>
  </si>
  <si>
    <t>hoh_savings_amt</t>
  </si>
  <si>
    <t>not(selected(${hoh_savings_type}, '0'))</t>
  </si>
  <si>
    <t>count-selected(${hoh_savings_type})</t>
  </si>
  <si>
    <t>hoh_savings_code</t>
  </si>
  <si>
    <t>selected-at(${hoh_savings_type}, index()-1)</t>
  </si>
  <si>
    <t>hoh_savings_name</t>
  </si>
  <si>
    <t>Sunan irin tanadi</t>
  </si>
  <si>
    <t>if(selected-at(${hoh_savings_type}, index()-1) = '-777', ${hoh_savings_type_o}, choice-label(${hoh_savings_type}, selected-at(${hoh_savings_type}, index()-1)))</t>
  </si>
  <si>
    <t>${hoh_savings_code} != 1</t>
  </si>
  <si>
    <t>speedcheck_hoh_savings_end</t>
  </si>
  <si>
    <t>dur_hoh_savings</t>
  </si>
  <si>
    <t xml:space="preserve">${speedcheck_hoh_savings_end} - ${speedcheck_hoh_savings_start} </t>
  </si>
  <si>
    <t>hoh_savings_total</t>
  </si>
  <si>
    <t>sum(${hoh_savings_type_amt})</t>
  </si>
  <si>
    <t>Veuillez revenir et corriger vos réponses aux questions 141 et 142</t>
  </si>
  <si>
    <t>391. Au cours de ${period_french}, votre ménage a-t-il été affecté négativement par l'un des types d'événements suivants ?</t>
  </si>
  <si>
    <t>selected(${hoh_emergency}, '-777')</t>
  </si>
  <si>
    <t>speedcheck_hoh_emerg_start</t>
  </si>
  <si>
    <t>hoh_emerg_resp</t>
  </si>
  <si>
    <t>not(selected(${hoh_emergency}, '0'))</t>
  </si>
  <si>
    <t>hoh_emergency_name</t>
  </si>
  <si>
    <t>if(selected-at(${hoh_emergency}, index()-1) = '-777', ${hoh_emergency_o}, choice-label(${hoh_emergency}, selected-at(${hoh_emergency}, index()-1)))</t>
  </si>
  <si>
    <t>hoh_emerg_yes</t>
  </si>
  <si>
    <t>hoh_emerg_amt</t>
  </si>
  <si>
    <t>${hoh_emerg_sell} = 1 or ${hoh_emerg_borrow} = 1 or ${hoh_emerg_spend} = 1</t>
  </si>
  <si>
    <t>398. For ${hoh_emergency_name}
 What was the value of the following in CFA?</t>
  </si>
  <si>
    <t>398. Par rapport à ${hoh_emergency_name}
 Quelle était la valeur des éléments suivantes en CFA?</t>
  </si>
  <si>
    <t>398. Game da ${hoh_emergency_name}
  Nawa ne kimar waɗannan abubuwan a kuɗin CFA?</t>
  </si>
  <si>
    <t>${hoh_emerg_sell} = 1</t>
  </si>
  <si>
    <t>${hoh_emerg_borrow} = 1</t>
  </si>
  <si>
    <t>${hoh_emerg_spend} = 1</t>
  </si>
  <si>
    <t>speedcheck_hoh_emerg_end</t>
  </si>
  <si>
    <t>dur_hoh_emerg</t>
  </si>
  <si>
    <t xml:space="preserve">${speedcheck_hoh_emerg_end} - ${speedcheck_hoh_emerg_start} </t>
  </si>
  <si>
    <t>speedcheck_hoh_credit_start</t>
  </si>
  <si>
    <t>${hoh_credit_refuse} = 1</t>
  </si>
  <si>
    <t>${hoh_borrow_total} &gt; 0</t>
  </si>
  <si>
    <t>${hoh_transfer_village} = 1</t>
  </si>
  <si>
    <t>speedcheck_hoh_credit_end</t>
  </si>
  <si>
    <t>dur_hoh_credit</t>
  </si>
  <si>
    <t xml:space="preserve">${speedcheck_hoh_credit_end} - ${speedcheck_hoh_credit_start} </t>
  </si>
  <si>
    <t>speedcheck_hoh_foodinsec_start</t>
  </si>
  <si>
    <t>${hoh_adults_skip_days} = 1</t>
  </si>
  <si>
    <t>${hoh_adults_skip_meals} = 1</t>
  </si>
  <si>
    <t>${hoh_child_skip_days} = 1</t>
  </si>
  <si>
    <t>${hoh_child_skip_meals} = 1</t>
  </si>
  <si>
    <t>speedcheck_hoh_foodinsec_end</t>
  </si>
  <si>
    <t>dur_hoh_foodinsec</t>
  </si>
  <si>
    <t xml:space="preserve">${speedcheck_hoh_foodinsec_end} - ${speedcheck_hoh_foodinsec_start} </t>
  </si>
  <si>
    <t>hoh_consumption</t>
  </si>
  <si>
    <t>speedcheck_hoh_cons_start</t>
  </si>
  <si>
    <t>hoh_cons_month</t>
  </si>
  <si>
    <t>not(selected(${hoh_monthly_consumption_any}, '0'))</t>
  </si>
  <si>
    <t>count-selected(${hoh_monthly_consumption_any})</t>
  </si>
  <si>
    <t>hoh_item</t>
  </si>
  <si>
    <t>choice-label(${hoh_monthly_consumption_any}, selected-at(${hoh_monthly_consumption_any}, index()-1))</t>
  </si>
  <si>
    <t>hoh_cons_week</t>
  </si>
  <si>
    <t>not(selected(${hoh_weekly_consumption_any}, '0'))</t>
  </si>
  <si>
    <t>count-selected(${hoh_weekly_consumption_any})</t>
  </si>
  <si>
    <t>hoh_item_week</t>
  </si>
  <si>
    <t>choice-label(${hoh_weekly_consumption_any}, selected-at(${hoh_weekly_consumption_any}, index()-1))</t>
  </si>
  <si>
    <t>hoh_ramadan</t>
  </si>
  <si>
    <t>424. Pour le Ramadan, votre ménage a-t-il acheté l'un des produits suivants ?</t>
  </si>
  <si>
    <t>424. Ga watan azumi, gidanku ya sayi ɗaya daga cikin wadannan?</t>
  </si>
  <si>
    <t>speedcheck_hoh_cons_end</t>
  </si>
  <si>
    <t>dur_hoh_cons</t>
  </si>
  <si>
    <t xml:space="preserve">${speedcheck_hoh_cons_end} - ${speedcheck_hoh_cons_start} </t>
  </si>
  <si>
    <t>speedcheck_hoh_end</t>
  </si>
  <si>
    <t>dur_hoh</t>
  </si>
  <si>
    <t xml:space="preserve">${speedcheck_hoh_end} - ${speedcheck_hoh_start} </t>
  </si>
  <si>
    <t>followup</t>
  </si>
  <si>
    <t>Follow Up Questions</t>
  </si>
  <si>
    <t>Questions de suivi</t>
  </si>
  <si>
    <t>Tambayoyi na bibiya</t>
  </si>
  <si>
    <t>speedcheck_outro_start</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</si>
  <si>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</si>
  <si>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</si>
  <si>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</si>
  <si>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</si>
  <si>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</si>
  <si>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${primary_phone_confirm} = 0</t>
  </si>
  <si>
    <t>[Enumerator: Did the phone ring?]</t>
  </si>
  <si>
    <t>[enquêteur : Le téléphone a-t-il sonné ?]</t>
  </si>
  <si>
    <t>[Ɗan bincike: Wayar ta yi ƙara?]</t>
  </si>
  <si>
    <t>${primary_phone_test} = 0</t>
  </si>
  <si>
    <t>${use_whatsapp} = 1</t>
  </si>
  <si>
    <t>${phone_whatsapp} = 0</t>
  </si>
  <si>
    <t>${phone_whatsapp_confirm} = 0</t>
  </si>
  <si>
    <t>${primary_other_phone} = 1</t>
  </si>
  <si>
    <t>other_phones</t>
  </si>
  <si>
    <t>Other Phones</t>
  </si>
  <si>
    <t>${primary_other_phones}</t>
  </si>
  <si>
    <t>443.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</si>
  <si>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</si>
  <si>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443.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</si>
  <si>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</si>
  <si>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</si>
  <si>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${secondary_contact1} = 1</t>
  </si>
  <si>
    <t>secondary_name1</t>
  </si>
  <si>
    <t>concat(${secondary_name1_last}, ' ', ${secondary_name1_first})</t>
  </si>
  <si>
    <t>448. Just to confirm, is this the number? 
  ${secondary_name1}
  ${secondary_phone1}</t>
  </si>
  <si>
    <t>448. Juste pour confirmer, est-ce bien le numéro ?
  ${secondary_name1}
  ${secondary_phone1}</t>
  </si>
  <si>
    <t>448. Don tabbatarwa kawai, da wannan itace lambar?
  ${secondary_name1}
  ${secondary_phone1}</t>
  </si>
  <si>
    <t>${secondary_phone1_confirm} = 0</t>
  </si>
  <si>
    <t>${secondary_phone1_test} &lt;= 0</t>
  </si>
  <si>
    <t>secondary_name_create2</t>
  </si>
  <si>
    <t>Name of Secondary Contact 2</t>
  </si>
  <si>
    <t>${secondary_contact2} = 1</t>
  </si>
  <si>
    <t>secondary_name2</t>
  </si>
  <si>
    <t>concat(${secondary_name2_last}, ' ', ${secondary_name2_first})</t>
  </si>
  <si>
    <t>enquêteur: Le numero de telephone doit commencer par "+227", ne pas inclure les espaces et saisir les 8 chiffres du numero.</t>
  </si>
  <si>
    <t>457. Just to confirm, is this the number? 
  ${secondary_name2}
  ${secondary_phone2}</t>
  </si>
  <si>
    <t>457. Juste pour confirmer, est-ce bien le numéro ?
  ${secondary_name2}
  ${secondary_phone2}</t>
  </si>
  <si>
    <t>457. Don tabbatar kawai, da wannan itace lambar?
  ${secondary_name2}
  ${secondary_phone2}</t>
  </si>
  <si>
    <t>${secondary_phone2_confirm} = 0</t>
  </si>
  <si>
    <t>460. Da fatan zaku rubuta lambar</t>
  </si>
  <si>
    <t>${secondary_phone2_test} &lt;= 0</t>
  </si>
  <si>
    <t>enum_end</t>
  </si>
  <si>
    <t>Final Enumerator questions</t>
  </si>
  <si>
    <t>Questions finales de l'enquêteur</t>
  </si>
  <si>
    <t>Tambayoyin ƙarshe na ɗan bincike</t>
  </si>
  <si>
    <t>465. Ɗan bincike: Yi rikodin duk wani sharhi akan binciken</t>
  </si>
  <si>
    <t>Il n'est pas obligatoire de faire des commentaires! N'ecrivez pas R.A.S.</t>
  </si>
  <si>
    <t>gps</t>
  </si>
  <si>
    <t>Collect GPS</t>
  </si>
  <si>
    <t>Collecteur de GPS</t>
  </si>
  <si>
    <t>Mai daukan GPS</t>
  </si>
  <si>
    <t>GPS coordinates can only be collected when outside.</t>
  </si>
  <si>
    <t>Les coordonnées GPS ne peuvent être prises qu'à l'extérieur.</t>
  </si>
  <si>
    <t>speedcheck_outro_end</t>
  </si>
  <si>
    <t>dur_outro</t>
  </si>
  <si>
    <t>${speedcheck_outro_end} - ${speedcheck_outro_start}</t>
  </si>
  <si>
    <t>Tambayoyin ɗan bincike na ƙarshe</t>
  </si>
</sst>
</file>

<file path=xl/styles.xml><?xml version="1.0" encoding="utf-8"?>
<styleSheet xmlns="http://schemas.openxmlformats.org/spreadsheetml/2006/main" xmlns:x14ac="http://schemas.microsoft.com/office/spreadsheetml/2009/9/ac" xmlns:mc="http://schemas.openxmlformats.org/markup-compatibility/2006">
  <fonts count="42">
    <font>
      <sz val="12.0"/>
      <color rgb="FF000000"/>
      <name val="Calibri"/>
      <scheme val="minor"/>
    </font>
    <font>
      <b/>
      <sz val="12.0"/>
      <color theme="1"/>
      <name val="Calibri"/>
    </font>
    <font>
      <b/>
      <sz val="10.0"/>
      <color rgb="FF000000"/>
      <name val="Fira Code"/>
    </font>
    <font>
      <b/>
      <u/>
      <sz val="12.0"/>
      <color rgb="FF000000"/>
      <name val="Calibri"/>
    </font>
    <font/>
    <font>
      <sz val="12.0"/>
      <color rgb="FF000000"/>
      <name val="Calibri"/>
    </font>
    <font>
      <color theme="1"/>
      <name val="Arial"/>
    </font>
    <font>
      <b/>
      <sz val="12.0"/>
      <color theme="1"/>
      <name val="Fira Code"/>
    </font>
    <font>
      <b/>
      <sz val="10.0"/>
      <color theme="1"/>
      <name val="Fira Code"/>
    </font>
    <font>
      <sz val="12.0"/>
      <color theme="1"/>
      <name val="Calibri"/>
    </font>
    <font>
      <color theme="1"/>
      <name val="Fira Code"/>
    </font>
    <font>
      <sz val="12.0"/>
      <color theme="1"/>
      <name val="Fira Code"/>
    </font>
    <font>
      <sz val="10.0"/>
      <color rgb="FF000000"/>
      <name val="Fira Code"/>
    </font>
    <font>
      <i/>
      <u/>
      <sz val="12.0"/>
      <color rgb="FF0000D4"/>
      <name val="Calibri"/>
    </font>
    <font>
      <b/>
      <sz val="12.0"/>
      <color rgb="FF000000"/>
      <name val="Calibri"/>
    </font>
    <font>
      <i/>
      <u/>
      <sz val="12.0"/>
      <color rgb="FF0000D4"/>
      <name val="Calibri"/>
    </font>
    <font>
      <i/>
      <u/>
      <sz val="12.0"/>
      <color rgb="FF0000D4"/>
      <name val="Calibri"/>
    </font>
    <font>
      <sz val="9.0"/>
      <color rgb="FF000000"/>
      <name val="&quot;Google Sans Mono&quot;"/>
    </font>
    <font>
      <color theme="1"/>
      <name val="Calibri"/>
      <scheme val="minor"/>
    </font>
    <font>
      <i/>
      <u/>
      <sz val="12.0"/>
      <color rgb="FF0000D4"/>
      <name val="Calibri"/>
    </font>
    <font>
      <u/>
      <sz val="12.0"/>
      <color rgb="FF000000"/>
      <name val="Calibri"/>
    </font>
    <font>
      <sz val="10.0"/>
      <color theme="1"/>
      <name val="Fira Code"/>
    </font>
    <font>
      <u/>
      <sz val="12.0"/>
      <color rgb="FF0000D4"/>
      <name val="Calibri"/>
    </font>
    <font>
      <sz val="12.0"/>
      <color rgb="FF000000"/>
      <name val="Fira Code"/>
    </font>
    <font>
      <sz val="10.0"/>
      <color theme="1"/>
      <name val="&quot;Fira Code&quot;"/>
    </font>
    <font>
      <sz val="10.0"/>
      <color theme="1"/>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
      <sz val="12.0"/>
      <color theme="1"/>
      <name val="&quot;Fira Code&quot;"/>
    </font>
    <font>
      <color theme="1"/>
      <name val="&quot;Fira Code&quot;"/>
    </font>
    <font>
      <sz val="10.0"/>
      <color rgb="FF1F1F1F"/>
      <name val="Fira Code"/>
    </font>
    <font>
      <sz val="10.0"/>
      <color rgb="FF333333"/>
      <name val="Fira Code"/>
    </font>
  </fonts>
  <fills count="26">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E5E5E5"/>
        <bgColor rgb="FFE5E5E5"/>
      </patternFill>
    </fill>
    <fill>
      <patternFill patternType="solid">
        <fgColor rgb="FFFDE9D9"/>
        <bgColor rgb="FFFDE9D9"/>
      </patternFill>
    </fill>
    <fill>
      <patternFill patternType="solid">
        <fgColor rgb="FFEEB400"/>
        <bgColor rgb="FFEEB400"/>
      </patternFill>
    </fill>
    <fill>
      <patternFill patternType="solid">
        <fgColor rgb="FFFFD44B"/>
        <bgColor rgb="FFFFD44B"/>
      </patternFill>
    </fill>
    <fill>
      <patternFill patternType="solid">
        <fgColor rgb="FFFFFFFF"/>
        <bgColor rgb="FFFFFFFF"/>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FABF8F"/>
        <bgColor rgb="FFFABF8F"/>
      </patternFill>
    </fill>
    <fill>
      <patternFill patternType="solid">
        <fgColor rgb="FFFBD4B4"/>
        <bgColor rgb="FFFBD4B4"/>
      </patternFill>
    </fill>
    <fill>
      <patternFill patternType="solid">
        <fgColor rgb="FFFF9900"/>
        <bgColor rgb="FFFF9900"/>
      </patternFill>
    </fill>
    <fill>
      <patternFill patternType="solid">
        <fgColor rgb="FFFFBB57"/>
        <bgColor rgb="FFFFBB57"/>
      </patternFill>
    </fill>
    <fill>
      <patternFill patternType="solid">
        <fgColor rgb="FFB8CCE4"/>
        <bgColor rgb="FFB8CCE4"/>
      </patternFill>
    </fill>
    <fill>
      <patternFill patternType="solid">
        <fgColor rgb="FFDBE5F1"/>
        <bgColor rgb="FFDBE5F1"/>
      </patternFill>
    </fill>
    <fill>
      <patternFill patternType="solid">
        <fgColor theme="0"/>
        <bgColor theme="0"/>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66">
    <border/>
    <border>
      <left style="thin">
        <color rgb="FFBFBFBF"/>
      </left>
      <right style="thin">
        <color rgb="FFBFBFBF"/>
      </right>
      <top style="thin">
        <color rgb="FFBFBFBF"/>
      </top>
      <bottom style="thin">
        <color rgb="FFBFBFBF"/>
      </bottom>
    </border>
    <border>
      <left style="thin">
        <color rgb="FF7F7F7F"/>
      </left>
      <right style="thin">
        <color rgb="FF7F7F7F"/>
      </right>
      <top style="thin">
        <color rgb="FF7F7F7F"/>
      </top>
      <bottom style="thin">
        <color rgb="FF7F7F7F"/>
      </bottom>
    </border>
    <border>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bottom style="thin">
        <color rgb="FF000000"/>
      </bottom>
    </border>
    <border>
      <bottom style="thin">
        <color rgb="FF000000"/>
      </bottom>
    </border>
    <border>
      <left style="thin">
        <color rgb="FF000000"/>
      </left>
      <top/>
      <bottom/>
    </border>
    <border>
      <right style="thin">
        <color rgb="FF000000"/>
      </right>
      <top/>
      <bottom/>
    </border>
    <border>
      <left/>
      <right/>
      <top/>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right style="thin">
        <color rgb="FF000000"/>
      </right>
      <bottom style="thin">
        <color rgb="FFBFBFBF"/>
      </bottom>
    </border>
    <border>
      <right style="thin">
        <color rgb="FF000000"/>
      </right>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bottom style="thin">
        <color rgb="FF7F7F7F"/>
      </bottom>
    </border>
    <border>
      <right style="thin">
        <color rgb="FF7F7F7F"/>
      </right>
      <bottom style="thin">
        <color rgb="FF7F7F7F"/>
      </bottom>
    </border>
    <border>
      <bottom style="thin">
        <color rgb="FFBFBFBF"/>
      </bottom>
    </border>
    <border>
      <bottom style="thin">
        <color rgb="FF7F7F7F"/>
      </bottom>
    </border>
    <border>
      <right style="thin">
        <color rgb="FFBFBFBF"/>
      </right>
    </border>
    <border>
      <top style="thin">
        <color rgb="FF7F7F7F"/>
      </top>
      <bottom style="thin">
        <color rgb="FF7F7F7F"/>
      </bottom>
    </border>
    <border>
      <right style="thin">
        <color rgb="FF7F7F7F"/>
      </right>
      <top style="thin">
        <color rgb="FF7F7F7F"/>
      </top>
      <bottom style="thin">
        <color rgb="FF000000"/>
      </bottom>
    </border>
    <border>
      <top style="thin">
        <color rgb="FF7F7F7F"/>
      </top>
      <bottom style="thin">
        <color rgb="FF000000"/>
      </bottom>
    </border>
    <border>
      <top style="thin">
        <color rgb="FF7F7F7F"/>
      </top>
    </border>
    <border>
      <right style="thin">
        <color rgb="FF000000"/>
      </right>
      <top style="thin">
        <color rgb="FF000000"/>
      </top>
      <bottom style="thin">
        <color rgb="FFBFBFBF"/>
      </bottom>
    </border>
    <border>
      <right style="thin">
        <color rgb="FF7F7F7F"/>
      </right>
    </border>
    <border>
      <left style="thin">
        <color rgb="FF808080"/>
      </left>
      <right style="thin">
        <color rgb="FF808080"/>
      </right>
      <top style="thin">
        <color rgb="FF808080"/>
      </top>
      <bottom style="thin">
        <color rgb="FF808080"/>
      </bottom>
    </border>
    <border>
      <right style="thin">
        <color rgb="FF7F7F7F"/>
      </right>
      <top style="thin">
        <color rgb="FF7F7F7F"/>
      </top>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right style="thin">
        <color rgb="FF000000"/>
      </right>
      <top style="thin">
        <color rgb="FF7F7F7F"/>
      </top>
      <bottom style="thin">
        <color rgb="FF7F7F7F"/>
      </bottom>
    </border>
    <border>
      <right style="thin">
        <color rgb="FF000000"/>
      </right>
      <top style="thin">
        <color rgb="FF7F7F7F"/>
      </top>
      <bottom style="thin">
        <color rgb="FF000000"/>
      </bottom>
    </border>
    <border>
      <right style="thin">
        <color rgb="FF000000"/>
      </right>
      <bottom style="thin">
        <color rgb="FF7F7F7F"/>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right style="thin">
        <color rgb="FF7F7F7F"/>
      </right>
      <bottom style="thin">
        <color rgb="FF000000"/>
      </bottom>
    </border>
    <border>
      <left style="thin">
        <color rgb="FFBFBFBF"/>
      </left>
      <right style="thin">
        <color rgb="FF7F7F7F"/>
      </right>
      <bottom style="thin">
        <color rgb="FF000000"/>
      </bottom>
    </border>
    <border>
      <right style="thin">
        <color rgb="FFBFBFBF"/>
      </right>
      <top style="thin">
        <color rgb="FF000000"/>
      </top>
    </border>
    <border>
      <left style="thin">
        <color rgb="FFBFBFBF"/>
      </left>
      <right style="thin">
        <color rgb="FFBFBFBF"/>
      </right>
    </border>
    <border>
      <right style="thin">
        <color rgb="FF7F7F7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60">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readingOrder="0" shrinkToFit="0" wrapText="1"/>
    </xf>
    <xf borderId="3" fillId="2" fontId="1" numFmtId="0" xfId="0" applyAlignment="1" applyBorder="1" applyFont="1">
      <alignment vertical="bottom"/>
    </xf>
    <xf borderId="4" fillId="3" fontId="3" numFmtId="0" xfId="0" applyAlignment="1" applyBorder="1" applyFill="1" applyFont="1">
      <alignment horizontal="left" shrinkToFit="0" vertical="center" wrapText="1"/>
    </xf>
    <xf borderId="3" fillId="2" fontId="1" numFmtId="49" xfId="0" applyAlignment="1" applyBorder="1" applyFont="1" applyNumberFormat="1">
      <alignment shrinkToFit="0" vertical="bottom" wrapText="1"/>
    </xf>
    <xf borderId="5" fillId="0" fontId="4" numFmtId="0" xfId="0" applyBorder="1" applyFont="1"/>
    <xf borderId="2" fillId="2" fontId="2" numFmtId="0" xfId="0" applyAlignment="1" applyBorder="1" applyFont="1">
      <alignment shrinkToFit="0" wrapText="1"/>
    </xf>
    <xf borderId="0" fillId="0" fontId="5" numFmtId="0" xfId="0" applyAlignment="1" applyFont="1">
      <alignment shrinkToFit="0" wrapText="1"/>
    </xf>
    <xf borderId="3" fillId="2" fontId="1" numFmtId="0" xfId="0" applyAlignment="1" applyBorder="1" applyFont="1">
      <alignment shrinkToFit="0" vertical="bottom" wrapText="1"/>
    </xf>
    <xf borderId="2" fillId="2" fontId="2" numFmtId="49" xfId="0" applyAlignment="1" applyBorder="1" applyFont="1" applyNumberFormat="1">
      <alignment shrinkToFit="0" wrapText="1"/>
    </xf>
    <xf borderId="0" fillId="0" fontId="5" numFmtId="0" xfId="0" applyFont="1"/>
    <xf borderId="0" fillId="2" fontId="6" numFmtId="0" xfId="0" applyAlignment="1" applyFont="1">
      <alignment vertical="bottom"/>
    </xf>
    <xf borderId="6" fillId="2" fontId="7" numFmtId="0" xfId="0" applyAlignment="1" applyBorder="1" applyFont="1">
      <alignment vertical="bottom"/>
    </xf>
    <xf borderId="7" fillId="2" fontId="7" numFmtId="0" xfId="0" applyAlignment="1" applyBorder="1" applyFont="1">
      <alignment vertical="bottom"/>
    </xf>
    <xf borderId="2" fillId="2" fontId="8" numFmtId="0" xfId="0" applyAlignment="1" applyBorder="1" applyFont="1">
      <alignment shrinkToFit="0" wrapText="1"/>
    </xf>
    <xf borderId="7" fillId="2" fontId="7" numFmtId="49" xfId="0" applyAlignment="1" applyBorder="1" applyFont="1" applyNumberFormat="1">
      <alignment shrinkToFit="0" vertical="bottom" wrapText="1"/>
    </xf>
    <xf borderId="8" fillId="0" fontId="9" numFmtId="0" xfId="0" applyAlignment="1" applyBorder="1" applyFont="1">
      <alignment readingOrder="0" vertical="bottom"/>
    </xf>
    <xf borderId="7" fillId="2" fontId="7" numFmtId="0" xfId="0" applyAlignment="1" applyBorder="1" applyFont="1">
      <alignment vertical="bottom"/>
    </xf>
    <xf borderId="9" fillId="0" fontId="9" numFmtId="0" xfId="0" applyAlignment="1" applyBorder="1" applyFont="1">
      <alignment readingOrder="0" vertical="bottom"/>
    </xf>
    <xf borderId="10" fillId="2" fontId="7" numFmtId="0" xfId="0" applyAlignment="1" applyBorder="1" applyFont="1">
      <alignment vertical="bottom"/>
    </xf>
    <xf borderId="11" fillId="2" fontId="7" numFmtId="0" xfId="0" applyAlignment="1" applyBorder="1" applyFont="1">
      <alignment vertical="bottom"/>
    </xf>
    <xf borderId="12" fillId="3" fontId="5" numFmtId="0" xfId="0" applyAlignment="1" applyBorder="1" applyFont="1">
      <alignment horizontal="center" shrinkToFit="0" vertical="center" wrapText="1"/>
    </xf>
    <xf borderId="13" fillId="0" fontId="4" numFmtId="0" xfId="0" applyBorder="1" applyFont="1"/>
    <xf borderId="11" fillId="2" fontId="10" numFmtId="0" xfId="0" applyAlignment="1" applyBorder="1" applyFont="1">
      <alignment vertical="bottom"/>
    </xf>
    <xf borderId="9" fillId="0" fontId="9" numFmtId="0" xfId="0" applyAlignment="1" applyBorder="1" applyFont="1">
      <alignment vertical="bottom"/>
    </xf>
    <xf borderId="9" fillId="0" fontId="6" numFmtId="0" xfId="0" applyAlignment="1" applyBorder="1" applyFont="1">
      <alignment vertical="bottom"/>
    </xf>
    <xf borderId="0" fillId="0" fontId="6" numFmtId="0" xfId="0" applyAlignment="1" applyFont="1">
      <alignment vertical="bottom"/>
    </xf>
    <xf borderId="14" fillId="2" fontId="2" numFmtId="0" xfId="0" applyAlignment="1" applyBorder="1" applyFont="1">
      <alignment shrinkToFit="0" wrapText="1"/>
    </xf>
    <xf borderId="12" fillId="3" fontId="5" numFmtId="0" xfId="0" applyAlignment="1" applyBorder="1" applyFont="1">
      <alignment horizontal="left" shrinkToFit="0" vertical="center" wrapText="1"/>
    </xf>
    <xf borderId="8" fillId="0" fontId="11" numFmtId="0" xfId="0" applyAlignment="1" applyBorder="1" applyFont="1">
      <alignment vertical="bottom"/>
    </xf>
    <xf borderId="0" fillId="2" fontId="2" numFmtId="0" xfId="0" applyAlignment="1" applyFont="1">
      <alignment shrinkToFit="0" wrapText="1"/>
    </xf>
    <xf borderId="9" fillId="0" fontId="11" numFmtId="0" xfId="0" applyAlignment="1" applyBorder="1" applyFont="1">
      <alignment horizontal="right" vertical="bottom"/>
    </xf>
    <xf borderId="9" fillId="0" fontId="11" numFmtId="0" xfId="0" applyAlignment="1" applyBorder="1" applyFont="1">
      <alignment vertical="bottom"/>
    </xf>
    <xf borderId="9" fillId="0" fontId="11" numFmtId="0" xfId="0" applyAlignment="1" applyBorder="1" applyFont="1">
      <alignment vertical="bottom"/>
    </xf>
    <xf borderId="9" fillId="0" fontId="10" numFmtId="0" xfId="0" applyAlignment="1" applyBorder="1" applyFont="1">
      <alignment vertical="bottom"/>
    </xf>
    <xf borderId="0" fillId="0" fontId="10" numFmtId="0" xfId="0" applyAlignment="1" applyFont="1">
      <alignment vertical="bottom"/>
    </xf>
    <xf borderId="2" fillId="0" fontId="12" numFmtId="0" xfId="0" applyAlignment="1" applyBorder="1" applyFont="1">
      <alignment shrinkToFit="0" wrapText="1"/>
    </xf>
    <xf borderId="15" fillId="3" fontId="13" numFmtId="0" xfId="0" applyAlignment="1" applyBorder="1" applyFont="1">
      <alignment horizontal="left" shrinkToFit="0" vertical="top" wrapText="1"/>
    </xf>
    <xf borderId="2" fillId="0" fontId="12" numFmtId="49" xfId="0" applyAlignment="1" applyBorder="1" applyFont="1" applyNumberFormat="1">
      <alignment shrinkToFit="0" wrapText="1"/>
    </xf>
    <xf borderId="16" fillId="0" fontId="4" numFmtId="0" xfId="0" applyBorder="1" applyFont="1"/>
    <xf borderId="17" fillId="0" fontId="11" numFmtId="0" xfId="0" applyAlignment="1" applyBorder="1" applyFont="1">
      <alignment vertical="bottom"/>
    </xf>
    <xf borderId="18" fillId="0" fontId="11" numFmtId="0" xfId="0" applyAlignment="1" applyBorder="1" applyFont="1">
      <alignment horizontal="right" vertical="bottom"/>
    </xf>
    <xf borderId="18" fillId="0" fontId="11" numFmtId="0" xfId="0" applyAlignment="1" applyBorder="1" applyFont="1">
      <alignment vertical="bottom"/>
    </xf>
    <xf borderId="18" fillId="0" fontId="11" numFmtId="0" xfId="0" applyAlignment="1" applyBorder="1" applyFont="1">
      <alignment vertical="bottom"/>
    </xf>
    <xf borderId="18" fillId="0" fontId="10" numFmtId="0" xfId="0" applyAlignment="1" applyBorder="1" applyFont="1">
      <alignment vertical="bottom"/>
    </xf>
    <xf borderId="11" fillId="0" fontId="10" numFmtId="0" xfId="0" applyAlignment="1" applyBorder="1" applyFont="1">
      <alignment vertical="bottom"/>
    </xf>
    <xf borderId="17" fillId="0" fontId="10" numFmtId="0" xfId="0" applyAlignment="1" applyBorder="1" applyFont="1">
      <alignment vertical="bottom"/>
    </xf>
    <xf borderId="19" fillId="2" fontId="14" numFmtId="0" xfId="0" applyBorder="1" applyFont="1"/>
    <xf borderId="0" fillId="0" fontId="12" numFmtId="0" xfId="0" applyAlignment="1" applyFont="1">
      <alignment shrinkToFit="0" wrapText="1"/>
    </xf>
    <xf borderId="19" fillId="2" fontId="14" numFmtId="0" xfId="0" applyAlignment="1" applyBorder="1" applyFont="1">
      <alignment shrinkToFit="0" wrapText="1"/>
    </xf>
    <xf borderId="19" fillId="2" fontId="1" numFmtId="0" xfId="0" applyAlignment="1" applyBorder="1" applyFont="1">
      <alignment shrinkToFit="0" wrapText="1"/>
    </xf>
    <xf borderId="20" fillId="0" fontId="11" numFmtId="0" xfId="0" applyAlignment="1" applyBorder="1" applyFont="1">
      <alignment vertical="bottom"/>
    </xf>
    <xf borderId="21" fillId="0" fontId="11" numFmtId="0" xfId="0" applyAlignment="1" applyBorder="1" applyFont="1">
      <alignment horizontal="right" readingOrder="0" vertical="bottom"/>
    </xf>
    <xf borderId="21" fillId="0" fontId="11" numFmtId="0" xfId="0" applyAlignment="1" applyBorder="1" applyFont="1">
      <alignment readingOrder="0" vertical="bottom"/>
    </xf>
    <xf borderId="22" fillId="0" fontId="11" numFmtId="0" xfId="0" applyAlignment="1" applyBorder="1" applyFont="1">
      <alignment readingOrder="0" vertical="bottom"/>
    </xf>
    <xf borderId="23" fillId="0" fontId="11" numFmtId="0" xfId="0" applyAlignment="1" applyBorder="1" applyFont="1">
      <alignment vertical="bottom"/>
    </xf>
    <xf borderId="23" fillId="0" fontId="11" numFmtId="0" xfId="0" applyAlignment="1" applyBorder="1" applyFont="1">
      <alignment readingOrder="0" vertical="bottom"/>
    </xf>
    <xf borderId="14" fillId="2" fontId="14" numFmtId="0" xfId="0" applyBorder="1" applyFont="1"/>
    <xf borderId="24" fillId="3" fontId="5" numFmtId="0" xfId="0" applyAlignment="1" applyBorder="1" applyFont="1">
      <alignment horizontal="left" shrinkToFit="0" vertical="top" wrapText="1"/>
    </xf>
    <xf borderId="9" fillId="0" fontId="11" numFmtId="0" xfId="0" applyAlignment="1" applyBorder="1" applyFont="1">
      <alignment horizontal="right" readingOrder="0" vertical="bottom"/>
    </xf>
    <xf borderId="25" fillId="0" fontId="11" numFmtId="0" xfId="0" applyAlignment="1" applyBorder="1" applyFont="1">
      <alignment readingOrder="0" vertical="bottom"/>
    </xf>
    <xf borderId="26" fillId="0" fontId="11" numFmtId="0" xfId="0" applyAlignment="1" applyBorder="1" applyFont="1">
      <alignment readingOrder="0" vertical="bottom"/>
    </xf>
    <xf borderId="0" fillId="0" fontId="11" numFmtId="0" xfId="0" applyAlignment="1" applyFont="1">
      <alignment vertical="bottom"/>
    </xf>
    <xf borderId="0" fillId="0" fontId="11" numFmtId="0" xfId="0" applyAlignment="1" applyFont="1">
      <alignment readingOrder="0" vertical="bottom"/>
    </xf>
    <xf borderId="14" fillId="3" fontId="5" numFmtId="0" xfId="0" applyAlignment="1" applyBorder="1" applyFont="1">
      <alignment shrinkToFit="0" vertical="top" wrapText="1"/>
    </xf>
    <xf borderId="25" fillId="0" fontId="11" numFmtId="0" xfId="0" applyAlignment="1" applyBorder="1" applyFont="1">
      <alignment vertical="bottom"/>
    </xf>
    <xf borderId="14" fillId="3" fontId="5" numFmtId="0" xfId="0" applyAlignment="1" applyBorder="1" applyFont="1">
      <alignment horizontal="left" shrinkToFit="0" vertical="top" wrapText="1"/>
    </xf>
    <xf borderId="26" fillId="0" fontId="11" numFmtId="0" xfId="0" applyAlignment="1" applyBorder="1" applyFont="1">
      <alignment vertical="bottom"/>
    </xf>
    <xf borderId="24" fillId="3" fontId="5" numFmtId="0" xfId="0" applyAlignment="1" applyBorder="1" applyFont="1">
      <alignment vertical="top"/>
    </xf>
    <xf borderId="24" fillId="3" fontId="5" numFmtId="0" xfId="0" applyAlignment="1" applyBorder="1" applyFont="1">
      <alignment shrinkToFit="0" vertical="top" wrapText="1"/>
    </xf>
    <xf borderId="24" fillId="3" fontId="15" numFmtId="0" xfId="0" applyAlignment="1" applyBorder="1" applyFont="1">
      <alignment vertical="top"/>
    </xf>
    <xf borderId="24" fillId="3" fontId="16" numFmtId="0" xfId="0" applyAlignment="1" applyBorder="1" applyFont="1">
      <alignment shrinkToFit="0" vertical="top" wrapText="1"/>
    </xf>
    <xf borderId="17" fillId="0" fontId="11" numFmtId="0" xfId="0" applyAlignment="1" applyBorder="1" applyFont="1">
      <alignment vertical="bottom"/>
    </xf>
    <xf borderId="18" fillId="0" fontId="10" numFmtId="0" xfId="0" applyAlignment="1" applyBorder="1" applyFont="1">
      <alignment vertical="bottom"/>
    </xf>
    <xf borderId="17" fillId="0" fontId="10" numFmtId="0" xfId="0" applyAlignment="1" applyBorder="1" applyFont="1">
      <alignment vertical="bottom"/>
    </xf>
    <xf borderId="2" fillId="0" fontId="12" numFmtId="0" xfId="0" applyAlignment="1" applyBorder="1" applyFont="1">
      <alignment readingOrder="0" shrinkToFit="0" wrapText="1"/>
    </xf>
    <xf borderId="2" fillId="0" fontId="12" numFmtId="49" xfId="0" applyAlignment="1" applyBorder="1" applyFont="1" applyNumberFormat="1">
      <alignment readingOrder="0" shrinkToFit="0" wrapText="1"/>
    </xf>
    <xf borderId="0" fillId="4" fontId="17" numFmtId="0" xfId="0" applyAlignment="1" applyFill="1" applyFont="1">
      <alignment horizontal="left"/>
    </xf>
    <xf borderId="0" fillId="0" fontId="18" numFmtId="0" xfId="0" applyFont="1"/>
    <xf borderId="0" fillId="0" fontId="18" numFmtId="49" xfId="0" applyFont="1" applyNumberFormat="1"/>
    <xf borderId="11" fillId="0" fontId="11" numFmtId="0" xfId="0" applyAlignment="1" applyBorder="1" applyFont="1">
      <alignment shrinkToFit="0" vertical="bottom" wrapText="0"/>
    </xf>
    <xf borderId="0" fillId="0" fontId="18" numFmtId="0" xfId="0" applyAlignment="1" applyFont="1">
      <alignment readingOrder="0"/>
    </xf>
    <xf borderId="24" fillId="3" fontId="19" numFmtId="49" xfId="0" applyAlignment="1" applyBorder="1" applyFont="1" applyNumberFormat="1">
      <alignment shrinkToFit="0" vertical="top" wrapText="1"/>
    </xf>
    <xf borderId="27" fillId="5" fontId="20" numFmtId="0" xfId="0" applyAlignment="1" applyBorder="1" applyFill="1" applyFont="1">
      <alignment horizontal="left"/>
    </xf>
    <xf borderId="28" fillId="0" fontId="4" numFmtId="0" xfId="0" applyBorder="1" applyFont="1"/>
    <xf borderId="2" fillId="5" fontId="5" numFmtId="0" xfId="0" applyAlignment="1" applyBorder="1" applyFont="1">
      <alignment shrinkToFit="0" wrapText="1"/>
    </xf>
    <xf borderId="2" fillId="5" fontId="5" numFmtId="0" xfId="0" applyBorder="1" applyFont="1"/>
    <xf borderId="8" fillId="0" fontId="11" numFmtId="0" xfId="0" applyAlignment="1" applyBorder="1" applyFont="1">
      <alignment vertical="bottom"/>
    </xf>
    <xf borderId="9" fillId="0" fontId="11" numFmtId="0" xfId="0" applyAlignment="1" applyBorder="1" applyFont="1">
      <alignment horizontal="right" vertical="bottom"/>
    </xf>
    <xf borderId="29" fillId="6" fontId="21" numFmtId="0" xfId="0" applyAlignment="1" applyBorder="1" applyFill="1" applyFont="1">
      <alignment readingOrder="0" shrinkToFit="0" vertical="bottom" wrapText="1"/>
    </xf>
    <xf borderId="30" fillId="7" fontId="21" numFmtId="49" xfId="0" applyAlignment="1" applyBorder="1" applyFill="1" applyFont="1" applyNumberFormat="1">
      <alignment readingOrder="0" shrinkToFit="0" vertical="bottom" wrapText="1"/>
    </xf>
    <xf borderId="31" fillId="0" fontId="11" numFmtId="0" xfId="0" applyAlignment="1" applyBorder="1" applyFont="1">
      <alignment shrinkToFit="0" vertical="bottom" wrapText="0"/>
    </xf>
    <xf borderId="30" fillId="7" fontId="21" numFmtId="49" xfId="0" applyAlignment="1" applyBorder="1" applyFont="1" applyNumberFormat="1">
      <alignment shrinkToFit="0" vertical="bottom" wrapText="1"/>
    </xf>
    <xf borderId="14" fillId="5" fontId="5" numFmtId="0" xfId="0" applyBorder="1" applyFont="1"/>
    <xf borderId="0" fillId="0" fontId="11" numFmtId="0" xfId="0" applyAlignment="1" applyFont="1">
      <alignment horizontal="right" vertical="bottom"/>
    </xf>
    <xf borderId="30" fillId="6" fontId="21" numFmtId="49" xfId="0" applyAlignment="1" applyBorder="1" applyFont="1" applyNumberFormat="1">
      <alignment shrinkToFit="0" vertical="bottom" wrapText="1"/>
    </xf>
    <xf borderId="30" fillId="6" fontId="21" numFmtId="0" xfId="0" applyAlignment="1" applyBorder="1" applyFont="1">
      <alignment shrinkToFit="0" vertical="bottom" wrapText="1"/>
    </xf>
    <xf borderId="30" fillId="7" fontId="21" numFmtId="0" xfId="0" applyAlignment="1" applyBorder="1" applyFont="1">
      <alignment shrinkToFit="0" vertical="bottom" wrapText="1"/>
    </xf>
    <xf borderId="32" fillId="7" fontId="21" numFmtId="0" xfId="0" applyAlignment="1" applyBorder="1" applyFont="1">
      <alignment readingOrder="0" shrinkToFit="0" vertical="bottom" wrapText="1"/>
    </xf>
    <xf borderId="32" fillId="6" fontId="21" numFmtId="0" xfId="0" applyAlignment="1" applyBorder="1" applyFont="1">
      <alignment shrinkToFit="0" vertical="bottom" wrapText="1"/>
    </xf>
    <xf borderId="0" fillId="8" fontId="12" numFmtId="0" xfId="0" applyAlignment="1" applyFill="1" applyFont="1">
      <alignment readingOrder="0" shrinkToFit="0" wrapText="1"/>
    </xf>
    <xf borderId="0" fillId="0" fontId="21" numFmtId="0" xfId="0" applyAlignment="1" applyFont="1">
      <alignment shrinkToFit="0" vertical="bottom" wrapText="1"/>
    </xf>
    <xf borderId="2" fillId="5" fontId="22" numFmtId="0" xfId="0" applyAlignment="1" applyBorder="1" applyFont="1">
      <alignment horizontal="left" vertical="top"/>
    </xf>
    <xf borderId="33" fillId="0" fontId="11" numFmtId="0" xfId="0" applyAlignment="1" applyBorder="1" applyFont="1">
      <alignment horizontal="right" readingOrder="0" vertical="bottom"/>
    </xf>
    <xf borderId="9" fillId="0" fontId="11" numFmtId="0" xfId="0" applyAlignment="1" applyBorder="1" applyFont="1">
      <alignment readingOrder="0" vertical="bottom"/>
    </xf>
    <xf borderId="2" fillId="5" fontId="5" numFmtId="0" xfId="0" applyAlignment="1" applyBorder="1" applyFont="1">
      <alignment horizontal="left" vertical="top"/>
    </xf>
    <xf borderId="33" fillId="0" fontId="10" numFmtId="0" xfId="0" applyAlignment="1" applyBorder="1" applyFont="1">
      <alignment vertical="bottom"/>
    </xf>
    <xf borderId="2" fillId="5" fontId="5" numFmtId="0" xfId="0" applyAlignment="1" applyBorder="1" applyFont="1">
      <alignment horizontal="left" shrinkToFit="0" vertical="top" wrapText="1"/>
    </xf>
    <xf borderId="33" fillId="0" fontId="11" numFmtId="0" xfId="0" applyAlignment="1" applyBorder="1" applyFont="1">
      <alignment vertical="bottom"/>
    </xf>
    <xf borderId="0" fillId="0" fontId="11" numFmtId="0" xfId="0" applyAlignment="1" applyFont="1">
      <alignment horizontal="right" readingOrder="0" vertical="bottom"/>
    </xf>
    <xf borderId="0" fillId="0" fontId="10" numFmtId="0" xfId="0" applyAlignment="1" applyFont="1">
      <alignment readingOrder="0" vertical="bottom"/>
    </xf>
    <xf borderId="2" fillId="0" fontId="12" numFmtId="0" xfId="0" applyAlignment="1" applyBorder="1" applyFont="1">
      <alignment shrinkToFit="0" vertical="bottom" wrapText="1"/>
    </xf>
    <xf borderId="18" fillId="0" fontId="11" numFmtId="0" xfId="0" applyAlignment="1" applyBorder="1" applyFont="1">
      <alignment horizontal="right" vertical="bottom"/>
    </xf>
    <xf borderId="11" fillId="0" fontId="11" numFmtId="0" xfId="0" applyAlignment="1" applyBorder="1" applyFont="1">
      <alignment vertical="bottom"/>
    </xf>
    <xf borderId="11" fillId="0" fontId="11" numFmtId="0" xfId="0" applyAlignment="1" applyBorder="1" applyFont="1">
      <alignment horizontal="right" vertical="bottom"/>
    </xf>
    <xf borderId="0" fillId="0" fontId="11" numFmtId="0" xfId="0" applyAlignment="1" applyFont="1">
      <alignment vertical="bottom"/>
    </xf>
    <xf borderId="0" fillId="0" fontId="11" numFmtId="0" xfId="0" applyAlignment="1" applyFont="1">
      <alignment horizontal="right" vertical="bottom"/>
    </xf>
    <xf borderId="34" fillId="9" fontId="21" numFmtId="0" xfId="0" applyAlignment="1" applyBorder="1" applyFill="1" applyFont="1">
      <alignment shrinkToFit="0" vertical="bottom" wrapText="1"/>
    </xf>
    <xf borderId="35" fillId="10" fontId="21" numFmtId="0" xfId="0" applyAlignment="1" applyBorder="1" applyFill="1" applyFont="1">
      <alignment shrinkToFit="0" vertical="bottom" wrapText="1"/>
    </xf>
    <xf borderId="0" fillId="8" fontId="23" numFmtId="0" xfId="0" applyAlignment="1" applyFont="1">
      <alignment horizontal="left" readingOrder="0"/>
    </xf>
    <xf borderId="36" fillId="9" fontId="21" numFmtId="0" xfId="0" applyAlignment="1" applyBorder="1" applyFont="1">
      <alignment shrinkToFit="0" vertical="bottom" wrapText="1"/>
    </xf>
    <xf borderId="36" fillId="10" fontId="21" numFmtId="0" xfId="0" applyAlignment="1" applyBorder="1" applyFont="1">
      <alignment shrinkToFit="0" vertical="bottom" wrapText="1"/>
    </xf>
    <xf borderId="36" fillId="9" fontId="21" numFmtId="0" xfId="0" applyAlignment="1" applyBorder="1" applyFont="1">
      <alignment readingOrder="0" shrinkToFit="0" vertical="bottom" wrapText="1"/>
    </xf>
    <xf borderId="36" fillId="9" fontId="21" numFmtId="0" xfId="0" applyAlignment="1" applyBorder="1" applyFont="1">
      <alignment shrinkToFit="0" vertical="bottom" wrapText="1"/>
    </xf>
    <xf borderId="0" fillId="9" fontId="21" numFmtId="0" xfId="0" applyAlignment="1" applyFont="1">
      <alignment shrinkToFit="0" vertical="bottom" wrapText="1"/>
    </xf>
    <xf borderId="2" fillId="9" fontId="21" numFmtId="0" xfId="0" applyAlignment="1" applyBorder="1" applyFont="1">
      <alignment shrinkToFit="0" vertical="bottom" wrapText="1"/>
    </xf>
    <xf borderId="28" fillId="10" fontId="21" numFmtId="0" xfId="0" applyAlignment="1" applyBorder="1" applyFont="1">
      <alignment shrinkToFit="0" vertical="bottom" wrapText="1"/>
    </xf>
    <xf borderId="28" fillId="9" fontId="21" numFmtId="0" xfId="0" applyAlignment="1" applyBorder="1" applyFont="1">
      <alignment shrinkToFit="0" vertical="bottom" wrapText="1"/>
    </xf>
    <xf borderId="28" fillId="10" fontId="21" numFmtId="0" xfId="0" applyAlignment="1" applyBorder="1" applyFont="1">
      <alignment readingOrder="0" shrinkToFit="0" vertical="bottom" wrapText="1"/>
    </xf>
    <xf borderId="28" fillId="9" fontId="21" numFmtId="0" xfId="0" applyAlignment="1" applyBorder="1" applyFont="1">
      <alignment shrinkToFit="0" vertical="bottom" wrapText="1"/>
    </xf>
    <xf borderId="37" fillId="9" fontId="21" numFmtId="0" xfId="0" applyAlignment="1" applyBorder="1" applyFont="1">
      <alignment shrinkToFit="0" vertical="bottom" wrapText="1"/>
    </xf>
    <xf borderId="20" fillId="0" fontId="11" numFmtId="0" xfId="0" applyAlignment="1" applyBorder="1" applyFont="1">
      <alignment vertical="bottom"/>
    </xf>
    <xf borderId="21" fillId="0" fontId="11" numFmtId="0" xfId="0" applyAlignment="1" applyBorder="1" applyFont="1">
      <alignment horizontal="right" vertical="bottom"/>
    </xf>
    <xf borderId="38" fillId="0" fontId="11" numFmtId="0" xfId="0" applyAlignment="1" applyBorder="1" applyFont="1">
      <alignment vertical="bottom"/>
    </xf>
    <xf borderId="22" fillId="0" fontId="11" numFmtId="0" xfId="0" applyAlignment="1" applyBorder="1" applyFont="1">
      <alignment vertical="bottom"/>
    </xf>
    <xf borderId="21" fillId="0" fontId="11" numFmtId="0" xfId="0" applyAlignment="1" applyBorder="1" applyFont="1">
      <alignment vertical="bottom"/>
    </xf>
    <xf borderId="30" fillId="10" fontId="21" numFmtId="0" xfId="0" applyAlignment="1" applyBorder="1" applyFont="1">
      <alignment readingOrder="0" shrinkToFit="0" vertical="bottom" wrapText="1"/>
    </xf>
    <xf borderId="26" fillId="0" fontId="11" numFmtId="0" xfId="0" applyAlignment="1" applyBorder="1" applyFont="1">
      <alignment vertical="bottom"/>
    </xf>
    <xf borderId="11" fillId="0" fontId="11" numFmtId="0" xfId="0" applyAlignment="1" applyBorder="1" applyFont="1">
      <alignment vertical="bottom"/>
    </xf>
    <xf borderId="24" fillId="0" fontId="12" numFmtId="0" xfId="0" applyAlignment="1" applyBorder="1" applyFont="1">
      <alignment shrinkToFit="0" vertical="bottom" wrapText="1"/>
    </xf>
    <xf borderId="21" fillId="0" fontId="11" numFmtId="0" xfId="0" applyAlignment="1" applyBorder="1" applyFont="1">
      <alignment vertical="bottom"/>
    </xf>
    <xf borderId="2" fillId="11" fontId="21" numFmtId="0" xfId="0" applyAlignment="1" applyBorder="1" applyFill="1" applyFont="1">
      <alignment shrinkToFit="0" vertical="bottom" wrapText="1"/>
    </xf>
    <xf borderId="28" fillId="12" fontId="21" numFmtId="49" xfId="0" applyAlignment="1" applyBorder="1" applyFill="1" applyFont="1" applyNumberFormat="1">
      <alignment shrinkToFit="0" vertical="bottom" wrapText="1"/>
    </xf>
    <xf borderId="28" fillId="11" fontId="21" numFmtId="49" xfId="0" applyAlignment="1" applyBorder="1" applyFont="1" applyNumberFormat="1">
      <alignment shrinkToFit="0" vertical="bottom" wrapText="1"/>
    </xf>
    <xf borderId="28" fillId="11" fontId="21" numFmtId="0" xfId="0" applyAlignment="1" applyBorder="1" applyFont="1">
      <alignment shrinkToFit="0" vertical="bottom" wrapText="1"/>
    </xf>
    <xf borderId="34" fillId="11" fontId="21" numFmtId="0" xfId="0" applyAlignment="1" applyBorder="1" applyFont="1">
      <alignment shrinkToFit="0" vertical="bottom" wrapText="1"/>
    </xf>
    <xf borderId="0" fillId="11" fontId="21" numFmtId="0" xfId="0" applyAlignment="1" applyFont="1">
      <alignment shrinkToFit="0" vertical="bottom" wrapText="1"/>
    </xf>
    <xf borderId="24" fillId="0" fontId="12" numFmtId="0" xfId="0" applyAlignment="1" applyBorder="1" applyFont="1">
      <alignment readingOrder="0" shrinkToFit="0" vertical="bottom" wrapText="1"/>
    </xf>
    <xf borderId="25" fillId="0" fontId="11" numFmtId="0" xfId="0" applyAlignment="1" applyBorder="1" applyFont="1">
      <alignment vertical="bottom"/>
    </xf>
    <xf borderId="2" fillId="11" fontId="24" numFmtId="0" xfId="0" applyAlignment="1" applyBorder="1" applyFont="1">
      <alignment shrinkToFit="0" vertical="bottom" wrapText="1"/>
    </xf>
    <xf borderId="28" fillId="12" fontId="24" numFmtId="0" xfId="0" applyAlignment="1" applyBorder="1" applyFont="1">
      <alignment shrinkToFit="0" vertical="bottom" wrapText="1"/>
    </xf>
    <xf borderId="28" fillId="11" fontId="25" numFmtId="49" xfId="0" applyAlignment="1" applyBorder="1" applyFont="1" applyNumberFormat="1">
      <alignment vertical="bottom"/>
    </xf>
    <xf borderId="28" fillId="11" fontId="25" numFmtId="0" xfId="0" applyAlignment="1" applyBorder="1" applyFont="1">
      <alignment vertical="bottom"/>
    </xf>
    <xf borderId="33" fillId="0" fontId="11" numFmtId="0" xfId="0" applyAlignment="1" applyBorder="1" applyFont="1">
      <alignment vertical="bottom"/>
    </xf>
    <xf borderId="0" fillId="0" fontId="25" numFmtId="0" xfId="0" applyAlignment="1" applyFont="1">
      <alignment vertical="bottom"/>
    </xf>
    <xf borderId="29" fillId="11" fontId="24" numFmtId="0" xfId="0" applyAlignment="1" applyBorder="1" applyFont="1">
      <alignment shrinkToFit="0" vertical="bottom" wrapText="1"/>
    </xf>
    <xf borderId="30" fillId="12" fontId="24" numFmtId="0" xfId="0" applyAlignment="1" applyBorder="1" applyFont="1">
      <alignment shrinkToFit="0" vertical="bottom" wrapText="1"/>
    </xf>
    <xf borderId="30" fillId="11" fontId="25" numFmtId="49" xfId="0" applyAlignment="1" applyBorder="1" applyFont="1" applyNumberFormat="1">
      <alignment vertical="bottom"/>
    </xf>
    <xf borderId="0" fillId="11" fontId="25" numFmtId="0" xfId="0" applyAlignment="1" applyFont="1">
      <alignment vertical="bottom"/>
    </xf>
    <xf borderId="39" fillId="11" fontId="25" numFmtId="0" xfId="0" applyAlignment="1" applyBorder="1" applyFont="1">
      <alignment vertical="bottom"/>
    </xf>
    <xf borderId="30" fillId="11" fontId="25" numFmtId="0" xfId="0" applyAlignment="1" applyBorder="1" applyFont="1">
      <alignment vertical="bottom"/>
    </xf>
    <xf borderId="30" fillId="11" fontId="25" numFmtId="0" xfId="0" applyAlignment="1" applyBorder="1" applyFont="1">
      <alignment vertical="bottom"/>
    </xf>
    <xf borderId="40" fillId="5" fontId="5" numFmtId="0" xfId="0" applyAlignment="1" applyBorder="1" applyFont="1">
      <alignment horizontal="left" shrinkToFit="0" vertical="top" wrapText="1"/>
    </xf>
    <xf borderId="32" fillId="11" fontId="25" numFmtId="0" xfId="0" applyAlignment="1" applyBorder="1" applyFont="1">
      <alignment vertical="bottom"/>
    </xf>
    <xf borderId="0" fillId="0" fontId="21" numFmtId="0" xfId="0" applyAlignment="1" applyFont="1">
      <alignment shrinkToFit="0" wrapText="1"/>
    </xf>
    <xf borderId="30" fillId="7" fontId="21" numFmtId="0" xfId="0" applyAlignment="1" applyBorder="1" applyFont="1">
      <alignment readingOrder="0" shrinkToFit="0" vertical="bottom" wrapText="1"/>
    </xf>
    <xf borderId="0" fillId="7" fontId="21" numFmtId="49" xfId="0" applyAlignment="1" applyFont="1" applyNumberFormat="1">
      <alignment readingOrder="0" shrinkToFit="0" vertical="bottom" wrapText="1"/>
    </xf>
    <xf borderId="30" fillId="6" fontId="21" numFmtId="0" xfId="0" applyAlignment="1" applyBorder="1" applyFont="1">
      <alignment shrinkToFit="0" vertical="bottom" wrapText="1"/>
    </xf>
    <xf borderId="0" fillId="7" fontId="21" numFmtId="0" xfId="0" applyAlignment="1" applyFont="1">
      <alignment shrinkToFit="0" vertical="bottom" wrapText="1"/>
    </xf>
    <xf borderId="0" fillId="6" fontId="21" numFmtId="0" xfId="0" applyAlignment="1" applyFont="1">
      <alignment shrinkToFit="0" vertical="bottom" wrapText="1"/>
    </xf>
    <xf borderId="32" fillId="12" fontId="21" numFmtId="0" xfId="0" applyAlignment="1" applyBorder="1" applyFont="1">
      <alignment readingOrder="0" shrinkToFit="0" vertical="bottom" wrapText="1"/>
    </xf>
    <xf borderId="39" fillId="7" fontId="21" numFmtId="49" xfId="0" applyAlignment="1" applyBorder="1" applyFont="1" applyNumberFormat="1">
      <alignment readingOrder="0" shrinkToFit="0" vertical="bottom" wrapText="1"/>
    </xf>
    <xf borderId="1" fillId="0" fontId="11" numFmtId="0" xfId="0" applyAlignment="1" applyBorder="1" applyFont="1">
      <alignment vertical="bottom"/>
    </xf>
    <xf borderId="3" fillId="0" fontId="11" numFmtId="0" xfId="0" applyAlignment="1" applyBorder="1" applyFont="1">
      <alignment horizontal="right" vertical="bottom"/>
    </xf>
    <xf borderId="3" fillId="0" fontId="11" numFmtId="0" xfId="0" applyAlignment="1" applyBorder="1" applyFont="1">
      <alignment vertical="bottom"/>
    </xf>
    <xf borderId="3" fillId="0" fontId="11" numFmtId="0" xfId="0" applyAlignment="1" applyBorder="1" applyFont="1">
      <alignment vertical="bottom"/>
    </xf>
    <xf borderId="30" fillId="6" fontId="21" numFmtId="0" xfId="0" applyAlignment="1" applyBorder="1" applyFont="1">
      <alignment readingOrder="0" shrinkToFit="0" vertical="bottom" wrapText="1"/>
    </xf>
    <xf borderId="31" fillId="0" fontId="11" numFmtId="0" xfId="0" applyAlignment="1" applyBorder="1" applyFont="1">
      <alignment vertical="bottom"/>
    </xf>
    <xf borderId="14" fillId="5" fontId="26" numFmtId="0" xfId="0" applyBorder="1" applyFont="1"/>
    <xf borderId="32" fillId="6" fontId="21" numFmtId="0" xfId="0" applyAlignment="1" applyBorder="1" applyFont="1">
      <alignment readingOrder="0" shrinkToFit="0" vertical="bottom" wrapText="1"/>
    </xf>
    <xf borderId="28" fillId="12" fontId="21" numFmtId="0" xfId="0" applyAlignment="1" applyBorder="1" applyFont="1">
      <alignment shrinkToFit="0" vertical="bottom" wrapText="1"/>
    </xf>
    <xf borderId="41" fillId="11" fontId="21" numFmtId="0" xfId="0" applyAlignment="1" applyBorder="1" applyFont="1">
      <alignment shrinkToFit="0" vertical="bottom" wrapText="1"/>
    </xf>
    <xf borderId="28" fillId="11" fontId="21" numFmtId="0" xfId="0" applyAlignment="1" applyBorder="1" applyFont="1">
      <alignment shrinkToFit="0" vertical="bottom" wrapText="1"/>
    </xf>
    <xf borderId="28" fillId="12" fontId="21" numFmtId="0" xfId="0" applyAlignment="1" applyBorder="1" applyFont="1">
      <alignment readingOrder="0" shrinkToFit="0" vertical="bottom" wrapText="1"/>
    </xf>
    <xf borderId="28" fillId="0" fontId="12" numFmtId="0" xfId="0" applyAlignment="1" applyBorder="1" applyFont="1">
      <alignment readingOrder="0" shrinkToFit="0" wrapText="1"/>
    </xf>
    <xf borderId="28" fillId="0" fontId="12" numFmtId="0" xfId="0" applyAlignment="1" applyBorder="1" applyFont="1">
      <alignment shrinkToFit="0" wrapText="1"/>
    </xf>
    <xf borderId="28" fillId="0" fontId="12" numFmtId="49" xfId="0" applyAlignment="1" applyBorder="1" applyFont="1" applyNumberFormat="1">
      <alignment readingOrder="0" shrinkToFit="0" wrapText="1"/>
    </xf>
    <xf borderId="28" fillId="0" fontId="12" numFmtId="49" xfId="0" applyAlignment="1" applyBorder="1" applyFont="1" applyNumberFormat="1">
      <alignment readingOrder="0" shrinkToFit="0" vertical="bottom" wrapText="1"/>
    </xf>
    <xf borderId="0" fillId="0" fontId="11" numFmtId="0" xfId="0" applyAlignment="1" applyFont="1">
      <alignment shrinkToFit="0" vertical="bottom" wrapText="0"/>
    </xf>
    <xf borderId="42" fillId="0" fontId="11" numFmtId="0" xfId="0" applyAlignment="1" applyBorder="1" applyFont="1">
      <alignment shrinkToFit="0" vertical="bottom" wrapText="0"/>
    </xf>
    <xf borderId="43" fillId="0" fontId="11" numFmtId="0" xfId="0" applyAlignment="1" applyBorder="1" applyFont="1">
      <alignment vertical="bottom"/>
    </xf>
    <xf borderId="44" fillId="0" fontId="11" numFmtId="0" xfId="0" applyAlignment="1" applyBorder="1" applyFont="1">
      <alignment vertical="bottom"/>
    </xf>
    <xf borderId="44" fillId="0" fontId="11" numFmtId="0" xfId="0" applyAlignment="1" applyBorder="1" applyFont="1">
      <alignment vertical="bottom"/>
    </xf>
    <xf borderId="45" fillId="0" fontId="11" numFmtId="0" xfId="0" applyAlignment="1" applyBorder="1" applyFont="1">
      <alignment vertical="bottom"/>
    </xf>
    <xf borderId="2" fillId="5" fontId="27" numFmtId="0" xfId="0" applyAlignment="1" applyBorder="1" applyFont="1">
      <alignment horizontal="left" readingOrder="0" vertical="top"/>
    </xf>
    <xf borderId="42" fillId="0" fontId="11" numFmtId="0" xfId="0" applyAlignment="1" applyBorder="1" applyFont="1">
      <alignment horizontal="right" vertical="bottom"/>
    </xf>
    <xf borderId="29" fillId="6" fontId="21" numFmtId="0" xfId="0" applyAlignment="1" applyBorder="1" applyFont="1">
      <alignment shrinkToFit="0" vertical="bottom" wrapText="1"/>
    </xf>
    <xf borderId="29" fillId="13" fontId="21" numFmtId="0" xfId="0" applyAlignment="1" applyBorder="1" applyFill="1" applyFont="1">
      <alignment shrinkToFit="0" vertical="bottom" wrapText="1"/>
    </xf>
    <xf borderId="30" fillId="14" fontId="21" numFmtId="49" xfId="0" applyAlignment="1" applyBorder="1" applyFill="1" applyFont="1" applyNumberFormat="1">
      <alignment shrinkToFit="0" vertical="bottom" wrapText="1"/>
    </xf>
    <xf borderId="30" fillId="13" fontId="21" numFmtId="0" xfId="0" applyAlignment="1" applyBorder="1" applyFont="1">
      <alignment shrinkToFit="0" vertical="bottom" wrapText="1"/>
    </xf>
    <xf borderId="29" fillId="13" fontId="21" numFmtId="0" xfId="0" applyAlignment="1" applyBorder="1" applyFont="1">
      <alignment readingOrder="0" shrinkToFit="0" vertical="bottom" wrapText="1"/>
    </xf>
    <xf borderId="30" fillId="14" fontId="21" numFmtId="49" xfId="0" applyAlignment="1" applyBorder="1" applyFont="1" applyNumberFormat="1">
      <alignment readingOrder="0" shrinkToFit="0" vertical="bottom" wrapText="1"/>
    </xf>
    <xf borderId="28" fillId="10" fontId="21" numFmtId="49" xfId="0" applyAlignment="1" applyBorder="1" applyFont="1" applyNumberFormat="1">
      <alignment readingOrder="0" shrinkToFit="0" vertical="bottom" wrapText="1"/>
    </xf>
    <xf borderId="34" fillId="10" fontId="21" numFmtId="0" xfId="0" applyAlignment="1" applyBorder="1" applyFont="1">
      <alignment shrinkToFit="0" vertical="bottom" wrapText="1"/>
    </xf>
    <xf borderId="34" fillId="9" fontId="21" numFmtId="0" xfId="0" applyAlignment="1" applyBorder="1" applyFont="1">
      <alignment shrinkToFit="0" vertical="bottom" wrapText="1"/>
    </xf>
    <xf borderId="29" fillId="9" fontId="21" numFmtId="0" xfId="0" applyAlignment="1" applyBorder="1" applyFont="1">
      <alignment shrinkToFit="0" vertical="bottom" wrapText="1"/>
    </xf>
    <xf borderId="30" fillId="10" fontId="21" numFmtId="49" xfId="0" applyAlignment="1" applyBorder="1" applyFont="1" applyNumberFormat="1">
      <alignment readingOrder="0" shrinkToFit="0" vertical="bottom" wrapText="1"/>
    </xf>
    <xf borderId="30" fillId="9" fontId="21" numFmtId="0" xfId="0" applyAlignment="1" applyBorder="1" applyFont="1">
      <alignment shrinkToFit="0" vertical="bottom" wrapText="1"/>
    </xf>
    <xf borderId="32" fillId="10" fontId="21" numFmtId="0" xfId="0" applyAlignment="1" applyBorder="1" applyFont="1">
      <alignment shrinkToFit="0" vertical="bottom" wrapText="1"/>
    </xf>
    <xf borderId="30" fillId="9" fontId="21" numFmtId="0" xfId="0" applyAlignment="1" applyBorder="1" applyFont="1">
      <alignment readingOrder="0" shrinkToFit="0" vertical="bottom" wrapText="1"/>
    </xf>
    <xf borderId="32" fillId="9" fontId="21" numFmtId="0" xfId="0" applyAlignment="1" applyBorder="1" applyFont="1">
      <alignment shrinkToFit="0" vertical="bottom" wrapText="1"/>
    </xf>
    <xf borderId="30" fillId="10" fontId="21" numFmtId="0" xfId="0" applyAlignment="1" applyBorder="1" applyFont="1">
      <alignment shrinkToFit="0" vertical="bottom" wrapText="1"/>
    </xf>
    <xf borderId="32" fillId="9" fontId="21" numFmtId="0" xfId="0" applyAlignment="1" applyBorder="1" applyFont="1">
      <alignment readingOrder="0" shrinkToFit="0" vertical="bottom" wrapText="1"/>
    </xf>
    <xf borderId="29" fillId="15" fontId="21" numFmtId="0" xfId="0" applyAlignment="1" applyBorder="1" applyFill="1" applyFont="1">
      <alignment shrinkToFit="0" vertical="bottom" wrapText="1"/>
    </xf>
    <xf borderId="30" fillId="16" fontId="21" numFmtId="49" xfId="0" applyAlignment="1" applyBorder="1" applyFill="1" applyFont="1" applyNumberFormat="1">
      <alignment readingOrder="0" shrinkToFit="0" vertical="bottom" wrapText="1"/>
    </xf>
    <xf borderId="30" fillId="15" fontId="21" numFmtId="0" xfId="0" applyAlignment="1" applyBorder="1" applyFont="1">
      <alignment shrinkToFit="0" vertical="bottom" wrapText="1"/>
    </xf>
    <xf borderId="30" fillId="16" fontId="21" numFmtId="0" xfId="0" applyAlignment="1" applyBorder="1" applyFont="1">
      <alignment shrinkToFit="0" vertical="bottom" wrapText="1"/>
    </xf>
    <xf borderId="32" fillId="15" fontId="21" numFmtId="0" xfId="0" applyAlignment="1" applyBorder="1" applyFont="1">
      <alignment readingOrder="0" shrinkToFit="0" vertical="bottom" wrapText="1"/>
    </xf>
    <xf borderId="0" fillId="15" fontId="21" numFmtId="0" xfId="0" applyAlignment="1" applyFont="1">
      <alignment shrinkToFit="0" vertical="bottom" wrapText="1"/>
    </xf>
    <xf borderId="32" fillId="10" fontId="21" numFmtId="0" xfId="0" applyAlignment="1" applyBorder="1" applyFont="1">
      <alignment readingOrder="0" shrinkToFit="0" vertical="bottom" wrapText="1"/>
    </xf>
    <xf borderId="28" fillId="9" fontId="21" numFmtId="0" xfId="0" applyAlignment="1" applyBorder="1" applyFont="1">
      <alignment readingOrder="0" shrinkToFit="0" vertical="bottom" wrapText="1"/>
    </xf>
    <xf borderId="28" fillId="10" fontId="21" numFmtId="0" xfId="0" applyAlignment="1" applyBorder="1" applyFont="1">
      <alignment shrinkToFit="0" vertical="bottom" wrapText="1"/>
    </xf>
    <xf borderId="46" fillId="9" fontId="21" numFmtId="0" xfId="0" applyAlignment="1" applyBorder="1" applyFont="1">
      <alignment shrinkToFit="0" vertical="bottom" wrapText="1"/>
    </xf>
    <xf borderId="47" fillId="9" fontId="21" numFmtId="0" xfId="0" applyAlignment="1" applyBorder="1" applyFont="1">
      <alignment shrinkToFit="0" vertical="top" wrapText="1"/>
    </xf>
    <xf borderId="48" fillId="9" fontId="21" numFmtId="0" xfId="0" applyAlignment="1" applyBorder="1" applyFont="1">
      <alignment shrinkToFit="0" vertical="bottom" wrapText="1"/>
    </xf>
    <xf borderId="26" fillId="9" fontId="21" numFmtId="0" xfId="0" applyAlignment="1" applyBorder="1" applyFont="1">
      <alignment shrinkToFit="0" vertical="top" wrapText="1"/>
    </xf>
    <xf borderId="2" fillId="5" fontId="5" numFmtId="0" xfId="0" applyAlignment="1" applyBorder="1" applyFont="1">
      <alignment horizontal="center" vertical="top"/>
    </xf>
    <xf borderId="0" fillId="13" fontId="21" numFmtId="0" xfId="0" applyAlignment="1" applyFont="1">
      <alignment readingOrder="0" shrinkToFit="0" vertical="bottom" wrapText="1"/>
    </xf>
    <xf borderId="32" fillId="15" fontId="21" numFmtId="0" xfId="0" applyAlignment="1" applyBorder="1" applyFont="1">
      <alignment shrinkToFit="0" vertical="bottom" wrapText="1"/>
    </xf>
    <xf borderId="32" fillId="16" fontId="21" numFmtId="0" xfId="0" applyAlignment="1" applyBorder="1" applyFont="1">
      <alignment shrinkToFit="0" vertical="bottom" wrapText="1"/>
    </xf>
    <xf borderId="0" fillId="15" fontId="21" numFmtId="0" xfId="0" applyAlignment="1" applyFont="1">
      <alignment readingOrder="0" shrinkToFit="0" vertical="bottom" wrapText="1"/>
    </xf>
    <xf borderId="42" fillId="0" fontId="11" numFmtId="0" xfId="0" applyAlignment="1" applyBorder="1" applyFont="1">
      <alignment vertical="bottom"/>
    </xf>
    <xf borderId="49" fillId="10" fontId="28" numFmtId="0" xfId="0" applyAlignment="1" applyBorder="1" applyFont="1">
      <alignment horizontal="left"/>
    </xf>
    <xf borderId="22" fillId="0" fontId="4" numFmtId="0" xfId="0" applyBorder="1" applyFont="1"/>
    <xf borderId="24" fillId="10" fontId="5" numFmtId="0" xfId="0" applyAlignment="1" applyBorder="1" applyFont="1">
      <alignment shrinkToFit="0" wrapText="1"/>
    </xf>
    <xf borderId="32" fillId="7" fontId="21" numFmtId="0" xfId="0" applyAlignment="1" applyBorder="1" applyFont="1">
      <alignment shrinkToFit="0" vertical="bottom" wrapText="1"/>
    </xf>
    <xf borderId="24" fillId="10" fontId="5" numFmtId="0" xfId="0" applyBorder="1" applyFont="1"/>
    <xf borderId="0" fillId="6" fontId="21" numFmtId="0" xfId="0" applyAlignment="1" applyFont="1">
      <alignment readingOrder="0" shrinkToFit="0" vertical="bottom" wrapText="1"/>
    </xf>
    <xf borderId="28" fillId="12" fontId="21" numFmtId="49" xfId="0" applyAlignment="1" applyBorder="1" applyFont="1" applyNumberFormat="1">
      <alignment readingOrder="0" shrinkToFit="0" vertical="bottom" wrapText="1"/>
    </xf>
    <xf borderId="49" fillId="10" fontId="29" numFmtId="0" xfId="0" applyAlignment="1" applyBorder="1" applyFont="1">
      <alignment horizontal="left" vertical="top"/>
    </xf>
    <xf borderId="45" fillId="0" fontId="4" numFmtId="0" xfId="0" applyBorder="1" applyFont="1"/>
    <xf borderId="2" fillId="10" fontId="30" numFmtId="0" xfId="0" applyAlignment="1" applyBorder="1" applyFont="1">
      <alignment horizontal="center"/>
    </xf>
    <xf borderId="2" fillId="10" fontId="31" numFmtId="0" xfId="0" applyAlignment="1" applyBorder="1" applyFont="1">
      <alignment horizontal="center"/>
    </xf>
    <xf borderId="2" fillId="10" fontId="31" numFmtId="16" xfId="0" applyAlignment="1" applyBorder="1" applyFont="1" applyNumberFormat="1">
      <alignment horizontal="center"/>
    </xf>
    <xf borderId="30" fillId="10" fontId="21" numFmtId="49" xfId="0" applyAlignment="1" applyBorder="1" applyFont="1" applyNumberFormat="1">
      <alignment shrinkToFit="0" vertical="bottom" wrapText="1"/>
    </xf>
    <xf borderId="30" fillId="16" fontId="21" numFmtId="49" xfId="0" applyAlignment="1" applyBorder="1" applyFont="1" applyNumberFormat="1">
      <alignment shrinkToFit="0" vertical="bottom" wrapText="1"/>
    </xf>
    <xf borderId="2" fillId="10" fontId="5" numFmtId="0" xfId="0" applyBorder="1" applyFont="1"/>
    <xf borderId="2" fillId="10" fontId="5" numFmtId="0" xfId="0" applyAlignment="1" applyBorder="1" applyFont="1">
      <alignment shrinkToFit="0" wrapText="1"/>
    </xf>
    <xf borderId="29" fillId="17" fontId="21" numFmtId="0" xfId="0" applyAlignment="1" applyBorder="1" applyFill="1" applyFont="1">
      <alignment shrinkToFit="0" vertical="bottom" wrapText="1"/>
    </xf>
    <xf borderId="30" fillId="18" fontId="21" numFmtId="49" xfId="0" applyAlignment="1" applyBorder="1" applyFill="1" applyFont="1" applyNumberFormat="1">
      <alignment shrinkToFit="0" vertical="bottom" wrapText="1"/>
    </xf>
    <xf borderId="30" fillId="17" fontId="21" numFmtId="49" xfId="0" applyAlignment="1" applyBorder="1" applyFont="1" applyNumberFormat="1">
      <alignment shrinkToFit="0" vertical="bottom" wrapText="1"/>
    </xf>
    <xf borderId="30" fillId="17" fontId="21" numFmtId="0" xfId="0" applyAlignment="1" applyBorder="1" applyFont="1">
      <alignment shrinkToFit="0" vertical="bottom" wrapText="1"/>
    </xf>
    <xf borderId="30" fillId="18" fontId="21" numFmtId="0" xfId="0" applyAlignment="1" applyBorder="1" applyFont="1">
      <alignment shrinkToFit="0" vertical="bottom" wrapText="1"/>
    </xf>
    <xf borderId="32" fillId="18" fontId="21" numFmtId="0" xfId="0" applyAlignment="1" applyBorder="1" applyFont="1">
      <alignment shrinkToFit="0" vertical="bottom" wrapText="1"/>
    </xf>
    <xf borderId="32" fillId="17" fontId="21" numFmtId="0" xfId="0" applyAlignment="1" applyBorder="1" applyFont="1">
      <alignment shrinkToFit="0" vertical="bottom" wrapText="1"/>
    </xf>
    <xf borderId="2" fillId="10" fontId="31" numFmtId="0" xfId="0" applyAlignment="1" applyBorder="1" applyFont="1">
      <alignment horizontal="center" shrinkToFit="0" wrapText="1"/>
    </xf>
    <xf borderId="2" fillId="10" fontId="31" numFmtId="0" xfId="0" applyAlignment="1" applyBorder="1" applyFont="1">
      <alignment horizontal="center" shrinkToFit="0" vertical="center" wrapText="1"/>
    </xf>
    <xf borderId="2" fillId="10" fontId="5" numFmtId="0" xfId="0" applyAlignment="1" applyBorder="1" applyFont="1">
      <alignment horizontal="center" shrinkToFit="0" vertical="center" wrapText="1"/>
    </xf>
    <xf borderId="29" fillId="11" fontId="21" numFmtId="0" xfId="0" applyAlignment="1" applyBorder="1" applyFont="1">
      <alignment shrinkToFit="0" vertical="bottom" wrapText="1"/>
    </xf>
    <xf borderId="30" fillId="12" fontId="21" numFmtId="49" xfId="0" applyAlignment="1" applyBorder="1" applyFont="1" applyNumberFormat="1">
      <alignment shrinkToFit="0" vertical="bottom" wrapText="1"/>
    </xf>
    <xf borderId="30" fillId="11" fontId="21" numFmtId="49" xfId="0" applyAlignment="1" applyBorder="1" applyFont="1" applyNumberFormat="1">
      <alignment shrinkToFit="0" vertical="bottom" wrapText="1"/>
    </xf>
    <xf borderId="30" fillId="11" fontId="21" numFmtId="0" xfId="0" applyAlignment="1" applyBorder="1" applyFont="1">
      <alignment shrinkToFit="0" vertical="bottom" wrapText="1"/>
    </xf>
    <xf borderId="30" fillId="12" fontId="21" numFmtId="0" xfId="0" applyAlignment="1" applyBorder="1" applyFont="1">
      <alignment shrinkToFit="0" vertical="bottom" wrapText="1"/>
    </xf>
    <xf borderId="32" fillId="11" fontId="21" numFmtId="0" xfId="0" applyAlignment="1" applyBorder="1" applyFont="1">
      <alignment shrinkToFit="0" vertical="bottom" wrapText="1"/>
    </xf>
    <xf borderId="29" fillId="19" fontId="21" numFmtId="0" xfId="0" applyAlignment="1" applyBorder="1" applyFill="1" applyFont="1">
      <alignment shrinkToFit="0" vertical="bottom" wrapText="1"/>
    </xf>
    <xf borderId="30" fillId="20" fontId="21" numFmtId="49" xfId="0" applyAlignment="1" applyBorder="1" applyFill="1" applyFont="1" applyNumberFormat="1">
      <alignment shrinkToFit="0" vertical="bottom" wrapText="1"/>
    </xf>
    <xf borderId="30" fillId="19" fontId="21" numFmtId="0" xfId="0" applyAlignment="1" applyBorder="1" applyFont="1">
      <alignment shrinkToFit="0" vertical="bottom" wrapText="1"/>
    </xf>
    <xf borderId="30" fillId="20" fontId="21" numFmtId="0" xfId="0" applyAlignment="1" applyBorder="1" applyFont="1">
      <alignment shrinkToFit="0" vertical="bottom" wrapText="1"/>
    </xf>
    <xf borderId="29" fillId="9" fontId="21" numFmtId="0" xfId="0" applyAlignment="1" applyBorder="1" applyFont="1">
      <alignment readingOrder="0" shrinkToFit="0" vertical="bottom" wrapText="1"/>
    </xf>
    <xf borderId="2" fillId="10" fontId="5" numFmtId="0" xfId="0" applyAlignment="1" applyBorder="1" applyFont="1">
      <alignment horizontal="center" shrinkToFit="0" wrapText="1"/>
    </xf>
    <xf borderId="2" fillId="10" fontId="5" numFmtId="0" xfId="0" applyAlignment="1" applyBorder="1" applyFont="1">
      <alignment horizontal="center" readingOrder="0" shrinkToFit="0" wrapText="1"/>
    </xf>
    <xf borderId="50" fillId="10" fontId="5" numFmtId="0" xfId="0" applyBorder="1" applyFont="1"/>
    <xf borderId="50" fillId="10" fontId="5" numFmtId="0" xfId="0" applyAlignment="1" applyBorder="1" applyFont="1">
      <alignment horizontal="center" shrinkToFit="0" wrapText="1"/>
    </xf>
    <xf borderId="0" fillId="0" fontId="5" numFmtId="0" xfId="0" applyAlignment="1" applyFont="1">
      <alignment horizontal="center" shrinkToFit="0" wrapText="1"/>
    </xf>
    <xf borderId="32" fillId="12" fontId="21" numFmtId="49" xfId="0" applyAlignment="1" applyBorder="1" applyFont="1" applyNumberFormat="1">
      <alignment readingOrder="0" shrinkToFit="0" vertical="bottom" wrapText="1"/>
    </xf>
    <xf borderId="30" fillId="11" fontId="25" numFmtId="49" xfId="0" applyAlignment="1" applyBorder="1" applyFont="1" applyNumberFormat="1">
      <alignment shrinkToFit="0" vertical="bottom" wrapText="1"/>
    </xf>
    <xf borderId="30" fillId="11" fontId="25" numFmtId="0" xfId="0" applyAlignment="1" applyBorder="1" applyFont="1">
      <alignment shrinkToFit="0" vertical="bottom" wrapText="1"/>
    </xf>
    <xf borderId="32" fillId="11" fontId="25" numFmtId="0" xfId="0" applyAlignment="1" applyBorder="1" applyFont="1">
      <alignment shrinkToFit="0" vertical="bottom" wrapText="1"/>
    </xf>
    <xf borderId="0" fillId="12" fontId="21" numFmtId="0" xfId="0" applyAlignment="1" applyFont="1">
      <alignment shrinkToFit="0" vertical="bottom" wrapText="1"/>
    </xf>
    <xf borderId="0" fillId="0" fontId="25" numFmtId="0" xfId="0" applyAlignment="1" applyFont="1">
      <alignment shrinkToFit="0" vertical="bottom" wrapText="1"/>
    </xf>
    <xf borderId="34" fillId="12" fontId="21" numFmtId="49" xfId="0" applyAlignment="1" applyBorder="1" applyFont="1" applyNumberFormat="1">
      <alignment readingOrder="0" shrinkToFit="0" vertical="bottom" wrapText="1"/>
    </xf>
    <xf borderId="28" fillId="11" fontId="25" numFmtId="49" xfId="0" applyAlignment="1" applyBorder="1" applyFont="1" applyNumberFormat="1">
      <alignment shrinkToFit="0" vertical="bottom" wrapText="1"/>
    </xf>
    <xf borderId="28" fillId="11" fontId="25" numFmtId="0" xfId="0" applyAlignment="1" applyBorder="1" applyFont="1">
      <alignment shrinkToFit="0" vertical="bottom" wrapText="1"/>
    </xf>
    <xf borderId="34" fillId="11" fontId="25" numFmtId="0" xfId="0" applyAlignment="1" applyBorder="1" applyFont="1">
      <alignment shrinkToFit="0" vertical="bottom" wrapText="1"/>
    </xf>
    <xf borderId="37" fillId="12" fontId="21" numFmtId="0" xfId="0" applyAlignment="1" applyBorder="1" applyFont="1">
      <alignment shrinkToFit="0" vertical="bottom" wrapText="1"/>
    </xf>
    <xf borderId="32" fillId="13" fontId="21" numFmtId="0" xfId="0" applyAlignment="1" applyBorder="1" applyFont="1">
      <alignment readingOrder="0" shrinkToFit="0" vertical="bottom" wrapText="1"/>
    </xf>
    <xf borderId="32" fillId="13" fontId="21" numFmtId="0" xfId="0" applyAlignment="1" applyBorder="1" applyFont="1">
      <alignment shrinkToFit="0" vertical="bottom" wrapText="1"/>
    </xf>
    <xf borderId="0" fillId="13" fontId="21" numFmtId="0" xfId="0" applyAlignment="1" applyFont="1">
      <alignment shrinkToFit="0" vertical="bottom" wrapText="1"/>
    </xf>
    <xf borderId="2" fillId="13" fontId="21" numFmtId="0" xfId="0" applyAlignment="1" applyBorder="1" applyFont="1">
      <alignment shrinkToFit="0" vertical="bottom" wrapText="1"/>
    </xf>
    <xf borderId="28" fillId="14" fontId="21" numFmtId="49" xfId="0" applyAlignment="1" applyBorder="1" applyFont="1" applyNumberFormat="1">
      <alignment shrinkToFit="0" vertical="bottom" wrapText="1"/>
    </xf>
    <xf borderId="28" fillId="13" fontId="21" numFmtId="0" xfId="0" applyAlignment="1" applyBorder="1" applyFont="1">
      <alignment shrinkToFit="0" vertical="bottom" wrapText="1"/>
    </xf>
    <xf borderId="30" fillId="15" fontId="21" numFmtId="0" xfId="0" applyAlignment="1" applyBorder="1" applyFont="1">
      <alignment readingOrder="0" shrinkToFit="0" vertical="bottom" wrapText="1"/>
    </xf>
    <xf borderId="32" fillId="19" fontId="21" numFmtId="0" xfId="0" applyAlignment="1" applyBorder="1" applyFont="1">
      <alignment shrinkToFit="0" vertical="bottom" wrapText="1"/>
    </xf>
    <xf borderId="0" fillId="19" fontId="21" numFmtId="0" xfId="0" applyAlignment="1" applyFont="1">
      <alignment shrinkToFit="0" vertical="bottom" wrapText="1"/>
    </xf>
    <xf borderId="2" fillId="6" fontId="21" numFmtId="0" xfId="0" applyAlignment="1" applyBorder="1" applyFont="1">
      <alignment shrinkToFit="0" vertical="bottom" wrapText="1"/>
    </xf>
    <xf borderId="28" fillId="7" fontId="21" numFmtId="49" xfId="0" applyAlignment="1" applyBorder="1" applyFont="1" applyNumberFormat="1">
      <alignment shrinkToFit="0" vertical="bottom" wrapText="1"/>
    </xf>
    <xf borderId="28" fillId="6" fontId="21" numFmtId="49" xfId="0" applyAlignment="1" applyBorder="1" applyFont="1" applyNumberFormat="1">
      <alignment shrinkToFit="0" vertical="bottom" wrapText="1"/>
    </xf>
    <xf borderId="28" fillId="6" fontId="21" numFmtId="0" xfId="0" applyAlignment="1" applyBorder="1" applyFont="1">
      <alignment shrinkToFit="0" vertical="bottom" wrapText="1"/>
    </xf>
    <xf borderId="28" fillId="7" fontId="21" numFmtId="0" xfId="0" applyAlignment="1" applyBorder="1" applyFont="1">
      <alignment shrinkToFit="0" vertical="bottom" wrapText="1"/>
    </xf>
    <xf borderId="43" fillId="0" fontId="10" numFmtId="0" xfId="0" applyAlignment="1" applyBorder="1" applyFont="1">
      <alignment vertical="bottom"/>
    </xf>
    <xf borderId="44" fillId="0" fontId="10" numFmtId="0" xfId="0" applyAlignment="1" applyBorder="1" applyFont="1">
      <alignment vertical="bottom"/>
    </xf>
    <xf borderId="34" fillId="7" fontId="21" numFmtId="0" xfId="0" applyAlignment="1" applyBorder="1" applyFont="1">
      <alignment shrinkToFit="0" vertical="bottom" wrapText="1"/>
    </xf>
    <xf borderId="34" fillId="6" fontId="21" numFmtId="0" xfId="0" applyAlignment="1" applyBorder="1" applyFont="1">
      <alignment shrinkToFit="0" vertical="bottom" wrapText="1"/>
    </xf>
    <xf borderId="51" fillId="0" fontId="11" numFmtId="0" xfId="0" applyAlignment="1" applyBorder="1" applyFont="1">
      <alignment vertical="bottom"/>
    </xf>
    <xf borderId="31" fillId="0" fontId="11" numFmtId="0" xfId="0" applyAlignment="1" applyBorder="1" applyFont="1">
      <alignment vertical="bottom"/>
    </xf>
    <xf borderId="52" fillId="3" fontId="32" numFmtId="0" xfId="0" applyAlignment="1" applyBorder="1" applyFont="1">
      <alignment horizontal="left" shrinkToFit="0" vertical="center" wrapText="1"/>
    </xf>
    <xf borderId="53" fillId="3" fontId="33" numFmtId="0" xfId="0" applyAlignment="1" applyBorder="1" applyFont="1">
      <alignment horizontal="left" shrinkToFit="0" vertical="center" wrapText="1"/>
    </xf>
    <xf borderId="12" fillId="3" fontId="34" numFmtId="0" xfId="0" applyAlignment="1" applyBorder="1" applyFont="1">
      <alignment horizontal="left" shrinkToFit="0" vertical="top" wrapText="1"/>
    </xf>
    <xf borderId="1" fillId="2" fontId="14" numFmtId="0" xfId="0" applyBorder="1" applyFont="1"/>
    <xf borderId="1" fillId="2" fontId="14" numFmtId="0" xfId="0" applyAlignment="1" applyBorder="1" applyFont="1">
      <alignment shrinkToFit="0" wrapText="1"/>
    </xf>
    <xf borderId="19" fillId="3" fontId="5" numFmtId="0" xfId="0" applyAlignment="1" applyBorder="1" applyFont="1">
      <alignment horizontal="left" shrinkToFit="0" vertical="top" wrapText="1"/>
    </xf>
    <xf borderId="19" fillId="3" fontId="5" numFmtId="0" xfId="0" applyAlignment="1" applyBorder="1" applyFont="1">
      <alignment vertical="top"/>
    </xf>
    <xf borderId="29" fillId="21" fontId="21" numFmtId="0" xfId="0" applyAlignment="1" applyBorder="1" applyFill="1" applyFont="1">
      <alignment shrinkToFit="0" vertical="bottom" wrapText="1"/>
    </xf>
    <xf borderId="30" fillId="21" fontId="21" numFmtId="49" xfId="0" applyAlignment="1" applyBorder="1" applyFont="1" applyNumberFormat="1">
      <alignment shrinkToFit="0" vertical="bottom" wrapText="1"/>
    </xf>
    <xf borderId="24" fillId="3" fontId="5" numFmtId="0" xfId="0" applyAlignment="1" applyBorder="1" applyFont="1">
      <alignment horizontal="left" vertical="top"/>
    </xf>
    <xf borderId="30" fillId="21" fontId="21" numFmtId="0" xfId="0" applyAlignment="1" applyBorder="1" applyFont="1">
      <alignment shrinkToFit="0" vertical="bottom" wrapText="1"/>
    </xf>
    <xf borderId="32" fillId="21" fontId="21" numFmtId="0" xfId="0" applyAlignment="1" applyBorder="1" applyFont="1">
      <alignment shrinkToFit="0" vertical="bottom" wrapText="1"/>
    </xf>
    <xf borderId="0" fillId="21" fontId="21" numFmtId="0" xfId="0" applyAlignment="1" applyFont="1">
      <alignment shrinkToFit="0" vertical="bottom" wrapText="1"/>
    </xf>
    <xf borderId="24" fillId="3" fontId="35" numFmtId="0" xfId="0" applyAlignment="1" applyBorder="1" applyFont="1">
      <alignment horizontal="left" vertical="top"/>
    </xf>
    <xf borderId="24" fillId="3" fontId="36" numFmtId="0" xfId="0" applyAlignment="1" applyBorder="1" applyFont="1">
      <alignment horizontal="left" shrinkToFit="0" vertical="top" wrapText="1"/>
    </xf>
    <xf borderId="54" fillId="3" fontId="37" numFmtId="0" xfId="0" applyAlignment="1" applyBorder="1" applyFont="1">
      <alignment horizontal="left" shrinkToFit="0" vertical="center" wrapText="1"/>
    </xf>
    <xf borderId="55" fillId="0" fontId="4" numFmtId="0" xfId="0" applyBorder="1" applyFont="1"/>
    <xf borderId="0" fillId="0" fontId="5" numFmtId="0" xfId="0" applyAlignment="1" applyFont="1">
      <alignment horizontal="left" shrinkToFit="0" vertical="center" wrapText="1"/>
    </xf>
    <xf borderId="56" fillId="3" fontId="5" numFmtId="0" xfId="0" applyAlignment="1" applyBorder="1" applyFont="1">
      <alignment horizontal="center" shrinkToFit="0" vertical="center" wrapText="1"/>
    </xf>
    <xf borderId="57" fillId="0" fontId="4" numFmtId="0" xfId="0" applyBorder="1" applyFont="1"/>
    <xf borderId="58" fillId="3" fontId="5" numFmtId="0" xfId="0" applyAlignment="1" applyBorder="1" applyFont="1">
      <alignment horizontal="left" shrinkToFit="0" vertical="center" wrapText="1"/>
    </xf>
    <xf borderId="59" fillId="0" fontId="4" numFmtId="0" xfId="0" applyBorder="1" applyFont="1"/>
    <xf borderId="24" fillId="2" fontId="14" numFmtId="0" xfId="0" applyAlignment="1" applyBorder="1" applyFont="1">
      <alignment horizontal="left" shrinkToFit="0" vertical="center" wrapText="1"/>
    </xf>
    <xf borderId="24" fillId="2" fontId="1" numFmtId="0" xfId="0" applyAlignment="1" applyBorder="1" applyFont="1">
      <alignment horizontal="left" shrinkToFit="0" vertical="center" wrapText="1"/>
    </xf>
    <xf borderId="24" fillId="2" fontId="14" numFmtId="0" xfId="0" applyBorder="1" applyFont="1"/>
    <xf borderId="24" fillId="2" fontId="14" numFmtId="0" xfId="0" applyAlignment="1" applyBorder="1" applyFont="1">
      <alignment shrinkToFit="0" wrapText="1"/>
    </xf>
    <xf borderId="24" fillId="3" fontId="5" numFmtId="49" xfId="0" applyAlignment="1" applyBorder="1" applyFont="1" applyNumberFormat="1">
      <alignment shrinkToFit="0" vertical="top" wrapText="1"/>
    </xf>
    <xf borderId="34" fillId="13" fontId="21" numFmtId="0" xfId="0" applyAlignment="1" applyBorder="1" applyFont="1">
      <alignment shrinkToFit="0" vertical="bottom" wrapText="1"/>
    </xf>
    <xf borderId="0" fillId="0" fontId="5" numFmtId="49" xfId="0" applyAlignment="1" applyFont="1" applyNumberFormat="1">
      <alignment horizontal="left" shrinkToFit="0" vertical="center" wrapText="1"/>
    </xf>
    <xf borderId="32" fillId="19" fontId="21" numFmtId="0" xfId="0" applyAlignment="1" applyBorder="1" applyFont="1">
      <alignment readingOrder="0" shrinkToFit="0" vertical="bottom" wrapText="1"/>
    </xf>
    <xf borderId="30" fillId="19" fontId="21" numFmtId="0" xfId="0" applyAlignment="1" applyBorder="1" applyFont="1">
      <alignment readingOrder="0" shrinkToFit="0" vertical="bottom" wrapText="1"/>
    </xf>
    <xf borderId="29" fillId="0" fontId="21" numFmtId="0" xfId="0" applyAlignment="1" applyBorder="1" applyFont="1">
      <alignment shrinkToFit="0" vertical="bottom" wrapText="1"/>
    </xf>
    <xf borderId="30" fillId="0" fontId="21" numFmtId="49" xfId="0" applyAlignment="1" applyBorder="1" applyFont="1" applyNumberFormat="1">
      <alignment shrinkToFit="0" vertical="bottom" wrapText="1"/>
    </xf>
    <xf borderId="30" fillId="0" fontId="21" numFmtId="0" xfId="0" applyAlignment="1" applyBorder="1" applyFont="1">
      <alignment shrinkToFit="0" vertical="bottom" wrapText="1"/>
    </xf>
    <xf borderId="32" fillId="0" fontId="21" numFmtId="0" xfId="0" applyAlignment="1" applyBorder="1" applyFont="1">
      <alignment shrinkToFit="0" vertical="bottom" wrapText="1"/>
    </xf>
    <xf borderId="30" fillId="6" fontId="21" numFmtId="49" xfId="0" applyAlignment="1" applyBorder="1" applyFont="1" applyNumberFormat="1">
      <alignment readingOrder="0" shrinkToFit="0" vertical="bottom" wrapText="1"/>
    </xf>
    <xf borderId="32" fillId="18" fontId="21" numFmtId="0" xfId="0" applyAlignment="1" applyBorder="1" applyFont="1">
      <alignment readingOrder="0" shrinkToFit="0" vertical="bottom" wrapText="1"/>
    </xf>
    <xf borderId="0" fillId="17" fontId="21" numFmtId="0" xfId="0" applyAlignment="1" applyFont="1">
      <alignment shrinkToFit="0" vertical="bottom" wrapText="1"/>
    </xf>
    <xf borderId="0" fillId="20" fontId="21" numFmtId="0" xfId="0" applyAlignment="1" applyFont="1">
      <alignment shrinkToFit="0" vertical="bottom" wrapText="1"/>
    </xf>
    <xf borderId="23" fillId="0" fontId="11" numFmtId="0" xfId="0" applyAlignment="1" applyBorder="1" applyFont="1">
      <alignment vertical="bottom"/>
    </xf>
    <xf borderId="28" fillId="10" fontId="21" numFmtId="49" xfId="0" applyAlignment="1" applyBorder="1" applyFont="1" applyNumberFormat="1">
      <alignment shrinkToFit="0" vertical="bottom" wrapText="1"/>
    </xf>
    <xf borderId="33" fillId="0" fontId="11" numFmtId="0" xfId="0" applyAlignment="1" applyBorder="1" applyFont="1">
      <alignment horizontal="right" vertical="bottom"/>
    </xf>
    <xf borderId="30" fillId="13" fontId="21" numFmtId="0" xfId="0" applyAlignment="1" applyBorder="1" applyFont="1">
      <alignment readingOrder="0" shrinkToFit="0" vertical="bottom" wrapText="1"/>
    </xf>
    <xf borderId="60" fillId="9" fontId="21" numFmtId="0" xfId="0" applyAlignment="1" applyBorder="1" applyFont="1">
      <alignment shrinkToFit="0" vertical="bottom" wrapText="1"/>
    </xf>
    <xf borderId="61" fillId="9" fontId="21" numFmtId="0" xfId="0" applyAlignment="1" applyBorder="1" applyFont="1">
      <alignment shrinkToFit="0" vertical="bottom" wrapText="1"/>
    </xf>
    <xf borderId="30" fillId="15" fontId="21" numFmtId="0" xfId="0" applyAlignment="1" applyBorder="1" applyFont="1">
      <alignment shrinkToFit="0" vertical="bottom" wrapText="1"/>
    </xf>
    <xf quotePrefix="1" borderId="0" fillId="0" fontId="11" numFmtId="0" xfId="0" applyAlignment="1" applyFont="1">
      <alignment vertical="bottom"/>
    </xf>
    <xf borderId="34" fillId="12" fontId="24" numFmtId="49" xfId="0" applyAlignment="1" applyBorder="1" applyFont="1" applyNumberFormat="1">
      <alignment shrinkToFit="0" vertical="bottom" wrapText="1"/>
    </xf>
    <xf borderId="37" fillId="12" fontId="24" numFmtId="0" xfId="0" applyAlignment="1" applyBorder="1" applyFont="1">
      <alignment shrinkToFit="0" vertical="bottom" wrapText="1"/>
    </xf>
    <xf borderId="30" fillId="12" fontId="24" numFmtId="49" xfId="0" applyAlignment="1" applyBorder="1" applyFont="1" applyNumberFormat="1">
      <alignment shrinkToFit="0" vertical="bottom" wrapText="1"/>
    </xf>
    <xf borderId="0" fillId="12" fontId="24" numFmtId="0" xfId="0" applyAlignment="1" applyFont="1">
      <alignment shrinkToFit="0" vertical="bottom" wrapText="1"/>
    </xf>
    <xf borderId="34" fillId="7" fontId="21" numFmtId="0" xfId="0" applyAlignment="1" applyBorder="1" applyFont="1">
      <alignment readingOrder="0" shrinkToFit="0" vertical="bottom" wrapText="1"/>
    </xf>
    <xf borderId="62" fillId="0" fontId="11" numFmtId="0" xfId="0" applyAlignment="1" applyBorder="1" applyFont="1">
      <alignment vertical="bottom"/>
    </xf>
    <xf borderId="63" fillId="0" fontId="11" numFmtId="0" xfId="0" applyAlignment="1" applyBorder="1" applyFont="1">
      <alignment vertical="bottom"/>
    </xf>
    <xf borderId="28" fillId="7" fontId="21" numFmtId="0" xfId="0" applyAlignment="1" applyBorder="1" applyFont="1">
      <alignment shrinkToFit="0" vertical="bottom" wrapText="1"/>
    </xf>
    <xf borderId="28" fillId="14" fontId="21" numFmtId="0" xfId="0" applyAlignment="1" applyBorder="1" applyFont="1">
      <alignment shrinkToFit="0" vertical="bottom" wrapText="1"/>
    </xf>
    <xf borderId="30" fillId="12" fontId="21" numFmtId="0" xfId="0" applyAlignment="1" applyBorder="1" applyFont="1">
      <alignment shrinkToFit="0" vertical="bottom" wrapText="1"/>
    </xf>
    <xf borderId="32" fillId="12" fontId="21" numFmtId="0" xfId="0" applyAlignment="1" applyBorder="1" applyFont="1">
      <alignment shrinkToFit="0" vertical="bottom" wrapText="1"/>
    </xf>
    <xf borderId="30" fillId="18" fontId="21" numFmtId="0" xfId="0" applyAlignment="1" applyBorder="1" applyFont="1">
      <alignment shrinkToFit="0" vertical="bottom" wrapText="1"/>
    </xf>
    <xf borderId="39" fillId="12" fontId="21" numFmtId="0" xfId="0" applyAlignment="1" applyBorder="1" applyFont="1">
      <alignment shrinkToFit="0" vertical="bottom" wrapText="1"/>
    </xf>
    <xf borderId="30" fillId="17" fontId="21" numFmtId="0" xfId="0" applyAlignment="1" applyBorder="1" applyFont="1">
      <alignment shrinkToFit="0" vertical="bottom" wrapText="1"/>
    </xf>
    <xf borderId="32" fillId="20" fontId="21" numFmtId="0" xfId="0" applyAlignment="1" applyBorder="1" applyFont="1">
      <alignment shrinkToFit="0" vertical="bottom" wrapText="1"/>
    </xf>
    <xf borderId="23" fillId="0" fontId="38" numFmtId="0" xfId="0" applyAlignment="1" applyBorder="1" applyFont="1">
      <alignment vertical="bottom"/>
    </xf>
    <xf borderId="23" fillId="0" fontId="38" numFmtId="0" xfId="0" applyAlignment="1" applyBorder="1" applyFont="1">
      <alignment horizontal="right" vertical="bottom"/>
    </xf>
    <xf borderId="45" fillId="0" fontId="38" numFmtId="0" xfId="0" applyAlignment="1" applyBorder="1" applyFont="1">
      <alignment vertical="bottom"/>
    </xf>
    <xf borderId="32" fillId="18" fontId="21" numFmtId="49" xfId="0" applyAlignment="1" applyBorder="1" applyFont="1" applyNumberFormat="1">
      <alignment shrinkToFit="0" vertical="bottom" wrapText="1"/>
    </xf>
    <xf borderId="23" fillId="0" fontId="39" numFmtId="0" xfId="0" applyAlignment="1" applyBorder="1" applyFont="1">
      <alignment vertical="bottom"/>
    </xf>
    <xf borderId="23" fillId="0" fontId="9" numFmtId="0" xfId="0" applyAlignment="1" applyBorder="1" applyFont="1">
      <alignment vertical="bottom"/>
    </xf>
    <xf borderId="0" fillId="0" fontId="38" numFmtId="0" xfId="0" applyAlignment="1" applyFont="1">
      <alignment vertical="bottom"/>
    </xf>
    <xf borderId="0" fillId="0" fontId="38" numFmtId="0" xfId="0" applyAlignment="1" applyFont="1">
      <alignment horizontal="right" vertical="bottom"/>
    </xf>
    <xf borderId="11" fillId="0" fontId="38" numFmtId="0" xfId="0" applyAlignment="1" applyBorder="1" applyFont="1">
      <alignment vertical="bottom"/>
    </xf>
    <xf borderId="0" fillId="0" fontId="9" numFmtId="0" xfId="0" applyAlignment="1" applyFont="1">
      <alignment vertical="bottom"/>
    </xf>
    <xf borderId="11" fillId="0" fontId="38" numFmtId="0" xfId="0" applyAlignment="1" applyBorder="1" applyFont="1">
      <alignment shrinkToFit="0" vertical="bottom" wrapText="0"/>
    </xf>
    <xf borderId="11" fillId="0" fontId="38" numFmtId="0" xfId="0" applyAlignment="1" applyBorder="1" applyFont="1">
      <alignment horizontal="right" vertical="bottom"/>
    </xf>
    <xf borderId="11" fillId="0" fontId="9" numFmtId="0" xfId="0" applyAlignment="1" applyBorder="1" applyFont="1">
      <alignment vertical="bottom"/>
    </xf>
    <xf borderId="32" fillId="11" fontId="21" numFmtId="49" xfId="0" applyAlignment="1" applyBorder="1" applyFont="1" applyNumberFormat="1">
      <alignment shrinkToFit="0" vertical="bottom" wrapText="1"/>
    </xf>
    <xf borderId="0" fillId="9" fontId="21" numFmtId="0" xfId="0" applyAlignment="1" applyFont="1">
      <alignment readingOrder="0" shrinkToFit="0" vertical="bottom" wrapText="1"/>
    </xf>
    <xf borderId="0" fillId="6" fontId="21" numFmtId="0" xfId="0" applyAlignment="1" applyFont="1">
      <alignment shrinkToFit="0" vertical="bottom" wrapText="1"/>
    </xf>
    <xf borderId="0" fillId="6" fontId="21" numFmtId="49" xfId="0" applyAlignment="1" applyFont="1" applyNumberFormat="1">
      <alignment shrinkToFit="0" vertical="bottom" wrapText="1"/>
    </xf>
    <xf borderId="0" fillId="0" fontId="21" numFmtId="0" xfId="0" applyAlignment="1" applyFont="1">
      <alignment readingOrder="0" shrinkToFit="0" vertical="bottom" wrapText="1"/>
    </xf>
    <xf borderId="0" fillId="0" fontId="21" numFmtId="0" xfId="0" applyAlignment="1" applyFont="1">
      <alignment shrinkToFit="0" vertical="bottom" wrapText="1"/>
    </xf>
    <xf borderId="0" fillId="0" fontId="21" numFmtId="49" xfId="0" applyAlignment="1" applyFont="1" applyNumberFormat="1">
      <alignment shrinkToFit="0" vertical="bottom" wrapText="1"/>
    </xf>
    <xf borderId="2" fillId="17" fontId="21" numFmtId="0" xfId="0" applyAlignment="1" applyBorder="1" applyFont="1">
      <alignment readingOrder="0" shrinkToFit="0" vertical="bottom" wrapText="1"/>
    </xf>
    <xf borderId="28" fillId="18" fontId="21" numFmtId="0" xfId="0" applyAlignment="1" applyBorder="1" applyFont="1">
      <alignment readingOrder="0" shrinkToFit="0" vertical="bottom" wrapText="1"/>
    </xf>
    <xf borderId="28" fillId="18" fontId="21" numFmtId="49" xfId="0" applyAlignment="1" applyBorder="1" applyFont="1" applyNumberFormat="1">
      <alignment shrinkToFit="0" vertical="bottom" wrapText="1"/>
    </xf>
    <xf borderId="28" fillId="17" fontId="21" numFmtId="0" xfId="0" applyAlignment="1" applyBorder="1" applyFont="1">
      <alignment shrinkToFit="0" vertical="bottom" wrapText="1"/>
    </xf>
    <xf borderId="28" fillId="18" fontId="21" numFmtId="0" xfId="0" applyAlignment="1" applyBorder="1" applyFont="1">
      <alignment shrinkToFit="0" vertical="bottom" wrapText="1"/>
    </xf>
    <xf borderId="34" fillId="18" fontId="21" numFmtId="0" xfId="0" applyAlignment="1" applyBorder="1" applyFont="1">
      <alignment readingOrder="0" shrinkToFit="0" vertical="bottom" wrapText="1"/>
    </xf>
    <xf borderId="34" fillId="17" fontId="21" numFmtId="0" xfId="0" applyAlignment="1" applyBorder="1" applyFont="1">
      <alignment shrinkToFit="0" vertical="bottom" wrapText="1"/>
    </xf>
    <xf borderId="29" fillId="19" fontId="21" numFmtId="0" xfId="0" applyAlignment="1" applyBorder="1" applyFont="1">
      <alignment readingOrder="0" shrinkToFit="0" vertical="bottom" wrapText="1"/>
    </xf>
    <xf borderId="30" fillId="20" fontId="21" numFmtId="0" xfId="0" applyAlignment="1" applyBorder="1" applyFont="1">
      <alignment readingOrder="0" shrinkToFit="0" vertical="bottom" wrapText="1"/>
    </xf>
    <xf borderId="30" fillId="16" fontId="21" numFmtId="0" xfId="0" applyAlignment="1" applyBorder="1" applyFont="1">
      <alignment readingOrder="0" shrinkToFit="0" vertical="bottom" wrapText="1"/>
    </xf>
    <xf borderId="29" fillId="17" fontId="21" numFmtId="0" xfId="0" applyAlignment="1" applyBorder="1" applyFont="1">
      <alignment readingOrder="0" shrinkToFit="0" vertical="bottom" wrapText="1"/>
    </xf>
    <xf borderId="30" fillId="18" fontId="21" numFmtId="0" xfId="0" applyAlignment="1" applyBorder="1" applyFont="1">
      <alignment readingOrder="0" shrinkToFit="0" vertical="bottom" wrapText="1"/>
    </xf>
    <xf borderId="30" fillId="17" fontId="21" numFmtId="0" xfId="0" applyAlignment="1" applyBorder="1" applyFont="1">
      <alignment readingOrder="0" shrinkToFit="0" vertical="bottom" wrapText="1"/>
    </xf>
    <xf borderId="30" fillId="18" fontId="21" numFmtId="49" xfId="0" applyAlignment="1" applyBorder="1" applyFont="1" applyNumberFormat="1">
      <alignment readingOrder="0" shrinkToFit="0" vertical="bottom" wrapText="1"/>
    </xf>
    <xf borderId="37" fillId="12" fontId="12" numFmtId="0" xfId="0" applyAlignment="1" applyBorder="1" applyFont="1">
      <alignment readingOrder="0" shrinkToFit="0" vertical="bottom" wrapText="1"/>
    </xf>
    <xf borderId="30" fillId="12" fontId="21" numFmtId="0" xfId="0" applyAlignment="1" applyBorder="1" applyFont="1">
      <alignment readingOrder="0" shrinkToFit="0" vertical="bottom" wrapText="1"/>
    </xf>
    <xf borderId="29" fillId="15" fontId="21" numFmtId="0" xfId="0" applyAlignment="1" applyBorder="1" applyFont="1">
      <alignment readingOrder="0" shrinkToFit="0" vertical="bottom" wrapText="1"/>
    </xf>
    <xf borderId="0" fillId="0" fontId="21" numFmtId="0" xfId="0" applyAlignment="1" applyFont="1">
      <alignment readingOrder="0" shrinkToFit="0" wrapText="1"/>
    </xf>
    <xf borderId="0" fillId="12" fontId="12" numFmtId="0" xfId="0" applyAlignment="1" applyFont="1">
      <alignment horizontal="left" readingOrder="0" shrinkToFit="0" wrapText="1"/>
    </xf>
    <xf borderId="32" fillId="0" fontId="21" numFmtId="0" xfId="0" applyAlignment="1" applyBorder="1" applyFont="1">
      <alignment readingOrder="0" shrinkToFit="0" vertical="bottom" wrapText="1"/>
    </xf>
    <xf borderId="30" fillId="0" fontId="21" numFmtId="0" xfId="0" applyAlignment="1" applyBorder="1" applyFont="1">
      <alignment shrinkToFit="0" vertical="bottom" wrapText="1"/>
    </xf>
    <xf borderId="29" fillId="22" fontId="21" numFmtId="0" xfId="0" applyAlignment="1" applyBorder="1" applyFill="1" applyFont="1">
      <alignment shrinkToFit="0" vertical="bottom" wrapText="1"/>
    </xf>
    <xf borderId="30" fillId="23" fontId="21" numFmtId="49" xfId="0" applyAlignment="1" applyBorder="1" applyFill="1" applyFont="1" applyNumberFormat="1">
      <alignment shrinkToFit="0" vertical="bottom" wrapText="1"/>
    </xf>
    <xf borderId="30" fillId="22" fontId="21" numFmtId="0" xfId="0" applyAlignment="1" applyBorder="1" applyFont="1">
      <alignment shrinkToFit="0" vertical="bottom" wrapText="1"/>
    </xf>
    <xf borderId="30" fillId="23" fontId="21" numFmtId="0" xfId="0" applyAlignment="1" applyBorder="1" applyFont="1">
      <alignment shrinkToFit="0" vertical="bottom" wrapText="1"/>
    </xf>
    <xf borderId="32" fillId="23" fontId="21" numFmtId="0" xfId="0" applyAlignment="1" applyBorder="1" applyFont="1">
      <alignment shrinkToFit="0" vertical="bottom" wrapText="1"/>
    </xf>
    <xf borderId="29" fillId="11" fontId="21" numFmtId="0" xfId="0" applyAlignment="1" applyBorder="1" applyFont="1">
      <alignment readingOrder="0" shrinkToFit="0" vertical="bottom" wrapText="1"/>
    </xf>
    <xf borderId="30" fillId="23" fontId="21" numFmtId="49" xfId="0" applyAlignment="1" applyBorder="1" applyFont="1" applyNumberFormat="1">
      <alignment readingOrder="0" shrinkToFit="0" vertical="bottom" wrapText="1"/>
    </xf>
    <xf borderId="30" fillId="11" fontId="21" numFmtId="0" xfId="0" applyAlignment="1" applyBorder="1" applyFont="1">
      <alignment readingOrder="0" shrinkToFit="0" vertical="bottom" wrapText="1"/>
    </xf>
    <xf borderId="0" fillId="0" fontId="18" numFmtId="0" xfId="0" applyAlignment="1" applyFont="1">
      <alignment shrinkToFit="0" wrapText="1"/>
    </xf>
    <xf borderId="30" fillId="7" fontId="21" numFmtId="0" xfId="0" applyAlignment="1" applyBorder="1" applyFont="1">
      <alignment shrinkToFit="0" vertical="bottom" wrapText="1"/>
    </xf>
    <xf borderId="30" fillId="14" fontId="21" numFmtId="0" xfId="0" applyAlignment="1" applyBorder="1" applyFont="1">
      <alignment shrinkToFit="0" vertical="bottom" wrapText="1"/>
    </xf>
    <xf borderId="30" fillId="20" fontId="21" numFmtId="0" xfId="0" applyAlignment="1" applyBorder="1" applyFont="1">
      <alignment shrinkToFit="0" vertical="bottom" wrapText="1"/>
    </xf>
    <xf borderId="32" fillId="12" fontId="40" numFmtId="0" xfId="0" applyAlignment="1" applyBorder="1" applyFont="1">
      <alignment shrinkToFit="0" vertical="bottom" wrapText="1"/>
    </xf>
    <xf borderId="32" fillId="12" fontId="21" numFmtId="49" xfId="0" applyAlignment="1" applyBorder="1" applyFont="1" applyNumberFormat="1">
      <alignment shrinkToFit="0" vertical="bottom" wrapText="1"/>
    </xf>
    <xf borderId="39" fillId="20" fontId="21" numFmtId="0" xfId="0" applyAlignment="1" applyBorder="1" applyFont="1">
      <alignment shrinkToFit="0" vertical="bottom" wrapText="1"/>
    </xf>
    <xf borderId="39" fillId="11" fontId="21" numFmtId="0" xfId="0" applyAlignment="1" applyBorder="1" applyFont="1">
      <alignment shrinkToFit="0" vertical="bottom" wrapText="1"/>
    </xf>
    <xf borderId="32" fillId="20" fontId="21" numFmtId="0" xfId="0" applyAlignment="1" applyBorder="1" applyFont="1">
      <alignment readingOrder="0" shrinkToFit="0" vertical="bottom" wrapText="1"/>
    </xf>
    <xf borderId="2" fillId="19" fontId="21" numFmtId="0" xfId="0" applyAlignment="1" applyBorder="1" applyFont="1">
      <alignment shrinkToFit="0" vertical="bottom" wrapText="1"/>
    </xf>
    <xf borderId="28" fillId="20" fontId="21" numFmtId="49" xfId="0" applyAlignment="1" applyBorder="1" applyFont="1" applyNumberFormat="1">
      <alignment shrinkToFit="0" vertical="bottom" wrapText="1"/>
    </xf>
    <xf borderId="28" fillId="19" fontId="21" numFmtId="0" xfId="0" applyAlignment="1" applyBorder="1" applyFont="1">
      <alignment shrinkToFit="0" vertical="bottom" wrapText="1"/>
    </xf>
    <xf borderId="28" fillId="20" fontId="21" numFmtId="0" xfId="0" applyAlignment="1" applyBorder="1" applyFont="1">
      <alignment shrinkToFit="0" vertical="bottom" wrapText="1"/>
    </xf>
    <xf borderId="2" fillId="0" fontId="21" numFmtId="0" xfId="0" applyAlignment="1" applyBorder="1" applyFont="1">
      <alignment shrinkToFit="0" vertical="bottom" wrapText="1"/>
    </xf>
    <xf borderId="28" fillId="0" fontId="21" numFmtId="0" xfId="0" applyAlignment="1" applyBorder="1" applyFont="1">
      <alignment shrinkToFit="0" vertical="bottom" wrapText="1"/>
    </xf>
    <xf borderId="28" fillId="0" fontId="21" numFmtId="49" xfId="0" applyAlignment="1" applyBorder="1" applyFont="1" applyNumberFormat="1">
      <alignment shrinkToFit="0" vertical="bottom" wrapText="1"/>
    </xf>
    <xf borderId="2" fillId="6" fontId="21" numFmtId="0" xfId="0" applyAlignment="1" applyBorder="1" applyFont="1">
      <alignment shrinkToFit="0" vertical="bottom" wrapText="1"/>
    </xf>
    <xf borderId="29" fillId="13" fontId="21" numFmtId="0" xfId="0" applyAlignment="1" applyBorder="1" applyFont="1">
      <alignment shrinkToFit="0" vertical="bottom" wrapText="1"/>
    </xf>
    <xf borderId="30" fillId="14" fontId="21" numFmtId="0" xfId="0" applyAlignment="1" applyBorder="1" applyFont="1">
      <alignment shrinkToFit="0" vertical="bottom" wrapText="1"/>
    </xf>
    <xf borderId="29" fillId="15" fontId="21" numFmtId="0" xfId="0" applyAlignment="1" applyBorder="1" applyFont="1">
      <alignment shrinkToFit="0" vertical="bottom" wrapText="1"/>
    </xf>
    <xf borderId="29" fillId="9" fontId="21" numFmtId="0" xfId="0" applyAlignment="1" applyBorder="1" applyFont="1">
      <alignment shrinkToFit="0" vertical="bottom" wrapText="1"/>
    </xf>
    <xf borderId="2" fillId="9" fontId="21" numFmtId="0" xfId="0" applyAlignment="1" applyBorder="1" applyFont="1">
      <alignment shrinkToFit="0" vertical="bottom" wrapText="1"/>
    </xf>
    <xf borderId="29" fillId="19" fontId="21" numFmtId="0" xfId="0" applyAlignment="1" applyBorder="1" applyFont="1">
      <alignment shrinkToFit="0" vertical="bottom" wrapText="1"/>
    </xf>
    <xf borderId="29" fillId="17" fontId="21" numFmtId="0" xfId="0" applyAlignment="1" applyBorder="1" applyFont="1">
      <alignment shrinkToFit="0" vertical="bottom" wrapText="1"/>
    </xf>
    <xf borderId="29" fillId="6" fontId="21" numFmtId="0" xfId="0" applyAlignment="1" applyBorder="1" applyFont="1">
      <alignment shrinkToFit="0" vertical="bottom" wrapText="1"/>
    </xf>
    <xf borderId="29" fillId="11" fontId="21" numFmtId="0" xfId="0" applyAlignment="1" applyBorder="1" applyFont="1">
      <alignment shrinkToFit="0" vertical="bottom" wrapText="1"/>
    </xf>
    <xf borderId="60" fillId="13" fontId="21" numFmtId="0" xfId="0" applyAlignment="1" applyBorder="1" applyFont="1">
      <alignment shrinkToFit="0" vertical="bottom" wrapText="1"/>
    </xf>
    <xf borderId="64" fillId="14" fontId="21" numFmtId="0" xfId="0" applyAlignment="1" applyBorder="1" applyFont="1">
      <alignment shrinkToFit="0" vertical="bottom" wrapText="1"/>
    </xf>
    <xf borderId="64" fillId="13" fontId="21" numFmtId="0" xfId="0" applyAlignment="1" applyBorder="1" applyFont="1">
      <alignment shrinkToFit="0" vertical="bottom" wrapText="1"/>
    </xf>
    <xf borderId="65" fillId="9" fontId="21" numFmtId="0" xfId="0" applyAlignment="1" applyBorder="1" applyFont="1">
      <alignment shrinkToFit="0" vertical="bottom" wrapText="1"/>
    </xf>
    <xf borderId="26" fillId="10" fontId="21" numFmtId="0" xfId="0" applyAlignment="1" applyBorder="1" applyFont="1">
      <alignment shrinkToFit="0" vertical="bottom" wrapText="1"/>
    </xf>
    <xf borderId="26" fillId="9" fontId="21" numFmtId="0" xfId="0" applyAlignment="1" applyBorder="1" applyFont="1">
      <alignment shrinkToFit="0" vertical="bottom" wrapText="1"/>
    </xf>
    <xf borderId="26" fillId="13" fontId="21" numFmtId="0" xfId="0" applyAlignment="1" applyBorder="1" applyFont="1">
      <alignment shrinkToFit="0" vertical="bottom" wrapText="1"/>
    </xf>
    <xf borderId="26" fillId="14" fontId="21" numFmtId="0" xfId="0" applyAlignment="1" applyBorder="1" applyFont="1">
      <alignment shrinkToFit="0" vertical="bottom" wrapText="1"/>
    </xf>
    <xf borderId="11" fillId="13" fontId="21" numFmtId="0" xfId="0" applyAlignment="1" applyBorder="1" applyFont="1">
      <alignment shrinkToFit="0" vertical="bottom" wrapText="1"/>
    </xf>
    <xf borderId="29" fillId="0" fontId="21" numFmtId="0" xfId="0" applyAlignment="1" applyBorder="1" applyFont="1">
      <alignment shrinkToFit="0" vertical="bottom" wrapText="1"/>
    </xf>
    <xf borderId="29" fillId="24" fontId="21" numFmtId="0" xfId="0" applyAlignment="1" applyBorder="1" applyFill="1" applyFont="1">
      <alignment shrinkToFit="0" vertical="bottom" wrapText="1"/>
    </xf>
    <xf borderId="30" fillId="25" fontId="21" numFmtId="0" xfId="0" applyAlignment="1" applyBorder="1" applyFill="1" applyFont="1">
      <alignment shrinkToFit="0" vertical="bottom" wrapText="1"/>
    </xf>
    <xf borderId="30" fillId="25" fontId="21" numFmtId="49" xfId="0" applyAlignment="1" applyBorder="1" applyFont="1" applyNumberFormat="1">
      <alignment shrinkToFit="0" vertical="bottom" wrapText="1"/>
    </xf>
    <xf borderId="30" fillId="24" fontId="21" numFmtId="0" xfId="0" applyAlignment="1" applyBorder="1" applyFont="1">
      <alignment shrinkToFit="0" vertical="bottom" wrapText="1"/>
    </xf>
    <xf borderId="0" fillId="24" fontId="41" numFmtId="0" xfId="0" applyAlignment="1" applyFont="1">
      <alignment shrinkToFit="0" vertical="bottom" wrapText="1"/>
    </xf>
    <xf borderId="0" fillId="24" fontId="21" numFmtId="0" xfId="0" applyAlignment="1" applyFont="1">
      <alignment shrinkToFit="0" vertical="bottom" wrapText="1"/>
    </xf>
    <xf borderId="32" fillId="24" fontId="21" numFmtId="0" xfId="0" applyAlignment="1" applyBorder="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37.56"/>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46" width="11.0"/>
  </cols>
  <sheetData>
    <row r="1" ht="18.0" customHeight="1">
      <c r="A1" s="2" t="s">
        <v>2</v>
      </c>
      <c r="B1" s="7" t="s">
        <v>6</v>
      </c>
      <c r="C1" s="10" t="s">
        <v>10</v>
      </c>
      <c r="D1" s="2" t="s">
        <v>11</v>
      </c>
      <c r="E1" s="2" t="s">
        <v>12</v>
      </c>
      <c r="F1" s="7" t="s">
        <v>13</v>
      </c>
      <c r="G1" s="2" t="s">
        <v>14</v>
      </c>
      <c r="H1" s="2" t="s">
        <v>15</v>
      </c>
      <c r="I1" s="7" t="s">
        <v>17</v>
      </c>
      <c r="J1" s="15" t="s">
        <v>18</v>
      </c>
      <c r="K1" s="7" t="s">
        <v>19</v>
      </c>
      <c r="L1" s="7" t="s">
        <v>20</v>
      </c>
      <c r="M1" s="2" t="s">
        <v>22</v>
      </c>
      <c r="N1" s="2" t="s">
        <v>24</v>
      </c>
      <c r="O1" s="7" t="s">
        <v>25</v>
      </c>
      <c r="P1" s="7" t="s">
        <v>27</v>
      </c>
      <c r="Q1" s="7" t="s">
        <v>29</v>
      </c>
      <c r="R1" s="7" t="s">
        <v>31</v>
      </c>
      <c r="S1" s="7" t="s">
        <v>33</v>
      </c>
      <c r="T1" s="7" t="s">
        <v>34</v>
      </c>
      <c r="U1" s="7" t="s">
        <v>36</v>
      </c>
      <c r="V1" s="7" t="s">
        <v>37</v>
      </c>
      <c r="W1" s="7" t="s">
        <v>38</v>
      </c>
      <c r="X1" s="7" t="s">
        <v>39</v>
      </c>
      <c r="Y1" s="7" t="s">
        <v>40</v>
      </c>
      <c r="Z1" s="7" t="s">
        <v>42</v>
      </c>
      <c r="AA1" s="7" t="s">
        <v>43</v>
      </c>
      <c r="AB1" s="7" t="s">
        <v>44</v>
      </c>
      <c r="AC1" s="7" t="s">
        <v>46</v>
      </c>
      <c r="AD1" s="28"/>
      <c r="AE1" s="28"/>
      <c r="AF1" s="28"/>
      <c r="AG1" s="31"/>
      <c r="AH1" s="31"/>
      <c r="AI1" s="31"/>
      <c r="AJ1" s="31"/>
      <c r="AK1" s="31"/>
      <c r="AL1" s="31"/>
      <c r="AM1" s="31"/>
      <c r="AN1" s="31"/>
      <c r="AO1" s="31"/>
      <c r="AP1" s="31"/>
      <c r="AQ1" s="31"/>
      <c r="AR1" s="31"/>
      <c r="AS1" s="31"/>
      <c r="AT1" s="31"/>
    </row>
    <row r="2" ht="15.75" customHeight="1">
      <c r="A2" s="37" t="s">
        <v>52</v>
      </c>
      <c r="B2" s="37" t="s">
        <v>54</v>
      </c>
      <c r="C2" s="39"/>
      <c r="D2" s="37"/>
      <c r="E2" s="37"/>
      <c r="F2" s="37"/>
      <c r="G2" s="37"/>
      <c r="H2" s="37"/>
      <c r="I2" s="37"/>
      <c r="J2" s="37"/>
      <c r="K2" s="37"/>
      <c r="L2" s="37"/>
      <c r="M2" s="37"/>
      <c r="N2" s="37"/>
      <c r="O2" s="37"/>
      <c r="P2" s="37"/>
      <c r="Q2" s="37"/>
      <c r="R2" s="37"/>
      <c r="S2" s="37"/>
      <c r="T2" s="37"/>
      <c r="U2" s="37"/>
      <c r="V2" s="37"/>
      <c r="W2" s="37"/>
      <c r="X2" s="37"/>
      <c r="Y2" s="37"/>
      <c r="Z2" s="37"/>
      <c r="AA2" s="37"/>
      <c r="AB2" s="37"/>
      <c r="AC2" s="37"/>
      <c r="AD2" s="49"/>
      <c r="AE2" s="49"/>
      <c r="AF2" s="49"/>
      <c r="AG2" s="49"/>
      <c r="AH2" s="49"/>
      <c r="AI2" s="49"/>
      <c r="AJ2" s="49"/>
      <c r="AK2" s="49"/>
      <c r="AL2" s="49"/>
      <c r="AM2" s="49"/>
      <c r="AN2" s="49"/>
      <c r="AO2" s="49"/>
      <c r="AP2" s="49"/>
      <c r="AQ2" s="49"/>
      <c r="AR2" s="49"/>
      <c r="AS2" s="49"/>
      <c r="AT2" s="49"/>
    </row>
    <row r="3" ht="15.75" customHeight="1">
      <c r="A3" s="37" t="s">
        <v>60</v>
      </c>
      <c r="B3" s="37" t="s">
        <v>61</v>
      </c>
      <c r="C3" s="39"/>
      <c r="D3" s="37"/>
      <c r="E3" s="37"/>
      <c r="F3" s="37"/>
      <c r="G3" s="37"/>
      <c r="H3" s="37"/>
      <c r="I3" s="37"/>
      <c r="J3" s="37"/>
      <c r="K3" s="37"/>
      <c r="L3" s="37"/>
      <c r="M3" s="37"/>
      <c r="N3" s="37"/>
      <c r="O3" s="37"/>
      <c r="P3" s="37"/>
      <c r="Q3" s="37"/>
      <c r="R3" s="37"/>
      <c r="S3" s="37"/>
      <c r="T3" s="37"/>
      <c r="U3" s="37"/>
      <c r="V3" s="37"/>
      <c r="W3" s="37"/>
      <c r="X3" s="37"/>
      <c r="Y3" s="37"/>
      <c r="Z3" s="37"/>
      <c r="AA3" s="37"/>
      <c r="AB3" s="37"/>
      <c r="AC3" s="37"/>
      <c r="AD3" s="49"/>
      <c r="AE3" s="49"/>
      <c r="AF3" s="49"/>
      <c r="AG3" s="49"/>
      <c r="AH3" s="49"/>
      <c r="AI3" s="49"/>
      <c r="AJ3" s="49"/>
      <c r="AK3" s="49"/>
      <c r="AL3" s="49"/>
      <c r="AM3" s="49"/>
      <c r="AN3" s="49"/>
      <c r="AO3" s="49"/>
      <c r="AP3" s="49"/>
      <c r="AQ3" s="49"/>
      <c r="AR3" s="49"/>
      <c r="AS3" s="49"/>
      <c r="AT3" s="49"/>
    </row>
    <row r="4" ht="15.75" customHeight="1">
      <c r="A4" s="37" t="s">
        <v>72</v>
      </c>
      <c r="B4" s="37" t="s">
        <v>72</v>
      </c>
      <c r="C4" s="39"/>
      <c r="D4" s="37"/>
      <c r="E4" s="37"/>
      <c r="F4" s="37"/>
      <c r="G4" s="37"/>
      <c r="H4" s="37"/>
      <c r="I4" s="37"/>
      <c r="J4" s="37"/>
      <c r="K4" s="37"/>
      <c r="L4" s="37"/>
      <c r="M4" s="37"/>
      <c r="N4" s="37"/>
      <c r="O4" s="37"/>
      <c r="P4" s="37"/>
      <c r="Q4" s="37"/>
      <c r="R4" s="37"/>
      <c r="S4" s="37"/>
      <c r="T4" s="37"/>
      <c r="U4" s="37"/>
      <c r="V4" s="37"/>
      <c r="W4" s="37"/>
      <c r="X4" s="37"/>
      <c r="Y4" s="37"/>
      <c r="Z4" s="37"/>
      <c r="AA4" s="37"/>
      <c r="AB4" s="37"/>
      <c r="AC4" s="37"/>
      <c r="AD4" s="49"/>
      <c r="AE4" s="49"/>
      <c r="AF4" s="49"/>
      <c r="AG4" s="49"/>
      <c r="AH4" s="49"/>
      <c r="AI4" s="49"/>
      <c r="AJ4" s="49"/>
      <c r="AK4" s="49"/>
      <c r="AL4" s="49"/>
      <c r="AM4" s="49"/>
      <c r="AN4" s="49"/>
      <c r="AO4" s="49"/>
      <c r="AP4" s="49"/>
      <c r="AQ4" s="49"/>
      <c r="AR4" s="49"/>
      <c r="AS4" s="49"/>
      <c r="AT4" s="49"/>
    </row>
    <row r="5" ht="15.75" customHeight="1">
      <c r="A5" s="37" t="s">
        <v>94</v>
      </c>
      <c r="B5" s="37" t="s">
        <v>96</v>
      </c>
      <c r="C5" s="39"/>
      <c r="D5" s="37"/>
      <c r="E5" s="37"/>
      <c r="F5" s="37"/>
      <c r="G5" s="37"/>
      <c r="H5" s="37"/>
      <c r="I5" s="37"/>
      <c r="J5" s="37"/>
      <c r="K5" s="37"/>
      <c r="L5" s="37"/>
      <c r="M5" s="37"/>
      <c r="N5" s="37"/>
      <c r="O5" s="37"/>
      <c r="P5" s="37"/>
      <c r="Q5" s="37"/>
      <c r="R5" s="37"/>
      <c r="S5" s="37"/>
      <c r="T5" s="37"/>
      <c r="U5" s="37"/>
      <c r="V5" s="37"/>
      <c r="W5" s="37"/>
      <c r="X5" s="37"/>
      <c r="Y5" s="37"/>
      <c r="Z5" s="37"/>
      <c r="AA5" s="37"/>
      <c r="AB5" s="37"/>
      <c r="AC5" s="37"/>
      <c r="AD5" s="49"/>
      <c r="AE5" s="49"/>
      <c r="AF5" s="49"/>
      <c r="AG5" s="49"/>
      <c r="AH5" s="49"/>
      <c r="AI5" s="49"/>
      <c r="AJ5" s="49"/>
      <c r="AK5" s="49"/>
      <c r="AL5" s="49"/>
      <c r="AM5" s="49"/>
      <c r="AN5" s="49"/>
      <c r="AO5" s="49"/>
      <c r="AP5" s="49"/>
      <c r="AQ5" s="49"/>
      <c r="AR5" s="49"/>
      <c r="AS5" s="49"/>
      <c r="AT5" s="49"/>
    </row>
    <row r="6" ht="15.75" customHeight="1">
      <c r="A6" s="37" t="s">
        <v>110</v>
      </c>
      <c r="B6" s="37" t="s">
        <v>110</v>
      </c>
      <c r="C6" s="39"/>
      <c r="D6" s="37"/>
      <c r="E6" s="37"/>
      <c r="F6" s="37"/>
      <c r="G6" s="37"/>
      <c r="H6" s="37"/>
      <c r="I6" s="37"/>
      <c r="J6" s="37"/>
      <c r="K6" s="37"/>
      <c r="L6" s="37"/>
      <c r="M6" s="37"/>
      <c r="N6" s="37"/>
      <c r="O6" s="37"/>
      <c r="P6" s="37"/>
      <c r="Q6" s="37"/>
      <c r="R6" s="37"/>
      <c r="S6" s="37"/>
      <c r="T6" s="37"/>
      <c r="U6" s="37"/>
      <c r="V6" s="37"/>
      <c r="W6" s="37"/>
      <c r="X6" s="37"/>
      <c r="Y6" s="37"/>
      <c r="Z6" s="37"/>
      <c r="AA6" s="37"/>
      <c r="AB6" s="37"/>
      <c r="AC6" s="37"/>
      <c r="AD6" s="49"/>
      <c r="AE6" s="49"/>
      <c r="AF6" s="49"/>
      <c r="AG6" s="49"/>
      <c r="AH6" s="49"/>
      <c r="AI6" s="49"/>
      <c r="AJ6" s="49"/>
      <c r="AK6" s="49"/>
      <c r="AL6" s="49"/>
      <c r="AM6" s="49"/>
      <c r="AN6" s="49"/>
      <c r="AO6" s="49"/>
      <c r="AP6" s="49"/>
      <c r="AQ6" s="49"/>
      <c r="AR6" s="49"/>
      <c r="AS6" s="49"/>
      <c r="AT6" s="49"/>
    </row>
    <row r="7" ht="15.75" customHeight="1">
      <c r="A7" s="37" t="s">
        <v>116</v>
      </c>
      <c r="B7" s="37" t="s">
        <v>117</v>
      </c>
      <c r="C7" s="39" t="str">
        <f t="array" ref="C7">XLOOKUP(B7,Sheet2!B:B,Sheet2!C:C)</f>
        <v>#REF!</v>
      </c>
      <c r="D7" s="37"/>
      <c r="E7" s="37"/>
      <c r="F7" s="37"/>
      <c r="G7" s="37"/>
      <c r="H7" s="37"/>
      <c r="I7" s="37"/>
      <c r="J7" s="37"/>
      <c r="K7" s="37"/>
      <c r="L7" s="37"/>
      <c r="M7" s="37"/>
      <c r="N7" s="37"/>
      <c r="O7" s="37"/>
      <c r="P7" s="37"/>
      <c r="Q7" s="37"/>
      <c r="R7" s="37"/>
      <c r="S7" s="37"/>
      <c r="T7" s="37" t="s">
        <v>124</v>
      </c>
      <c r="U7" s="37"/>
      <c r="V7" s="37"/>
      <c r="W7" s="37"/>
      <c r="X7" s="37"/>
      <c r="Y7" s="37"/>
      <c r="Z7" s="37"/>
      <c r="AA7" s="37"/>
      <c r="AB7" s="37"/>
      <c r="AC7" s="37"/>
      <c r="AD7" s="49"/>
      <c r="AE7" s="49"/>
      <c r="AF7" s="49"/>
      <c r="AG7" s="49"/>
      <c r="AH7" s="49"/>
      <c r="AI7" s="49"/>
      <c r="AJ7" s="49"/>
      <c r="AK7" s="49"/>
      <c r="AL7" s="49"/>
      <c r="AM7" s="49"/>
      <c r="AN7" s="49"/>
      <c r="AO7" s="49"/>
      <c r="AP7" s="49"/>
      <c r="AQ7" s="49"/>
      <c r="AR7" s="49"/>
      <c r="AS7" s="49"/>
      <c r="AT7" s="49"/>
    </row>
    <row r="8" ht="15.75" customHeight="1">
      <c r="A8" s="37" t="s">
        <v>116</v>
      </c>
      <c r="B8" s="37" t="s">
        <v>126</v>
      </c>
      <c r="C8" s="39"/>
      <c r="D8" s="37"/>
      <c r="E8" s="37"/>
      <c r="F8" s="37"/>
      <c r="G8" s="37"/>
      <c r="H8" s="37"/>
      <c r="I8" s="37"/>
      <c r="J8" s="37"/>
      <c r="K8" s="37"/>
      <c r="L8" s="37"/>
      <c r="M8" s="37"/>
      <c r="N8" s="37"/>
      <c r="O8" s="37"/>
      <c r="P8" s="37"/>
      <c r="Q8" s="37"/>
      <c r="R8" s="37"/>
      <c r="S8" s="37"/>
      <c r="T8" s="37" t="s">
        <v>131</v>
      </c>
      <c r="U8" s="37"/>
      <c r="V8" s="37"/>
      <c r="W8" s="37"/>
      <c r="X8" s="37"/>
      <c r="Y8" s="37"/>
      <c r="Z8" s="37"/>
      <c r="AA8" s="37"/>
      <c r="AB8" s="37"/>
      <c r="AC8" s="37"/>
      <c r="AD8" s="49"/>
      <c r="AE8" s="49"/>
      <c r="AF8" s="49"/>
      <c r="AG8" s="49"/>
      <c r="AH8" s="49"/>
      <c r="AI8" s="49"/>
      <c r="AJ8" s="49"/>
      <c r="AK8" s="49"/>
      <c r="AL8" s="49"/>
      <c r="AM8" s="49"/>
      <c r="AN8" s="49"/>
      <c r="AO8" s="49"/>
      <c r="AP8" s="49"/>
      <c r="AQ8" s="49"/>
      <c r="AR8" s="49"/>
      <c r="AS8" s="49"/>
      <c r="AT8" s="49"/>
    </row>
    <row r="9" ht="15.75" customHeight="1">
      <c r="A9" s="76" t="s">
        <v>133</v>
      </c>
      <c r="B9" s="76" t="s">
        <v>134</v>
      </c>
      <c r="C9" s="77" t="s">
        <v>135</v>
      </c>
      <c r="D9" s="37"/>
      <c r="E9" s="37"/>
      <c r="F9" s="37"/>
      <c r="G9" s="37"/>
      <c r="H9" s="37"/>
      <c r="I9" s="37"/>
      <c r="J9" s="37"/>
      <c r="K9" s="37"/>
      <c r="L9" s="37"/>
      <c r="M9" s="37"/>
      <c r="N9" s="37"/>
      <c r="O9" s="37"/>
      <c r="P9" s="37"/>
      <c r="Q9" s="37"/>
      <c r="R9" s="37"/>
      <c r="S9" s="37"/>
      <c r="T9" s="37"/>
      <c r="U9" s="37"/>
      <c r="V9" s="37"/>
      <c r="W9" s="37"/>
      <c r="X9" s="37"/>
      <c r="Y9" s="37"/>
      <c r="Z9" s="37"/>
      <c r="AA9" s="37"/>
      <c r="AB9" s="37"/>
      <c r="AC9" s="37"/>
      <c r="AD9" s="49"/>
      <c r="AE9" s="49"/>
      <c r="AF9" s="49"/>
      <c r="AG9" s="49"/>
      <c r="AH9" s="49"/>
      <c r="AI9" s="49"/>
      <c r="AJ9" s="49"/>
      <c r="AK9" s="49"/>
      <c r="AL9" s="49"/>
      <c r="AM9" s="49"/>
      <c r="AN9" s="49"/>
      <c r="AO9" s="49"/>
      <c r="AP9" s="49"/>
      <c r="AQ9" s="49"/>
      <c r="AR9" s="49"/>
      <c r="AS9" s="49"/>
      <c r="AT9" s="49"/>
    </row>
    <row r="10" ht="15.75" customHeight="1">
      <c r="A10" s="76" t="s">
        <v>42</v>
      </c>
      <c r="B10" s="76" t="s">
        <v>140</v>
      </c>
      <c r="C10" s="77" t="s">
        <v>141</v>
      </c>
      <c r="D10" s="77" t="s">
        <v>143</v>
      </c>
      <c r="E10" s="77" t="s">
        <v>144</v>
      </c>
      <c r="F10" s="77"/>
      <c r="G10" s="77"/>
      <c r="H10" s="77"/>
      <c r="I10" s="37"/>
      <c r="J10" s="76" t="s">
        <v>154</v>
      </c>
      <c r="K10" s="37"/>
      <c r="L10" s="37"/>
      <c r="M10" s="37"/>
      <c r="N10" s="37"/>
      <c r="O10" s="37"/>
      <c r="P10" s="37"/>
      <c r="Q10" s="37"/>
      <c r="R10" s="37"/>
      <c r="S10" s="37"/>
      <c r="T10" s="37"/>
      <c r="U10" s="37"/>
      <c r="V10" s="37"/>
      <c r="W10" s="37"/>
      <c r="X10" s="37"/>
      <c r="Y10" s="37"/>
      <c r="Z10" s="37"/>
      <c r="AA10" s="37"/>
      <c r="AB10" s="37"/>
      <c r="AC10" s="37"/>
      <c r="AD10" s="49"/>
      <c r="AE10" s="49"/>
      <c r="AF10" s="49"/>
      <c r="AG10" s="49"/>
      <c r="AH10" s="49"/>
      <c r="AI10" s="49"/>
      <c r="AJ10" s="49"/>
      <c r="AK10" s="49"/>
      <c r="AL10" s="49"/>
      <c r="AM10" s="49"/>
      <c r="AN10" s="49"/>
      <c r="AO10" s="49"/>
      <c r="AP10" s="49"/>
      <c r="AQ10" s="49"/>
      <c r="AR10" s="49"/>
      <c r="AS10" s="49"/>
      <c r="AT10" s="49"/>
    </row>
    <row r="11" ht="15.75" customHeight="1">
      <c r="A11" s="37"/>
      <c r="B11" s="37"/>
      <c r="C11" s="39"/>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49"/>
      <c r="AE11" s="49"/>
      <c r="AF11" s="49"/>
      <c r="AG11" s="49"/>
      <c r="AH11" s="49"/>
      <c r="AI11" s="49"/>
      <c r="AJ11" s="49"/>
      <c r="AK11" s="49"/>
      <c r="AL11" s="49"/>
      <c r="AM11" s="49"/>
      <c r="AN11" s="49"/>
      <c r="AO11" s="49"/>
      <c r="AP11" s="49"/>
      <c r="AQ11" s="49"/>
      <c r="AR11" s="49"/>
      <c r="AS11" s="49"/>
      <c r="AT11" s="49"/>
    </row>
    <row r="12" ht="15.75" customHeight="1">
      <c r="A12" s="90" t="s">
        <v>183</v>
      </c>
      <c r="B12" s="91" t="s">
        <v>189</v>
      </c>
      <c r="C12" s="93"/>
      <c r="D12" s="96"/>
      <c r="E12" s="96"/>
      <c r="F12" s="97"/>
      <c r="G12" s="97"/>
      <c r="H12" s="97"/>
      <c r="I12" s="97"/>
      <c r="J12" s="98"/>
      <c r="K12" s="97"/>
      <c r="L12" s="97"/>
      <c r="M12" s="98"/>
      <c r="N12" s="98"/>
      <c r="O12" s="99"/>
      <c r="P12" s="100"/>
      <c r="Q12" s="100"/>
      <c r="R12" s="100"/>
      <c r="S12" s="97"/>
      <c r="T12" s="101" t="s">
        <v>211</v>
      </c>
      <c r="U12" s="97"/>
      <c r="V12" s="97"/>
      <c r="W12" s="97"/>
      <c r="X12" s="97"/>
      <c r="Y12" s="97"/>
      <c r="Z12" s="97"/>
      <c r="AA12" s="97"/>
      <c r="AB12" s="97"/>
      <c r="AC12" s="97"/>
      <c r="AD12" s="102"/>
      <c r="AE12" s="102"/>
      <c r="AF12" s="102"/>
      <c r="AG12" s="102"/>
      <c r="AH12" s="102"/>
      <c r="AI12" s="102"/>
      <c r="AJ12" s="102"/>
      <c r="AK12" s="102"/>
      <c r="AL12" s="102"/>
      <c r="AM12" s="102"/>
      <c r="AN12" s="102"/>
      <c r="AO12" s="102"/>
      <c r="AP12" s="102"/>
      <c r="AQ12" s="102"/>
      <c r="AR12" s="102"/>
      <c r="AS12" s="102"/>
      <c r="AT12" s="102"/>
    </row>
    <row r="13" ht="15.75" customHeight="1">
      <c r="A13" s="76" t="s">
        <v>227</v>
      </c>
      <c r="B13" s="76" t="s">
        <v>230</v>
      </c>
      <c r="C13" s="77" t="s">
        <v>231</v>
      </c>
      <c r="D13" s="37"/>
      <c r="E13" s="112"/>
      <c r="F13" s="37"/>
      <c r="G13" s="37"/>
      <c r="H13" s="37"/>
      <c r="I13" s="37"/>
      <c r="J13" s="37"/>
      <c r="K13" s="37"/>
      <c r="L13" s="37"/>
      <c r="M13" s="37"/>
      <c r="N13" s="37"/>
      <c r="O13" s="37"/>
      <c r="P13" s="37"/>
      <c r="Q13" s="37"/>
      <c r="R13" s="37"/>
      <c r="S13" s="37"/>
      <c r="T13" s="37"/>
      <c r="U13" s="37"/>
      <c r="V13" s="37"/>
      <c r="W13" s="37"/>
      <c r="X13" s="37"/>
      <c r="Y13" s="37"/>
      <c r="Z13" s="37"/>
      <c r="AA13" s="37"/>
      <c r="AB13" s="37"/>
      <c r="AC13" s="37"/>
      <c r="AD13" s="49"/>
      <c r="AE13" s="49"/>
      <c r="AF13" s="49"/>
      <c r="AG13" s="49"/>
      <c r="AH13" s="49"/>
      <c r="AI13" s="49"/>
      <c r="AJ13" s="49"/>
      <c r="AK13" s="49"/>
      <c r="AL13" s="49"/>
      <c r="AM13" s="49"/>
      <c r="AN13" s="49"/>
      <c r="AO13" s="49"/>
      <c r="AP13" s="49"/>
      <c r="AQ13" s="49"/>
      <c r="AR13" s="49"/>
      <c r="AS13" s="49"/>
      <c r="AT13" s="49"/>
    </row>
    <row r="14" ht="15.75" customHeight="1">
      <c r="A14" s="118" t="s">
        <v>149</v>
      </c>
      <c r="B14" s="119" t="s">
        <v>63</v>
      </c>
      <c r="C14" s="77" t="s">
        <v>146</v>
      </c>
      <c r="D14" s="77" t="s">
        <v>147</v>
      </c>
      <c r="E14" s="77" t="s">
        <v>148</v>
      </c>
      <c r="F14" s="77"/>
      <c r="G14" s="77"/>
      <c r="H14" s="77"/>
      <c r="I14" s="121"/>
      <c r="J14" s="122"/>
      <c r="K14" s="123" t="s">
        <v>260</v>
      </c>
      <c r="L14" s="123" t="s">
        <v>262</v>
      </c>
      <c r="M14" s="121"/>
      <c r="N14" s="121"/>
      <c r="O14" s="121"/>
      <c r="P14" s="121"/>
      <c r="Q14" s="124" t="s">
        <v>268</v>
      </c>
      <c r="R14" s="121"/>
      <c r="S14" s="121"/>
      <c r="T14" s="121"/>
      <c r="U14" s="121"/>
      <c r="V14" s="121"/>
      <c r="W14" s="121"/>
      <c r="X14" s="121"/>
      <c r="Y14" s="123" t="s">
        <v>274</v>
      </c>
      <c r="Z14" s="121"/>
      <c r="AA14" s="121"/>
      <c r="AB14" s="121"/>
      <c r="AC14" s="121"/>
      <c r="AD14" s="121"/>
      <c r="AE14" s="121"/>
      <c r="AF14" s="121"/>
      <c r="AG14" s="121"/>
      <c r="AH14" s="121"/>
      <c r="AI14" s="121"/>
      <c r="AJ14" s="125"/>
      <c r="AK14" s="125"/>
      <c r="AL14" s="125"/>
      <c r="AM14" s="125"/>
      <c r="AN14" s="125"/>
      <c r="AO14" s="125"/>
      <c r="AP14" s="125"/>
      <c r="AQ14" s="125"/>
      <c r="AR14" s="125"/>
      <c r="AS14" s="125"/>
      <c r="AT14" s="125"/>
    </row>
    <row r="15" ht="15.75" customHeight="1">
      <c r="A15" s="126" t="s">
        <v>150</v>
      </c>
      <c r="B15" s="127" t="s">
        <v>122</v>
      </c>
      <c r="C15" s="77" t="s">
        <v>151</v>
      </c>
      <c r="D15" s="77" t="s">
        <v>152</v>
      </c>
      <c r="E15" s="77" t="s">
        <v>153</v>
      </c>
      <c r="F15" s="77"/>
      <c r="G15" s="77"/>
      <c r="H15" s="77"/>
      <c r="I15" s="128"/>
      <c r="J15" s="129" t="s">
        <v>293</v>
      </c>
      <c r="K15" s="128"/>
      <c r="L15" s="128"/>
      <c r="M15" s="128"/>
      <c r="N15" s="128"/>
      <c r="O15" s="128"/>
      <c r="P15" s="128"/>
      <c r="Q15" s="130" t="s">
        <v>268</v>
      </c>
      <c r="R15" s="128"/>
      <c r="S15" s="128"/>
      <c r="T15" s="128"/>
      <c r="U15" s="128"/>
      <c r="V15" s="128"/>
      <c r="W15" s="128"/>
      <c r="X15" s="128"/>
      <c r="Y15" s="128"/>
      <c r="Z15" s="128"/>
      <c r="AA15" s="128"/>
      <c r="AB15" s="131"/>
      <c r="AC15" s="131"/>
      <c r="AD15" s="102"/>
      <c r="AE15" s="102"/>
      <c r="AF15" s="102"/>
      <c r="AG15" s="102"/>
      <c r="AH15" s="102"/>
      <c r="AI15" s="102"/>
      <c r="AJ15" s="102"/>
      <c r="AK15" s="102"/>
      <c r="AL15" s="102"/>
      <c r="AM15" s="102"/>
      <c r="AN15" s="102"/>
      <c r="AO15" s="102"/>
      <c r="AP15" s="102"/>
      <c r="AQ15" s="102"/>
      <c r="AR15" s="102"/>
      <c r="AS15" s="102"/>
      <c r="AT15" s="102"/>
    </row>
    <row r="16" ht="15.75" customHeight="1">
      <c r="A16" s="76" t="s">
        <v>155</v>
      </c>
      <c r="B16" s="76" t="s">
        <v>156</v>
      </c>
      <c r="C16" s="77" t="s">
        <v>157</v>
      </c>
      <c r="D16" s="77" t="s">
        <v>158</v>
      </c>
      <c r="E16" s="77" t="s">
        <v>159</v>
      </c>
      <c r="F16" s="77"/>
      <c r="G16" s="77"/>
      <c r="H16" s="77"/>
      <c r="I16" s="37"/>
      <c r="J16" s="137" t="s">
        <v>326</v>
      </c>
      <c r="K16" s="37"/>
      <c r="L16" s="37"/>
      <c r="M16" s="37"/>
      <c r="N16" s="37"/>
      <c r="O16" s="37"/>
      <c r="P16" s="37"/>
      <c r="Q16" s="76" t="s">
        <v>268</v>
      </c>
      <c r="R16" s="37"/>
      <c r="S16" s="37"/>
      <c r="T16" s="37"/>
      <c r="U16" s="37"/>
      <c r="V16" s="37"/>
      <c r="W16" s="37"/>
      <c r="X16" s="37"/>
      <c r="Y16" s="37"/>
      <c r="Z16" s="37"/>
      <c r="AA16" s="37"/>
      <c r="AB16" s="37"/>
      <c r="AC16" s="37"/>
      <c r="AD16" s="49"/>
      <c r="AE16" s="49"/>
      <c r="AF16" s="49"/>
      <c r="AG16" s="49"/>
      <c r="AH16" s="49"/>
      <c r="AI16" s="49"/>
      <c r="AJ16" s="49"/>
      <c r="AK16" s="49"/>
      <c r="AL16" s="49"/>
      <c r="AM16" s="49"/>
      <c r="AN16" s="49"/>
      <c r="AO16" s="49"/>
      <c r="AP16" s="49"/>
      <c r="AQ16" s="49"/>
      <c r="AR16" s="49"/>
      <c r="AS16" s="49"/>
      <c r="AT16" s="49"/>
    </row>
    <row r="17" ht="15.75" customHeight="1">
      <c r="A17" s="76" t="s">
        <v>116</v>
      </c>
      <c r="B17" s="76" t="s">
        <v>359</v>
      </c>
      <c r="C17" s="77" t="s">
        <v>362</v>
      </c>
      <c r="D17" s="140"/>
      <c r="E17" s="140"/>
      <c r="F17" s="37"/>
      <c r="G17" s="37"/>
      <c r="H17" s="37"/>
      <c r="I17" s="37"/>
      <c r="J17" s="37"/>
      <c r="K17" s="37"/>
      <c r="L17" s="37"/>
      <c r="M17" s="37"/>
      <c r="N17" s="37"/>
      <c r="O17" s="37"/>
      <c r="P17" s="37"/>
      <c r="Q17" s="37"/>
      <c r="R17" s="37"/>
      <c r="S17" s="37"/>
      <c r="T17" s="76" t="s">
        <v>379</v>
      </c>
      <c r="U17" s="37"/>
      <c r="V17" s="37"/>
      <c r="W17" s="37"/>
      <c r="X17" s="37"/>
      <c r="Y17" s="37"/>
      <c r="Z17" s="37"/>
      <c r="AA17" s="37"/>
      <c r="AB17" s="37"/>
      <c r="AC17" s="37"/>
      <c r="AD17" s="49"/>
      <c r="AE17" s="49"/>
      <c r="AF17" s="49"/>
      <c r="AG17" s="49"/>
      <c r="AH17" s="49"/>
      <c r="AI17" s="49"/>
      <c r="AJ17" s="49"/>
      <c r="AK17" s="49"/>
      <c r="AL17" s="49"/>
      <c r="AM17" s="49"/>
      <c r="AN17" s="49"/>
      <c r="AO17" s="49"/>
      <c r="AP17" s="49"/>
      <c r="AQ17" s="49"/>
      <c r="AR17" s="49"/>
      <c r="AS17" s="49"/>
      <c r="AT17" s="49"/>
    </row>
    <row r="18" ht="15.75" customHeight="1">
      <c r="A18" s="76" t="s">
        <v>155</v>
      </c>
      <c r="B18" s="76" t="s">
        <v>163</v>
      </c>
      <c r="C18" s="77" t="s">
        <v>160</v>
      </c>
      <c r="D18" s="77" t="s">
        <v>161</v>
      </c>
      <c r="E18" s="77" t="s">
        <v>162</v>
      </c>
      <c r="F18" s="77"/>
      <c r="G18" s="77"/>
      <c r="H18" s="77"/>
      <c r="I18" s="37"/>
      <c r="J18" s="137" t="s">
        <v>326</v>
      </c>
      <c r="K18" s="37"/>
      <c r="L18" s="37"/>
      <c r="M18" s="37"/>
      <c r="N18" s="37"/>
      <c r="O18" s="37"/>
      <c r="P18" s="37"/>
      <c r="Q18" s="76" t="s">
        <v>268</v>
      </c>
      <c r="R18" s="37"/>
      <c r="S18" s="37"/>
      <c r="T18" s="37"/>
      <c r="U18" s="37"/>
      <c r="V18" s="37"/>
      <c r="W18" s="37"/>
      <c r="X18" s="37"/>
      <c r="Y18" s="76"/>
      <c r="Z18" s="37"/>
      <c r="AA18" s="37"/>
      <c r="AB18" s="37"/>
      <c r="AC18" s="37"/>
      <c r="AD18" s="49"/>
      <c r="AE18" s="49"/>
      <c r="AF18" s="49"/>
      <c r="AG18" s="49"/>
      <c r="AH18" s="49"/>
      <c r="AI18" s="49"/>
      <c r="AJ18" s="49"/>
      <c r="AK18" s="49"/>
      <c r="AL18" s="49"/>
      <c r="AM18" s="49"/>
      <c r="AN18" s="49"/>
      <c r="AO18" s="49"/>
      <c r="AP18" s="49"/>
      <c r="AQ18" s="49"/>
      <c r="AR18" s="49"/>
      <c r="AS18" s="49"/>
      <c r="AT18" s="49"/>
    </row>
    <row r="19" ht="15.75" customHeight="1">
      <c r="A19" s="76" t="s">
        <v>116</v>
      </c>
      <c r="B19" s="76" t="s">
        <v>421</v>
      </c>
      <c r="C19" s="77" t="s">
        <v>362</v>
      </c>
      <c r="D19" s="140"/>
      <c r="E19" s="140"/>
      <c r="F19" s="37"/>
      <c r="G19" s="37"/>
      <c r="H19" s="37"/>
      <c r="I19" s="37"/>
      <c r="J19" s="37"/>
      <c r="K19" s="37"/>
      <c r="L19" s="37"/>
      <c r="M19" s="37"/>
      <c r="N19" s="37"/>
      <c r="O19" s="37"/>
      <c r="P19" s="37"/>
      <c r="Q19" s="37"/>
      <c r="R19" s="37"/>
      <c r="S19" s="37"/>
      <c r="T19" s="76" t="s">
        <v>439</v>
      </c>
      <c r="U19" s="37"/>
      <c r="V19" s="37"/>
      <c r="W19" s="37"/>
      <c r="X19" s="37"/>
      <c r="Y19" s="37"/>
      <c r="Z19" s="37"/>
      <c r="AA19" s="37"/>
      <c r="AB19" s="37"/>
      <c r="AC19" s="37"/>
      <c r="AD19" s="49"/>
      <c r="AE19" s="49"/>
      <c r="AF19" s="49"/>
      <c r="AG19" s="49"/>
      <c r="AH19" s="49"/>
      <c r="AI19" s="49"/>
      <c r="AJ19" s="49"/>
      <c r="AK19" s="49"/>
      <c r="AL19" s="49"/>
      <c r="AM19" s="49"/>
      <c r="AN19" s="49"/>
      <c r="AO19" s="49"/>
      <c r="AP19" s="49"/>
      <c r="AQ19" s="49"/>
      <c r="AR19" s="49"/>
      <c r="AS19" s="49"/>
      <c r="AT19" s="49"/>
    </row>
    <row r="20" ht="15.75" customHeight="1">
      <c r="A20" s="76" t="s">
        <v>171</v>
      </c>
      <c r="B20" s="76" t="s">
        <v>137</v>
      </c>
      <c r="C20" s="77" t="s">
        <v>168</v>
      </c>
      <c r="D20" s="77" t="s">
        <v>169</v>
      </c>
      <c r="E20" s="77" t="s">
        <v>170</v>
      </c>
      <c r="F20" s="77"/>
      <c r="G20" s="77"/>
      <c r="H20" s="77"/>
      <c r="I20" s="37"/>
      <c r="J20" s="76" t="s">
        <v>456</v>
      </c>
      <c r="K20" s="37"/>
      <c r="L20" s="37"/>
      <c r="M20" s="37"/>
      <c r="N20" s="37"/>
      <c r="O20" s="37"/>
      <c r="P20" s="37"/>
      <c r="Q20" s="76" t="s">
        <v>268</v>
      </c>
      <c r="R20" s="37"/>
      <c r="S20" s="37"/>
      <c r="T20" s="37"/>
      <c r="U20" s="37"/>
      <c r="V20" s="37"/>
      <c r="W20" s="37"/>
      <c r="X20" s="37"/>
      <c r="Y20" s="37"/>
      <c r="Z20" s="37"/>
      <c r="AA20" s="37"/>
      <c r="AB20" s="37"/>
      <c r="AC20" s="37"/>
      <c r="AD20" s="49"/>
      <c r="AE20" s="49"/>
      <c r="AF20" s="49"/>
      <c r="AG20" s="49"/>
      <c r="AH20" s="49"/>
      <c r="AI20" s="49"/>
      <c r="AJ20" s="49"/>
      <c r="AK20" s="49"/>
      <c r="AL20" s="49"/>
      <c r="AM20" s="49"/>
      <c r="AN20" s="49"/>
      <c r="AO20" s="49"/>
      <c r="AP20" s="49"/>
      <c r="AQ20" s="49"/>
      <c r="AR20" s="49"/>
      <c r="AS20" s="49"/>
      <c r="AT20" s="49"/>
    </row>
    <row r="21" ht="15.75" customHeight="1">
      <c r="A21" s="76" t="s">
        <v>116</v>
      </c>
      <c r="B21" s="76" t="s">
        <v>139</v>
      </c>
      <c r="C21" s="77" t="s">
        <v>483</v>
      </c>
      <c r="D21" s="140"/>
      <c r="E21" s="140"/>
      <c r="F21" s="37"/>
      <c r="G21" s="37"/>
      <c r="H21" s="37"/>
      <c r="I21" s="37"/>
      <c r="J21" s="37"/>
      <c r="K21" s="37"/>
      <c r="L21" s="37"/>
      <c r="M21" s="37"/>
      <c r="N21" s="37"/>
      <c r="O21" s="37"/>
      <c r="P21" s="37"/>
      <c r="Q21" s="37"/>
      <c r="R21" s="37"/>
      <c r="S21" s="37"/>
      <c r="T21" s="76" t="s">
        <v>498</v>
      </c>
      <c r="U21" s="37"/>
      <c r="V21" s="37"/>
      <c r="W21" s="37"/>
      <c r="X21" s="37"/>
      <c r="Y21" s="37"/>
      <c r="Z21" s="37"/>
      <c r="AA21" s="37"/>
      <c r="AB21" s="37"/>
      <c r="AC21" s="37"/>
      <c r="AD21" s="49"/>
      <c r="AE21" s="49"/>
      <c r="AF21" s="49"/>
      <c r="AG21" s="49"/>
      <c r="AH21" s="49"/>
      <c r="AI21" s="49"/>
      <c r="AJ21" s="49"/>
      <c r="AK21" s="49"/>
      <c r="AL21" s="49"/>
      <c r="AM21" s="49"/>
      <c r="AN21" s="49"/>
      <c r="AO21" s="49"/>
      <c r="AP21" s="49"/>
      <c r="AQ21" s="49"/>
      <c r="AR21" s="49"/>
      <c r="AS21" s="49"/>
      <c r="AT21" s="49"/>
    </row>
    <row r="22" ht="15.75" customHeight="1">
      <c r="A22" s="142" t="s">
        <v>116</v>
      </c>
      <c r="B22" s="143" t="s">
        <v>530</v>
      </c>
      <c r="C22" s="144"/>
      <c r="D22" s="144"/>
      <c r="E22" s="144"/>
      <c r="F22" s="145"/>
      <c r="G22" s="145"/>
      <c r="H22" s="145"/>
      <c r="I22" s="145"/>
      <c r="J22" s="145"/>
      <c r="K22" s="145"/>
      <c r="L22" s="145"/>
      <c r="M22" s="145"/>
      <c r="N22" s="145"/>
      <c r="O22" s="145"/>
      <c r="P22" s="145"/>
      <c r="Q22" s="145"/>
      <c r="R22" s="145"/>
      <c r="S22" s="145"/>
      <c r="T22" s="76" t="s">
        <v>549</v>
      </c>
      <c r="U22" s="146"/>
      <c r="V22" s="146"/>
      <c r="W22" s="145"/>
      <c r="X22" s="145"/>
      <c r="Y22" s="145"/>
      <c r="Z22" s="146"/>
      <c r="AA22" s="146"/>
      <c r="AB22" s="145"/>
      <c r="AC22" s="145"/>
      <c r="AD22" s="145"/>
      <c r="AE22" s="145"/>
      <c r="AF22" s="145"/>
      <c r="AG22" s="145"/>
      <c r="AH22" s="145"/>
      <c r="AI22" s="145"/>
      <c r="AJ22" s="147"/>
      <c r="AK22" s="147"/>
      <c r="AL22" s="147"/>
      <c r="AM22" s="147"/>
      <c r="AN22" s="147"/>
      <c r="AO22" s="147"/>
      <c r="AP22" s="147"/>
      <c r="AQ22" s="147"/>
      <c r="AR22" s="147"/>
      <c r="AS22" s="147"/>
      <c r="AT22" s="147"/>
    </row>
    <row r="23" ht="15.75" customHeight="1">
      <c r="A23" s="76" t="s">
        <v>116</v>
      </c>
      <c r="B23" s="76" t="s">
        <v>138</v>
      </c>
      <c r="C23" s="77"/>
      <c r="D23" s="148"/>
      <c r="E23" s="148"/>
      <c r="F23" s="37"/>
      <c r="G23" s="37"/>
      <c r="H23" s="37"/>
      <c r="I23" s="37"/>
      <c r="J23" s="76"/>
      <c r="K23" s="37"/>
      <c r="L23" s="37"/>
      <c r="M23" s="37"/>
      <c r="N23" s="37"/>
      <c r="O23" s="37"/>
      <c r="P23" s="37"/>
      <c r="Q23" s="76"/>
      <c r="R23" s="37"/>
      <c r="S23" s="37"/>
      <c r="T23" s="76" t="s">
        <v>593</v>
      </c>
      <c r="U23" s="37"/>
      <c r="V23" s="37"/>
      <c r="W23" s="37"/>
      <c r="X23" s="37"/>
      <c r="Y23" s="37"/>
      <c r="Z23" s="37"/>
      <c r="AA23" s="37"/>
      <c r="AB23" s="37"/>
      <c r="AC23" s="37"/>
      <c r="AD23" s="49"/>
      <c r="AE23" s="49"/>
      <c r="AF23" s="49"/>
      <c r="AG23" s="49"/>
      <c r="AH23" s="49"/>
      <c r="AI23" s="49"/>
      <c r="AJ23" s="49"/>
      <c r="AK23" s="49"/>
      <c r="AL23" s="49"/>
      <c r="AM23" s="49"/>
      <c r="AN23" s="49"/>
      <c r="AO23" s="49"/>
      <c r="AP23" s="49"/>
      <c r="AQ23" s="49"/>
      <c r="AR23" s="49"/>
      <c r="AS23" s="49"/>
      <c r="AT23" s="49"/>
    </row>
    <row r="24" ht="15.75" customHeight="1">
      <c r="A24" s="76" t="s">
        <v>175</v>
      </c>
      <c r="B24" s="76" t="s">
        <v>165</v>
      </c>
      <c r="C24" s="77" t="s">
        <v>172</v>
      </c>
      <c r="D24" s="77" t="s">
        <v>173</v>
      </c>
      <c r="E24" s="77" t="s">
        <v>174</v>
      </c>
      <c r="F24" s="77"/>
      <c r="G24" s="77"/>
      <c r="H24" s="77"/>
      <c r="I24" s="37"/>
      <c r="J24" s="76" t="s">
        <v>616</v>
      </c>
      <c r="K24" s="37"/>
      <c r="L24" s="37"/>
      <c r="M24" s="37"/>
      <c r="N24" s="37"/>
      <c r="O24" s="37"/>
      <c r="P24" s="37"/>
      <c r="Q24" s="76" t="s">
        <v>268</v>
      </c>
      <c r="R24" s="37"/>
      <c r="S24" s="37"/>
      <c r="T24" s="37"/>
      <c r="U24" s="37"/>
      <c r="V24" s="37"/>
      <c r="W24" s="37"/>
      <c r="X24" s="37"/>
      <c r="Y24" s="37"/>
      <c r="Z24" s="37"/>
      <c r="AA24" s="37"/>
      <c r="AB24" s="37"/>
      <c r="AC24" s="37"/>
      <c r="AD24" s="49"/>
      <c r="AE24" s="49"/>
      <c r="AF24" s="49"/>
      <c r="AG24" s="49"/>
      <c r="AH24" s="49"/>
      <c r="AI24" s="49"/>
      <c r="AJ24" s="49"/>
      <c r="AK24" s="49"/>
      <c r="AL24" s="49"/>
      <c r="AM24" s="49"/>
      <c r="AN24" s="49"/>
      <c r="AO24" s="49"/>
      <c r="AP24" s="49"/>
      <c r="AQ24" s="49"/>
      <c r="AR24" s="49"/>
      <c r="AS24" s="49"/>
      <c r="AT24" s="49"/>
    </row>
    <row r="25" ht="15.75" customHeight="1">
      <c r="A25" s="76" t="s">
        <v>116</v>
      </c>
      <c r="B25" s="76" t="s">
        <v>167</v>
      </c>
      <c r="C25" s="77" t="s">
        <v>648</v>
      </c>
      <c r="D25" s="37"/>
      <c r="E25" s="112"/>
      <c r="F25" s="37"/>
      <c r="G25" s="37"/>
      <c r="H25" s="37"/>
      <c r="I25" s="37"/>
      <c r="J25" s="37"/>
      <c r="K25" s="37"/>
      <c r="L25" s="37"/>
      <c r="M25" s="37"/>
      <c r="N25" s="37"/>
      <c r="O25" s="37"/>
      <c r="P25" s="37"/>
      <c r="Q25" s="37"/>
      <c r="R25" s="37"/>
      <c r="S25" s="37"/>
      <c r="T25" s="76" t="s">
        <v>655</v>
      </c>
      <c r="U25" s="37"/>
      <c r="V25" s="37"/>
      <c r="W25" s="37"/>
      <c r="X25" s="37"/>
      <c r="Y25" s="37"/>
      <c r="Z25" s="37"/>
      <c r="AA25" s="37"/>
      <c r="AB25" s="37"/>
      <c r="AC25" s="37"/>
      <c r="AD25" s="49"/>
      <c r="AE25" s="49"/>
      <c r="AF25" s="49"/>
      <c r="AG25" s="49"/>
      <c r="AH25" s="49"/>
      <c r="AI25" s="49"/>
      <c r="AJ25" s="49"/>
      <c r="AK25" s="49"/>
      <c r="AL25" s="49"/>
      <c r="AM25" s="49"/>
      <c r="AN25" s="49"/>
      <c r="AO25" s="49"/>
      <c r="AP25" s="49"/>
      <c r="AQ25" s="49"/>
      <c r="AR25" s="49"/>
      <c r="AS25" s="49"/>
      <c r="AT25" s="49"/>
    </row>
    <row r="26" ht="15.75" customHeight="1">
      <c r="A26" s="76" t="s">
        <v>116</v>
      </c>
      <c r="B26" s="76" t="s">
        <v>664</v>
      </c>
      <c r="C26" s="77"/>
      <c r="D26" s="37"/>
      <c r="E26" s="112"/>
      <c r="F26" s="37"/>
      <c r="G26" s="37"/>
      <c r="H26" s="37"/>
      <c r="I26" s="37"/>
      <c r="J26" s="37"/>
      <c r="K26" s="37"/>
      <c r="L26" s="37"/>
      <c r="M26" s="37"/>
      <c r="N26" s="37"/>
      <c r="O26" s="37"/>
      <c r="P26" s="37"/>
      <c r="Q26" s="37"/>
      <c r="R26" s="37"/>
      <c r="S26" s="37"/>
      <c r="T26" s="76" t="s">
        <v>683</v>
      </c>
      <c r="U26" s="37"/>
      <c r="V26" s="37"/>
      <c r="W26" s="37"/>
      <c r="X26" s="37"/>
      <c r="Y26" s="37"/>
      <c r="Z26" s="37"/>
      <c r="AA26" s="37"/>
      <c r="AB26" s="37"/>
      <c r="AC26" s="37"/>
      <c r="AD26" s="49"/>
      <c r="AE26" s="49"/>
      <c r="AF26" s="49"/>
      <c r="AG26" s="49"/>
      <c r="AH26" s="49"/>
      <c r="AI26" s="49"/>
      <c r="AJ26" s="49"/>
      <c r="AK26" s="49"/>
      <c r="AL26" s="49"/>
      <c r="AM26" s="49"/>
      <c r="AN26" s="49"/>
      <c r="AO26" s="49"/>
      <c r="AP26" s="49"/>
      <c r="AQ26" s="49"/>
      <c r="AR26" s="49"/>
      <c r="AS26" s="49"/>
      <c r="AT26" s="49"/>
    </row>
    <row r="27" ht="15.75" customHeight="1">
      <c r="A27" s="76" t="s">
        <v>116</v>
      </c>
      <c r="B27" s="76" t="s">
        <v>701</v>
      </c>
      <c r="C27" s="77"/>
      <c r="D27" s="37"/>
      <c r="E27" s="112"/>
      <c r="F27" s="37"/>
      <c r="G27" s="37"/>
      <c r="H27" s="37"/>
      <c r="I27" s="37"/>
      <c r="J27" s="37"/>
      <c r="K27" s="37"/>
      <c r="L27" s="37"/>
      <c r="M27" s="37"/>
      <c r="N27" s="37"/>
      <c r="O27" s="37"/>
      <c r="P27" s="37"/>
      <c r="Q27" s="37"/>
      <c r="R27" s="37"/>
      <c r="S27" s="37"/>
      <c r="T27" s="76" t="s">
        <v>714</v>
      </c>
      <c r="U27" s="37"/>
      <c r="V27" s="37"/>
      <c r="W27" s="37"/>
      <c r="X27" s="37"/>
      <c r="Y27" s="37"/>
      <c r="Z27" s="37"/>
      <c r="AA27" s="37"/>
      <c r="AB27" s="37"/>
      <c r="AC27" s="37"/>
      <c r="AD27" s="49"/>
      <c r="AE27" s="49"/>
      <c r="AF27" s="49"/>
      <c r="AG27" s="49"/>
      <c r="AH27" s="49"/>
      <c r="AI27" s="49"/>
      <c r="AJ27" s="49"/>
      <c r="AK27" s="49"/>
      <c r="AL27" s="49"/>
      <c r="AM27" s="49"/>
      <c r="AN27" s="49"/>
      <c r="AO27" s="49"/>
      <c r="AP27" s="49"/>
      <c r="AQ27" s="49"/>
      <c r="AR27" s="49"/>
      <c r="AS27" s="49"/>
      <c r="AT27" s="49"/>
    </row>
    <row r="28" ht="15.75" customHeight="1">
      <c r="A28" s="76" t="s">
        <v>735</v>
      </c>
      <c r="B28" s="76" t="s">
        <v>230</v>
      </c>
      <c r="C28" s="77" t="s">
        <v>231</v>
      </c>
      <c r="D28" s="37"/>
      <c r="E28" s="112"/>
      <c r="F28" s="37"/>
      <c r="G28" s="37"/>
      <c r="H28" s="37"/>
      <c r="I28" s="37"/>
      <c r="J28" s="37"/>
      <c r="K28" s="37"/>
      <c r="L28" s="37"/>
      <c r="M28" s="37"/>
      <c r="N28" s="37"/>
      <c r="O28" s="37"/>
      <c r="P28" s="37"/>
      <c r="Q28" s="37"/>
      <c r="R28" s="37"/>
      <c r="S28" s="37"/>
      <c r="T28" s="37"/>
      <c r="U28" s="37"/>
      <c r="V28" s="37"/>
      <c r="W28" s="37"/>
      <c r="X28" s="37"/>
      <c r="Y28" s="37"/>
      <c r="Z28" s="37"/>
      <c r="AA28" s="37"/>
      <c r="AB28" s="37"/>
      <c r="AC28" s="37"/>
      <c r="AD28" s="49"/>
      <c r="AE28" s="49"/>
      <c r="AF28" s="49"/>
      <c r="AG28" s="49"/>
      <c r="AH28" s="49"/>
      <c r="AI28" s="49"/>
      <c r="AJ28" s="49"/>
      <c r="AK28" s="49"/>
      <c r="AL28" s="49"/>
      <c r="AM28" s="49"/>
      <c r="AN28" s="49"/>
      <c r="AO28" s="49"/>
      <c r="AP28" s="49"/>
      <c r="AQ28" s="49"/>
      <c r="AR28" s="49"/>
      <c r="AS28" s="49"/>
      <c r="AT28" s="49"/>
    </row>
    <row r="29" ht="15.75" customHeight="1">
      <c r="A29" s="37"/>
      <c r="B29" s="37"/>
      <c r="C29" s="39"/>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49"/>
      <c r="AE29" s="49"/>
      <c r="AF29" s="49"/>
      <c r="AG29" s="49"/>
      <c r="AH29" s="49"/>
      <c r="AI29" s="49"/>
      <c r="AJ29" s="49"/>
      <c r="AK29" s="49"/>
      <c r="AL29" s="49"/>
      <c r="AM29" s="49"/>
      <c r="AN29" s="49"/>
      <c r="AO29" s="49"/>
      <c r="AP29" s="49"/>
      <c r="AQ29" s="49"/>
      <c r="AR29" s="49"/>
      <c r="AS29" s="49"/>
      <c r="AT29" s="49"/>
    </row>
    <row r="30" ht="15.75" customHeight="1">
      <c r="A30" s="76" t="s">
        <v>227</v>
      </c>
      <c r="B30" s="76" t="s">
        <v>154</v>
      </c>
      <c r="C30" s="39"/>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49"/>
      <c r="AE30" s="49"/>
      <c r="AF30" s="49"/>
      <c r="AG30" s="49"/>
      <c r="AH30" s="49"/>
      <c r="AI30" s="49"/>
      <c r="AJ30" s="49"/>
      <c r="AK30" s="49"/>
      <c r="AL30" s="49"/>
      <c r="AM30" s="49"/>
      <c r="AN30" s="49"/>
      <c r="AO30" s="49"/>
      <c r="AP30" s="49"/>
      <c r="AQ30" s="49"/>
      <c r="AR30" s="49"/>
      <c r="AS30" s="49"/>
      <c r="AT30" s="49"/>
    </row>
    <row r="31" ht="15.75" customHeight="1">
      <c r="A31" s="150" t="s">
        <v>116</v>
      </c>
      <c r="B31" s="151" t="s">
        <v>828</v>
      </c>
      <c r="C31" s="152"/>
      <c r="D31" s="153"/>
      <c r="E31" s="153"/>
      <c r="F31" s="153"/>
      <c r="G31" s="153"/>
      <c r="H31" s="153"/>
      <c r="I31" s="153"/>
      <c r="J31" s="153"/>
      <c r="K31" s="153"/>
      <c r="L31" s="153"/>
      <c r="M31" s="153"/>
      <c r="N31" s="153"/>
      <c r="O31" s="153"/>
      <c r="P31" s="153"/>
      <c r="Q31" s="153"/>
      <c r="R31" s="153"/>
      <c r="S31" s="153"/>
      <c r="T31" s="151" t="s">
        <v>846</v>
      </c>
      <c r="U31" s="153"/>
      <c r="V31" s="153"/>
      <c r="W31" s="153"/>
      <c r="X31" s="153"/>
      <c r="Y31" s="153"/>
      <c r="Z31" s="153"/>
      <c r="AA31" s="153"/>
      <c r="AB31" s="153"/>
      <c r="AC31" s="153"/>
      <c r="AD31" s="155"/>
      <c r="AE31" s="155"/>
      <c r="AF31" s="155"/>
      <c r="AG31" s="155"/>
      <c r="AH31" s="155"/>
      <c r="AI31" s="155"/>
      <c r="AJ31" s="155"/>
      <c r="AK31" s="155"/>
      <c r="AL31" s="155"/>
      <c r="AM31" s="155"/>
      <c r="AN31" s="155"/>
      <c r="AO31" s="155"/>
      <c r="AP31" s="155"/>
      <c r="AQ31" s="155"/>
      <c r="AR31" s="155"/>
      <c r="AS31" s="155"/>
      <c r="AT31" s="155"/>
    </row>
    <row r="32" ht="15.75" customHeight="1">
      <c r="A32" s="156" t="s">
        <v>116</v>
      </c>
      <c r="B32" s="157" t="s">
        <v>869</v>
      </c>
      <c r="C32" s="158"/>
      <c r="D32" s="159"/>
      <c r="E32" s="160"/>
      <c r="F32" s="161"/>
      <c r="G32" s="162"/>
      <c r="H32" s="162"/>
      <c r="I32" s="162"/>
      <c r="J32" s="161"/>
      <c r="K32" s="161"/>
      <c r="L32" s="161"/>
      <c r="M32" s="162"/>
      <c r="N32" s="162"/>
      <c r="O32" s="162"/>
      <c r="P32" s="162"/>
      <c r="Q32" s="162"/>
      <c r="R32" s="162"/>
      <c r="S32" s="162"/>
      <c r="T32" s="157" t="s">
        <v>882</v>
      </c>
      <c r="U32" s="162"/>
      <c r="V32" s="162"/>
      <c r="W32" s="162"/>
      <c r="X32" s="162"/>
      <c r="Y32" s="162"/>
      <c r="Z32" s="162"/>
      <c r="AA32" s="162"/>
      <c r="AB32" s="162"/>
      <c r="AC32" s="162"/>
      <c r="AD32" s="155"/>
      <c r="AE32" s="155"/>
      <c r="AF32" s="155"/>
      <c r="AG32" s="155"/>
      <c r="AH32" s="155"/>
      <c r="AI32" s="155"/>
      <c r="AJ32" s="155"/>
      <c r="AK32" s="155"/>
      <c r="AL32" s="155"/>
      <c r="AM32" s="155"/>
      <c r="AN32" s="155"/>
      <c r="AO32" s="155"/>
      <c r="AP32" s="155"/>
      <c r="AQ32" s="155"/>
      <c r="AR32" s="155"/>
      <c r="AS32" s="155"/>
      <c r="AT32" s="155"/>
    </row>
    <row r="33" ht="15.75" customHeight="1">
      <c r="A33" s="156" t="s">
        <v>116</v>
      </c>
      <c r="B33" s="157" t="s">
        <v>897</v>
      </c>
      <c r="C33" s="158"/>
      <c r="D33" s="164"/>
      <c r="E33" s="161"/>
      <c r="F33" s="161"/>
      <c r="G33" s="162"/>
      <c r="H33" s="162"/>
      <c r="I33" s="162"/>
      <c r="J33" s="161"/>
      <c r="K33" s="161"/>
      <c r="L33" s="161"/>
      <c r="M33" s="162"/>
      <c r="N33" s="162"/>
      <c r="O33" s="162"/>
      <c r="P33" s="162"/>
      <c r="Q33" s="162"/>
      <c r="R33" s="162"/>
      <c r="S33" s="162"/>
      <c r="T33" s="157" t="s">
        <v>913</v>
      </c>
      <c r="U33" s="162"/>
      <c r="V33" s="162"/>
      <c r="W33" s="162"/>
      <c r="X33" s="162"/>
      <c r="Y33" s="162"/>
      <c r="Z33" s="162"/>
      <c r="AA33" s="162"/>
      <c r="AB33" s="162"/>
      <c r="AC33" s="162"/>
      <c r="AD33" s="155"/>
      <c r="AE33" s="155"/>
      <c r="AF33" s="155"/>
      <c r="AG33" s="155"/>
      <c r="AH33" s="155"/>
      <c r="AI33" s="155"/>
      <c r="AJ33" s="155"/>
      <c r="AK33" s="155"/>
      <c r="AL33" s="155"/>
      <c r="AM33" s="155"/>
      <c r="AN33" s="155"/>
      <c r="AO33" s="155"/>
      <c r="AP33" s="155"/>
      <c r="AQ33" s="155"/>
      <c r="AR33" s="155"/>
      <c r="AS33" s="155"/>
      <c r="AT33" s="155"/>
    </row>
    <row r="34" ht="15.75" customHeight="1">
      <c r="A34" s="156" t="s">
        <v>116</v>
      </c>
      <c r="B34" s="157" t="s">
        <v>926</v>
      </c>
      <c r="C34" s="158"/>
      <c r="D34" s="161"/>
      <c r="E34" s="161"/>
      <c r="F34" s="161"/>
      <c r="G34" s="162"/>
      <c r="H34" s="162"/>
      <c r="I34" s="162"/>
      <c r="J34" s="161"/>
      <c r="K34" s="161"/>
      <c r="L34" s="161"/>
      <c r="M34" s="162"/>
      <c r="N34" s="162"/>
      <c r="O34" s="162"/>
      <c r="P34" s="162"/>
      <c r="Q34" s="162"/>
      <c r="R34" s="162"/>
      <c r="S34" s="162"/>
      <c r="T34" s="157" t="s">
        <v>940</v>
      </c>
      <c r="U34" s="162"/>
      <c r="V34" s="162"/>
      <c r="W34" s="162"/>
      <c r="X34" s="162"/>
      <c r="Y34" s="162"/>
      <c r="Z34" s="162"/>
      <c r="AA34" s="162"/>
      <c r="AB34" s="162"/>
      <c r="AC34" s="162"/>
      <c r="AD34" s="155"/>
      <c r="AE34" s="155"/>
      <c r="AF34" s="155"/>
      <c r="AG34" s="155"/>
      <c r="AH34" s="155"/>
      <c r="AI34" s="155"/>
      <c r="AJ34" s="155"/>
      <c r="AK34" s="155"/>
      <c r="AL34" s="155"/>
      <c r="AM34" s="155"/>
      <c r="AN34" s="155"/>
      <c r="AO34" s="155"/>
      <c r="AP34" s="155"/>
      <c r="AQ34" s="155"/>
      <c r="AR34" s="155"/>
      <c r="AS34" s="155"/>
      <c r="AT34" s="155"/>
    </row>
    <row r="35" ht="15.75" customHeight="1">
      <c r="A35" s="156" t="s">
        <v>116</v>
      </c>
      <c r="B35" s="157" t="s">
        <v>947</v>
      </c>
      <c r="C35" s="158"/>
      <c r="D35" s="159"/>
      <c r="E35" s="160"/>
      <c r="F35" s="161"/>
      <c r="G35" s="162"/>
      <c r="H35" s="162"/>
      <c r="I35" s="162"/>
      <c r="J35" s="161"/>
      <c r="K35" s="161"/>
      <c r="L35" s="161"/>
      <c r="M35" s="162"/>
      <c r="N35" s="162"/>
      <c r="O35" s="162"/>
      <c r="P35" s="162"/>
      <c r="Q35" s="162"/>
      <c r="R35" s="162"/>
      <c r="S35" s="162"/>
      <c r="T35" s="157" t="s">
        <v>955</v>
      </c>
      <c r="U35" s="162"/>
      <c r="V35" s="162"/>
      <c r="W35" s="162"/>
      <c r="X35" s="162"/>
      <c r="Y35" s="162"/>
      <c r="Z35" s="162"/>
      <c r="AA35" s="162"/>
      <c r="AB35" s="162"/>
      <c r="AC35" s="162"/>
      <c r="AD35" s="155"/>
      <c r="AE35" s="155"/>
      <c r="AF35" s="155"/>
      <c r="AG35" s="155"/>
      <c r="AH35" s="155"/>
      <c r="AI35" s="155"/>
      <c r="AJ35" s="155"/>
      <c r="AK35" s="155"/>
      <c r="AL35" s="155"/>
      <c r="AM35" s="155"/>
      <c r="AN35" s="155"/>
      <c r="AO35" s="155"/>
      <c r="AP35" s="155"/>
      <c r="AQ35" s="155"/>
      <c r="AR35" s="155"/>
      <c r="AS35" s="155"/>
      <c r="AT35" s="155"/>
    </row>
    <row r="36" ht="15.75" customHeight="1">
      <c r="A36" s="156" t="s">
        <v>116</v>
      </c>
      <c r="B36" s="157" t="s">
        <v>968</v>
      </c>
      <c r="C36" s="158"/>
      <c r="D36" s="159"/>
      <c r="E36" s="160"/>
      <c r="F36" s="161"/>
      <c r="G36" s="162"/>
      <c r="H36" s="162"/>
      <c r="I36" s="162"/>
      <c r="J36" s="161"/>
      <c r="K36" s="161"/>
      <c r="L36" s="161"/>
      <c r="M36" s="162"/>
      <c r="N36" s="162"/>
      <c r="O36" s="162"/>
      <c r="P36" s="162"/>
      <c r="Q36" s="162"/>
      <c r="R36" s="162"/>
      <c r="S36" s="162"/>
      <c r="T36" s="157" t="s">
        <v>981</v>
      </c>
      <c r="U36" s="162"/>
      <c r="V36" s="162"/>
      <c r="W36" s="162"/>
      <c r="X36" s="162"/>
      <c r="Y36" s="162"/>
      <c r="Z36" s="162"/>
      <c r="AA36" s="162"/>
      <c r="AB36" s="162"/>
      <c r="AC36" s="162"/>
      <c r="AD36" s="155"/>
      <c r="AE36" s="155"/>
      <c r="AF36" s="155"/>
      <c r="AG36" s="155"/>
      <c r="AH36" s="155"/>
      <c r="AI36" s="155"/>
      <c r="AJ36" s="155"/>
      <c r="AK36" s="155"/>
      <c r="AL36" s="155"/>
      <c r="AM36" s="155"/>
      <c r="AN36" s="155"/>
      <c r="AO36" s="155"/>
      <c r="AP36" s="155"/>
      <c r="AQ36" s="155"/>
      <c r="AR36" s="155"/>
      <c r="AS36" s="155"/>
      <c r="AT36" s="155"/>
    </row>
    <row r="37" ht="15.75" customHeight="1">
      <c r="A37" s="76" t="s">
        <v>178</v>
      </c>
      <c r="B37" s="76" t="s">
        <v>179</v>
      </c>
      <c r="C37" s="77" t="s">
        <v>176</v>
      </c>
      <c r="D37" s="77" t="s">
        <v>180</v>
      </c>
      <c r="E37" s="77" t="s">
        <v>181</v>
      </c>
      <c r="F37" s="77" t="s">
        <v>1000</v>
      </c>
      <c r="G37" s="77" t="s">
        <v>1001</v>
      </c>
      <c r="H37" s="77" t="s">
        <v>1002</v>
      </c>
      <c r="I37" s="37"/>
      <c r="J37" s="76" t="s">
        <v>1006</v>
      </c>
      <c r="K37" s="76"/>
      <c r="L37" s="76"/>
      <c r="M37" s="37"/>
      <c r="N37" s="37"/>
      <c r="O37" s="37"/>
      <c r="P37" s="37"/>
      <c r="Q37" s="76" t="s">
        <v>268</v>
      </c>
      <c r="R37" s="165"/>
      <c r="S37" s="37"/>
      <c r="T37" s="37"/>
      <c r="U37" s="37"/>
      <c r="V37" s="37"/>
      <c r="W37" s="37"/>
      <c r="X37" s="37"/>
      <c r="Y37" s="37"/>
      <c r="Z37" s="37"/>
      <c r="AA37" s="37"/>
      <c r="AB37" s="37"/>
      <c r="AC37" s="37"/>
      <c r="AD37" s="49"/>
      <c r="AE37" s="49"/>
      <c r="AF37" s="49"/>
      <c r="AG37" s="49"/>
      <c r="AH37" s="49"/>
      <c r="AI37" s="49"/>
      <c r="AJ37" s="49"/>
      <c r="AK37" s="49"/>
      <c r="AL37" s="49"/>
      <c r="AM37" s="49"/>
      <c r="AN37" s="49"/>
      <c r="AO37" s="49"/>
      <c r="AP37" s="49"/>
      <c r="AQ37" s="49"/>
      <c r="AR37" s="49"/>
      <c r="AS37" s="49"/>
      <c r="AT37" s="49"/>
    </row>
    <row r="38" ht="15.75" customHeight="1">
      <c r="A38" s="90" t="s">
        <v>116</v>
      </c>
      <c r="B38" s="166" t="s">
        <v>289</v>
      </c>
      <c r="C38" s="93"/>
      <c r="D38" s="167"/>
      <c r="E38" s="167"/>
      <c r="F38" s="97"/>
      <c r="G38" s="97"/>
      <c r="H38" s="97"/>
      <c r="I38" s="97"/>
      <c r="J38" s="98"/>
      <c r="K38" s="168"/>
      <c r="L38" s="100"/>
      <c r="M38" s="169"/>
      <c r="N38" s="170"/>
      <c r="O38" s="100"/>
      <c r="P38" s="97"/>
      <c r="Q38" s="168"/>
      <c r="R38" s="170"/>
      <c r="S38" s="97"/>
      <c r="T38" s="171" t="s">
        <v>1047</v>
      </c>
      <c r="U38" s="97"/>
      <c r="V38" s="97"/>
      <c r="W38" s="97"/>
      <c r="X38" s="97"/>
      <c r="Y38" s="97"/>
      <c r="Z38" s="97"/>
      <c r="AA38" s="97"/>
      <c r="AB38" s="102"/>
      <c r="AC38" s="102"/>
      <c r="AD38" s="102"/>
      <c r="AE38" s="102"/>
      <c r="AF38" s="102"/>
      <c r="AG38" s="102"/>
      <c r="AH38" s="102"/>
      <c r="AI38" s="102"/>
      <c r="AJ38" s="102"/>
      <c r="AK38" s="102"/>
      <c r="AL38" s="102"/>
      <c r="AM38" s="102"/>
      <c r="AN38" s="102"/>
      <c r="AO38" s="102"/>
      <c r="AP38" s="102"/>
      <c r="AQ38" s="102"/>
      <c r="AR38" s="102"/>
      <c r="AS38" s="102"/>
      <c r="AT38" s="102"/>
    </row>
    <row r="39" ht="15.75" customHeight="1">
      <c r="A39" s="90" t="s">
        <v>116</v>
      </c>
      <c r="B39" s="166" t="s">
        <v>1062</v>
      </c>
      <c r="C39" s="93"/>
      <c r="D39" s="167"/>
      <c r="E39" s="167"/>
      <c r="F39" s="97"/>
      <c r="G39" s="97"/>
      <c r="H39" s="97"/>
      <c r="I39" s="97"/>
      <c r="J39" s="98"/>
      <c r="K39" s="168"/>
      <c r="L39" s="100"/>
      <c r="M39" s="169"/>
      <c r="N39" s="170"/>
      <c r="O39" s="100"/>
      <c r="P39" s="97"/>
      <c r="Q39" s="168"/>
      <c r="R39" s="170"/>
      <c r="S39" s="97"/>
      <c r="T39" s="171" t="s">
        <v>1076</v>
      </c>
      <c r="U39" s="97"/>
      <c r="V39" s="97"/>
      <c r="W39" s="97"/>
      <c r="X39" s="97"/>
      <c r="Y39" s="97"/>
      <c r="Z39" s="97"/>
      <c r="AA39" s="97"/>
      <c r="AB39" s="102"/>
      <c r="AC39" s="102"/>
      <c r="AD39" s="102"/>
      <c r="AE39" s="102"/>
      <c r="AF39" s="102"/>
      <c r="AG39" s="102"/>
      <c r="AH39" s="102"/>
      <c r="AI39" s="102"/>
      <c r="AJ39" s="102"/>
      <c r="AK39" s="102"/>
      <c r="AL39" s="102"/>
      <c r="AM39" s="102"/>
      <c r="AN39" s="102"/>
      <c r="AO39" s="102"/>
      <c r="AP39" s="102"/>
      <c r="AQ39" s="102"/>
      <c r="AR39" s="102"/>
      <c r="AS39" s="102"/>
      <c r="AT39" s="102"/>
    </row>
    <row r="40" ht="15.75" customHeight="1">
      <c r="A40" s="90" t="s">
        <v>116</v>
      </c>
      <c r="B40" s="166" t="s">
        <v>1082</v>
      </c>
      <c r="C40" s="165"/>
      <c r="D40" s="91"/>
      <c r="E40" s="172"/>
      <c r="F40" s="97"/>
      <c r="G40" s="97"/>
      <c r="H40" s="97"/>
      <c r="I40" s="97"/>
      <c r="J40" s="98"/>
      <c r="K40" s="168"/>
      <c r="L40" s="100"/>
      <c r="M40" s="169"/>
      <c r="N40" s="170"/>
      <c r="O40" s="100"/>
      <c r="P40" s="97"/>
      <c r="Q40" s="168"/>
      <c r="R40" s="97"/>
      <c r="S40" s="97"/>
      <c r="T40" s="171" t="s">
        <v>1098</v>
      </c>
      <c r="U40" s="97"/>
      <c r="V40" s="97"/>
      <c r="W40" s="97"/>
      <c r="X40" s="97"/>
      <c r="Y40" s="97"/>
      <c r="Z40" s="97"/>
      <c r="AA40" s="97"/>
      <c r="AB40" s="102"/>
      <c r="AC40" s="102"/>
      <c r="AD40" s="102"/>
      <c r="AE40" s="102"/>
      <c r="AF40" s="102"/>
      <c r="AG40" s="102"/>
      <c r="AH40" s="102"/>
      <c r="AI40" s="102"/>
      <c r="AJ40" s="102"/>
      <c r="AK40" s="102"/>
      <c r="AL40" s="102"/>
      <c r="AM40" s="102"/>
      <c r="AN40" s="102"/>
      <c r="AO40" s="102"/>
      <c r="AP40" s="102"/>
      <c r="AQ40" s="102"/>
      <c r="AR40" s="102"/>
      <c r="AS40" s="102"/>
      <c r="AT40" s="102"/>
    </row>
    <row r="41" ht="15.75" customHeight="1">
      <c r="A41" s="90" t="s">
        <v>116</v>
      </c>
      <c r="B41" s="166" t="s">
        <v>1109</v>
      </c>
      <c r="C41" s="93"/>
      <c r="D41" s="91"/>
      <c r="E41" s="172"/>
      <c r="F41" s="97"/>
      <c r="G41" s="97"/>
      <c r="H41" s="97"/>
      <c r="I41" s="97"/>
      <c r="J41" s="98"/>
      <c r="K41" s="168"/>
      <c r="L41" s="100"/>
      <c r="M41" s="169"/>
      <c r="N41" s="170"/>
      <c r="O41" s="100"/>
      <c r="P41" s="97"/>
      <c r="Q41" s="168"/>
      <c r="R41" s="97"/>
      <c r="S41" s="97"/>
      <c r="T41" s="171" t="s">
        <v>1118</v>
      </c>
      <c r="U41" s="97"/>
      <c r="V41" s="97"/>
      <c r="W41" s="97"/>
      <c r="X41" s="97"/>
      <c r="Y41" s="97"/>
      <c r="Z41" s="97"/>
      <c r="AA41" s="97"/>
      <c r="AB41" s="102"/>
      <c r="AC41" s="102"/>
      <c r="AD41" s="102"/>
      <c r="AE41" s="102"/>
      <c r="AF41" s="102"/>
      <c r="AG41" s="102"/>
      <c r="AH41" s="102"/>
      <c r="AI41" s="102"/>
      <c r="AJ41" s="102"/>
      <c r="AK41" s="102"/>
      <c r="AL41" s="102"/>
      <c r="AM41" s="102"/>
      <c r="AN41" s="102"/>
      <c r="AO41" s="102"/>
      <c r="AP41" s="102"/>
      <c r="AQ41" s="102"/>
      <c r="AR41" s="102"/>
      <c r="AS41" s="102"/>
      <c r="AT41" s="102"/>
    </row>
    <row r="42" ht="15.75" customHeight="1">
      <c r="A42" s="90" t="s">
        <v>116</v>
      </c>
      <c r="B42" s="166" t="s">
        <v>1130</v>
      </c>
      <c r="C42" s="91"/>
      <c r="D42" s="91"/>
      <c r="E42" s="172"/>
      <c r="F42" s="97"/>
      <c r="G42" s="97"/>
      <c r="H42" s="97"/>
      <c r="I42" s="97"/>
      <c r="J42" s="98"/>
      <c r="K42" s="168"/>
      <c r="L42" s="100"/>
      <c r="M42" s="169"/>
      <c r="N42" s="170"/>
      <c r="O42" s="100"/>
      <c r="P42" s="97"/>
      <c r="Q42" s="168"/>
      <c r="R42" s="97"/>
      <c r="S42" s="97"/>
      <c r="T42" s="171" t="s">
        <v>1139</v>
      </c>
      <c r="U42" s="97"/>
      <c r="V42" s="97"/>
      <c r="W42" s="97"/>
      <c r="X42" s="97"/>
      <c r="Y42" s="177"/>
      <c r="Z42" s="97"/>
      <c r="AA42" s="97"/>
      <c r="AB42" s="102"/>
      <c r="AC42" s="102"/>
      <c r="AD42" s="102"/>
      <c r="AE42" s="102"/>
      <c r="AF42" s="102"/>
      <c r="AG42" s="102"/>
      <c r="AH42" s="102"/>
      <c r="AI42" s="102"/>
      <c r="AJ42" s="102"/>
      <c r="AK42" s="102"/>
      <c r="AL42" s="102"/>
      <c r="AM42" s="102"/>
      <c r="AN42" s="102"/>
      <c r="AO42" s="102"/>
      <c r="AP42" s="102"/>
      <c r="AQ42" s="102"/>
      <c r="AR42" s="102"/>
      <c r="AS42" s="102"/>
      <c r="AT42" s="102"/>
    </row>
    <row r="43" ht="15.75" customHeight="1">
      <c r="A43" s="90" t="s">
        <v>116</v>
      </c>
      <c r="B43" s="166" t="s">
        <v>1147</v>
      </c>
      <c r="C43" s="91"/>
      <c r="D43" s="91"/>
      <c r="E43" s="172"/>
      <c r="F43" s="97"/>
      <c r="G43" s="97"/>
      <c r="H43" s="97"/>
      <c r="I43" s="97"/>
      <c r="J43" s="98"/>
      <c r="K43" s="168"/>
      <c r="L43" s="100"/>
      <c r="M43" s="169"/>
      <c r="N43" s="170"/>
      <c r="O43" s="100"/>
      <c r="P43" s="97"/>
      <c r="Q43" s="168"/>
      <c r="R43" s="97"/>
      <c r="S43" s="97"/>
      <c r="T43" s="171" t="s">
        <v>1157</v>
      </c>
      <c r="U43" s="97"/>
      <c r="V43" s="97"/>
      <c r="W43" s="97"/>
      <c r="X43" s="97"/>
      <c r="Y43" s="177"/>
      <c r="Z43" s="97"/>
      <c r="AA43" s="97"/>
      <c r="AB43" s="102"/>
      <c r="AC43" s="102"/>
      <c r="AD43" s="102"/>
      <c r="AE43" s="102"/>
      <c r="AF43" s="102"/>
      <c r="AG43" s="102"/>
      <c r="AH43" s="102"/>
      <c r="AI43" s="102"/>
      <c r="AJ43" s="102"/>
      <c r="AK43" s="102"/>
      <c r="AL43" s="102"/>
      <c r="AM43" s="102"/>
      <c r="AN43" s="102"/>
      <c r="AO43" s="102"/>
      <c r="AP43" s="102"/>
      <c r="AQ43" s="102"/>
      <c r="AR43" s="102"/>
      <c r="AS43" s="102"/>
      <c r="AT43" s="102"/>
    </row>
    <row r="44" ht="15.75" customHeight="1">
      <c r="A44" s="90" t="s">
        <v>116</v>
      </c>
      <c r="B44" s="166" t="s">
        <v>1176</v>
      </c>
      <c r="C44" s="91"/>
      <c r="D44" s="91"/>
      <c r="E44" s="172"/>
      <c r="F44" s="97"/>
      <c r="G44" s="97"/>
      <c r="H44" s="97"/>
      <c r="I44" s="97"/>
      <c r="J44" s="98"/>
      <c r="K44" s="168"/>
      <c r="L44" s="100"/>
      <c r="M44" s="169"/>
      <c r="N44" s="170"/>
      <c r="O44" s="100"/>
      <c r="P44" s="97"/>
      <c r="Q44" s="168"/>
      <c r="R44" s="97"/>
      <c r="S44" s="97"/>
      <c r="T44" s="171" t="s">
        <v>1188</v>
      </c>
      <c r="U44" s="97"/>
      <c r="V44" s="97"/>
      <c r="W44" s="97"/>
      <c r="X44" s="97"/>
      <c r="Y44" s="177"/>
      <c r="Z44" s="97"/>
      <c r="AA44" s="97"/>
      <c r="AB44" s="102"/>
      <c r="AC44" s="102"/>
      <c r="AD44" s="102"/>
      <c r="AE44" s="102"/>
      <c r="AF44" s="102"/>
      <c r="AG44" s="102"/>
      <c r="AH44" s="102"/>
      <c r="AI44" s="102"/>
      <c r="AJ44" s="102"/>
      <c r="AK44" s="102"/>
      <c r="AL44" s="102"/>
      <c r="AM44" s="102"/>
      <c r="AN44" s="102"/>
      <c r="AO44" s="102"/>
      <c r="AP44" s="102"/>
      <c r="AQ44" s="102"/>
      <c r="AR44" s="102"/>
      <c r="AS44" s="102"/>
      <c r="AT44" s="102"/>
    </row>
    <row r="45" ht="15.75" customHeight="1">
      <c r="A45" s="90" t="s">
        <v>116</v>
      </c>
      <c r="B45" s="166" t="s">
        <v>1198</v>
      </c>
      <c r="C45" s="91"/>
      <c r="D45" s="91"/>
      <c r="E45" s="172"/>
      <c r="F45" s="97"/>
      <c r="G45" s="97"/>
      <c r="H45" s="97"/>
      <c r="I45" s="97"/>
      <c r="J45" s="98"/>
      <c r="K45" s="168"/>
      <c r="L45" s="100"/>
      <c r="M45" s="169"/>
      <c r="N45" s="170"/>
      <c r="O45" s="100"/>
      <c r="P45" s="97"/>
      <c r="Q45" s="168"/>
      <c r="R45" s="97"/>
      <c r="S45" s="97"/>
      <c r="T45" s="171" t="s">
        <v>1213</v>
      </c>
      <c r="U45" s="97"/>
      <c r="V45" s="97"/>
      <c r="W45" s="97"/>
      <c r="X45" s="97"/>
      <c r="Y45" s="177"/>
      <c r="Z45" s="97"/>
      <c r="AA45" s="97"/>
      <c r="AB45" s="102"/>
      <c r="AC45" s="102"/>
      <c r="AD45" s="102"/>
      <c r="AE45" s="102"/>
      <c r="AF45" s="102"/>
      <c r="AG45" s="102"/>
      <c r="AH45" s="102"/>
      <c r="AI45" s="102"/>
      <c r="AJ45" s="102"/>
      <c r="AK45" s="102"/>
      <c r="AL45" s="102"/>
      <c r="AM45" s="102"/>
      <c r="AN45" s="102"/>
      <c r="AO45" s="102"/>
      <c r="AP45" s="102"/>
      <c r="AQ45" s="102"/>
      <c r="AR45" s="102"/>
      <c r="AS45" s="102"/>
      <c r="AT45" s="102"/>
    </row>
    <row r="46" ht="15.75" customHeight="1">
      <c r="A46" s="90" t="s">
        <v>116</v>
      </c>
      <c r="B46" s="166" t="s">
        <v>1227</v>
      </c>
      <c r="C46" s="91"/>
      <c r="D46" s="91"/>
      <c r="E46" s="172"/>
      <c r="F46" s="97"/>
      <c r="G46" s="97"/>
      <c r="H46" s="97"/>
      <c r="I46" s="97"/>
      <c r="J46" s="98"/>
      <c r="K46" s="168"/>
      <c r="L46" s="100"/>
      <c r="M46" s="169"/>
      <c r="N46" s="170"/>
      <c r="O46" s="100"/>
      <c r="P46" s="97"/>
      <c r="Q46" s="168"/>
      <c r="R46" s="97"/>
      <c r="S46" s="97"/>
      <c r="T46" s="171" t="s">
        <v>1233</v>
      </c>
      <c r="U46" s="97"/>
      <c r="V46" s="97"/>
      <c r="W46" s="97"/>
      <c r="X46" s="97"/>
      <c r="Y46" s="177"/>
      <c r="Z46" s="97"/>
      <c r="AA46" s="97"/>
      <c r="AB46" s="102"/>
      <c r="AC46" s="102"/>
      <c r="AD46" s="102"/>
      <c r="AE46" s="102"/>
      <c r="AF46" s="102"/>
      <c r="AG46" s="102"/>
      <c r="AH46" s="102"/>
      <c r="AI46" s="102"/>
      <c r="AJ46" s="102"/>
      <c r="AK46" s="102"/>
      <c r="AL46" s="102"/>
      <c r="AM46" s="102"/>
      <c r="AN46" s="102"/>
      <c r="AO46" s="102"/>
      <c r="AP46" s="102"/>
      <c r="AQ46" s="102"/>
      <c r="AR46" s="102"/>
      <c r="AS46" s="102"/>
      <c r="AT46" s="102"/>
    </row>
    <row r="47" ht="15.75" customHeight="1">
      <c r="A47" s="90" t="s">
        <v>116</v>
      </c>
      <c r="B47" s="166" t="s">
        <v>1245</v>
      </c>
      <c r="C47" s="91"/>
      <c r="D47" s="91"/>
      <c r="E47" s="172"/>
      <c r="F47" s="97"/>
      <c r="G47" s="97"/>
      <c r="H47" s="97"/>
      <c r="I47" s="97"/>
      <c r="J47" s="98"/>
      <c r="K47" s="168"/>
      <c r="L47" s="100"/>
      <c r="M47" s="169"/>
      <c r="N47" s="170"/>
      <c r="O47" s="100"/>
      <c r="P47" s="97"/>
      <c r="Q47" s="168"/>
      <c r="R47" s="97"/>
      <c r="S47" s="97"/>
      <c r="T47" s="171" t="s">
        <v>1255</v>
      </c>
      <c r="U47" s="97"/>
      <c r="V47" s="97"/>
      <c r="W47" s="97"/>
      <c r="X47" s="97"/>
      <c r="Y47" s="177"/>
      <c r="Z47" s="97"/>
      <c r="AA47" s="97"/>
      <c r="AB47" s="102"/>
      <c r="AC47" s="102"/>
      <c r="AD47" s="102"/>
      <c r="AE47" s="102"/>
      <c r="AF47" s="102"/>
      <c r="AG47" s="102"/>
      <c r="AH47" s="102"/>
      <c r="AI47" s="102"/>
      <c r="AJ47" s="102"/>
      <c r="AK47" s="102"/>
      <c r="AL47" s="102"/>
      <c r="AM47" s="102"/>
      <c r="AN47" s="102"/>
      <c r="AO47" s="102"/>
      <c r="AP47" s="102"/>
      <c r="AQ47" s="102"/>
      <c r="AR47" s="102"/>
      <c r="AS47" s="102"/>
      <c r="AT47" s="102"/>
    </row>
    <row r="48" ht="15.75" customHeight="1">
      <c r="A48" s="90" t="s">
        <v>116</v>
      </c>
      <c r="B48" s="166" t="s">
        <v>1270</v>
      </c>
      <c r="C48" s="91"/>
      <c r="D48" s="91"/>
      <c r="E48" s="172"/>
      <c r="F48" s="97"/>
      <c r="G48" s="97"/>
      <c r="H48" s="97"/>
      <c r="I48" s="97"/>
      <c r="J48" s="98"/>
      <c r="K48" s="168"/>
      <c r="L48" s="100"/>
      <c r="M48" s="169"/>
      <c r="N48" s="170"/>
      <c r="O48" s="100"/>
      <c r="P48" s="97"/>
      <c r="Q48" s="177"/>
      <c r="R48" s="97"/>
      <c r="S48" s="97"/>
      <c r="T48" s="171" t="s">
        <v>1278</v>
      </c>
      <c r="U48" s="97"/>
      <c r="V48" s="97"/>
      <c r="W48" s="97"/>
      <c r="X48" s="97"/>
      <c r="Y48" s="177"/>
      <c r="Z48" s="97"/>
      <c r="AA48" s="97"/>
      <c r="AB48" s="102"/>
      <c r="AC48" s="102"/>
      <c r="AD48" s="102"/>
      <c r="AE48" s="102"/>
      <c r="AF48" s="102"/>
      <c r="AG48" s="102"/>
      <c r="AH48" s="102"/>
      <c r="AI48" s="102"/>
      <c r="AJ48" s="102"/>
      <c r="AK48" s="102"/>
      <c r="AL48" s="102"/>
      <c r="AM48" s="102"/>
      <c r="AN48" s="102"/>
      <c r="AO48" s="102"/>
      <c r="AP48" s="102"/>
      <c r="AQ48" s="102"/>
      <c r="AR48" s="102"/>
      <c r="AS48" s="102"/>
      <c r="AT48" s="102"/>
    </row>
    <row r="49" ht="15.75" customHeight="1">
      <c r="A49" s="90" t="s">
        <v>116</v>
      </c>
      <c r="B49" s="166" t="s">
        <v>1298</v>
      </c>
      <c r="C49" s="91"/>
      <c r="D49" s="91"/>
      <c r="E49" s="172"/>
      <c r="F49" s="97"/>
      <c r="G49" s="97"/>
      <c r="H49" s="97"/>
      <c r="I49" s="97"/>
      <c r="J49" s="98"/>
      <c r="K49" s="168"/>
      <c r="L49" s="100"/>
      <c r="M49" s="169"/>
      <c r="N49" s="170"/>
      <c r="O49" s="100"/>
      <c r="P49" s="97"/>
      <c r="Q49" s="177"/>
      <c r="R49" s="97"/>
      <c r="S49" s="97"/>
      <c r="T49" s="171" t="s">
        <v>1313</v>
      </c>
      <c r="U49" s="97"/>
      <c r="V49" s="97"/>
      <c r="W49" s="97"/>
      <c r="X49" s="97"/>
      <c r="Y49" s="177"/>
      <c r="Z49" s="97"/>
      <c r="AA49" s="97"/>
      <c r="AB49" s="102"/>
      <c r="AC49" s="102"/>
      <c r="AD49" s="102"/>
      <c r="AE49" s="102"/>
      <c r="AF49" s="102"/>
      <c r="AG49" s="102"/>
      <c r="AH49" s="102"/>
      <c r="AI49" s="102"/>
      <c r="AJ49" s="102"/>
      <c r="AK49" s="102"/>
      <c r="AL49" s="102"/>
      <c r="AM49" s="102"/>
      <c r="AN49" s="102"/>
      <c r="AO49" s="102"/>
      <c r="AP49" s="102"/>
      <c r="AQ49" s="102"/>
      <c r="AR49" s="102"/>
      <c r="AS49" s="102"/>
      <c r="AT49" s="102"/>
    </row>
    <row r="50" ht="15.75" customHeight="1">
      <c r="A50" s="90" t="s">
        <v>116</v>
      </c>
      <c r="B50" s="166" t="s">
        <v>1329</v>
      </c>
      <c r="C50" s="91"/>
      <c r="D50" s="91"/>
      <c r="E50" s="172"/>
      <c r="F50" s="97"/>
      <c r="G50" s="97"/>
      <c r="H50" s="97"/>
      <c r="I50" s="97"/>
      <c r="J50" s="98"/>
      <c r="K50" s="168"/>
      <c r="L50" s="100"/>
      <c r="M50" s="169"/>
      <c r="N50" s="170"/>
      <c r="O50" s="100"/>
      <c r="P50" s="97"/>
      <c r="Q50" s="177"/>
      <c r="R50" s="97"/>
      <c r="S50" s="97"/>
      <c r="T50" s="180" t="s">
        <v>1336</v>
      </c>
      <c r="U50" s="97"/>
      <c r="V50" s="97"/>
      <c r="W50" s="97"/>
      <c r="X50" s="97"/>
      <c r="Y50" s="177"/>
      <c r="Z50" s="97"/>
      <c r="AA50" s="97"/>
      <c r="AB50" s="102"/>
      <c r="AC50" s="102"/>
      <c r="AD50" s="102"/>
      <c r="AE50" s="102"/>
      <c r="AF50" s="102"/>
      <c r="AG50" s="102"/>
      <c r="AH50" s="102"/>
      <c r="AI50" s="102"/>
      <c r="AJ50" s="102"/>
      <c r="AK50" s="102"/>
      <c r="AL50" s="102"/>
      <c r="AM50" s="102"/>
      <c r="AN50" s="102"/>
      <c r="AO50" s="102"/>
      <c r="AP50" s="102"/>
      <c r="AQ50" s="102"/>
      <c r="AR50" s="102"/>
      <c r="AS50" s="102"/>
      <c r="AT50" s="102"/>
    </row>
    <row r="51" ht="15.75" customHeight="1">
      <c r="A51" s="90" t="s">
        <v>116</v>
      </c>
      <c r="B51" s="166" t="s">
        <v>1351</v>
      </c>
      <c r="C51" s="91"/>
      <c r="D51" s="91"/>
      <c r="E51" s="172"/>
      <c r="F51" s="97"/>
      <c r="G51" s="97"/>
      <c r="H51" s="97"/>
      <c r="I51" s="97"/>
      <c r="J51" s="98"/>
      <c r="K51" s="168"/>
      <c r="L51" s="100"/>
      <c r="M51" s="169"/>
      <c r="N51" s="170"/>
      <c r="O51" s="100"/>
      <c r="P51" s="97"/>
      <c r="Q51" s="177"/>
      <c r="R51" s="97"/>
      <c r="S51" s="97"/>
      <c r="T51" s="180" t="s">
        <v>1360</v>
      </c>
      <c r="U51" s="97"/>
      <c r="V51" s="97"/>
      <c r="W51" s="97"/>
      <c r="X51" s="97"/>
      <c r="Y51" s="177"/>
      <c r="Z51" s="97"/>
      <c r="AA51" s="97"/>
      <c r="AB51" s="102"/>
      <c r="AC51" s="102"/>
      <c r="AD51" s="102"/>
      <c r="AE51" s="102"/>
      <c r="AF51" s="102"/>
      <c r="AG51" s="102"/>
      <c r="AH51" s="102"/>
      <c r="AI51" s="102"/>
      <c r="AJ51" s="102"/>
      <c r="AK51" s="102"/>
      <c r="AL51" s="102"/>
      <c r="AM51" s="102"/>
      <c r="AN51" s="102"/>
      <c r="AO51" s="102"/>
      <c r="AP51" s="102"/>
      <c r="AQ51" s="102"/>
      <c r="AR51" s="102"/>
      <c r="AS51" s="102"/>
      <c r="AT51" s="102"/>
    </row>
    <row r="52" ht="15.75" customHeight="1">
      <c r="A52" s="142" t="s">
        <v>116</v>
      </c>
      <c r="B52" s="181" t="s">
        <v>1371</v>
      </c>
      <c r="C52" s="144"/>
      <c r="D52" s="182"/>
      <c r="E52" s="144"/>
      <c r="F52" s="145"/>
      <c r="G52" s="145"/>
      <c r="H52" s="145"/>
      <c r="I52" s="145"/>
      <c r="J52" s="145"/>
      <c r="K52" s="145"/>
      <c r="L52" s="145"/>
      <c r="M52" s="145"/>
      <c r="N52" s="145"/>
      <c r="O52" s="145"/>
      <c r="P52" s="145"/>
      <c r="Q52" s="183"/>
      <c r="R52" s="145"/>
      <c r="S52" s="145"/>
      <c r="T52" s="184" t="s">
        <v>1383</v>
      </c>
      <c r="U52" s="145"/>
      <c r="V52" s="145"/>
      <c r="W52" s="145"/>
      <c r="X52" s="145"/>
      <c r="Y52" s="145"/>
      <c r="Z52" s="145"/>
      <c r="AA52" s="145"/>
      <c r="AB52" s="145"/>
      <c r="AC52" s="145"/>
      <c r="AD52" s="102"/>
      <c r="AE52" s="102"/>
      <c r="AF52" s="102"/>
      <c r="AG52" s="102"/>
      <c r="AH52" s="102"/>
      <c r="AI52" s="102"/>
      <c r="AJ52" s="102"/>
      <c r="AK52" s="102"/>
      <c r="AL52" s="102"/>
      <c r="AM52" s="102"/>
      <c r="AN52" s="102"/>
      <c r="AO52" s="102"/>
      <c r="AP52" s="102"/>
      <c r="AQ52" s="102"/>
      <c r="AR52" s="102"/>
      <c r="AS52" s="102"/>
      <c r="AT52" s="102"/>
    </row>
    <row r="53" ht="15.75" customHeight="1">
      <c r="A53" s="76" t="s">
        <v>42</v>
      </c>
      <c r="B53" s="185" t="s">
        <v>188</v>
      </c>
      <c r="C53" s="77" t="s">
        <v>185</v>
      </c>
      <c r="D53" s="77" t="s">
        <v>190</v>
      </c>
      <c r="E53" s="77" t="s">
        <v>191</v>
      </c>
      <c r="F53" s="77"/>
      <c r="G53" s="77"/>
      <c r="H53" s="77"/>
      <c r="I53" s="186"/>
      <c r="J53" s="186"/>
      <c r="K53" s="186"/>
      <c r="L53" s="186"/>
      <c r="M53" s="186"/>
      <c r="N53" s="186"/>
      <c r="O53" s="185" t="s">
        <v>1410</v>
      </c>
      <c r="P53" s="186"/>
      <c r="Q53" s="185"/>
      <c r="R53" s="186"/>
      <c r="S53" s="186"/>
      <c r="T53" s="186"/>
      <c r="U53" s="186"/>
      <c r="V53" s="186"/>
      <c r="W53" s="186"/>
      <c r="X53" s="186"/>
      <c r="Y53" s="186"/>
      <c r="Z53" s="186"/>
      <c r="AA53" s="186"/>
      <c r="AB53" s="186"/>
      <c r="AC53" s="186"/>
      <c r="AD53" s="49"/>
      <c r="AE53" s="49"/>
      <c r="AF53" s="49"/>
      <c r="AG53" s="49"/>
      <c r="AH53" s="49"/>
      <c r="AI53" s="49"/>
      <c r="AJ53" s="49"/>
      <c r="AK53" s="49"/>
      <c r="AL53" s="49"/>
      <c r="AM53" s="49"/>
      <c r="AN53" s="49"/>
      <c r="AO53" s="49"/>
      <c r="AP53" s="49"/>
      <c r="AQ53" s="49"/>
      <c r="AR53" s="49"/>
      <c r="AS53" s="49"/>
      <c r="AT53" s="49"/>
    </row>
    <row r="54" ht="15.75" customHeight="1">
      <c r="A54" s="76" t="s">
        <v>227</v>
      </c>
      <c r="B54" s="185" t="s">
        <v>1431</v>
      </c>
      <c r="C54" s="187" t="s">
        <v>1435</v>
      </c>
      <c r="D54" s="165"/>
      <c r="E54" s="188"/>
      <c r="F54" s="186"/>
      <c r="G54" s="186"/>
      <c r="H54" s="186"/>
      <c r="I54" s="186"/>
      <c r="J54" s="186"/>
      <c r="K54" s="186"/>
      <c r="L54" s="186"/>
      <c r="M54" s="186"/>
      <c r="N54" s="186"/>
      <c r="O54" s="185" t="s">
        <v>1444</v>
      </c>
      <c r="P54" s="186"/>
      <c r="Q54" s="185"/>
      <c r="R54" s="186"/>
      <c r="S54" s="186"/>
      <c r="T54" s="186"/>
      <c r="U54" s="186"/>
      <c r="V54" s="186"/>
      <c r="W54" s="186"/>
      <c r="X54" s="186"/>
      <c r="Y54" s="186"/>
      <c r="Z54" s="186"/>
      <c r="AA54" s="186"/>
      <c r="AB54" s="186"/>
      <c r="AC54" s="186"/>
      <c r="AD54" s="49"/>
      <c r="AE54" s="49"/>
      <c r="AF54" s="49"/>
      <c r="AG54" s="49"/>
      <c r="AH54" s="49"/>
      <c r="AI54" s="49"/>
      <c r="AJ54" s="49"/>
      <c r="AK54" s="49"/>
      <c r="AL54" s="49"/>
      <c r="AM54" s="49"/>
      <c r="AN54" s="49"/>
      <c r="AO54" s="49"/>
      <c r="AP54" s="49"/>
      <c r="AQ54" s="49"/>
      <c r="AR54" s="49"/>
      <c r="AS54" s="49"/>
      <c r="AT54" s="49"/>
    </row>
    <row r="55" ht="15.75" customHeight="1">
      <c r="A55" s="76" t="s">
        <v>194</v>
      </c>
      <c r="B55" s="76" t="s">
        <v>195</v>
      </c>
      <c r="C55" s="77" t="s">
        <v>192</v>
      </c>
      <c r="D55" s="77" t="s">
        <v>198</v>
      </c>
      <c r="E55" s="77" t="s">
        <v>199</v>
      </c>
      <c r="F55" s="77"/>
      <c r="G55" s="77"/>
      <c r="H55" s="77"/>
      <c r="I55" s="37"/>
      <c r="J55" s="37"/>
      <c r="K55" s="37"/>
      <c r="L55" s="37"/>
      <c r="M55" s="37"/>
      <c r="N55" s="37"/>
      <c r="O55" s="37"/>
      <c r="P55" s="37"/>
      <c r="Q55" s="76" t="s">
        <v>268</v>
      </c>
      <c r="R55" s="37"/>
      <c r="S55" s="37"/>
      <c r="T55" s="37"/>
      <c r="U55" s="37"/>
      <c r="V55" s="37"/>
      <c r="W55" s="37"/>
      <c r="X55" s="37"/>
      <c r="Y55" s="37"/>
      <c r="Z55" s="37"/>
      <c r="AA55" s="37"/>
      <c r="AB55" s="37"/>
      <c r="AC55" s="37"/>
      <c r="AD55" s="49"/>
      <c r="AE55" s="49"/>
      <c r="AF55" s="49"/>
      <c r="AG55" s="49"/>
      <c r="AH55" s="49"/>
      <c r="AI55" s="49"/>
      <c r="AJ55" s="49"/>
      <c r="AK55" s="49"/>
      <c r="AL55" s="49"/>
      <c r="AM55" s="49"/>
      <c r="AN55" s="49"/>
      <c r="AO55" s="49"/>
      <c r="AP55" s="49"/>
      <c r="AQ55" s="49"/>
      <c r="AR55" s="49"/>
      <c r="AS55" s="49"/>
      <c r="AT55" s="49"/>
    </row>
    <row r="56" ht="15.75" customHeight="1">
      <c r="A56" s="76" t="s">
        <v>200</v>
      </c>
      <c r="B56" s="76" t="s">
        <v>201</v>
      </c>
      <c r="C56" s="77" t="s">
        <v>202</v>
      </c>
      <c r="D56" s="77" t="s">
        <v>207</v>
      </c>
      <c r="E56" s="77" t="s">
        <v>208</v>
      </c>
      <c r="F56" s="77"/>
      <c r="G56" s="77"/>
      <c r="H56" s="77"/>
      <c r="I56" s="37"/>
      <c r="J56" s="37"/>
      <c r="K56" s="37"/>
      <c r="L56" s="37"/>
      <c r="M56" s="37"/>
      <c r="N56" s="37"/>
      <c r="O56" s="76" t="s">
        <v>1514</v>
      </c>
      <c r="P56" s="37"/>
      <c r="Q56" s="76" t="s">
        <v>268</v>
      </c>
      <c r="R56" s="37"/>
      <c r="S56" s="37"/>
      <c r="T56" s="37"/>
      <c r="U56" s="37"/>
      <c r="V56" s="37"/>
      <c r="W56" s="37"/>
      <c r="X56" s="37"/>
      <c r="Y56" s="37"/>
      <c r="Z56" s="37"/>
      <c r="AA56" s="37"/>
      <c r="AB56" s="37"/>
      <c r="AC56" s="37"/>
      <c r="AD56" s="49"/>
      <c r="AE56" s="49"/>
      <c r="AF56" s="49"/>
      <c r="AG56" s="49"/>
      <c r="AH56" s="49"/>
      <c r="AI56" s="49"/>
      <c r="AJ56" s="49"/>
      <c r="AK56" s="49"/>
      <c r="AL56" s="49"/>
      <c r="AM56" s="49"/>
      <c r="AN56" s="49"/>
      <c r="AO56" s="49"/>
      <c r="AP56" s="49"/>
      <c r="AQ56" s="49"/>
      <c r="AR56" s="49"/>
      <c r="AS56" s="49"/>
      <c r="AT56" s="49"/>
    </row>
    <row r="57" ht="15.75" customHeight="1">
      <c r="A57" s="76" t="s">
        <v>42</v>
      </c>
      <c r="B57" s="76" t="s">
        <v>209</v>
      </c>
      <c r="C57" s="77" t="s">
        <v>210</v>
      </c>
      <c r="D57" s="77" t="s">
        <v>214</v>
      </c>
      <c r="E57" s="77" t="s">
        <v>215</v>
      </c>
      <c r="F57" s="77"/>
      <c r="G57" s="77"/>
      <c r="H57" s="77"/>
      <c r="I57" s="37"/>
      <c r="J57" s="37"/>
      <c r="K57" s="37"/>
      <c r="L57" s="37"/>
      <c r="M57" s="37"/>
      <c r="N57" s="37"/>
      <c r="O57" s="76" t="s">
        <v>1552</v>
      </c>
      <c r="P57" s="37"/>
      <c r="Q57" s="76" t="s">
        <v>268</v>
      </c>
      <c r="R57" s="37"/>
      <c r="S57" s="37"/>
      <c r="T57" s="37"/>
      <c r="U57" s="37"/>
      <c r="V57" s="37"/>
      <c r="W57" s="37"/>
      <c r="X57" s="37"/>
      <c r="Y57" s="37"/>
      <c r="Z57" s="37"/>
      <c r="AA57" s="37"/>
      <c r="AB57" s="37"/>
      <c r="AC57" s="37"/>
      <c r="AD57" s="49"/>
      <c r="AE57" s="49"/>
      <c r="AF57" s="49"/>
      <c r="AG57" s="49"/>
      <c r="AH57" s="49"/>
      <c r="AI57" s="49"/>
      <c r="AJ57" s="49"/>
      <c r="AK57" s="49"/>
      <c r="AL57" s="49"/>
      <c r="AM57" s="49"/>
      <c r="AN57" s="49"/>
      <c r="AO57" s="49"/>
      <c r="AP57" s="49"/>
      <c r="AQ57" s="49"/>
      <c r="AR57" s="49"/>
      <c r="AS57" s="49"/>
      <c r="AT57" s="49"/>
    </row>
    <row r="58" ht="15.75" customHeight="1">
      <c r="A58" s="76" t="s">
        <v>42</v>
      </c>
      <c r="B58" s="76" t="s">
        <v>216</v>
      </c>
      <c r="C58" s="77" t="s">
        <v>217</v>
      </c>
      <c r="D58" s="77" t="s">
        <v>223</v>
      </c>
      <c r="E58" s="77" t="s">
        <v>224</v>
      </c>
      <c r="F58" s="77"/>
      <c r="G58" s="77"/>
      <c r="H58" s="77"/>
      <c r="I58" s="37"/>
      <c r="J58" s="37"/>
      <c r="K58" s="37"/>
      <c r="L58" s="37"/>
      <c r="M58" s="37"/>
      <c r="N58" s="37"/>
      <c r="O58" s="76" t="s">
        <v>1590</v>
      </c>
      <c r="P58" s="37"/>
      <c r="Q58" s="76" t="s">
        <v>268</v>
      </c>
      <c r="R58" s="37"/>
      <c r="S58" s="37"/>
      <c r="T58" s="37"/>
      <c r="U58" s="37"/>
      <c r="V58" s="37"/>
      <c r="W58" s="37"/>
      <c r="X58" s="37"/>
      <c r="Y58" s="37"/>
      <c r="Z58" s="37"/>
      <c r="AA58" s="37"/>
      <c r="AB58" s="37"/>
      <c r="AC58" s="37"/>
      <c r="AD58" s="49"/>
      <c r="AE58" s="49"/>
      <c r="AF58" s="49"/>
      <c r="AG58" s="49"/>
      <c r="AH58" s="49"/>
      <c r="AI58" s="49"/>
      <c r="AJ58" s="49"/>
      <c r="AK58" s="49"/>
      <c r="AL58" s="49"/>
      <c r="AM58" s="49"/>
      <c r="AN58" s="49"/>
      <c r="AO58" s="49"/>
      <c r="AP58" s="49"/>
      <c r="AQ58" s="49"/>
      <c r="AR58" s="49"/>
      <c r="AS58" s="49"/>
      <c r="AT58" s="49"/>
    </row>
    <row r="59" ht="15.75" customHeight="1">
      <c r="A59" s="76" t="s">
        <v>42</v>
      </c>
      <c r="B59" s="76" t="s">
        <v>225</v>
      </c>
      <c r="C59" s="77" t="s">
        <v>226</v>
      </c>
      <c r="D59" s="77" t="s">
        <v>228</v>
      </c>
      <c r="E59" s="77" t="s">
        <v>229</v>
      </c>
      <c r="F59" s="77"/>
      <c r="G59" s="77"/>
      <c r="H59" s="77"/>
      <c r="I59" s="37"/>
      <c r="J59" s="37"/>
      <c r="K59" s="37"/>
      <c r="L59" s="37"/>
      <c r="M59" s="37"/>
      <c r="N59" s="37"/>
      <c r="O59" s="76" t="s">
        <v>1627</v>
      </c>
      <c r="P59" s="37"/>
      <c r="Q59" s="76" t="s">
        <v>268</v>
      </c>
      <c r="R59" s="37"/>
      <c r="S59" s="37"/>
      <c r="T59" s="37"/>
      <c r="U59" s="37"/>
      <c r="V59" s="37"/>
      <c r="W59" s="37"/>
      <c r="X59" s="37"/>
      <c r="Y59" s="37"/>
      <c r="Z59" s="37"/>
      <c r="AA59" s="37"/>
      <c r="AB59" s="37"/>
      <c r="AC59" s="37"/>
      <c r="AD59" s="49"/>
      <c r="AE59" s="49"/>
      <c r="AF59" s="49"/>
      <c r="AG59" s="49"/>
      <c r="AH59" s="49"/>
      <c r="AI59" s="49"/>
      <c r="AJ59" s="49"/>
      <c r="AK59" s="49"/>
      <c r="AL59" s="49"/>
      <c r="AM59" s="49"/>
      <c r="AN59" s="49"/>
      <c r="AO59" s="49"/>
      <c r="AP59" s="49"/>
      <c r="AQ59" s="49"/>
      <c r="AR59" s="49"/>
      <c r="AS59" s="49"/>
      <c r="AT59" s="49"/>
    </row>
    <row r="60" ht="15.75" customHeight="1">
      <c r="A60" s="76" t="s">
        <v>194</v>
      </c>
      <c r="B60" s="76" t="s">
        <v>233</v>
      </c>
      <c r="C60" s="77" t="s">
        <v>234</v>
      </c>
      <c r="D60" s="77" t="s">
        <v>235</v>
      </c>
      <c r="E60" s="77" t="s">
        <v>236</v>
      </c>
      <c r="F60" s="77"/>
      <c r="G60" s="77"/>
      <c r="H60" s="77"/>
      <c r="I60" s="37"/>
      <c r="J60" s="37"/>
      <c r="K60" s="37"/>
      <c r="L60" s="37"/>
      <c r="M60" s="37"/>
      <c r="N60" s="37"/>
      <c r="O60" s="76" t="s">
        <v>1666</v>
      </c>
      <c r="P60" s="37"/>
      <c r="Q60" s="76" t="s">
        <v>268</v>
      </c>
      <c r="R60" s="37"/>
      <c r="S60" s="37"/>
      <c r="T60" s="37"/>
      <c r="U60" s="37"/>
      <c r="V60" s="37"/>
      <c r="W60" s="37"/>
      <c r="X60" s="37"/>
      <c r="Y60" s="37"/>
      <c r="Z60" s="37"/>
      <c r="AA60" s="37"/>
      <c r="AB60" s="37"/>
      <c r="AC60" s="37"/>
      <c r="AD60" s="49"/>
      <c r="AE60" s="49"/>
      <c r="AF60" s="49"/>
      <c r="AG60" s="49"/>
      <c r="AH60" s="49"/>
      <c r="AI60" s="49"/>
      <c r="AJ60" s="49"/>
      <c r="AK60" s="49"/>
      <c r="AL60" s="49"/>
      <c r="AM60" s="49"/>
      <c r="AN60" s="49"/>
      <c r="AO60" s="49"/>
      <c r="AP60" s="49"/>
      <c r="AQ60" s="49"/>
      <c r="AR60" s="49"/>
      <c r="AS60" s="49"/>
      <c r="AT60" s="49"/>
    </row>
    <row r="61" ht="15.75" customHeight="1">
      <c r="A61" s="76" t="s">
        <v>1681</v>
      </c>
      <c r="B61" s="76" t="s">
        <v>1682</v>
      </c>
      <c r="C61" s="77" t="s">
        <v>1684</v>
      </c>
      <c r="D61" s="77" t="s">
        <v>1685</v>
      </c>
      <c r="E61" s="77" t="s">
        <v>1686</v>
      </c>
      <c r="F61" s="77"/>
      <c r="G61" s="77"/>
      <c r="H61" s="77"/>
      <c r="I61" s="37"/>
      <c r="J61" s="37"/>
      <c r="K61" s="37"/>
      <c r="L61" s="37"/>
      <c r="M61" s="37"/>
      <c r="N61" s="37"/>
      <c r="O61" s="76" t="s">
        <v>1697</v>
      </c>
      <c r="P61" s="37"/>
      <c r="Q61" s="76" t="s">
        <v>268</v>
      </c>
      <c r="R61" s="37"/>
      <c r="S61" s="37"/>
      <c r="T61" s="37"/>
      <c r="U61" s="37"/>
      <c r="V61" s="37"/>
      <c r="W61" s="37"/>
      <c r="X61" s="37"/>
      <c r="Y61" s="37"/>
      <c r="Z61" s="37"/>
      <c r="AA61" s="37"/>
      <c r="AB61" s="37"/>
      <c r="AC61" s="37"/>
      <c r="AD61" s="49"/>
      <c r="AE61" s="49"/>
      <c r="AF61" s="49"/>
      <c r="AG61" s="49"/>
      <c r="AH61" s="49"/>
      <c r="AI61" s="49"/>
      <c r="AJ61" s="49"/>
      <c r="AK61" s="49"/>
      <c r="AL61" s="49"/>
      <c r="AM61" s="49"/>
      <c r="AN61" s="49"/>
      <c r="AO61" s="49"/>
      <c r="AP61" s="49"/>
      <c r="AQ61" s="49"/>
      <c r="AR61" s="49"/>
      <c r="AS61" s="49"/>
      <c r="AT61" s="49"/>
    </row>
    <row r="62" ht="15.75" customHeight="1">
      <c r="A62" s="76" t="s">
        <v>299</v>
      </c>
      <c r="B62" s="76" t="s">
        <v>1710</v>
      </c>
      <c r="C62" s="77" t="s">
        <v>1711</v>
      </c>
      <c r="D62" s="77" t="s">
        <v>1712</v>
      </c>
      <c r="E62" s="77" t="s">
        <v>1714</v>
      </c>
      <c r="F62" s="37"/>
      <c r="G62" s="37"/>
      <c r="H62" s="37"/>
      <c r="I62" s="37"/>
      <c r="J62" s="37"/>
      <c r="K62" s="37"/>
      <c r="L62" s="37"/>
      <c r="M62" s="37"/>
      <c r="N62" s="37"/>
      <c r="O62" s="76" t="s">
        <v>1724</v>
      </c>
      <c r="P62" s="37"/>
      <c r="Q62" s="76" t="s">
        <v>268</v>
      </c>
      <c r="R62" s="37"/>
      <c r="S62" s="37"/>
      <c r="T62" s="37"/>
      <c r="U62" s="37"/>
      <c r="V62" s="37"/>
      <c r="W62" s="37"/>
      <c r="X62" s="37"/>
      <c r="Y62" s="37"/>
      <c r="Z62" s="37"/>
      <c r="AA62" s="37"/>
      <c r="AB62" s="37"/>
      <c r="AC62" s="37"/>
      <c r="AD62" s="49"/>
      <c r="AE62" s="49"/>
      <c r="AF62" s="49"/>
      <c r="AG62" s="49"/>
      <c r="AH62" s="49"/>
      <c r="AI62" s="49"/>
      <c r="AJ62" s="49"/>
      <c r="AK62" s="49"/>
      <c r="AL62" s="49"/>
      <c r="AM62" s="49"/>
      <c r="AN62" s="49"/>
      <c r="AO62" s="49"/>
      <c r="AP62" s="49"/>
      <c r="AQ62" s="49"/>
      <c r="AR62" s="49"/>
      <c r="AS62" s="49"/>
      <c r="AT62" s="49"/>
    </row>
    <row r="63" ht="15.75" customHeight="1">
      <c r="A63" s="76" t="s">
        <v>735</v>
      </c>
      <c r="B63" s="76" t="s">
        <v>154</v>
      </c>
      <c r="C63" s="39"/>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49"/>
      <c r="AE63" s="49"/>
      <c r="AF63" s="49"/>
      <c r="AG63" s="49"/>
      <c r="AH63" s="49"/>
      <c r="AI63" s="49"/>
      <c r="AJ63" s="49"/>
      <c r="AK63" s="49"/>
      <c r="AL63" s="49"/>
      <c r="AM63" s="49"/>
      <c r="AN63" s="49"/>
      <c r="AO63" s="49"/>
      <c r="AP63" s="49"/>
      <c r="AQ63" s="49"/>
      <c r="AR63" s="49"/>
      <c r="AS63" s="49"/>
      <c r="AT63" s="49"/>
    </row>
    <row r="64" ht="15.75" customHeight="1">
      <c r="A64" s="76" t="s">
        <v>194</v>
      </c>
      <c r="B64" s="76" t="s">
        <v>240</v>
      </c>
      <c r="C64" s="77" t="s">
        <v>1773</v>
      </c>
      <c r="D64" s="77" t="s">
        <v>1775</v>
      </c>
      <c r="E64" s="77" t="s">
        <v>1779</v>
      </c>
      <c r="F64" s="77"/>
      <c r="G64" s="77"/>
      <c r="H64" s="77"/>
      <c r="I64" s="37"/>
      <c r="J64" s="37"/>
      <c r="K64" s="37"/>
      <c r="L64" s="37"/>
      <c r="M64" s="37"/>
      <c r="N64" s="37"/>
      <c r="O64" s="76" t="s">
        <v>1784</v>
      </c>
      <c r="P64" s="37"/>
      <c r="Q64" s="76" t="s">
        <v>268</v>
      </c>
      <c r="R64" s="37"/>
      <c r="S64" s="37"/>
      <c r="T64" s="37"/>
      <c r="U64" s="37"/>
      <c r="V64" s="37"/>
      <c r="W64" s="37"/>
      <c r="X64" s="37"/>
      <c r="Y64" s="37"/>
      <c r="Z64" s="37"/>
      <c r="AA64" s="37"/>
      <c r="AB64" s="37"/>
      <c r="AC64" s="37"/>
      <c r="AD64" s="49"/>
      <c r="AE64" s="49"/>
      <c r="AF64" s="49"/>
      <c r="AG64" s="49"/>
      <c r="AH64" s="49"/>
      <c r="AI64" s="49"/>
      <c r="AJ64" s="49"/>
      <c r="AK64" s="49"/>
      <c r="AL64" s="49"/>
      <c r="AM64" s="49"/>
      <c r="AN64" s="49"/>
      <c r="AO64" s="49"/>
      <c r="AP64" s="49"/>
      <c r="AQ64" s="49"/>
      <c r="AR64" s="49"/>
      <c r="AS64" s="49"/>
      <c r="AT64" s="49"/>
    </row>
    <row r="65" ht="15.75" customHeight="1">
      <c r="A65" s="90" t="s">
        <v>183</v>
      </c>
      <c r="B65" s="91" t="s">
        <v>1806</v>
      </c>
      <c r="C65" s="93"/>
      <c r="D65" s="96"/>
      <c r="E65" s="96"/>
      <c r="F65" s="97"/>
      <c r="G65" s="97"/>
      <c r="H65" s="97"/>
      <c r="I65" s="97"/>
      <c r="J65" s="98"/>
      <c r="K65" s="97"/>
      <c r="L65" s="97"/>
      <c r="M65" s="98"/>
      <c r="N65" s="98"/>
      <c r="O65" s="99"/>
      <c r="P65" s="100"/>
      <c r="Q65" s="100"/>
      <c r="R65" s="100"/>
      <c r="S65" s="97"/>
      <c r="T65" s="101" t="s">
        <v>211</v>
      </c>
      <c r="U65" s="97"/>
      <c r="V65" s="97"/>
      <c r="W65" s="97"/>
      <c r="X65" s="97"/>
      <c r="Y65" s="97"/>
      <c r="Z65" s="97"/>
      <c r="AA65" s="97"/>
      <c r="AB65" s="97"/>
      <c r="AC65" s="97"/>
      <c r="AD65" s="102"/>
      <c r="AE65" s="102"/>
      <c r="AF65" s="102"/>
      <c r="AG65" s="102"/>
      <c r="AH65" s="102"/>
      <c r="AI65" s="102"/>
      <c r="AJ65" s="102"/>
      <c r="AK65" s="102"/>
      <c r="AL65" s="102"/>
      <c r="AM65" s="102"/>
      <c r="AN65" s="102"/>
      <c r="AO65" s="102"/>
      <c r="AP65" s="102"/>
      <c r="AQ65" s="102"/>
      <c r="AR65" s="102"/>
      <c r="AS65" s="102"/>
      <c r="AT65" s="102"/>
    </row>
    <row r="66" ht="15.75" customHeight="1">
      <c r="A66" s="76" t="s">
        <v>116</v>
      </c>
      <c r="B66" s="76" t="s">
        <v>1830</v>
      </c>
      <c r="C66" s="77"/>
      <c r="D66" s="37"/>
      <c r="E66" s="37"/>
      <c r="F66" s="37"/>
      <c r="G66" s="37"/>
      <c r="H66" s="37"/>
      <c r="I66" s="37"/>
      <c r="J66" s="37"/>
      <c r="K66" s="37"/>
      <c r="L66" s="37"/>
      <c r="M66" s="37"/>
      <c r="N66" s="37"/>
      <c r="O66" s="76"/>
      <c r="P66" s="37"/>
      <c r="Q66" s="37"/>
      <c r="R66" s="37"/>
      <c r="S66" s="37"/>
      <c r="T66" s="76" t="s">
        <v>1853</v>
      </c>
      <c r="U66" s="37"/>
      <c r="V66" s="37"/>
      <c r="W66" s="37"/>
      <c r="X66" s="37"/>
      <c r="Y66" s="37"/>
      <c r="Z66" s="37"/>
      <c r="AA66" s="37"/>
      <c r="AB66" s="37"/>
      <c r="AC66" s="37"/>
      <c r="AD66" s="49"/>
      <c r="AE66" s="49"/>
      <c r="AF66" s="49"/>
      <c r="AG66" s="49"/>
      <c r="AH66" s="49"/>
      <c r="AI66" s="49"/>
      <c r="AJ66" s="49"/>
      <c r="AK66" s="49"/>
      <c r="AL66" s="49"/>
      <c r="AM66" s="49"/>
      <c r="AN66" s="49"/>
      <c r="AO66" s="49"/>
      <c r="AP66" s="49"/>
      <c r="AQ66" s="49"/>
      <c r="AR66" s="49"/>
      <c r="AS66" s="49"/>
      <c r="AT66" s="49"/>
    </row>
    <row r="67" ht="15.75" customHeight="1">
      <c r="A67" s="76" t="s">
        <v>227</v>
      </c>
      <c r="B67" s="76" t="s">
        <v>1858</v>
      </c>
      <c r="C67" s="77" t="s">
        <v>1862</v>
      </c>
      <c r="D67" s="37"/>
      <c r="E67" s="37"/>
      <c r="F67" s="37"/>
      <c r="G67" s="37"/>
      <c r="H67" s="37"/>
      <c r="I67" s="37"/>
      <c r="J67" s="37"/>
      <c r="K67" s="37"/>
      <c r="L67" s="37"/>
      <c r="M67" s="37"/>
      <c r="N67" s="37"/>
      <c r="O67" s="76" t="s">
        <v>1874</v>
      </c>
      <c r="P67" s="37"/>
      <c r="Q67" s="37"/>
      <c r="R67" s="37"/>
      <c r="S67" s="37"/>
      <c r="T67" s="37"/>
      <c r="U67" s="37"/>
      <c r="V67" s="37"/>
      <c r="W67" s="37"/>
      <c r="X67" s="37"/>
      <c r="Y67" s="37"/>
      <c r="Z67" s="37"/>
      <c r="AA67" s="37"/>
      <c r="AB67" s="37"/>
      <c r="AC67" s="37"/>
      <c r="AD67" s="49"/>
      <c r="AE67" s="49"/>
      <c r="AF67" s="49"/>
      <c r="AG67" s="49"/>
      <c r="AH67" s="49"/>
      <c r="AI67" s="49"/>
      <c r="AJ67" s="49"/>
      <c r="AK67" s="49"/>
      <c r="AL67" s="49"/>
      <c r="AM67" s="49"/>
      <c r="AN67" s="49"/>
      <c r="AO67" s="49"/>
      <c r="AP67" s="49"/>
      <c r="AQ67" s="49"/>
      <c r="AR67" s="49"/>
      <c r="AS67" s="49"/>
      <c r="AT67" s="49"/>
    </row>
    <row r="68" ht="15.75" customHeight="1">
      <c r="A68" s="76" t="s">
        <v>227</v>
      </c>
      <c r="B68" s="76" t="s">
        <v>1889</v>
      </c>
      <c r="C68" s="39"/>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49"/>
      <c r="AE68" s="49"/>
      <c r="AF68" s="49"/>
      <c r="AG68" s="49"/>
      <c r="AH68" s="49"/>
      <c r="AI68" s="49"/>
      <c r="AJ68" s="49"/>
      <c r="AK68" s="49"/>
      <c r="AL68" s="49"/>
      <c r="AM68" s="49"/>
      <c r="AN68" s="49"/>
      <c r="AO68" s="49"/>
      <c r="AP68" s="49"/>
      <c r="AQ68" s="49"/>
      <c r="AR68" s="49"/>
      <c r="AS68" s="49"/>
      <c r="AT68" s="49"/>
    </row>
    <row r="69" ht="15.75" customHeight="1">
      <c r="A69" s="76"/>
      <c r="B69" s="76"/>
      <c r="C69" s="7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49"/>
      <c r="AE69" s="49"/>
      <c r="AF69" s="49"/>
      <c r="AG69" s="49"/>
      <c r="AH69" s="49"/>
      <c r="AI69" s="49"/>
      <c r="AJ69" s="49"/>
      <c r="AK69" s="49"/>
      <c r="AL69" s="49"/>
      <c r="AM69" s="49"/>
      <c r="AN69" s="49"/>
      <c r="AO69" s="49"/>
      <c r="AP69" s="49"/>
      <c r="AQ69" s="49"/>
      <c r="AR69" s="49"/>
      <c r="AS69" s="49"/>
      <c r="AT69" s="49"/>
    </row>
    <row r="70" ht="15.75" customHeight="1">
      <c r="A70" s="90" t="s">
        <v>183</v>
      </c>
      <c r="B70" s="91" t="s">
        <v>1922</v>
      </c>
      <c r="C70" s="93"/>
      <c r="D70" s="96"/>
      <c r="E70" s="96"/>
      <c r="F70" s="97"/>
      <c r="G70" s="97"/>
      <c r="H70" s="97"/>
      <c r="I70" s="97"/>
      <c r="J70" s="98"/>
      <c r="K70" s="97"/>
      <c r="L70" s="97"/>
      <c r="M70" s="98"/>
      <c r="N70" s="98"/>
      <c r="O70" s="99"/>
      <c r="P70" s="100"/>
      <c r="Q70" s="100"/>
      <c r="R70" s="100"/>
      <c r="S70" s="97"/>
      <c r="T70" s="101" t="s">
        <v>211</v>
      </c>
      <c r="U70" s="97"/>
      <c r="V70" s="97"/>
      <c r="W70" s="97"/>
      <c r="X70" s="97"/>
      <c r="Y70" s="97"/>
      <c r="Z70" s="97"/>
      <c r="AA70" s="97"/>
      <c r="AB70" s="97"/>
      <c r="AC70" s="97"/>
      <c r="AD70" s="102"/>
      <c r="AE70" s="102"/>
      <c r="AF70" s="102"/>
      <c r="AG70" s="102"/>
      <c r="AH70" s="102"/>
      <c r="AI70" s="102"/>
      <c r="AJ70" s="102"/>
      <c r="AK70" s="102"/>
      <c r="AL70" s="102"/>
      <c r="AM70" s="102"/>
      <c r="AN70" s="102"/>
      <c r="AO70" s="102"/>
      <c r="AP70" s="102"/>
      <c r="AQ70" s="102"/>
      <c r="AR70" s="102"/>
      <c r="AS70" s="102"/>
      <c r="AT70" s="102"/>
    </row>
    <row r="71" ht="15.75" customHeight="1">
      <c r="A71" s="197" t="s">
        <v>227</v>
      </c>
      <c r="B71" s="93" t="s">
        <v>1945</v>
      </c>
      <c r="C71" s="93" t="s">
        <v>1948</v>
      </c>
      <c r="D71" s="96"/>
      <c r="E71" s="96"/>
      <c r="F71" s="97"/>
      <c r="G71" s="97"/>
      <c r="H71" s="97"/>
      <c r="I71" s="97"/>
      <c r="J71" s="98"/>
      <c r="K71" s="97"/>
      <c r="L71" s="97"/>
      <c r="M71" s="98"/>
      <c r="N71" s="98"/>
      <c r="O71" s="99"/>
      <c r="P71" s="100"/>
      <c r="Q71" s="100"/>
      <c r="R71" s="100"/>
      <c r="S71" s="97"/>
      <c r="T71" s="97"/>
      <c r="U71" s="97"/>
      <c r="V71" s="97"/>
      <c r="W71" s="97"/>
      <c r="X71" s="97"/>
      <c r="Y71" s="97"/>
      <c r="Z71" s="97"/>
      <c r="AA71" s="97"/>
      <c r="AB71" s="97"/>
      <c r="AC71" s="97"/>
      <c r="AD71" s="102"/>
      <c r="AE71" s="102"/>
      <c r="AF71" s="102"/>
      <c r="AG71" s="102"/>
      <c r="AH71" s="102"/>
      <c r="AI71" s="102"/>
      <c r="AJ71" s="102"/>
      <c r="AK71" s="102"/>
      <c r="AL71" s="102"/>
      <c r="AM71" s="102"/>
      <c r="AN71" s="102"/>
      <c r="AO71" s="102"/>
      <c r="AP71" s="102"/>
      <c r="AQ71" s="102"/>
      <c r="AR71" s="102"/>
      <c r="AS71" s="102"/>
      <c r="AT71" s="102"/>
    </row>
    <row r="72" ht="15.75" customHeight="1">
      <c r="A72" s="198" t="s">
        <v>42</v>
      </c>
      <c r="B72" s="199" t="s">
        <v>265</v>
      </c>
      <c r="C72" s="77" t="s">
        <v>266</v>
      </c>
      <c r="D72" s="77" t="s">
        <v>1974</v>
      </c>
      <c r="E72" s="77" t="s">
        <v>1977</v>
      </c>
      <c r="F72" s="77"/>
      <c r="G72" s="77"/>
      <c r="H72" s="77"/>
      <c r="I72" s="200"/>
      <c r="J72" s="200"/>
      <c r="K72" s="200"/>
      <c r="L72" s="200"/>
      <c r="M72" s="200"/>
      <c r="N72" s="200"/>
      <c r="O72" s="200"/>
      <c r="P72" s="200"/>
      <c r="Q72" s="200"/>
      <c r="R72" s="200"/>
      <c r="S72" s="200"/>
      <c r="T72" s="200"/>
      <c r="U72" s="200"/>
      <c r="V72" s="200"/>
      <c r="W72" s="200"/>
      <c r="X72" s="200"/>
      <c r="Y72" s="200"/>
      <c r="Z72" s="200"/>
      <c r="AA72" s="200"/>
      <c r="AB72" s="200"/>
      <c r="AC72" s="200"/>
      <c r="AD72" s="102"/>
      <c r="AE72" s="102"/>
      <c r="AF72" s="102"/>
      <c r="AG72" s="102"/>
      <c r="AH72" s="102"/>
      <c r="AI72" s="102"/>
      <c r="AJ72" s="102"/>
      <c r="AK72" s="102"/>
      <c r="AL72" s="102"/>
      <c r="AM72" s="102"/>
      <c r="AN72" s="102"/>
      <c r="AO72" s="102"/>
      <c r="AP72" s="102"/>
      <c r="AQ72" s="102"/>
      <c r="AR72" s="102"/>
      <c r="AS72" s="102"/>
      <c r="AT72" s="102"/>
    </row>
    <row r="73" ht="15.75" customHeight="1">
      <c r="A73" s="90" t="s">
        <v>183</v>
      </c>
      <c r="B73" s="91" t="s">
        <v>2005</v>
      </c>
      <c r="C73" s="93"/>
      <c r="D73" s="96"/>
      <c r="E73" s="96"/>
      <c r="F73" s="97"/>
      <c r="G73" s="97"/>
      <c r="H73" s="97"/>
      <c r="I73" s="97"/>
      <c r="J73" s="98"/>
      <c r="K73" s="97"/>
      <c r="L73" s="97"/>
      <c r="M73" s="98"/>
      <c r="N73" s="98"/>
      <c r="O73" s="99"/>
      <c r="P73" s="100"/>
      <c r="Q73" s="100"/>
      <c r="R73" s="100"/>
      <c r="S73" s="97"/>
      <c r="T73" s="101" t="s">
        <v>211</v>
      </c>
      <c r="U73" s="97"/>
      <c r="V73" s="97"/>
      <c r="W73" s="97"/>
      <c r="X73" s="97"/>
      <c r="Y73" s="97"/>
      <c r="Z73" s="97"/>
      <c r="AA73" s="97"/>
      <c r="AB73" s="97"/>
      <c r="AC73" s="97"/>
      <c r="AD73" s="102"/>
      <c r="AE73" s="102"/>
      <c r="AF73" s="102"/>
      <c r="AG73" s="102"/>
      <c r="AH73" s="102"/>
      <c r="AI73" s="102"/>
      <c r="AJ73" s="102"/>
      <c r="AK73" s="102"/>
      <c r="AL73" s="102"/>
      <c r="AM73" s="102"/>
      <c r="AN73" s="102"/>
      <c r="AO73" s="102"/>
      <c r="AP73" s="102"/>
      <c r="AQ73" s="102"/>
      <c r="AR73" s="102"/>
      <c r="AS73" s="102"/>
      <c r="AT73" s="102"/>
    </row>
    <row r="74" ht="15.75" customHeight="1">
      <c r="A74" s="201" t="s">
        <v>42</v>
      </c>
      <c r="B74" s="202" t="s">
        <v>275</v>
      </c>
      <c r="C74" s="77" t="s">
        <v>272</v>
      </c>
      <c r="D74" s="77" t="s">
        <v>2035</v>
      </c>
      <c r="E74" s="77" t="s">
        <v>2036</v>
      </c>
      <c r="F74" s="77"/>
      <c r="G74" s="77"/>
      <c r="H74" s="77"/>
      <c r="I74" s="200"/>
      <c r="J74" s="200"/>
      <c r="K74" s="200"/>
      <c r="L74" s="200"/>
      <c r="M74" s="200"/>
      <c r="N74" s="200"/>
      <c r="O74" s="200"/>
      <c r="P74" s="200"/>
      <c r="Q74" s="200"/>
      <c r="R74" s="200"/>
      <c r="S74" s="200"/>
      <c r="T74" s="200"/>
      <c r="U74" s="200"/>
      <c r="V74" s="200"/>
      <c r="W74" s="200"/>
      <c r="X74" s="200"/>
      <c r="Y74" s="200"/>
      <c r="Z74" s="200"/>
      <c r="AA74" s="200"/>
      <c r="AB74" s="200"/>
      <c r="AC74" s="200"/>
      <c r="AD74" s="102"/>
      <c r="AE74" s="102"/>
      <c r="AF74" s="102"/>
      <c r="AG74" s="102"/>
      <c r="AH74" s="102"/>
      <c r="AI74" s="102"/>
      <c r="AJ74" s="102"/>
      <c r="AK74" s="102"/>
      <c r="AL74" s="102"/>
      <c r="AM74" s="102"/>
      <c r="AN74" s="102"/>
      <c r="AO74" s="102"/>
      <c r="AP74" s="102"/>
      <c r="AQ74" s="102"/>
      <c r="AR74" s="102"/>
      <c r="AS74" s="102"/>
      <c r="AT74" s="102"/>
    </row>
    <row r="75" ht="15.75" customHeight="1">
      <c r="A75" s="126" t="s">
        <v>277</v>
      </c>
      <c r="B75" s="203" t="s">
        <v>278</v>
      </c>
      <c r="C75" s="77" t="s">
        <v>279</v>
      </c>
      <c r="D75" s="77" t="s">
        <v>280</v>
      </c>
      <c r="E75" s="77" t="s">
        <v>281</v>
      </c>
      <c r="F75" s="77"/>
      <c r="G75" s="77"/>
      <c r="H75" s="77"/>
      <c r="I75" s="128"/>
      <c r="J75" s="204"/>
      <c r="K75" s="128"/>
      <c r="L75" s="128"/>
      <c r="M75" s="128"/>
      <c r="N75" s="128"/>
      <c r="O75" s="128"/>
      <c r="P75" s="128"/>
      <c r="Q75" s="125" t="s">
        <v>268</v>
      </c>
      <c r="R75" s="128"/>
      <c r="S75" s="128"/>
      <c r="T75" s="205"/>
      <c r="U75" s="128"/>
      <c r="V75" s="128"/>
      <c r="W75" s="128"/>
      <c r="X75" s="128"/>
      <c r="Y75" s="128"/>
      <c r="Z75" s="128"/>
      <c r="AA75" s="128"/>
      <c r="AB75" s="128"/>
      <c r="AC75" s="128"/>
      <c r="AD75" s="125"/>
      <c r="AE75" s="125"/>
      <c r="AF75" s="125"/>
      <c r="AG75" s="125"/>
      <c r="AH75" s="125"/>
      <c r="AI75" s="125"/>
      <c r="AJ75" s="125"/>
      <c r="AK75" s="125"/>
      <c r="AL75" s="125"/>
      <c r="AM75" s="125"/>
      <c r="AN75" s="125"/>
      <c r="AO75" s="102"/>
      <c r="AP75" s="102"/>
      <c r="AQ75" s="102"/>
      <c r="AR75" s="102"/>
      <c r="AS75" s="102"/>
      <c r="AT75" s="102"/>
    </row>
    <row r="76" ht="15.75" customHeight="1">
      <c r="A76" s="206" t="s">
        <v>194</v>
      </c>
      <c r="B76" s="207" t="s">
        <v>282</v>
      </c>
      <c r="C76" s="77" t="s">
        <v>2073</v>
      </c>
      <c r="D76" s="77" t="s">
        <v>2076</v>
      </c>
      <c r="E76" s="77" t="s">
        <v>2080</v>
      </c>
      <c r="F76" s="77"/>
      <c r="G76" s="77"/>
      <c r="H76" s="77"/>
      <c r="I76" s="208"/>
      <c r="J76" s="209"/>
      <c r="K76" s="208"/>
      <c r="L76" s="208"/>
      <c r="M76" s="208"/>
      <c r="N76" s="208"/>
      <c r="O76" s="210" t="s">
        <v>2088</v>
      </c>
      <c r="P76" s="208"/>
      <c r="Q76" s="125" t="s">
        <v>268</v>
      </c>
      <c r="R76" s="208"/>
      <c r="S76" s="208"/>
      <c r="T76" s="211"/>
      <c r="U76" s="208"/>
      <c r="V76" s="208"/>
      <c r="W76" s="208"/>
      <c r="X76" s="208"/>
      <c r="Y76" s="208"/>
      <c r="Z76" s="208"/>
      <c r="AA76" s="208"/>
      <c r="AB76" s="208"/>
      <c r="AC76" s="208"/>
      <c r="AD76" s="125"/>
      <c r="AE76" s="125"/>
      <c r="AF76" s="125"/>
      <c r="AG76" s="125"/>
      <c r="AH76" s="125"/>
      <c r="AI76" s="125"/>
      <c r="AJ76" s="125"/>
      <c r="AK76" s="125"/>
      <c r="AL76" s="125"/>
      <c r="AM76" s="125"/>
      <c r="AN76" s="125"/>
      <c r="AO76" s="102"/>
      <c r="AP76" s="102"/>
      <c r="AQ76" s="102"/>
      <c r="AR76" s="102"/>
      <c r="AS76" s="102"/>
      <c r="AT76" s="102"/>
    </row>
    <row r="77" ht="15.75" customHeight="1">
      <c r="A77" s="206" t="s">
        <v>287</v>
      </c>
      <c r="B77" s="207" t="s">
        <v>288</v>
      </c>
      <c r="C77" s="77" t="s">
        <v>290</v>
      </c>
      <c r="D77" s="77" t="s">
        <v>291</v>
      </c>
      <c r="E77" s="77" t="s">
        <v>292</v>
      </c>
      <c r="F77" s="77"/>
      <c r="G77" s="77"/>
      <c r="H77" s="77"/>
      <c r="I77" s="208"/>
      <c r="J77" s="212"/>
      <c r="K77" s="208"/>
      <c r="L77" s="208"/>
      <c r="M77" s="208"/>
      <c r="N77" s="208"/>
      <c r="O77" s="213" t="s">
        <v>2112</v>
      </c>
      <c r="P77" s="208"/>
      <c r="Q77" s="125" t="s">
        <v>268</v>
      </c>
      <c r="R77" s="208"/>
      <c r="S77" s="208"/>
      <c r="T77" s="211"/>
      <c r="U77" s="208"/>
      <c r="V77" s="208"/>
      <c r="W77" s="208"/>
      <c r="X77" s="208"/>
      <c r="Y77" s="208"/>
      <c r="Z77" s="208"/>
      <c r="AA77" s="208"/>
      <c r="AB77" s="208"/>
      <c r="AC77" s="208"/>
      <c r="AD77" s="125"/>
      <c r="AE77" s="125"/>
      <c r="AF77" s="125"/>
      <c r="AG77" s="125"/>
      <c r="AH77" s="125"/>
      <c r="AI77" s="125"/>
      <c r="AJ77" s="125"/>
      <c r="AK77" s="125"/>
      <c r="AL77" s="125"/>
      <c r="AM77" s="125"/>
      <c r="AN77" s="125"/>
      <c r="AO77" s="102"/>
      <c r="AP77" s="102"/>
      <c r="AQ77" s="102"/>
      <c r="AR77" s="102"/>
      <c r="AS77" s="102"/>
      <c r="AT77" s="102"/>
    </row>
    <row r="78" ht="15.75" customHeight="1">
      <c r="A78" s="206" t="s">
        <v>294</v>
      </c>
      <c r="B78" s="207" t="s">
        <v>295</v>
      </c>
      <c r="C78" s="77" t="s">
        <v>296</v>
      </c>
      <c r="D78" s="77" t="s">
        <v>297</v>
      </c>
      <c r="E78" s="77" t="s">
        <v>298</v>
      </c>
      <c r="F78" s="77"/>
      <c r="G78" s="77"/>
      <c r="H78" s="77"/>
      <c r="I78" s="208"/>
      <c r="J78" s="212"/>
      <c r="K78" s="208"/>
      <c r="L78" s="208"/>
      <c r="M78" s="208"/>
      <c r="N78" s="208"/>
      <c r="O78" s="213" t="s">
        <v>2144</v>
      </c>
      <c r="P78" s="208"/>
      <c r="Q78" s="125" t="s">
        <v>268</v>
      </c>
      <c r="R78" s="208"/>
      <c r="S78" s="208"/>
      <c r="T78" s="208"/>
      <c r="U78" s="208"/>
      <c r="V78" s="208"/>
      <c r="W78" s="208"/>
      <c r="X78" s="208"/>
      <c r="Y78" s="208" t="s">
        <v>2153</v>
      </c>
      <c r="Z78" s="208"/>
      <c r="AA78" s="208"/>
      <c r="AB78" s="208"/>
      <c r="AC78" s="208"/>
      <c r="AD78" s="125"/>
      <c r="AE78" s="125"/>
      <c r="AF78" s="125"/>
      <c r="AG78" s="125"/>
      <c r="AH78" s="125"/>
      <c r="AI78" s="125"/>
      <c r="AJ78" s="125"/>
      <c r="AK78" s="125"/>
      <c r="AL78" s="125"/>
      <c r="AM78" s="125"/>
      <c r="AN78" s="125"/>
      <c r="AO78" s="102"/>
      <c r="AP78" s="102"/>
      <c r="AQ78" s="102"/>
      <c r="AR78" s="102"/>
      <c r="AS78" s="102"/>
      <c r="AT78" s="102"/>
    </row>
    <row r="79" ht="15.75" customHeight="1">
      <c r="A79" s="214" t="s">
        <v>299</v>
      </c>
      <c r="B79" s="215" t="s">
        <v>300</v>
      </c>
      <c r="C79" s="77" t="s">
        <v>301</v>
      </c>
      <c r="D79" s="77" t="s">
        <v>302</v>
      </c>
      <c r="E79" s="77" t="s">
        <v>304</v>
      </c>
      <c r="F79" s="77"/>
      <c r="G79" s="77"/>
      <c r="H79" s="77"/>
      <c r="I79" s="216"/>
      <c r="J79" s="217"/>
      <c r="K79" s="216"/>
      <c r="L79" s="216"/>
      <c r="M79" s="216"/>
      <c r="N79" s="216"/>
      <c r="O79" s="218" t="s">
        <v>2188</v>
      </c>
      <c r="P79" s="216"/>
      <c r="Q79" s="219" t="s">
        <v>268</v>
      </c>
      <c r="R79" s="216"/>
      <c r="S79" s="216"/>
      <c r="T79" s="216"/>
      <c r="U79" s="216"/>
      <c r="V79" s="216"/>
      <c r="W79" s="216"/>
      <c r="X79" s="216"/>
      <c r="Y79" s="216"/>
      <c r="Z79" s="216"/>
      <c r="AA79" s="216"/>
      <c r="AB79" s="216"/>
      <c r="AC79" s="216"/>
      <c r="AD79" s="219"/>
      <c r="AE79" s="219"/>
      <c r="AF79" s="219"/>
      <c r="AG79" s="219"/>
      <c r="AH79" s="219"/>
      <c r="AI79" s="219"/>
      <c r="AJ79" s="219"/>
      <c r="AK79" s="219"/>
      <c r="AL79" s="219"/>
      <c r="AM79" s="219"/>
      <c r="AN79" s="219"/>
      <c r="AO79" s="102"/>
      <c r="AP79" s="102"/>
      <c r="AQ79" s="102"/>
      <c r="AR79" s="102"/>
      <c r="AS79" s="102"/>
      <c r="AT79" s="102"/>
    </row>
    <row r="80" ht="15.75" customHeight="1">
      <c r="A80" s="206" t="s">
        <v>305</v>
      </c>
      <c r="B80" s="207" t="s">
        <v>306</v>
      </c>
      <c r="C80" s="77" t="s">
        <v>307</v>
      </c>
      <c r="D80" s="77" t="s">
        <v>308</v>
      </c>
      <c r="E80" s="77" t="s">
        <v>309</v>
      </c>
      <c r="F80" s="77"/>
      <c r="G80" s="77"/>
      <c r="H80" s="77"/>
      <c r="I80" s="208"/>
      <c r="J80" s="220" t="s">
        <v>2222</v>
      </c>
      <c r="K80" s="211"/>
      <c r="L80" s="208"/>
      <c r="M80" s="208"/>
      <c r="N80" s="208"/>
      <c r="O80" s="213" t="s">
        <v>2229</v>
      </c>
      <c r="P80" s="208"/>
      <c r="Q80" s="125" t="s">
        <v>268</v>
      </c>
      <c r="R80" s="208"/>
      <c r="S80" s="208"/>
      <c r="T80" s="208"/>
      <c r="U80" s="208"/>
      <c r="V80" s="208"/>
      <c r="W80" s="208"/>
      <c r="X80" s="208"/>
      <c r="Y80" s="208"/>
      <c r="Z80" s="208"/>
      <c r="AA80" s="208"/>
      <c r="AB80" s="208"/>
      <c r="AC80" s="208"/>
      <c r="AD80" s="125"/>
      <c r="AE80" s="125"/>
      <c r="AF80" s="125"/>
      <c r="AG80" s="125"/>
      <c r="AH80" s="125"/>
      <c r="AI80" s="125"/>
      <c r="AJ80" s="125"/>
      <c r="AK80" s="125"/>
      <c r="AL80" s="125"/>
      <c r="AM80" s="125"/>
      <c r="AN80" s="125"/>
      <c r="AO80" s="102"/>
      <c r="AP80" s="102"/>
      <c r="AQ80" s="102"/>
      <c r="AR80" s="102"/>
      <c r="AS80" s="102"/>
      <c r="AT80" s="102"/>
    </row>
    <row r="81" ht="15.75" customHeight="1">
      <c r="A81" s="214" t="s">
        <v>299</v>
      </c>
      <c r="B81" s="215" t="s">
        <v>310</v>
      </c>
      <c r="C81" s="77" t="s">
        <v>311</v>
      </c>
      <c r="D81" s="77" t="s">
        <v>312</v>
      </c>
      <c r="E81" s="77" t="s">
        <v>313</v>
      </c>
      <c r="F81" s="77"/>
      <c r="G81" s="77"/>
      <c r="H81" s="77"/>
      <c r="I81" s="216"/>
      <c r="J81" s="217"/>
      <c r="K81" s="216"/>
      <c r="L81" s="216"/>
      <c r="M81" s="216"/>
      <c r="N81" s="216"/>
      <c r="O81" s="218" t="s">
        <v>2256</v>
      </c>
      <c r="P81" s="216"/>
      <c r="Q81" s="219" t="s">
        <v>268</v>
      </c>
      <c r="R81" s="216"/>
      <c r="S81" s="216"/>
      <c r="T81" s="216"/>
      <c r="U81" s="216"/>
      <c r="V81" s="216"/>
      <c r="W81" s="216"/>
      <c r="X81" s="216"/>
      <c r="Y81" s="216"/>
      <c r="Z81" s="216"/>
      <c r="AA81" s="216"/>
      <c r="AB81" s="216"/>
      <c r="AC81" s="216"/>
      <c r="AD81" s="219"/>
      <c r="AE81" s="219"/>
      <c r="AF81" s="219"/>
      <c r="AG81" s="219"/>
      <c r="AH81" s="219"/>
      <c r="AI81" s="219"/>
      <c r="AJ81" s="219"/>
      <c r="AK81" s="219"/>
      <c r="AL81" s="219"/>
      <c r="AM81" s="219"/>
      <c r="AN81" s="219"/>
      <c r="AO81" s="102"/>
      <c r="AP81" s="102"/>
      <c r="AQ81" s="102"/>
      <c r="AR81" s="102"/>
      <c r="AS81" s="102"/>
      <c r="AT81" s="102"/>
    </row>
    <row r="82" ht="15.75" customHeight="1">
      <c r="A82" s="126" t="s">
        <v>277</v>
      </c>
      <c r="B82" s="203" t="s">
        <v>314</v>
      </c>
      <c r="C82" s="77" t="s">
        <v>317</v>
      </c>
      <c r="D82" s="77" t="s">
        <v>2285</v>
      </c>
      <c r="E82" s="77" t="s">
        <v>2286</v>
      </c>
      <c r="F82" s="77" t="s">
        <v>2287</v>
      </c>
      <c r="G82" s="77" t="s">
        <v>2289</v>
      </c>
      <c r="H82" s="77" t="s">
        <v>2292</v>
      </c>
      <c r="I82" s="128"/>
      <c r="J82" s="204"/>
      <c r="K82" s="128"/>
      <c r="L82" s="128"/>
      <c r="M82" s="128"/>
      <c r="N82" s="128"/>
      <c r="O82" s="221" t="s">
        <v>2088</v>
      </c>
      <c r="P82" s="128"/>
      <c r="Q82" s="125" t="s">
        <v>268</v>
      </c>
      <c r="R82" s="128"/>
      <c r="S82" s="128"/>
      <c r="T82" s="205"/>
      <c r="U82" s="128"/>
      <c r="V82" s="128"/>
      <c r="W82" s="128"/>
      <c r="X82" s="128"/>
      <c r="Y82" s="128"/>
      <c r="Z82" s="128"/>
      <c r="AA82" s="128"/>
      <c r="AB82" s="128"/>
      <c r="AC82" s="128"/>
      <c r="AD82" s="125"/>
      <c r="AE82" s="125"/>
      <c r="AF82" s="125"/>
      <c r="AG82" s="125"/>
      <c r="AH82" s="125"/>
      <c r="AI82" s="125"/>
      <c r="AJ82" s="125"/>
      <c r="AK82" s="125"/>
      <c r="AL82" s="125"/>
      <c r="AM82" s="125"/>
      <c r="AN82" s="125"/>
      <c r="AO82" s="102"/>
      <c r="AP82" s="102"/>
      <c r="AQ82" s="102"/>
      <c r="AR82" s="102"/>
      <c r="AS82" s="102"/>
      <c r="AT82" s="102"/>
    </row>
    <row r="83" ht="15.75" customHeight="1">
      <c r="A83" s="126" t="s">
        <v>277</v>
      </c>
      <c r="B83" s="203" t="s">
        <v>320</v>
      </c>
      <c r="C83" s="77" t="s">
        <v>327</v>
      </c>
      <c r="D83" s="77" t="s">
        <v>328</v>
      </c>
      <c r="E83" s="77" t="s">
        <v>330</v>
      </c>
      <c r="F83" s="77"/>
      <c r="G83" s="77"/>
      <c r="H83" s="77"/>
      <c r="I83" s="128"/>
      <c r="J83" s="222"/>
      <c r="K83" s="128"/>
      <c r="L83" s="223"/>
      <c r="M83" s="224"/>
      <c r="N83" s="224"/>
      <c r="O83" s="205"/>
      <c r="P83" s="128"/>
      <c r="Q83" s="131" t="s">
        <v>268</v>
      </c>
      <c r="R83" s="128"/>
      <c r="S83" s="128"/>
      <c r="T83" s="205"/>
      <c r="U83" s="128"/>
      <c r="V83" s="128"/>
      <c r="W83" s="128"/>
      <c r="X83" s="128"/>
      <c r="Y83" s="128"/>
      <c r="Z83" s="128"/>
      <c r="AA83" s="128"/>
      <c r="AB83" s="128"/>
      <c r="AC83" s="208"/>
      <c r="AD83" s="125"/>
      <c r="AE83" s="125"/>
      <c r="AF83" s="125"/>
      <c r="AG83" s="125"/>
      <c r="AH83" s="125"/>
      <c r="AI83" s="125"/>
      <c r="AJ83" s="125"/>
      <c r="AK83" s="125"/>
      <c r="AL83" s="125"/>
      <c r="AM83" s="125"/>
      <c r="AN83" s="125"/>
      <c r="AO83" s="102"/>
      <c r="AP83" s="102"/>
      <c r="AQ83" s="102"/>
      <c r="AR83" s="102"/>
      <c r="AS83" s="102"/>
      <c r="AT83" s="102"/>
    </row>
    <row r="84" ht="15.75" customHeight="1">
      <c r="A84" s="206" t="s">
        <v>194</v>
      </c>
      <c r="B84" s="207" t="s">
        <v>331</v>
      </c>
      <c r="C84" s="77" t="s">
        <v>2342</v>
      </c>
      <c r="D84" s="77" t="s">
        <v>2343</v>
      </c>
      <c r="E84" s="77" t="s">
        <v>2344</v>
      </c>
      <c r="F84" s="77"/>
      <c r="G84" s="77"/>
      <c r="H84" s="77"/>
      <c r="I84" s="208"/>
      <c r="J84" s="212"/>
      <c r="K84" s="208"/>
      <c r="L84" s="225"/>
      <c r="M84" s="226"/>
      <c r="N84" s="226"/>
      <c r="O84" s="213" t="s">
        <v>2350</v>
      </c>
      <c r="P84" s="208"/>
      <c r="Q84" s="125" t="s">
        <v>268</v>
      </c>
      <c r="R84" s="208"/>
      <c r="S84" s="208"/>
      <c r="T84" s="211"/>
      <c r="U84" s="208"/>
      <c r="V84" s="208"/>
      <c r="W84" s="208"/>
      <c r="X84" s="208"/>
      <c r="Y84" s="208"/>
      <c r="Z84" s="208"/>
      <c r="AA84" s="208"/>
      <c r="AB84" s="208"/>
      <c r="AC84" s="208"/>
      <c r="AD84" s="125"/>
      <c r="AE84" s="125"/>
      <c r="AF84" s="125"/>
      <c r="AG84" s="125"/>
      <c r="AH84" s="125"/>
      <c r="AI84" s="125"/>
      <c r="AJ84" s="125"/>
      <c r="AK84" s="125"/>
      <c r="AL84" s="125"/>
      <c r="AM84" s="125"/>
      <c r="AN84" s="125"/>
      <c r="AO84" s="102"/>
      <c r="AP84" s="102"/>
      <c r="AQ84" s="102"/>
      <c r="AR84" s="102"/>
      <c r="AS84" s="102"/>
      <c r="AT84" s="102"/>
    </row>
    <row r="85" ht="15.75" customHeight="1">
      <c r="A85" s="206" t="s">
        <v>287</v>
      </c>
      <c r="B85" s="207" t="s">
        <v>338</v>
      </c>
      <c r="C85" s="77" t="s">
        <v>342</v>
      </c>
      <c r="D85" s="77" t="s">
        <v>343</v>
      </c>
      <c r="E85" s="77" t="s">
        <v>344</v>
      </c>
      <c r="F85" s="77"/>
      <c r="G85" s="77"/>
      <c r="H85" s="77"/>
      <c r="I85" s="208"/>
      <c r="J85" s="212"/>
      <c r="K85" s="208"/>
      <c r="L85" s="208"/>
      <c r="M85" s="208"/>
      <c r="N85" s="208"/>
      <c r="O85" s="213" t="s">
        <v>2377</v>
      </c>
      <c r="P85" s="208"/>
      <c r="Q85" s="125" t="s">
        <v>268</v>
      </c>
      <c r="R85" s="208"/>
      <c r="S85" s="208"/>
      <c r="T85" s="211"/>
      <c r="U85" s="208"/>
      <c r="V85" s="208"/>
      <c r="W85" s="208"/>
      <c r="X85" s="208"/>
      <c r="Y85" s="208"/>
      <c r="Z85" s="208"/>
      <c r="AA85" s="208"/>
      <c r="AB85" s="208"/>
      <c r="AC85" s="208"/>
      <c r="AD85" s="125"/>
      <c r="AE85" s="125"/>
      <c r="AF85" s="125"/>
      <c r="AG85" s="125"/>
      <c r="AH85" s="125"/>
      <c r="AI85" s="125"/>
      <c r="AJ85" s="125"/>
      <c r="AK85" s="125"/>
      <c r="AL85" s="125"/>
      <c r="AM85" s="125"/>
      <c r="AN85" s="125"/>
      <c r="AO85" s="102"/>
      <c r="AP85" s="102"/>
      <c r="AQ85" s="102"/>
      <c r="AR85" s="102"/>
      <c r="AS85" s="102"/>
      <c r="AT85" s="102"/>
    </row>
    <row r="86" ht="15.75" customHeight="1">
      <c r="A86" s="206" t="s">
        <v>294</v>
      </c>
      <c r="B86" s="207" t="s">
        <v>345</v>
      </c>
      <c r="C86" s="77" t="s">
        <v>352</v>
      </c>
      <c r="D86" s="77" t="s">
        <v>353</v>
      </c>
      <c r="E86" s="77" t="s">
        <v>354</v>
      </c>
      <c r="F86" s="77"/>
      <c r="G86" s="77"/>
      <c r="H86" s="77"/>
      <c r="I86" s="208"/>
      <c r="J86" s="212"/>
      <c r="K86" s="208"/>
      <c r="L86" s="208"/>
      <c r="M86" s="208"/>
      <c r="N86" s="208"/>
      <c r="O86" s="213" t="s">
        <v>2404</v>
      </c>
      <c r="P86" s="208"/>
      <c r="Q86" s="125" t="s">
        <v>268</v>
      </c>
      <c r="R86" s="208"/>
      <c r="S86" s="208"/>
      <c r="T86" s="211"/>
      <c r="U86" s="208"/>
      <c r="V86" s="208"/>
      <c r="W86" s="208"/>
      <c r="X86" s="208"/>
      <c r="Y86" s="208" t="s">
        <v>2153</v>
      </c>
      <c r="Z86" s="208"/>
      <c r="AA86" s="208"/>
      <c r="AB86" s="208"/>
      <c r="AC86" s="208"/>
      <c r="AD86" s="125"/>
      <c r="AE86" s="125"/>
      <c r="AF86" s="125"/>
      <c r="AG86" s="125"/>
      <c r="AH86" s="125"/>
      <c r="AI86" s="125"/>
      <c r="AJ86" s="125"/>
      <c r="AK86" s="125"/>
      <c r="AL86" s="125"/>
      <c r="AM86" s="125"/>
      <c r="AN86" s="125"/>
      <c r="AO86" s="102"/>
      <c r="AP86" s="102"/>
      <c r="AQ86" s="102"/>
      <c r="AR86" s="102"/>
      <c r="AS86" s="102"/>
      <c r="AT86" s="102"/>
    </row>
    <row r="87" ht="15.75" customHeight="1">
      <c r="A87" s="214" t="s">
        <v>299</v>
      </c>
      <c r="B87" s="215" t="s">
        <v>355</v>
      </c>
      <c r="C87" s="77" t="s">
        <v>360</v>
      </c>
      <c r="D87" s="77" t="s">
        <v>361</v>
      </c>
      <c r="E87" s="77" t="s">
        <v>363</v>
      </c>
      <c r="F87" s="77"/>
      <c r="G87" s="77"/>
      <c r="H87" s="77"/>
      <c r="I87" s="216"/>
      <c r="J87" s="217"/>
      <c r="K87" s="216"/>
      <c r="L87" s="216"/>
      <c r="M87" s="216"/>
      <c r="N87" s="216"/>
      <c r="O87" s="218" t="s">
        <v>2427</v>
      </c>
      <c r="P87" s="216"/>
      <c r="Q87" s="228" t="s">
        <v>268</v>
      </c>
      <c r="R87" s="216"/>
      <c r="S87" s="216"/>
      <c r="T87" s="229"/>
      <c r="U87" s="216"/>
      <c r="V87" s="216"/>
      <c r="W87" s="216"/>
      <c r="X87" s="216"/>
      <c r="Y87" s="216"/>
      <c r="Z87" s="216"/>
      <c r="AA87" s="216"/>
      <c r="AB87" s="216"/>
      <c r="AC87" s="216"/>
      <c r="AD87" s="219"/>
      <c r="AE87" s="219"/>
      <c r="AF87" s="219"/>
      <c r="AG87" s="219"/>
      <c r="AH87" s="219"/>
      <c r="AI87" s="219"/>
      <c r="AJ87" s="219"/>
      <c r="AK87" s="219"/>
      <c r="AL87" s="219"/>
      <c r="AM87" s="219"/>
      <c r="AN87" s="219"/>
      <c r="AO87" s="102"/>
      <c r="AP87" s="102"/>
      <c r="AQ87" s="102"/>
      <c r="AR87" s="102"/>
      <c r="AS87" s="102"/>
      <c r="AT87" s="102"/>
    </row>
    <row r="88" ht="15.75" customHeight="1">
      <c r="A88" s="206" t="s">
        <v>305</v>
      </c>
      <c r="B88" s="207" t="s">
        <v>364</v>
      </c>
      <c r="C88" s="77" t="s">
        <v>368</v>
      </c>
      <c r="D88" s="77" t="s">
        <v>369</v>
      </c>
      <c r="E88" s="77" t="s">
        <v>370</v>
      </c>
      <c r="F88" s="77"/>
      <c r="G88" s="77"/>
      <c r="H88" s="77"/>
      <c r="I88" s="208"/>
      <c r="J88" s="220" t="s">
        <v>2454</v>
      </c>
      <c r="K88" s="211"/>
      <c r="L88" s="208"/>
      <c r="M88" s="208"/>
      <c r="N88" s="208"/>
      <c r="O88" s="213" t="s">
        <v>2457</v>
      </c>
      <c r="P88" s="208"/>
      <c r="Q88" s="125" t="s">
        <v>268</v>
      </c>
      <c r="R88" s="208"/>
      <c r="S88" s="208"/>
      <c r="T88" s="211"/>
      <c r="U88" s="208"/>
      <c r="V88" s="208"/>
      <c r="W88" s="208"/>
      <c r="X88" s="208"/>
      <c r="Y88" s="208"/>
      <c r="Z88" s="208"/>
      <c r="AA88" s="208"/>
      <c r="AB88" s="208"/>
      <c r="AC88" s="208"/>
      <c r="AD88" s="125"/>
      <c r="AE88" s="125"/>
      <c r="AF88" s="125"/>
      <c r="AG88" s="125"/>
      <c r="AH88" s="125"/>
      <c r="AI88" s="125"/>
      <c r="AJ88" s="125"/>
      <c r="AK88" s="125"/>
      <c r="AL88" s="125"/>
      <c r="AM88" s="125"/>
      <c r="AN88" s="125"/>
      <c r="AO88" s="102"/>
      <c r="AP88" s="102"/>
      <c r="AQ88" s="102"/>
      <c r="AR88" s="102"/>
      <c r="AS88" s="102"/>
      <c r="AT88" s="102"/>
    </row>
    <row r="89" ht="15.75" customHeight="1">
      <c r="A89" s="214" t="s">
        <v>299</v>
      </c>
      <c r="B89" s="215" t="s">
        <v>371</v>
      </c>
      <c r="C89" s="77" t="s">
        <v>373</v>
      </c>
      <c r="D89" s="77" t="s">
        <v>374</v>
      </c>
      <c r="E89" s="77" t="s">
        <v>376</v>
      </c>
      <c r="F89" s="77"/>
      <c r="G89" s="77"/>
      <c r="H89" s="77"/>
      <c r="I89" s="216"/>
      <c r="J89" s="230"/>
      <c r="K89" s="229"/>
      <c r="L89" s="216"/>
      <c r="M89" s="216"/>
      <c r="N89" s="216"/>
      <c r="O89" s="218" t="s">
        <v>2477</v>
      </c>
      <c r="P89" s="216"/>
      <c r="Q89" s="231" t="s">
        <v>268</v>
      </c>
      <c r="R89" s="216"/>
      <c r="S89" s="216"/>
      <c r="T89" s="229"/>
      <c r="U89" s="229"/>
      <c r="V89" s="216"/>
      <c r="W89" s="216"/>
      <c r="X89" s="216"/>
      <c r="Y89" s="216"/>
      <c r="Z89" s="216"/>
      <c r="AA89" s="216"/>
      <c r="AB89" s="216"/>
      <c r="AC89" s="216"/>
      <c r="AD89" s="147"/>
      <c r="AE89" s="147"/>
      <c r="AF89" s="147"/>
      <c r="AG89" s="147"/>
      <c r="AH89" s="147"/>
      <c r="AI89" s="147"/>
      <c r="AJ89" s="147"/>
      <c r="AK89" s="147"/>
      <c r="AL89" s="147"/>
      <c r="AM89" s="147"/>
      <c r="AN89" s="147"/>
      <c r="AO89" s="102"/>
      <c r="AP89" s="102"/>
      <c r="AQ89" s="102"/>
      <c r="AR89" s="102"/>
      <c r="AS89" s="102"/>
      <c r="AT89" s="102"/>
    </row>
    <row r="90" ht="15.75" customHeight="1">
      <c r="A90" s="126" t="s">
        <v>277</v>
      </c>
      <c r="B90" s="203" t="s">
        <v>377</v>
      </c>
      <c r="C90" s="77" t="s">
        <v>380</v>
      </c>
      <c r="D90" s="77" t="s">
        <v>2487</v>
      </c>
      <c r="E90" s="77" t="s">
        <v>2488</v>
      </c>
      <c r="F90" s="77" t="s">
        <v>2489</v>
      </c>
      <c r="G90" s="77" t="s">
        <v>2490</v>
      </c>
      <c r="H90" s="77" t="s">
        <v>2498</v>
      </c>
      <c r="I90" s="128"/>
      <c r="J90" s="204"/>
      <c r="K90" s="128"/>
      <c r="L90" s="128"/>
      <c r="M90" s="128"/>
      <c r="N90" s="128"/>
      <c r="O90" s="221" t="s">
        <v>2350</v>
      </c>
      <c r="P90" s="128"/>
      <c r="Q90" s="125" t="s">
        <v>268</v>
      </c>
      <c r="R90" s="128"/>
      <c r="S90" s="128"/>
      <c r="T90" s="205"/>
      <c r="U90" s="128"/>
      <c r="V90" s="128"/>
      <c r="W90" s="128"/>
      <c r="X90" s="128"/>
      <c r="Y90" s="128"/>
      <c r="Z90" s="128"/>
      <c r="AA90" s="128"/>
      <c r="AB90" s="128"/>
      <c r="AC90" s="128"/>
      <c r="AD90" s="125"/>
      <c r="AE90" s="125"/>
      <c r="AF90" s="125"/>
      <c r="AG90" s="125"/>
      <c r="AH90" s="125"/>
      <c r="AI90" s="125"/>
      <c r="AJ90" s="125"/>
      <c r="AK90" s="125"/>
      <c r="AL90" s="125"/>
      <c r="AM90" s="125"/>
      <c r="AN90" s="125"/>
      <c r="AO90" s="102"/>
      <c r="AP90" s="102"/>
      <c r="AQ90" s="102"/>
      <c r="AR90" s="102"/>
      <c r="AS90" s="102"/>
      <c r="AT90" s="102"/>
    </row>
    <row r="91" ht="15.75" customHeight="1">
      <c r="A91" s="90" t="s">
        <v>183</v>
      </c>
      <c r="B91" s="91" t="s">
        <v>2516</v>
      </c>
      <c r="C91" s="93"/>
      <c r="D91" s="96"/>
      <c r="E91" s="96"/>
      <c r="F91" s="97"/>
      <c r="G91" s="97"/>
      <c r="H91" s="97"/>
      <c r="I91" s="97"/>
      <c r="J91" s="98"/>
      <c r="K91" s="97"/>
      <c r="L91" s="97"/>
      <c r="M91" s="98"/>
      <c r="N91" s="98"/>
      <c r="O91" s="99"/>
      <c r="P91" s="100"/>
      <c r="Q91" s="100"/>
      <c r="R91" s="100"/>
      <c r="S91" s="97"/>
      <c r="T91" s="101" t="s">
        <v>211</v>
      </c>
      <c r="U91" s="97"/>
      <c r="V91" s="97"/>
      <c r="W91" s="97"/>
      <c r="X91" s="97"/>
      <c r="Y91" s="97"/>
      <c r="Z91" s="97"/>
      <c r="AA91" s="97"/>
      <c r="AB91" s="97"/>
      <c r="AC91" s="97"/>
      <c r="AD91" s="102"/>
      <c r="AE91" s="102"/>
      <c r="AF91" s="102"/>
      <c r="AG91" s="102"/>
      <c r="AH91" s="102"/>
      <c r="AI91" s="102"/>
      <c r="AJ91" s="102"/>
      <c r="AK91" s="102"/>
      <c r="AL91" s="102"/>
      <c r="AM91" s="102"/>
      <c r="AN91" s="102"/>
      <c r="AO91" s="102"/>
      <c r="AP91" s="102"/>
      <c r="AQ91" s="102"/>
      <c r="AR91" s="102"/>
      <c r="AS91" s="102"/>
      <c r="AT91" s="102"/>
    </row>
    <row r="92" ht="15.75" customHeight="1">
      <c r="A92" s="90" t="s">
        <v>116</v>
      </c>
      <c r="B92" s="91" t="s">
        <v>2541</v>
      </c>
      <c r="C92" s="93"/>
      <c r="D92" s="96"/>
      <c r="E92" s="96"/>
      <c r="F92" s="97"/>
      <c r="G92" s="97"/>
      <c r="H92" s="97"/>
      <c r="I92" s="98"/>
      <c r="J92" s="98"/>
      <c r="K92" s="97"/>
      <c r="L92" s="98"/>
      <c r="M92" s="98"/>
      <c r="N92" s="98"/>
      <c r="O92" s="236"/>
      <c r="P92" s="100"/>
      <c r="Q92" s="100"/>
      <c r="R92" s="100"/>
      <c r="S92" s="97"/>
      <c r="T92" s="238" t="s">
        <v>2551</v>
      </c>
      <c r="U92" s="97"/>
      <c r="V92" s="97"/>
      <c r="W92" s="97"/>
      <c r="X92" s="97"/>
      <c r="Y92" s="97"/>
      <c r="Z92" s="97"/>
      <c r="AA92" s="97"/>
      <c r="AB92" s="97"/>
      <c r="AC92" s="97"/>
      <c r="AD92" s="102"/>
      <c r="AE92" s="102"/>
      <c r="AF92" s="102"/>
      <c r="AG92" s="102"/>
      <c r="AH92" s="102"/>
      <c r="AI92" s="102"/>
      <c r="AJ92" s="102"/>
      <c r="AK92" s="102"/>
      <c r="AL92" s="102"/>
      <c r="AM92" s="102"/>
      <c r="AN92" s="102"/>
      <c r="AO92" s="102"/>
      <c r="AP92" s="102"/>
      <c r="AQ92" s="102"/>
      <c r="AR92" s="102"/>
      <c r="AS92" s="102"/>
      <c r="AT92" s="102"/>
    </row>
    <row r="93" ht="15.75" customHeight="1">
      <c r="A93" s="90" t="s">
        <v>183</v>
      </c>
      <c r="B93" s="239" t="s">
        <v>2570</v>
      </c>
      <c r="C93" s="93"/>
      <c r="D93" s="96"/>
      <c r="E93" s="96"/>
      <c r="F93" s="97"/>
      <c r="G93" s="97"/>
      <c r="H93" s="97"/>
      <c r="I93" s="97"/>
      <c r="J93" s="98"/>
      <c r="K93" s="97"/>
      <c r="L93" s="97"/>
      <c r="M93" s="98"/>
      <c r="N93" s="98"/>
      <c r="O93" s="99"/>
      <c r="P93" s="100"/>
      <c r="Q93" s="100"/>
      <c r="R93" s="100"/>
      <c r="S93" s="97"/>
      <c r="T93" s="101" t="s">
        <v>211</v>
      </c>
      <c r="U93" s="97"/>
      <c r="V93" s="97"/>
      <c r="W93" s="97"/>
      <c r="X93" s="97"/>
      <c r="Y93" s="97"/>
      <c r="Z93" s="97"/>
      <c r="AA93" s="97"/>
      <c r="AB93" s="97"/>
      <c r="AC93" s="97"/>
      <c r="AD93" s="102"/>
      <c r="AE93" s="102"/>
      <c r="AF93" s="102"/>
      <c r="AG93" s="102"/>
      <c r="AH93" s="102"/>
      <c r="AI93" s="102"/>
      <c r="AJ93" s="102"/>
      <c r="AK93" s="102"/>
      <c r="AL93" s="102"/>
      <c r="AM93" s="102"/>
      <c r="AN93" s="102"/>
      <c r="AO93" s="102"/>
      <c r="AP93" s="102"/>
      <c r="AQ93" s="102"/>
      <c r="AR93" s="102"/>
      <c r="AS93" s="102"/>
      <c r="AT93" s="102"/>
    </row>
    <row r="94" ht="15.75" customHeight="1">
      <c r="A94" s="198" t="s">
        <v>42</v>
      </c>
      <c r="B94" s="199" t="s">
        <v>392</v>
      </c>
      <c r="C94" s="77" t="s">
        <v>397</v>
      </c>
      <c r="D94" s="77" t="s">
        <v>398</v>
      </c>
      <c r="E94" s="77" t="s">
        <v>399</v>
      </c>
      <c r="F94" s="77"/>
      <c r="G94" s="77"/>
      <c r="H94" s="77"/>
      <c r="I94" s="200"/>
      <c r="J94" s="200"/>
      <c r="K94" s="200"/>
      <c r="L94" s="200"/>
      <c r="M94" s="200"/>
      <c r="N94" s="200"/>
      <c r="O94" s="200"/>
      <c r="P94" s="200"/>
      <c r="Q94" s="200"/>
      <c r="R94" s="200"/>
      <c r="S94" s="200"/>
      <c r="T94" s="200"/>
      <c r="U94" s="200"/>
      <c r="V94" s="200"/>
      <c r="W94" s="200"/>
      <c r="X94" s="200"/>
      <c r="Y94" s="200"/>
      <c r="Z94" s="200"/>
      <c r="AA94" s="200"/>
      <c r="AB94" s="200"/>
      <c r="AC94" s="200"/>
      <c r="AD94" s="102"/>
      <c r="AE94" s="102"/>
      <c r="AF94" s="102"/>
      <c r="AG94" s="102"/>
      <c r="AH94" s="102"/>
      <c r="AI94" s="102"/>
      <c r="AJ94" s="102"/>
      <c r="AK94" s="102"/>
      <c r="AL94" s="102"/>
      <c r="AM94" s="102"/>
      <c r="AN94" s="102"/>
      <c r="AO94" s="102"/>
      <c r="AP94" s="102"/>
      <c r="AQ94" s="102"/>
      <c r="AR94" s="102"/>
      <c r="AS94" s="102"/>
      <c r="AT94" s="102"/>
    </row>
    <row r="95" ht="15.75" customHeight="1">
      <c r="A95" s="206" t="s">
        <v>400</v>
      </c>
      <c r="B95" s="245" t="s">
        <v>401</v>
      </c>
      <c r="C95" s="77" t="s">
        <v>405</v>
      </c>
      <c r="D95" s="77" t="s">
        <v>406</v>
      </c>
      <c r="E95" s="77" t="s">
        <v>407</v>
      </c>
      <c r="F95" s="77"/>
      <c r="G95" s="77"/>
      <c r="H95" s="77"/>
      <c r="I95" s="212"/>
      <c r="J95" s="208"/>
      <c r="K95" s="213" t="s">
        <v>2639</v>
      </c>
      <c r="L95" s="208"/>
      <c r="M95" s="208"/>
      <c r="N95" s="208"/>
      <c r="O95" s="208"/>
      <c r="P95" s="208"/>
      <c r="Q95" s="208" t="s">
        <v>268</v>
      </c>
      <c r="R95" s="208"/>
      <c r="S95" s="208"/>
      <c r="T95" s="208"/>
      <c r="U95" s="208"/>
      <c r="V95" s="208"/>
      <c r="W95" s="208"/>
      <c r="X95" s="208"/>
      <c r="Y95" s="208"/>
      <c r="Z95" s="208"/>
      <c r="AA95" s="208"/>
      <c r="AB95" s="208"/>
      <c r="AC95" s="208"/>
      <c r="AD95" s="102"/>
      <c r="AE95" s="102"/>
      <c r="AF95" s="102"/>
      <c r="AG95" s="102"/>
      <c r="AH95" s="102"/>
      <c r="AI95" s="102"/>
      <c r="AJ95" s="102"/>
      <c r="AK95" s="102"/>
      <c r="AL95" s="102"/>
      <c r="AM95" s="102"/>
      <c r="AN95" s="102"/>
      <c r="AO95" s="102"/>
      <c r="AP95" s="102"/>
      <c r="AQ95" s="102"/>
      <c r="AR95" s="102"/>
      <c r="AS95" s="102"/>
      <c r="AT95" s="102"/>
    </row>
    <row r="96" ht="15.75" customHeight="1">
      <c r="A96" s="214" t="s">
        <v>299</v>
      </c>
      <c r="B96" s="246" t="s">
        <v>408</v>
      </c>
      <c r="C96" s="77" t="s">
        <v>416</v>
      </c>
      <c r="D96" s="77" t="s">
        <v>417</v>
      </c>
      <c r="E96" s="77" t="s">
        <v>418</v>
      </c>
      <c r="F96" s="77"/>
      <c r="G96" s="77"/>
      <c r="H96" s="77"/>
      <c r="I96" s="217"/>
      <c r="J96" s="217"/>
      <c r="K96" s="216"/>
      <c r="L96" s="216"/>
      <c r="M96" s="216"/>
      <c r="N96" s="216"/>
      <c r="O96" s="229" t="s">
        <v>2678</v>
      </c>
      <c r="P96" s="216"/>
      <c r="Q96" s="216" t="s">
        <v>268</v>
      </c>
      <c r="R96" s="216"/>
      <c r="S96" s="216"/>
      <c r="T96" s="216"/>
      <c r="U96" s="216"/>
      <c r="V96" s="216"/>
      <c r="W96" s="216"/>
      <c r="X96" s="216"/>
      <c r="Y96" s="216"/>
      <c r="Z96" s="216"/>
      <c r="AA96" s="216"/>
      <c r="AB96" s="216"/>
      <c r="AC96" s="216"/>
      <c r="AD96" s="102"/>
      <c r="AE96" s="102"/>
      <c r="AF96" s="102"/>
      <c r="AG96" s="102"/>
      <c r="AH96" s="102"/>
      <c r="AI96" s="102"/>
      <c r="AJ96" s="102"/>
      <c r="AK96" s="102"/>
      <c r="AL96" s="102"/>
      <c r="AM96" s="102"/>
      <c r="AN96" s="102"/>
      <c r="AO96" s="102"/>
      <c r="AP96" s="102"/>
      <c r="AQ96" s="102"/>
      <c r="AR96" s="102"/>
      <c r="AS96" s="102"/>
      <c r="AT96" s="102"/>
    </row>
    <row r="97" ht="15.75" customHeight="1">
      <c r="A97" s="249" t="s">
        <v>2279</v>
      </c>
      <c r="B97" s="250" t="s">
        <v>2702</v>
      </c>
      <c r="C97" s="250" t="s">
        <v>2707</v>
      </c>
      <c r="D97" s="251" t="s">
        <v>2708</v>
      </c>
      <c r="E97" s="251" t="s">
        <v>2709</v>
      </c>
      <c r="F97" s="252"/>
      <c r="G97" s="252"/>
      <c r="H97" s="252"/>
      <c r="I97" s="252"/>
      <c r="J97" s="252"/>
      <c r="K97" s="252"/>
      <c r="L97" s="253"/>
      <c r="M97" s="253"/>
      <c r="N97" s="253"/>
      <c r="O97" s="254" t="s">
        <v>2718</v>
      </c>
      <c r="P97" s="255"/>
      <c r="Q97" s="252"/>
      <c r="R97" s="252"/>
      <c r="S97" s="252"/>
      <c r="T97" s="253"/>
      <c r="U97" s="254" t="s">
        <v>2721</v>
      </c>
      <c r="V97" s="255"/>
      <c r="W97" s="252"/>
      <c r="X97" s="252"/>
      <c r="Y97" s="252"/>
      <c r="Z97" s="252"/>
      <c r="AA97" s="252"/>
      <c r="AB97" s="252"/>
      <c r="AC97" s="252"/>
      <c r="AD97" s="102"/>
      <c r="AE97" s="102"/>
      <c r="AF97" s="102"/>
      <c r="AG97" s="102"/>
      <c r="AH97" s="102"/>
      <c r="AI97" s="102"/>
      <c r="AJ97" s="102"/>
      <c r="AK97" s="102"/>
      <c r="AL97" s="102"/>
      <c r="AM97" s="102"/>
      <c r="AN97" s="102"/>
      <c r="AO97" s="102"/>
      <c r="AP97" s="102"/>
      <c r="AQ97" s="102"/>
      <c r="AR97" s="102"/>
      <c r="AS97" s="102"/>
      <c r="AT97" s="102"/>
    </row>
    <row r="98" ht="15.75" customHeight="1">
      <c r="A98" s="259" t="s">
        <v>116</v>
      </c>
      <c r="B98" s="260" t="s">
        <v>2736</v>
      </c>
      <c r="C98" s="261" t="s">
        <v>2738</v>
      </c>
      <c r="D98" s="261" t="s">
        <v>2739</v>
      </c>
      <c r="E98" s="261" t="s">
        <v>2742</v>
      </c>
      <c r="F98" s="262"/>
      <c r="G98" s="262"/>
      <c r="H98" s="262"/>
      <c r="I98" s="262"/>
      <c r="J98" s="262"/>
      <c r="K98" s="262"/>
      <c r="L98" s="262"/>
      <c r="M98" s="262"/>
      <c r="N98" s="262"/>
      <c r="O98" s="262"/>
      <c r="P98" s="262"/>
      <c r="Q98" s="262"/>
      <c r="R98" s="262"/>
      <c r="S98" s="263"/>
      <c r="T98" s="264" t="s">
        <v>2757</v>
      </c>
      <c r="U98" s="264"/>
      <c r="V98" s="264"/>
      <c r="W98" s="264"/>
      <c r="X98" s="264"/>
      <c r="Y98" s="264"/>
      <c r="Z98" s="262"/>
      <c r="AA98" s="262"/>
      <c r="AB98" s="262"/>
      <c r="AC98" s="262"/>
      <c r="AD98" s="102"/>
      <c r="AE98" s="102"/>
      <c r="AF98" s="102"/>
      <c r="AG98" s="102"/>
      <c r="AH98" s="102"/>
      <c r="AI98" s="102"/>
      <c r="AJ98" s="102"/>
      <c r="AK98" s="102"/>
      <c r="AL98" s="102"/>
      <c r="AM98" s="102"/>
      <c r="AN98" s="102"/>
      <c r="AO98" s="102"/>
      <c r="AP98" s="102"/>
      <c r="AQ98" s="102"/>
      <c r="AR98" s="102"/>
      <c r="AS98" s="102"/>
      <c r="AT98" s="102"/>
    </row>
    <row r="99" ht="15.75" customHeight="1">
      <c r="A99" s="265" t="s">
        <v>396</v>
      </c>
      <c r="B99" s="266" t="s">
        <v>422</v>
      </c>
      <c r="C99" s="77" t="s">
        <v>426</v>
      </c>
      <c r="D99" s="77" t="s">
        <v>427</v>
      </c>
      <c r="E99" s="77" t="s">
        <v>428</v>
      </c>
      <c r="F99" s="77"/>
      <c r="G99" s="77"/>
      <c r="H99" s="77"/>
      <c r="I99" s="267"/>
      <c r="J99" s="268"/>
      <c r="K99" s="268" t="s">
        <v>2786</v>
      </c>
      <c r="L99" s="268"/>
      <c r="M99" s="267"/>
      <c r="N99" s="267"/>
      <c r="O99" s="267"/>
      <c r="P99" s="267"/>
      <c r="Q99" s="267" t="s">
        <v>268</v>
      </c>
      <c r="R99" s="267"/>
      <c r="S99" s="267"/>
      <c r="T99" s="267"/>
      <c r="U99" s="267"/>
      <c r="V99" s="267"/>
      <c r="W99" s="267"/>
      <c r="X99" s="267"/>
      <c r="Y99" s="267"/>
      <c r="Z99" s="267"/>
      <c r="AA99" s="267"/>
      <c r="AB99" s="267"/>
      <c r="AC99" s="267"/>
      <c r="AD99" s="102"/>
      <c r="AE99" s="102"/>
      <c r="AF99" s="102"/>
      <c r="AG99" s="102"/>
      <c r="AH99" s="102"/>
      <c r="AI99" s="102"/>
      <c r="AJ99" s="102"/>
      <c r="AK99" s="102"/>
      <c r="AL99" s="102"/>
      <c r="AM99" s="102"/>
      <c r="AN99" s="102"/>
      <c r="AO99" s="102"/>
      <c r="AP99" s="102"/>
      <c r="AQ99" s="102"/>
      <c r="AR99" s="102"/>
      <c r="AS99" s="102"/>
      <c r="AT99" s="102"/>
    </row>
    <row r="100" ht="15.75" customHeight="1">
      <c r="A100" s="269" t="s">
        <v>277</v>
      </c>
      <c r="B100" s="245" t="s">
        <v>429</v>
      </c>
      <c r="C100" s="77" t="s">
        <v>436</v>
      </c>
      <c r="D100" s="77" t="s">
        <v>437</v>
      </c>
      <c r="E100" s="77" t="s">
        <v>438</v>
      </c>
      <c r="F100" s="77"/>
      <c r="G100" s="77"/>
      <c r="H100" s="77"/>
      <c r="I100" s="212"/>
      <c r="J100" s="208"/>
      <c r="K100" s="208"/>
      <c r="L100" s="208"/>
      <c r="M100" s="208"/>
      <c r="N100" s="208"/>
      <c r="O100" s="208"/>
      <c r="P100" s="208"/>
      <c r="Q100" s="208" t="s">
        <v>268</v>
      </c>
      <c r="R100" s="208"/>
      <c r="S100" s="208"/>
      <c r="T100" s="208"/>
      <c r="U100" s="208"/>
      <c r="V100" s="208"/>
      <c r="W100" s="208"/>
      <c r="X100" s="208"/>
      <c r="Y100" s="208"/>
      <c r="Z100" s="208"/>
      <c r="AA100" s="208"/>
      <c r="AB100" s="208"/>
      <c r="AC100" s="208"/>
      <c r="AD100" s="102"/>
      <c r="AE100" s="102"/>
      <c r="AF100" s="102"/>
      <c r="AG100" s="102"/>
      <c r="AH100" s="102"/>
      <c r="AI100" s="102"/>
      <c r="AJ100" s="102"/>
      <c r="AK100" s="102"/>
      <c r="AL100" s="102"/>
      <c r="AM100" s="102"/>
      <c r="AN100" s="102"/>
      <c r="AO100" s="102"/>
      <c r="AP100" s="102"/>
      <c r="AQ100" s="102"/>
      <c r="AR100" s="102"/>
      <c r="AS100" s="102"/>
      <c r="AT100" s="102"/>
    </row>
    <row r="101" ht="15.75" customHeight="1">
      <c r="A101" s="249" t="s">
        <v>2336</v>
      </c>
      <c r="B101" s="251" t="s">
        <v>2702</v>
      </c>
      <c r="C101" s="251" t="s">
        <v>2707</v>
      </c>
      <c r="D101" s="251" t="s">
        <v>2708</v>
      </c>
      <c r="E101" s="251" t="s">
        <v>2709</v>
      </c>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102"/>
      <c r="AE101" s="102"/>
      <c r="AF101" s="102"/>
      <c r="AG101" s="102"/>
      <c r="AH101" s="102"/>
      <c r="AI101" s="102"/>
      <c r="AJ101" s="102"/>
      <c r="AK101" s="102"/>
      <c r="AL101" s="102"/>
      <c r="AM101" s="102"/>
      <c r="AN101" s="102"/>
      <c r="AO101" s="102"/>
      <c r="AP101" s="102"/>
      <c r="AQ101" s="102"/>
      <c r="AR101" s="102"/>
      <c r="AS101" s="102"/>
      <c r="AT101" s="102"/>
    </row>
    <row r="102" ht="15.75" customHeight="1">
      <c r="A102" s="90" t="s">
        <v>183</v>
      </c>
      <c r="B102" s="239" t="s">
        <v>2868</v>
      </c>
      <c r="C102" s="93"/>
      <c r="D102" s="96"/>
      <c r="E102" s="96"/>
      <c r="F102" s="97"/>
      <c r="G102" s="97"/>
      <c r="H102" s="97"/>
      <c r="I102" s="97"/>
      <c r="J102" s="98"/>
      <c r="K102" s="97"/>
      <c r="L102" s="97"/>
      <c r="M102" s="98"/>
      <c r="N102" s="98"/>
      <c r="O102" s="99"/>
      <c r="P102" s="100"/>
      <c r="Q102" s="100"/>
      <c r="R102" s="100"/>
      <c r="S102" s="97"/>
      <c r="T102" s="101" t="s">
        <v>211</v>
      </c>
      <c r="U102" s="97"/>
      <c r="V102" s="97"/>
      <c r="W102" s="97"/>
      <c r="X102" s="97"/>
      <c r="Y102" s="97"/>
      <c r="Z102" s="97"/>
      <c r="AA102" s="97"/>
      <c r="AB102" s="97"/>
      <c r="AC102" s="97"/>
      <c r="AD102" s="102"/>
      <c r="AE102" s="102"/>
      <c r="AF102" s="102"/>
      <c r="AG102" s="102"/>
      <c r="AH102" s="102"/>
      <c r="AI102" s="102"/>
      <c r="AJ102" s="102"/>
      <c r="AK102" s="102"/>
      <c r="AL102" s="102"/>
      <c r="AM102" s="102"/>
      <c r="AN102" s="102"/>
      <c r="AO102" s="102"/>
      <c r="AP102" s="102"/>
      <c r="AQ102" s="102"/>
      <c r="AR102" s="102"/>
      <c r="AS102" s="102"/>
      <c r="AT102" s="102"/>
    </row>
    <row r="103" ht="15.75" customHeight="1">
      <c r="A103" s="90" t="s">
        <v>116</v>
      </c>
      <c r="B103" s="91" t="s">
        <v>2899</v>
      </c>
      <c r="C103" s="93"/>
      <c r="D103" s="96"/>
      <c r="E103" s="96"/>
      <c r="F103" s="97"/>
      <c r="G103" s="97"/>
      <c r="H103" s="97"/>
      <c r="I103" s="98"/>
      <c r="J103" s="98"/>
      <c r="K103" s="97"/>
      <c r="L103" s="98"/>
      <c r="M103" s="98"/>
      <c r="N103" s="98"/>
      <c r="O103" s="236"/>
      <c r="P103" s="100"/>
      <c r="Q103" s="100"/>
      <c r="R103" s="100"/>
      <c r="S103" s="97"/>
      <c r="T103" s="238" t="s">
        <v>2911</v>
      </c>
      <c r="U103" s="97"/>
      <c r="V103" s="97"/>
      <c r="W103" s="97"/>
      <c r="X103" s="97"/>
      <c r="Y103" s="97"/>
      <c r="Z103" s="97"/>
      <c r="AA103" s="97"/>
      <c r="AB103" s="97"/>
      <c r="AC103" s="97"/>
      <c r="AD103" s="102"/>
      <c r="AE103" s="102"/>
      <c r="AF103" s="102"/>
      <c r="AG103" s="102"/>
      <c r="AH103" s="102"/>
      <c r="AI103" s="102"/>
      <c r="AJ103" s="102"/>
      <c r="AK103" s="102"/>
      <c r="AL103" s="102"/>
      <c r="AM103" s="102"/>
      <c r="AN103" s="102"/>
      <c r="AO103" s="102"/>
      <c r="AP103" s="102"/>
      <c r="AQ103" s="102"/>
      <c r="AR103" s="102"/>
      <c r="AS103" s="102"/>
      <c r="AT103" s="102"/>
    </row>
    <row r="104" ht="15.75" customHeight="1">
      <c r="A104" s="259"/>
      <c r="B104" s="275"/>
      <c r="C104" s="276"/>
      <c r="D104" s="276"/>
      <c r="E104" s="276"/>
      <c r="F104" s="277"/>
      <c r="G104" s="277"/>
      <c r="H104" s="277"/>
      <c r="I104" s="277"/>
      <c r="J104" s="277"/>
      <c r="K104" s="277"/>
      <c r="L104" s="277"/>
      <c r="M104" s="277"/>
      <c r="N104" s="277"/>
      <c r="O104" s="278"/>
      <c r="P104" s="278"/>
      <c r="Q104" s="278"/>
      <c r="R104" s="278"/>
      <c r="S104" s="277"/>
      <c r="T104" s="279"/>
      <c r="U104" s="277"/>
      <c r="V104" s="277"/>
      <c r="W104" s="277"/>
      <c r="X104" s="277"/>
      <c r="Y104" s="277"/>
      <c r="Z104" s="277"/>
      <c r="AA104" s="277"/>
      <c r="AB104" s="277"/>
      <c r="AC104" s="277"/>
      <c r="AD104" s="280"/>
      <c r="AE104" s="280"/>
      <c r="AF104" s="280"/>
      <c r="AG104" s="280"/>
      <c r="AH104" s="280"/>
      <c r="AI104" s="280"/>
      <c r="AJ104" s="280"/>
      <c r="AK104" s="280"/>
      <c r="AL104" s="280"/>
      <c r="AM104" s="280"/>
      <c r="AN104" s="280"/>
      <c r="AO104" s="280"/>
      <c r="AP104" s="280"/>
      <c r="AQ104" s="280"/>
      <c r="AR104" s="280"/>
      <c r="AS104" s="280"/>
      <c r="AT104" s="280"/>
    </row>
    <row r="105" ht="15.75" customHeight="1">
      <c r="A105" s="142" t="s">
        <v>183</v>
      </c>
      <c r="B105" s="281" t="s">
        <v>2945</v>
      </c>
      <c r="C105" s="282"/>
      <c r="D105" s="282"/>
      <c r="E105" s="282"/>
      <c r="F105" s="283"/>
      <c r="G105" s="283"/>
      <c r="H105" s="283"/>
      <c r="I105" s="283"/>
      <c r="J105" s="283"/>
      <c r="K105" s="283"/>
      <c r="L105" s="283"/>
      <c r="M105" s="283"/>
      <c r="N105" s="283"/>
      <c r="O105" s="284"/>
      <c r="P105" s="284"/>
      <c r="Q105" s="284"/>
      <c r="R105" s="284"/>
      <c r="S105" s="283"/>
      <c r="T105" s="285" t="s">
        <v>211</v>
      </c>
      <c r="U105" s="283"/>
      <c r="V105" s="283"/>
      <c r="W105" s="283"/>
      <c r="X105" s="283"/>
      <c r="Y105" s="283"/>
      <c r="Z105" s="283"/>
      <c r="AA105" s="283"/>
      <c r="AB105" s="283"/>
      <c r="AC105" s="283"/>
      <c r="AD105" s="280"/>
      <c r="AE105" s="280"/>
      <c r="AF105" s="280"/>
      <c r="AG105" s="280"/>
      <c r="AH105" s="280"/>
      <c r="AI105" s="280"/>
      <c r="AJ105" s="280"/>
      <c r="AK105" s="280"/>
      <c r="AL105" s="280"/>
      <c r="AM105" s="280"/>
      <c r="AN105" s="280"/>
      <c r="AO105" s="280"/>
      <c r="AP105" s="280"/>
      <c r="AQ105" s="280"/>
      <c r="AR105" s="280"/>
      <c r="AS105" s="280"/>
      <c r="AT105" s="280"/>
    </row>
    <row r="106" ht="15.75" customHeight="1">
      <c r="A106" s="90" t="s">
        <v>227</v>
      </c>
      <c r="B106" s="91" t="s">
        <v>2972</v>
      </c>
      <c r="C106" s="91"/>
      <c r="D106" s="199"/>
      <c r="E106" s="199"/>
      <c r="F106" s="200"/>
      <c r="G106" s="200"/>
      <c r="H106" s="200"/>
      <c r="I106" s="200"/>
      <c r="J106" s="200"/>
      <c r="K106" s="200"/>
      <c r="L106" s="200"/>
      <c r="M106" s="200"/>
      <c r="N106" s="200"/>
      <c r="O106" s="286" t="s">
        <v>2985</v>
      </c>
      <c r="P106" s="287"/>
      <c r="Q106" s="287"/>
      <c r="R106" s="287"/>
      <c r="S106" s="200"/>
      <c r="T106" s="288"/>
      <c r="U106" s="200"/>
      <c r="V106" s="200"/>
      <c r="W106" s="200"/>
      <c r="X106" s="200"/>
      <c r="Y106" s="200"/>
      <c r="Z106" s="200"/>
      <c r="AA106" s="200"/>
      <c r="AB106" s="200"/>
      <c r="AC106" s="200"/>
      <c r="AD106" s="288"/>
      <c r="AE106" s="288"/>
      <c r="AF106" s="288"/>
      <c r="AG106" s="288"/>
      <c r="AH106" s="288"/>
      <c r="AI106" s="288"/>
      <c r="AJ106" s="288"/>
      <c r="AK106" s="288"/>
      <c r="AL106" s="288"/>
      <c r="AM106" s="288"/>
      <c r="AN106" s="288"/>
      <c r="AO106" s="102"/>
      <c r="AP106" s="102"/>
      <c r="AQ106" s="102"/>
      <c r="AR106" s="102"/>
      <c r="AS106" s="102"/>
      <c r="AT106" s="102"/>
    </row>
    <row r="107" ht="15.75" customHeight="1">
      <c r="A107" s="289" t="s">
        <v>42</v>
      </c>
      <c r="B107" s="290" t="s">
        <v>464</v>
      </c>
      <c r="C107" s="77" t="s">
        <v>468</v>
      </c>
      <c r="D107" s="77" t="s">
        <v>469</v>
      </c>
      <c r="E107" s="77" t="s">
        <v>470</v>
      </c>
      <c r="F107" s="77"/>
      <c r="G107" s="77"/>
      <c r="H107" s="77"/>
      <c r="I107" s="291"/>
      <c r="J107" s="291"/>
      <c r="K107" s="291"/>
      <c r="L107" s="291"/>
      <c r="M107" s="291"/>
      <c r="N107" s="291"/>
      <c r="O107" s="291"/>
      <c r="P107" s="291"/>
      <c r="Q107" s="291"/>
      <c r="R107" s="291"/>
      <c r="S107" s="291"/>
      <c r="T107" s="291"/>
      <c r="U107" s="291"/>
      <c r="V107" s="291"/>
      <c r="W107" s="291"/>
      <c r="X107" s="291"/>
      <c r="Y107" s="291"/>
      <c r="Z107" s="291"/>
      <c r="AA107" s="291"/>
      <c r="AB107" s="291"/>
      <c r="AC107" s="291"/>
      <c r="AD107" s="288"/>
      <c r="AE107" s="288"/>
      <c r="AF107" s="288"/>
      <c r="AG107" s="288"/>
      <c r="AH107" s="288"/>
      <c r="AI107" s="288"/>
      <c r="AJ107" s="288"/>
      <c r="AK107" s="288"/>
      <c r="AL107" s="288"/>
      <c r="AM107" s="288"/>
      <c r="AN107" s="288"/>
      <c r="AO107" s="102"/>
      <c r="AP107" s="102"/>
      <c r="AQ107" s="102"/>
      <c r="AR107" s="102"/>
      <c r="AS107" s="102"/>
      <c r="AT107" s="102"/>
    </row>
    <row r="108" ht="15.75" customHeight="1">
      <c r="A108" s="206" t="s">
        <v>471</v>
      </c>
      <c r="B108" s="245" t="s">
        <v>472</v>
      </c>
      <c r="C108" s="77" t="s">
        <v>473</v>
      </c>
      <c r="D108" s="77" t="s">
        <v>474</v>
      </c>
      <c r="E108" s="77" t="s">
        <v>475</v>
      </c>
      <c r="F108" s="77"/>
      <c r="G108" s="77"/>
      <c r="H108" s="77"/>
      <c r="I108" s="208"/>
      <c r="J108" s="209"/>
      <c r="K108" s="211"/>
      <c r="L108" s="211"/>
      <c r="M108" s="208"/>
      <c r="N108" s="208"/>
      <c r="O108" s="211"/>
      <c r="P108" s="208"/>
      <c r="Q108" s="208" t="s">
        <v>268</v>
      </c>
      <c r="R108" s="208"/>
      <c r="S108" s="208"/>
      <c r="T108" s="208"/>
      <c r="U108" s="208"/>
      <c r="V108" s="208"/>
      <c r="W108" s="208"/>
      <c r="X108" s="208"/>
      <c r="Y108" s="208"/>
      <c r="Z108" s="208"/>
      <c r="AA108" s="208"/>
      <c r="AB108" s="208"/>
      <c r="AC108" s="208"/>
      <c r="AD108" s="125"/>
      <c r="AE108" s="125"/>
      <c r="AF108" s="125"/>
      <c r="AG108" s="125"/>
      <c r="AH108" s="125"/>
      <c r="AI108" s="125"/>
      <c r="AJ108" s="125"/>
      <c r="AK108" s="125"/>
      <c r="AL108" s="125"/>
      <c r="AM108" s="125"/>
      <c r="AN108" s="125"/>
      <c r="AO108" s="102"/>
      <c r="AP108" s="102"/>
      <c r="AQ108" s="102"/>
      <c r="AR108" s="102"/>
      <c r="AS108" s="102"/>
      <c r="AT108" s="102"/>
    </row>
    <row r="109" ht="15.75" customHeight="1">
      <c r="A109" s="206" t="s">
        <v>194</v>
      </c>
      <c r="B109" s="245" t="s">
        <v>476</v>
      </c>
      <c r="C109" s="77" t="s">
        <v>479</v>
      </c>
      <c r="D109" s="77" t="s">
        <v>480</v>
      </c>
      <c r="E109" s="77" t="s">
        <v>482</v>
      </c>
      <c r="F109" s="77"/>
      <c r="G109" s="77"/>
      <c r="H109" s="77"/>
      <c r="I109" s="208"/>
      <c r="J109" s="212"/>
      <c r="K109" s="208"/>
      <c r="L109" s="208"/>
      <c r="M109" s="208"/>
      <c r="N109" s="208"/>
      <c r="O109" s="208"/>
      <c r="P109" s="208"/>
      <c r="Q109" s="208" t="s">
        <v>268</v>
      </c>
      <c r="R109" s="208"/>
      <c r="S109" s="208"/>
      <c r="T109" s="208"/>
      <c r="U109" s="208"/>
      <c r="V109" s="208"/>
      <c r="W109" s="208"/>
      <c r="X109" s="208"/>
      <c r="Y109" s="208"/>
      <c r="Z109" s="208"/>
      <c r="AA109" s="208"/>
      <c r="AB109" s="208"/>
      <c r="AC109" s="208"/>
      <c r="AD109" s="125"/>
      <c r="AE109" s="125"/>
      <c r="AF109" s="125"/>
      <c r="AG109" s="125"/>
      <c r="AH109" s="125"/>
      <c r="AI109" s="125"/>
      <c r="AJ109" s="125"/>
      <c r="AK109" s="125"/>
      <c r="AL109" s="125"/>
      <c r="AM109" s="125"/>
      <c r="AN109" s="125"/>
      <c r="AO109" s="102"/>
      <c r="AP109" s="102"/>
      <c r="AQ109" s="102"/>
      <c r="AR109" s="102"/>
      <c r="AS109" s="102"/>
      <c r="AT109" s="102"/>
    </row>
    <row r="110" ht="15.75" customHeight="1">
      <c r="A110" s="269" t="s">
        <v>484</v>
      </c>
      <c r="B110" s="245" t="s">
        <v>485</v>
      </c>
      <c r="C110" s="77" t="s">
        <v>486</v>
      </c>
      <c r="D110" s="77" t="s">
        <v>487</v>
      </c>
      <c r="E110" s="77" t="s">
        <v>488</v>
      </c>
      <c r="F110" s="77"/>
      <c r="G110" s="77"/>
      <c r="H110" s="77"/>
      <c r="I110" s="208"/>
      <c r="J110" s="212"/>
      <c r="K110" s="208"/>
      <c r="L110" s="208"/>
      <c r="M110" s="208"/>
      <c r="N110" s="208"/>
      <c r="O110" s="210" t="s">
        <v>3063</v>
      </c>
      <c r="P110" s="208"/>
      <c r="Q110" s="208" t="s">
        <v>268</v>
      </c>
      <c r="R110" s="208"/>
      <c r="S110" s="208"/>
      <c r="T110" s="208"/>
      <c r="U110" s="208"/>
      <c r="V110" s="208"/>
      <c r="W110" s="208"/>
      <c r="X110" s="208"/>
      <c r="Y110" s="208"/>
      <c r="Z110" s="208"/>
      <c r="AA110" s="208"/>
      <c r="AB110" s="208"/>
      <c r="AC110" s="208"/>
      <c r="AD110" s="288"/>
      <c r="AE110" s="288"/>
      <c r="AF110" s="288"/>
      <c r="AG110" s="288"/>
      <c r="AH110" s="288"/>
      <c r="AI110" s="288"/>
      <c r="AJ110" s="288"/>
      <c r="AK110" s="288"/>
      <c r="AL110" s="288"/>
      <c r="AM110" s="288"/>
      <c r="AN110" s="288"/>
      <c r="AO110" s="102"/>
      <c r="AP110" s="102"/>
      <c r="AQ110" s="102"/>
      <c r="AR110" s="102"/>
      <c r="AS110" s="102"/>
      <c r="AT110" s="102"/>
    </row>
    <row r="111" ht="15.75" customHeight="1">
      <c r="A111" s="214" t="s">
        <v>299</v>
      </c>
      <c r="B111" s="246" t="s">
        <v>489</v>
      </c>
      <c r="C111" s="77" t="s">
        <v>491</v>
      </c>
      <c r="D111" s="77" t="s">
        <v>492</v>
      </c>
      <c r="E111" s="77" t="s">
        <v>493</v>
      </c>
      <c r="F111" s="77"/>
      <c r="G111" s="77"/>
      <c r="H111" s="77"/>
      <c r="I111" s="216"/>
      <c r="J111" s="217"/>
      <c r="K111" s="216"/>
      <c r="L111" s="216"/>
      <c r="M111" s="216"/>
      <c r="N111" s="216"/>
      <c r="O111" s="292" t="s">
        <v>3080</v>
      </c>
      <c r="P111" s="216"/>
      <c r="Q111" s="292" t="s">
        <v>268</v>
      </c>
      <c r="R111" s="216"/>
      <c r="S111" s="216"/>
      <c r="T111" s="216"/>
      <c r="U111" s="216"/>
      <c r="V111" s="216"/>
      <c r="W111" s="216"/>
      <c r="X111" s="216"/>
      <c r="Y111" s="216"/>
      <c r="Z111" s="216"/>
      <c r="AA111" s="216"/>
      <c r="AB111" s="216"/>
      <c r="AC111" s="216"/>
      <c r="AD111" s="288"/>
      <c r="AE111" s="288"/>
      <c r="AF111" s="288"/>
      <c r="AG111" s="288"/>
      <c r="AH111" s="288"/>
      <c r="AI111" s="288"/>
      <c r="AJ111" s="288"/>
      <c r="AK111" s="288"/>
      <c r="AL111" s="288"/>
      <c r="AM111" s="288"/>
      <c r="AN111" s="288"/>
      <c r="AO111" s="102"/>
      <c r="AP111" s="102"/>
      <c r="AQ111" s="102"/>
      <c r="AR111" s="102"/>
      <c r="AS111" s="102"/>
      <c r="AT111" s="102"/>
    </row>
    <row r="112" ht="15.75" customHeight="1">
      <c r="A112" s="206" t="s">
        <v>194</v>
      </c>
      <c r="B112" s="245" t="s">
        <v>494</v>
      </c>
      <c r="C112" s="77" t="s">
        <v>499</v>
      </c>
      <c r="D112" s="77" t="s">
        <v>500</v>
      </c>
      <c r="E112" s="77" t="s">
        <v>501</v>
      </c>
      <c r="F112" s="77"/>
      <c r="G112" s="77"/>
      <c r="H112" s="77"/>
      <c r="I112" s="211"/>
      <c r="J112" s="209"/>
      <c r="K112" s="211"/>
      <c r="L112" s="208"/>
      <c r="M112" s="208"/>
      <c r="N112" s="208"/>
      <c r="O112" s="208"/>
      <c r="P112" s="208"/>
      <c r="Q112" s="208" t="s">
        <v>268</v>
      </c>
      <c r="R112" s="208"/>
      <c r="S112" s="208"/>
      <c r="T112" s="211"/>
      <c r="U112" s="211"/>
      <c r="V112" s="208"/>
      <c r="W112" s="208"/>
      <c r="X112" s="208"/>
      <c r="Y112" s="208"/>
      <c r="Z112" s="208"/>
      <c r="AA112" s="208"/>
      <c r="AB112" s="208"/>
      <c r="AC112" s="208"/>
      <c r="AD112" s="125"/>
      <c r="AE112" s="125"/>
      <c r="AF112" s="125"/>
      <c r="AG112" s="125"/>
      <c r="AH112" s="125"/>
      <c r="AI112" s="125"/>
      <c r="AJ112" s="125"/>
      <c r="AK112" s="125"/>
      <c r="AL112" s="125"/>
      <c r="AM112" s="125"/>
      <c r="AN112" s="125"/>
      <c r="AO112" s="102"/>
      <c r="AP112" s="102"/>
      <c r="AQ112" s="102"/>
      <c r="AR112" s="102"/>
      <c r="AS112" s="102"/>
      <c r="AT112" s="102"/>
    </row>
    <row r="113" ht="15.75" customHeight="1">
      <c r="A113" s="269" t="s">
        <v>484</v>
      </c>
      <c r="B113" s="245" t="s">
        <v>502</v>
      </c>
      <c r="C113" s="77" t="s">
        <v>506</v>
      </c>
      <c r="D113" s="77" t="s">
        <v>507</v>
      </c>
      <c r="E113" s="77" t="s">
        <v>508</v>
      </c>
      <c r="F113" s="77" t="s">
        <v>3110</v>
      </c>
      <c r="G113" s="77" t="s">
        <v>3113</v>
      </c>
      <c r="H113" s="77" t="s">
        <v>3114</v>
      </c>
      <c r="I113" s="211"/>
      <c r="J113" s="209"/>
      <c r="K113" s="208"/>
      <c r="L113" s="208"/>
      <c r="M113" s="208"/>
      <c r="N113" s="208"/>
      <c r="O113" s="210" t="s">
        <v>3119</v>
      </c>
      <c r="P113" s="208"/>
      <c r="Q113" s="208" t="s">
        <v>268</v>
      </c>
      <c r="R113" s="208"/>
      <c r="S113" s="208"/>
      <c r="T113" s="211"/>
      <c r="U113" s="211"/>
      <c r="V113" s="211"/>
      <c r="W113" s="211"/>
      <c r="X113" s="211"/>
      <c r="Y113" s="211"/>
      <c r="Z113" s="208"/>
      <c r="AA113" s="208"/>
      <c r="AB113" s="208"/>
      <c r="AC113" s="208"/>
      <c r="AD113" s="125"/>
      <c r="AE113" s="125"/>
      <c r="AF113" s="125"/>
      <c r="AG113" s="125"/>
      <c r="AH113" s="125"/>
      <c r="AI113" s="125"/>
      <c r="AJ113" s="125"/>
      <c r="AK113" s="125"/>
      <c r="AL113" s="125"/>
      <c r="AM113" s="125"/>
      <c r="AN113" s="125"/>
      <c r="AO113" s="102"/>
      <c r="AP113" s="102"/>
      <c r="AQ113" s="102"/>
      <c r="AR113" s="102"/>
      <c r="AS113" s="102"/>
      <c r="AT113" s="102"/>
    </row>
    <row r="114" ht="15.75" customHeight="1">
      <c r="A114" s="214" t="s">
        <v>299</v>
      </c>
      <c r="B114" s="246" t="s">
        <v>509</v>
      </c>
      <c r="C114" s="77" t="s">
        <v>513</v>
      </c>
      <c r="D114" s="77" t="s">
        <v>514</v>
      </c>
      <c r="E114" s="77" t="s">
        <v>3135</v>
      </c>
      <c r="F114" s="77"/>
      <c r="G114" s="77"/>
      <c r="H114" s="77"/>
      <c r="I114" s="216"/>
      <c r="J114" s="217"/>
      <c r="K114" s="216"/>
      <c r="L114" s="216"/>
      <c r="M114" s="216"/>
      <c r="N114" s="216"/>
      <c r="O114" s="292" t="s">
        <v>3140</v>
      </c>
      <c r="P114" s="216"/>
      <c r="Q114" s="216" t="s">
        <v>268</v>
      </c>
      <c r="R114" s="216"/>
      <c r="S114" s="216"/>
      <c r="T114" s="229"/>
      <c r="U114" s="229"/>
      <c r="V114" s="229"/>
      <c r="W114" s="229"/>
      <c r="X114" s="229"/>
      <c r="Y114" s="216"/>
      <c r="Z114" s="216"/>
      <c r="AA114" s="216"/>
      <c r="AB114" s="216"/>
      <c r="AC114" s="216"/>
      <c r="AD114" s="219"/>
      <c r="AE114" s="219"/>
      <c r="AF114" s="219"/>
      <c r="AG114" s="219"/>
      <c r="AH114" s="219"/>
      <c r="AI114" s="219"/>
      <c r="AJ114" s="219"/>
      <c r="AK114" s="219"/>
      <c r="AL114" s="219"/>
      <c r="AM114" s="219"/>
      <c r="AN114" s="219"/>
      <c r="AO114" s="102"/>
      <c r="AP114" s="102"/>
      <c r="AQ114" s="102"/>
      <c r="AR114" s="102"/>
      <c r="AS114" s="102"/>
      <c r="AT114" s="102"/>
    </row>
    <row r="115" ht="15.75" customHeight="1">
      <c r="A115" s="206" t="s">
        <v>194</v>
      </c>
      <c r="B115" s="245" t="s">
        <v>516</v>
      </c>
      <c r="C115" s="77" t="s">
        <v>522</v>
      </c>
      <c r="D115" s="77" t="s">
        <v>524</v>
      </c>
      <c r="E115" s="77" t="s">
        <v>525</v>
      </c>
      <c r="F115" s="77"/>
      <c r="G115" s="77"/>
      <c r="H115" s="77"/>
      <c r="I115" s="208"/>
      <c r="J115" s="212"/>
      <c r="K115" s="208"/>
      <c r="L115" s="208"/>
      <c r="M115" s="208"/>
      <c r="N115" s="208"/>
      <c r="O115" s="210" t="s">
        <v>3119</v>
      </c>
      <c r="P115" s="208"/>
      <c r="Q115" s="208" t="s">
        <v>268</v>
      </c>
      <c r="R115" s="208"/>
      <c r="S115" s="208"/>
      <c r="T115" s="208"/>
      <c r="U115" s="208"/>
      <c r="V115" s="208"/>
      <c r="W115" s="208"/>
      <c r="X115" s="208"/>
      <c r="Y115" s="208"/>
      <c r="Z115" s="208"/>
      <c r="AA115" s="208"/>
      <c r="AB115" s="208"/>
      <c r="AC115" s="208"/>
      <c r="AD115" s="125"/>
      <c r="AE115" s="125"/>
      <c r="AF115" s="125"/>
      <c r="AG115" s="125"/>
      <c r="AH115" s="125"/>
      <c r="AI115" s="125"/>
      <c r="AJ115" s="125"/>
      <c r="AK115" s="125"/>
      <c r="AL115" s="125"/>
      <c r="AM115" s="125"/>
      <c r="AN115" s="125"/>
      <c r="AO115" s="102"/>
      <c r="AP115" s="102"/>
      <c r="AQ115" s="102"/>
      <c r="AR115" s="102"/>
      <c r="AS115" s="102"/>
      <c r="AT115" s="102"/>
    </row>
    <row r="116" ht="15.75" customHeight="1">
      <c r="A116" s="198" t="s">
        <v>42</v>
      </c>
      <c r="B116" s="199" t="s">
        <v>526</v>
      </c>
      <c r="C116" s="77" t="s">
        <v>531</v>
      </c>
      <c r="D116" s="77" t="s">
        <v>532</v>
      </c>
      <c r="E116" s="77" t="s">
        <v>533</v>
      </c>
      <c r="F116" s="77"/>
      <c r="G116" s="77"/>
      <c r="H116" s="77"/>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88"/>
      <c r="AE116" s="288"/>
      <c r="AF116" s="288"/>
      <c r="AG116" s="288"/>
      <c r="AH116" s="288"/>
      <c r="AI116" s="288"/>
      <c r="AJ116" s="288"/>
      <c r="AK116" s="288"/>
      <c r="AL116" s="288"/>
      <c r="AM116" s="288"/>
      <c r="AN116" s="288"/>
      <c r="AO116" s="102"/>
      <c r="AP116" s="102"/>
      <c r="AQ116" s="102"/>
      <c r="AR116" s="102"/>
      <c r="AS116" s="102"/>
      <c r="AT116" s="102"/>
    </row>
    <row r="117" ht="15.75" customHeight="1">
      <c r="A117" s="265" t="s">
        <v>396</v>
      </c>
      <c r="B117" s="266" t="s">
        <v>534</v>
      </c>
      <c r="C117" s="77" t="s">
        <v>539</v>
      </c>
      <c r="D117" s="77" t="s">
        <v>540</v>
      </c>
      <c r="E117" s="77" t="s">
        <v>541</v>
      </c>
      <c r="F117" s="77"/>
      <c r="G117" s="77"/>
      <c r="H117" s="77"/>
      <c r="I117" s="293"/>
      <c r="J117" s="267"/>
      <c r="K117" s="268" t="s">
        <v>3192</v>
      </c>
      <c r="L117" s="268"/>
      <c r="M117" s="268"/>
      <c r="N117" s="268"/>
      <c r="O117" s="267"/>
      <c r="P117" s="267"/>
      <c r="Q117" s="267" t="s">
        <v>268</v>
      </c>
      <c r="R117" s="267"/>
      <c r="S117" s="267"/>
      <c r="T117" s="267"/>
      <c r="U117" s="267"/>
      <c r="V117" s="267"/>
      <c r="W117" s="267"/>
      <c r="X117" s="267"/>
      <c r="Y117" s="267"/>
      <c r="Z117" s="267"/>
      <c r="AA117" s="267"/>
      <c r="AB117" s="267"/>
      <c r="AC117" s="267"/>
      <c r="AD117" s="294"/>
      <c r="AE117" s="294"/>
      <c r="AF117" s="294"/>
      <c r="AG117" s="294"/>
      <c r="AH117" s="294"/>
      <c r="AI117" s="294"/>
      <c r="AJ117" s="294"/>
      <c r="AK117" s="294"/>
      <c r="AL117" s="294"/>
      <c r="AM117" s="294"/>
      <c r="AN117" s="294"/>
      <c r="AO117" s="102"/>
      <c r="AP117" s="102"/>
      <c r="AQ117" s="102"/>
      <c r="AR117" s="102"/>
      <c r="AS117" s="102"/>
      <c r="AT117" s="102"/>
    </row>
    <row r="118" ht="15.75" customHeight="1">
      <c r="A118" s="197"/>
      <c r="B118" s="93"/>
      <c r="C118" s="93"/>
      <c r="D118" s="96"/>
      <c r="E118" s="96"/>
      <c r="F118" s="97"/>
      <c r="G118" s="97"/>
      <c r="H118" s="97"/>
      <c r="I118" s="98"/>
      <c r="J118" s="98"/>
      <c r="K118" s="97"/>
      <c r="L118" s="98"/>
      <c r="M118" s="98"/>
      <c r="N118" s="98"/>
      <c r="O118" s="236"/>
      <c r="P118" s="100"/>
      <c r="Q118" s="100"/>
      <c r="R118" s="100"/>
      <c r="S118" s="97"/>
      <c r="T118" s="170"/>
      <c r="U118" s="97"/>
      <c r="V118" s="97"/>
      <c r="W118" s="97"/>
      <c r="X118" s="97"/>
      <c r="Y118" s="97"/>
      <c r="Z118" s="97"/>
      <c r="AA118" s="97"/>
      <c r="AB118" s="97"/>
      <c r="AC118" s="97"/>
      <c r="AD118" s="102"/>
      <c r="AE118" s="102"/>
      <c r="AF118" s="102"/>
      <c r="AG118" s="102"/>
      <c r="AH118" s="102"/>
      <c r="AI118" s="102"/>
      <c r="AJ118" s="102"/>
      <c r="AK118" s="102"/>
      <c r="AL118" s="102"/>
      <c r="AM118" s="102"/>
      <c r="AN118" s="102"/>
      <c r="AO118" s="102"/>
      <c r="AP118" s="102"/>
      <c r="AQ118" s="102"/>
      <c r="AR118" s="102"/>
      <c r="AS118" s="102"/>
      <c r="AT118" s="102"/>
    </row>
    <row r="119" ht="15.75" customHeight="1">
      <c r="A119" s="295" t="s">
        <v>227</v>
      </c>
      <c r="B119" s="296" t="s">
        <v>3238</v>
      </c>
      <c r="C119" s="296"/>
      <c r="D119" s="297"/>
      <c r="E119" s="297"/>
      <c r="F119" s="298"/>
      <c r="G119" s="298"/>
      <c r="H119" s="298"/>
      <c r="I119" s="298"/>
      <c r="J119" s="299" t="s">
        <v>3246</v>
      </c>
      <c r="K119" s="170"/>
      <c r="L119" s="298"/>
      <c r="M119" s="299"/>
      <c r="N119" s="299"/>
      <c r="O119" s="299"/>
      <c r="P119" s="298"/>
      <c r="Q119" s="298"/>
      <c r="R119" s="298"/>
      <c r="S119" s="298"/>
      <c r="T119" s="298"/>
      <c r="U119" s="298"/>
      <c r="V119" s="298"/>
      <c r="W119" s="298"/>
      <c r="X119" s="298"/>
      <c r="Y119" s="298"/>
      <c r="Z119" s="298"/>
      <c r="AA119" s="298"/>
      <c r="AB119" s="298"/>
      <c r="AC119" s="298"/>
      <c r="AD119" s="102"/>
      <c r="AE119" s="102"/>
      <c r="AF119" s="102"/>
      <c r="AG119" s="102"/>
      <c r="AH119" s="102"/>
      <c r="AI119" s="102"/>
      <c r="AJ119" s="102"/>
      <c r="AK119" s="102"/>
      <c r="AL119" s="102"/>
      <c r="AM119" s="102"/>
      <c r="AN119" s="102"/>
      <c r="AO119" s="102"/>
      <c r="AP119" s="102"/>
      <c r="AQ119" s="102"/>
      <c r="AR119" s="102"/>
      <c r="AS119" s="102"/>
      <c r="AT119" s="102"/>
    </row>
    <row r="120" ht="15.75" customHeight="1">
      <c r="A120" s="206" t="s">
        <v>553</v>
      </c>
      <c r="B120" s="245" t="s">
        <v>554</v>
      </c>
      <c r="C120" s="77" t="s">
        <v>558</v>
      </c>
      <c r="D120" s="77" t="s">
        <v>559</v>
      </c>
      <c r="E120" s="77" t="s">
        <v>560</v>
      </c>
      <c r="F120" s="77"/>
      <c r="G120" s="77"/>
      <c r="H120" s="77"/>
      <c r="I120" s="208"/>
      <c r="J120" s="212" t="s">
        <v>10</v>
      </c>
      <c r="K120" s="208"/>
      <c r="L120" s="208"/>
      <c r="M120" s="208"/>
      <c r="N120" s="208"/>
      <c r="O120" s="208"/>
      <c r="P120" s="208"/>
      <c r="Q120" s="208"/>
      <c r="R120" s="208"/>
      <c r="S120" s="208"/>
      <c r="T120" s="208"/>
      <c r="U120" s="208"/>
      <c r="V120" s="208"/>
      <c r="W120" s="208"/>
      <c r="X120" s="208"/>
      <c r="Y120" s="208"/>
      <c r="Z120" s="208"/>
      <c r="AA120" s="208"/>
      <c r="AB120" s="208"/>
      <c r="AC120" s="208"/>
      <c r="AD120" s="102"/>
      <c r="AE120" s="102"/>
      <c r="AF120" s="102"/>
      <c r="AG120" s="102"/>
      <c r="AH120" s="102"/>
      <c r="AI120" s="102"/>
      <c r="AJ120" s="102"/>
      <c r="AK120" s="102"/>
      <c r="AL120" s="102"/>
      <c r="AM120" s="102"/>
      <c r="AN120" s="102"/>
      <c r="AO120" s="102"/>
      <c r="AP120" s="102"/>
      <c r="AQ120" s="102"/>
      <c r="AR120" s="102"/>
      <c r="AS120" s="102"/>
      <c r="AT120" s="102"/>
    </row>
    <row r="121" ht="15.75" customHeight="1">
      <c r="A121" s="206" t="s">
        <v>553</v>
      </c>
      <c r="B121" s="245" t="s">
        <v>561</v>
      </c>
      <c r="C121" s="77" t="s">
        <v>565</v>
      </c>
      <c r="D121" s="77" t="s">
        <v>566</v>
      </c>
      <c r="E121" s="77" t="s">
        <v>567</v>
      </c>
      <c r="F121" s="77"/>
      <c r="G121" s="77"/>
      <c r="H121" s="77"/>
      <c r="I121" s="208"/>
      <c r="J121" s="212" t="s">
        <v>3286</v>
      </c>
      <c r="K121" s="208"/>
      <c r="L121" s="208"/>
      <c r="M121" s="208"/>
      <c r="N121" s="208"/>
      <c r="O121" s="208"/>
      <c r="P121" s="208"/>
      <c r="Q121" s="208" t="s">
        <v>268</v>
      </c>
      <c r="R121" s="208"/>
      <c r="S121" s="208"/>
      <c r="T121" s="208"/>
      <c r="U121" s="208"/>
      <c r="V121" s="208"/>
      <c r="W121" s="208"/>
      <c r="X121" s="208"/>
      <c r="Y121" s="208"/>
      <c r="Z121" s="208"/>
      <c r="AA121" s="208"/>
      <c r="AB121" s="208"/>
      <c r="AC121" s="208"/>
      <c r="AD121" s="102"/>
      <c r="AE121" s="102"/>
      <c r="AF121" s="102"/>
      <c r="AG121" s="102"/>
      <c r="AH121" s="102"/>
      <c r="AI121" s="102"/>
      <c r="AJ121" s="102"/>
      <c r="AK121" s="102"/>
      <c r="AL121" s="102"/>
      <c r="AM121" s="102"/>
      <c r="AN121" s="102"/>
      <c r="AO121" s="102"/>
      <c r="AP121" s="102"/>
      <c r="AQ121" s="102"/>
      <c r="AR121" s="102"/>
      <c r="AS121" s="102"/>
      <c r="AT121" s="102"/>
    </row>
    <row r="122" ht="15.75" customHeight="1">
      <c r="A122" s="206" t="s">
        <v>553</v>
      </c>
      <c r="B122" s="245" t="s">
        <v>569</v>
      </c>
      <c r="C122" s="77" t="s">
        <v>575</v>
      </c>
      <c r="D122" s="77" t="s">
        <v>576</v>
      </c>
      <c r="E122" s="77" t="s">
        <v>577</v>
      </c>
      <c r="F122" s="77"/>
      <c r="G122" s="77"/>
      <c r="H122" s="77"/>
      <c r="I122" s="208"/>
      <c r="J122" s="212" t="s">
        <v>3286</v>
      </c>
      <c r="K122" s="208"/>
      <c r="L122" s="208"/>
      <c r="M122" s="208"/>
      <c r="N122" s="208"/>
      <c r="O122" s="208"/>
      <c r="P122" s="208"/>
      <c r="Q122" s="208" t="s">
        <v>268</v>
      </c>
      <c r="R122" s="208"/>
      <c r="S122" s="208"/>
      <c r="T122" s="208"/>
      <c r="U122" s="208"/>
      <c r="V122" s="208"/>
      <c r="W122" s="208"/>
      <c r="X122" s="208"/>
      <c r="Y122" s="208"/>
      <c r="Z122" s="208"/>
      <c r="AA122" s="208"/>
      <c r="AB122" s="208"/>
      <c r="AC122" s="208"/>
      <c r="AD122" s="102"/>
      <c r="AE122" s="102"/>
      <c r="AF122" s="102"/>
      <c r="AG122" s="102"/>
      <c r="AH122" s="102"/>
      <c r="AI122" s="102"/>
      <c r="AJ122" s="102"/>
      <c r="AK122" s="102"/>
      <c r="AL122" s="102"/>
      <c r="AM122" s="102"/>
      <c r="AN122" s="102"/>
      <c r="AO122" s="102"/>
      <c r="AP122" s="102"/>
      <c r="AQ122" s="102"/>
      <c r="AR122" s="102"/>
      <c r="AS122" s="102"/>
      <c r="AT122" s="102"/>
    </row>
    <row r="123" ht="15.75" customHeight="1">
      <c r="A123" s="206" t="s">
        <v>553</v>
      </c>
      <c r="B123" s="245" t="s">
        <v>578</v>
      </c>
      <c r="C123" s="77" t="s">
        <v>581</v>
      </c>
      <c r="D123" s="77" t="s">
        <v>581</v>
      </c>
      <c r="E123" s="77" t="s">
        <v>582</v>
      </c>
      <c r="F123" s="77"/>
      <c r="G123" s="77"/>
      <c r="H123" s="77"/>
      <c r="I123" s="208"/>
      <c r="J123" s="212" t="s">
        <v>3286</v>
      </c>
      <c r="K123" s="208"/>
      <c r="L123" s="208"/>
      <c r="M123" s="208"/>
      <c r="N123" s="208"/>
      <c r="O123" s="208"/>
      <c r="P123" s="208"/>
      <c r="Q123" s="208" t="s">
        <v>268</v>
      </c>
      <c r="R123" s="208"/>
      <c r="S123" s="208"/>
      <c r="T123" s="208"/>
      <c r="U123" s="208"/>
      <c r="V123" s="208"/>
      <c r="W123" s="208"/>
      <c r="X123" s="208"/>
      <c r="Y123" s="208"/>
      <c r="Z123" s="208"/>
      <c r="AA123" s="208"/>
      <c r="AB123" s="208"/>
      <c r="AC123" s="208"/>
      <c r="AD123" s="102"/>
      <c r="AE123" s="102"/>
      <c r="AF123" s="102"/>
      <c r="AG123" s="102"/>
      <c r="AH123" s="102"/>
      <c r="AI123" s="102"/>
      <c r="AJ123" s="102"/>
      <c r="AK123" s="102"/>
      <c r="AL123" s="102"/>
      <c r="AM123" s="102"/>
      <c r="AN123" s="102"/>
      <c r="AO123" s="102"/>
      <c r="AP123" s="102"/>
      <c r="AQ123" s="102"/>
      <c r="AR123" s="102"/>
      <c r="AS123" s="102"/>
      <c r="AT123" s="102"/>
    </row>
    <row r="124" ht="15.75" customHeight="1">
      <c r="A124" s="206" t="s">
        <v>553</v>
      </c>
      <c r="B124" s="245" t="s">
        <v>583</v>
      </c>
      <c r="C124" s="77" t="s">
        <v>586</v>
      </c>
      <c r="D124" s="77" t="s">
        <v>588</v>
      </c>
      <c r="E124" s="77" t="s">
        <v>589</v>
      </c>
      <c r="F124" s="77"/>
      <c r="G124" s="77"/>
      <c r="H124" s="77"/>
      <c r="I124" s="208"/>
      <c r="J124" s="212" t="s">
        <v>3286</v>
      </c>
      <c r="K124" s="208"/>
      <c r="L124" s="208"/>
      <c r="M124" s="208"/>
      <c r="N124" s="208"/>
      <c r="O124" s="208"/>
      <c r="P124" s="208"/>
      <c r="Q124" s="208" t="s">
        <v>268</v>
      </c>
      <c r="R124" s="208"/>
      <c r="S124" s="208"/>
      <c r="T124" s="208"/>
      <c r="U124" s="208"/>
      <c r="V124" s="208"/>
      <c r="W124" s="208"/>
      <c r="X124" s="208"/>
      <c r="Y124" s="208"/>
      <c r="Z124" s="208"/>
      <c r="AA124" s="208"/>
      <c r="AB124" s="208"/>
      <c r="AC124" s="208"/>
      <c r="AD124" s="102"/>
      <c r="AE124" s="102"/>
      <c r="AF124" s="102"/>
      <c r="AG124" s="102"/>
      <c r="AH124" s="102"/>
      <c r="AI124" s="102"/>
      <c r="AJ124" s="102"/>
      <c r="AK124" s="102"/>
      <c r="AL124" s="102"/>
      <c r="AM124" s="102"/>
      <c r="AN124" s="102"/>
      <c r="AO124" s="102"/>
      <c r="AP124" s="102"/>
      <c r="AQ124" s="102"/>
      <c r="AR124" s="102"/>
      <c r="AS124" s="102"/>
      <c r="AT124" s="102"/>
    </row>
    <row r="125" ht="15.75" customHeight="1">
      <c r="A125" s="206" t="s">
        <v>553</v>
      </c>
      <c r="B125" s="245" t="s">
        <v>592</v>
      </c>
      <c r="C125" s="77" t="s">
        <v>594</v>
      </c>
      <c r="D125" s="77" t="s">
        <v>595</v>
      </c>
      <c r="E125" s="77" t="s">
        <v>596</v>
      </c>
      <c r="F125" s="77"/>
      <c r="G125" s="77"/>
      <c r="H125" s="77"/>
      <c r="I125" s="208"/>
      <c r="J125" s="212" t="s">
        <v>3286</v>
      </c>
      <c r="K125" s="208"/>
      <c r="L125" s="208"/>
      <c r="M125" s="208"/>
      <c r="N125" s="208"/>
      <c r="O125" s="208"/>
      <c r="P125" s="208"/>
      <c r="Q125" s="208" t="s">
        <v>268</v>
      </c>
      <c r="R125" s="208"/>
      <c r="S125" s="208"/>
      <c r="T125" s="208"/>
      <c r="U125" s="208"/>
      <c r="V125" s="208"/>
      <c r="W125" s="208"/>
      <c r="X125" s="208"/>
      <c r="Y125" s="208"/>
      <c r="Z125" s="208"/>
      <c r="AA125" s="208"/>
      <c r="AB125" s="208"/>
      <c r="AC125" s="208"/>
      <c r="AD125" s="102"/>
      <c r="AE125" s="102"/>
      <c r="AF125" s="102"/>
      <c r="AG125" s="102"/>
      <c r="AH125" s="102"/>
      <c r="AI125" s="102"/>
      <c r="AJ125" s="102"/>
      <c r="AK125" s="102"/>
      <c r="AL125" s="102"/>
      <c r="AM125" s="102"/>
      <c r="AN125" s="102"/>
      <c r="AO125" s="102"/>
      <c r="AP125" s="102"/>
      <c r="AQ125" s="102"/>
      <c r="AR125" s="102"/>
      <c r="AS125" s="102"/>
      <c r="AT125" s="102"/>
    </row>
    <row r="126" ht="15.75" customHeight="1">
      <c r="A126" s="206" t="s">
        <v>553</v>
      </c>
      <c r="B126" s="245" t="s">
        <v>597</v>
      </c>
      <c r="C126" s="77" t="s">
        <v>601</v>
      </c>
      <c r="D126" s="77" t="s">
        <v>602</v>
      </c>
      <c r="E126" s="77" t="s">
        <v>603</v>
      </c>
      <c r="F126" s="77"/>
      <c r="G126" s="77"/>
      <c r="H126" s="77"/>
      <c r="I126" s="208"/>
      <c r="J126" s="212" t="s">
        <v>3286</v>
      </c>
      <c r="K126" s="208"/>
      <c r="L126" s="208"/>
      <c r="M126" s="208"/>
      <c r="N126" s="208"/>
      <c r="O126" s="208"/>
      <c r="P126" s="208"/>
      <c r="Q126" s="208" t="s">
        <v>268</v>
      </c>
      <c r="R126" s="208"/>
      <c r="S126" s="208"/>
      <c r="T126" s="208"/>
      <c r="U126" s="208"/>
      <c r="V126" s="208"/>
      <c r="W126" s="208"/>
      <c r="X126" s="208"/>
      <c r="Y126" s="208"/>
      <c r="Z126" s="208"/>
      <c r="AA126" s="208"/>
      <c r="AB126" s="208"/>
      <c r="AC126" s="208"/>
      <c r="AD126" s="102"/>
      <c r="AE126" s="102"/>
      <c r="AF126" s="102"/>
      <c r="AG126" s="102"/>
      <c r="AH126" s="102"/>
      <c r="AI126" s="102"/>
      <c r="AJ126" s="102"/>
      <c r="AK126" s="102"/>
      <c r="AL126" s="102"/>
      <c r="AM126" s="102"/>
      <c r="AN126" s="102"/>
      <c r="AO126" s="102"/>
      <c r="AP126" s="102"/>
      <c r="AQ126" s="102"/>
      <c r="AR126" s="102"/>
      <c r="AS126" s="102"/>
      <c r="AT126" s="102"/>
    </row>
    <row r="127" ht="15.75" customHeight="1">
      <c r="A127" s="206" t="s">
        <v>553</v>
      </c>
      <c r="B127" s="245" t="s">
        <v>605</v>
      </c>
      <c r="C127" s="77" t="s">
        <v>611</v>
      </c>
      <c r="D127" s="77" t="s">
        <v>612</v>
      </c>
      <c r="E127" s="77" t="s">
        <v>613</v>
      </c>
      <c r="F127" s="77"/>
      <c r="G127" s="77"/>
      <c r="H127" s="77"/>
      <c r="I127" s="208"/>
      <c r="J127" s="212" t="s">
        <v>3286</v>
      </c>
      <c r="K127" s="208"/>
      <c r="L127" s="208"/>
      <c r="M127" s="208"/>
      <c r="N127" s="208"/>
      <c r="O127" s="208"/>
      <c r="P127" s="208"/>
      <c r="Q127" s="208" t="s">
        <v>268</v>
      </c>
      <c r="R127" s="208"/>
      <c r="S127" s="208"/>
      <c r="T127" s="208"/>
      <c r="U127" s="208"/>
      <c r="V127" s="208"/>
      <c r="W127" s="208"/>
      <c r="X127" s="208"/>
      <c r="Y127" s="208"/>
      <c r="Z127" s="208"/>
      <c r="AA127" s="208"/>
      <c r="AB127" s="208"/>
      <c r="AC127" s="208"/>
      <c r="AD127" s="102"/>
      <c r="AE127" s="102"/>
      <c r="AF127" s="102"/>
      <c r="AG127" s="102"/>
      <c r="AH127" s="102"/>
      <c r="AI127" s="102"/>
      <c r="AJ127" s="102"/>
      <c r="AK127" s="102"/>
      <c r="AL127" s="102"/>
      <c r="AM127" s="102"/>
      <c r="AN127" s="102"/>
      <c r="AO127" s="102"/>
      <c r="AP127" s="102"/>
      <c r="AQ127" s="102"/>
      <c r="AR127" s="102"/>
      <c r="AS127" s="102"/>
      <c r="AT127" s="102"/>
    </row>
    <row r="128" ht="15.75" customHeight="1">
      <c r="A128" s="197" t="s">
        <v>735</v>
      </c>
      <c r="B128" s="96" t="s">
        <v>3238</v>
      </c>
      <c r="C128" s="96"/>
      <c r="D128" s="96"/>
      <c r="E128" s="96"/>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102"/>
      <c r="AE128" s="102"/>
      <c r="AF128" s="102"/>
      <c r="AG128" s="102"/>
      <c r="AH128" s="102"/>
      <c r="AI128" s="102"/>
      <c r="AJ128" s="102"/>
      <c r="AK128" s="102"/>
      <c r="AL128" s="102"/>
      <c r="AM128" s="102"/>
      <c r="AN128" s="102"/>
      <c r="AO128" s="102"/>
      <c r="AP128" s="102"/>
      <c r="AQ128" s="102"/>
      <c r="AR128" s="102"/>
      <c r="AS128" s="102"/>
      <c r="AT128" s="102"/>
    </row>
    <row r="129" ht="15.75" customHeight="1">
      <c r="A129" s="197" t="s">
        <v>227</v>
      </c>
      <c r="B129" s="93" t="s">
        <v>3408</v>
      </c>
      <c r="C129" s="93"/>
      <c r="D129" s="96"/>
      <c r="E129" s="96"/>
      <c r="F129" s="97"/>
      <c r="G129" s="97"/>
      <c r="H129" s="97"/>
      <c r="I129" s="97"/>
      <c r="J129" s="98" t="s">
        <v>3246</v>
      </c>
      <c r="K129" s="97"/>
      <c r="L129" s="97"/>
      <c r="M129" s="98"/>
      <c r="N129" s="98"/>
      <c r="O129" s="98"/>
      <c r="P129" s="97"/>
      <c r="Q129" s="97"/>
      <c r="R129" s="97"/>
      <c r="S129" s="97"/>
      <c r="T129" s="97"/>
      <c r="U129" s="97"/>
      <c r="V129" s="97"/>
      <c r="W129" s="97"/>
      <c r="X129" s="97"/>
      <c r="Y129" s="97"/>
      <c r="Z129" s="97"/>
      <c r="AA129" s="97"/>
      <c r="AB129" s="97"/>
      <c r="AC129" s="97"/>
      <c r="AD129" s="102"/>
      <c r="AE129" s="102"/>
      <c r="AF129" s="102"/>
      <c r="AG129" s="102"/>
      <c r="AH129" s="102"/>
      <c r="AI129" s="102"/>
      <c r="AJ129" s="102"/>
      <c r="AK129" s="102"/>
      <c r="AL129" s="102"/>
      <c r="AM129" s="102"/>
      <c r="AN129" s="102"/>
      <c r="AO129" s="102"/>
      <c r="AP129" s="102"/>
      <c r="AQ129" s="102"/>
      <c r="AR129" s="102"/>
      <c r="AS129" s="102"/>
      <c r="AT129" s="102"/>
    </row>
    <row r="130" ht="15.75" customHeight="1">
      <c r="A130" s="206" t="s">
        <v>619</v>
      </c>
      <c r="B130" s="245" t="s">
        <v>620</v>
      </c>
      <c r="C130" s="77" t="s">
        <v>628</v>
      </c>
      <c r="D130" s="77" t="s">
        <v>629</v>
      </c>
      <c r="E130" s="77" t="s">
        <v>630</v>
      </c>
      <c r="F130" s="77"/>
      <c r="G130" s="77"/>
      <c r="H130" s="77"/>
      <c r="I130" s="208"/>
      <c r="J130" s="212" t="s">
        <v>10</v>
      </c>
      <c r="K130" s="208"/>
      <c r="L130" s="208"/>
      <c r="M130" s="208"/>
      <c r="N130" s="208"/>
      <c r="O130" s="208"/>
      <c r="P130" s="208"/>
      <c r="Q130" s="208"/>
      <c r="R130" s="208"/>
      <c r="S130" s="208"/>
      <c r="T130" s="208"/>
      <c r="U130" s="208"/>
      <c r="V130" s="208"/>
      <c r="W130" s="208"/>
      <c r="X130" s="208"/>
      <c r="Y130" s="208"/>
      <c r="Z130" s="208"/>
      <c r="AA130" s="208"/>
      <c r="AB130" s="208"/>
      <c r="AC130" s="208"/>
      <c r="AD130" s="102"/>
      <c r="AE130" s="102"/>
      <c r="AF130" s="102"/>
      <c r="AG130" s="102"/>
      <c r="AH130" s="102"/>
      <c r="AI130" s="102"/>
      <c r="AJ130" s="102"/>
      <c r="AK130" s="102"/>
      <c r="AL130" s="102"/>
      <c r="AM130" s="102"/>
      <c r="AN130" s="102"/>
      <c r="AO130" s="102"/>
      <c r="AP130" s="102"/>
      <c r="AQ130" s="102"/>
      <c r="AR130" s="102"/>
      <c r="AS130" s="102"/>
      <c r="AT130" s="102"/>
    </row>
    <row r="131" ht="15.75" customHeight="1">
      <c r="A131" s="206" t="s">
        <v>619</v>
      </c>
      <c r="B131" s="245" t="s">
        <v>631</v>
      </c>
      <c r="C131" s="77" t="s">
        <v>635</v>
      </c>
      <c r="D131" s="77" t="s">
        <v>636</v>
      </c>
      <c r="E131" s="77" t="s">
        <v>3446</v>
      </c>
      <c r="F131" s="77"/>
      <c r="G131" s="77"/>
      <c r="H131" s="77"/>
      <c r="I131" s="208"/>
      <c r="J131" s="212" t="s">
        <v>3286</v>
      </c>
      <c r="K131" s="208"/>
      <c r="L131" s="208"/>
      <c r="M131" s="208"/>
      <c r="N131" s="208"/>
      <c r="O131" s="208"/>
      <c r="P131" s="208"/>
      <c r="Q131" s="208" t="s">
        <v>268</v>
      </c>
      <c r="R131" s="208"/>
      <c r="S131" s="208"/>
      <c r="T131" s="208"/>
      <c r="U131" s="208"/>
      <c r="V131" s="208"/>
      <c r="W131" s="208"/>
      <c r="X131" s="208"/>
      <c r="Y131" s="208"/>
      <c r="Z131" s="208"/>
      <c r="AA131" s="208"/>
      <c r="AB131" s="208"/>
      <c r="AC131" s="208"/>
      <c r="AD131" s="102"/>
      <c r="AE131" s="102"/>
      <c r="AF131" s="102"/>
      <c r="AG131" s="102"/>
      <c r="AH131" s="102"/>
      <c r="AI131" s="102"/>
      <c r="AJ131" s="102"/>
      <c r="AK131" s="102"/>
      <c r="AL131" s="102"/>
      <c r="AM131" s="102"/>
      <c r="AN131" s="102"/>
      <c r="AO131" s="102"/>
      <c r="AP131" s="102"/>
      <c r="AQ131" s="102"/>
      <c r="AR131" s="102"/>
      <c r="AS131" s="102"/>
      <c r="AT131" s="102"/>
    </row>
    <row r="132" ht="15.75" customHeight="1">
      <c r="A132" s="206" t="s">
        <v>619</v>
      </c>
      <c r="B132" s="245" t="s">
        <v>638</v>
      </c>
      <c r="C132" s="77" t="s">
        <v>642</v>
      </c>
      <c r="D132" s="77" t="s">
        <v>643</v>
      </c>
      <c r="E132" s="77" t="s">
        <v>3465</v>
      </c>
      <c r="F132" s="77"/>
      <c r="G132" s="77"/>
      <c r="H132" s="77"/>
      <c r="I132" s="208"/>
      <c r="J132" s="212" t="s">
        <v>3286</v>
      </c>
      <c r="K132" s="208"/>
      <c r="L132" s="208"/>
      <c r="M132" s="208"/>
      <c r="N132" s="208"/>
      <c r="O132" s="208"/>
      <c r="P132" s="208"/>
      <c r="Q132" s="208" t="s">
        <v>268</v>
      </c>
      <c r="R132" s="208"/>
      <c r="S132" s="208"/>
      <c r="T132" s="208"/>
      <c r="U132" s="208"/>
      <c r="V132" s="208"/>
      <c r="W132" s="208"/>
      <c r="X132" s="208"/>
      <c r="Y132" s="208"/>
      <c r="Z132" s="208"/>
      <c r="AA132" s="208"/>
      <c r="AB132" s="208"/>
      <c r="AC132" s="208"/>
      <c r="AD132" s="102"/>
      <c r="AE132" s="102"/>
      <c r="AF132" s="102"/>
      <c r="AG132" s="102"/>
      <c r="AH132" s="102"/>
      <c r="AI132" s="102"/>
      <c r="AJ132" s="102"/>
      <c r="AK132" s="102"/>
      <c r="AL132" s="102"/>
      <c r="AM132" s="102"/>
      <c r="AN132" s="102"/>
      <c r="AO132" s="102"/>
      <c r="AP132" s="102"/>
      <c r="AQ132" s="102"/>
      <c r="AR132" s="102"/>
      <c r="AS132" s="102"/>
      <c r="AT132" s="102"/>
    </row>
    <row r="133" ht="15.75" customHeight="1">
      <c r="A133" s="197" t="s">
        <v>735</v>
      </c>
      <c r="B133" s="96" t="s">
        <v>3408</v>
      </c>
      <c r="C133" s="96"/>
      <c r="D133" s="96"/>
      <c r="E133" s="96"/>
      <c r="F133" s="170"/>
      <c r="G133" s="97"/>
      <c r="H133" s="170"/>
      <c r="I133" s="97"/>
      <c r="J133" s="97"/>
      <c r="K133" s="97"/>
      <c r="L133" s="97"/>
      <c r="M133" s="170"/>
      <c r="N133" s="97"/>
      <c r="O133" s="97"/>
      <c r="P133" s="97"/>
      <c r="Q133" s="97"/>
      <c r="R133" s="97"/>
      <c r="S133" s="97"/>
      <c r="T133" s="97"/>
      <c r="U133" s="97"/>
      <c r="V133" s="97"/>
      <c r="W133" s="97"/>
      <c r="X133" s="97"/>
      <c r="Y133" s="97"/>
      <c r="Z133" s="97"/>
      <c r="AA133" s="97"/>
      <c r="AB133" s="97"/>
      <c r="AC133" s="97"/>
      <c r="AD133" s="102"/>
      <c r="AE133" s="102"/>
      <c r="AF133" s="102"/>
      <c r="AG133" s="102"/>
      <c r="AH133" s="102"/>
      <c r="AI133" s="102"/>
      <c r="AJ133" s="102"/>
      <c r="AK133" s="102"/>
      <c r="AL133" s="102"/>
      <c r="AM133" s="102"/>
      <c r="AN133" s="102"/>
      <c r="AO133" s="102"/>
      <c r="AP133" s="102"/>
      <c r="AQ133" s="102"/>
      <c r="AR133" s="102"/>
      <c r="AS133" s="102"/>
      <c r="AT133" s="102"/>
    </row>
    <row r="134" ht="15.75" customHeight="1">
      <c r="A134" s="265" t="s">
        <v>396</v>
      </c>
      <c r="B134" s="266" t="s">
        <v>652</v>
      </c>
      <c r="C134" s="77" t="s">
        <v>656</v>
      </c>
      <c r="D134" s="77" t="s">
        <v>657</v>
      </c>
      <c r="E134" s="77" t="s">
        <v>658</v>
      </c>
      <c r="F134" s="77" t="s">
        <v>3495</v>
      </c>
      <c r="G134" s="77" t="s">
        <v>3497</v>
      </c>
      <c r="H134" s="77" t="s">
        <v>3499</v>
      </c>
      <c r="I134" s="293"/>
      <c r="J134" s="267"/>
      <c r="K134" s="268" t="s">
        <v>3501</v>
      </c>
      <c r="L134" s="268"/>
      <c r="M134" s="293"/>
      <c r="N134" s="267"/>
      <c r="O134" s="267"/>
      <c r="P134" s="267"/>
      <c r="Q134" s="267" t="s">
        <v>268</v>
      </c>
      <c r="R134" s="267"/>
      <c r="S134" s="267"/>
      <c r="T134" s="267"/>
      <c r="U134" s="267"/>
      <c r="V134" s="267"/>
      <c r="W134" s="267"/>
      <c r="X134" s="267"/>
      <c r="Y134" s="267"/>
      <c r="Z134" s="267"/>
      <c r="AA134" s="267"/>
      <c r="AB134" s="267"/>
      <c r="AC134" s="267"/>
      <c r="AD134" s="102"/>
      <c r="AE134" s="102"/>
      <c r="AF134" s="102"/>
      <c r="AG134" s="102"/>
      <c r="AH134" s="102"/>
      <c r="AI134" s="102"/>
      <c r="AJ134" s="102"/>
      <c r="AK134" s="102"/>
      <c r="AL134" s="102"/>
      <c r="AM134" s="102"/>
      <c r="AN134" s="102"/>
      <c r="AO134" s="102"/>
      <c r="AP134" s="102"/>
      <c r="AQ134" s="102"/>
      <c r="AR134" s="102"/>
      <c r="AS134" s="102"/>
      <c r="AT134" s="102"/>
    </row>
    <row r="135" ht="15.75" customHeight="1">
      <c r="A135" s="197"/>
      <c r="B135" s="93"/>
      <c r="C135" s="93"/>
      <c r="D135" s="96"/>
      <c r="E135" s="96"/>
      <c r="F135" s="97"/>
      <c r="G135" s="97"/>
      <c r="H135" s="97"/>
      <c r="I135" s="98"/>
      <c r="J135" s="98"/>
      <c r="K135" s="97"/>
      <c r="L135" s="98"/>
      <c r="M135" s="98"/>
      <c r="N135" s="98"/>
      <c r="O135" s="236"/>
      <c r="P135" s="100"/>
      <c r="Q135" s="100"/>
      <c r="R135" s="100"/>
      <c r="S135" s="97"/>
      <c r="T135" s="170"/>
      <c r="U135" s="97"/>
      <c r="V135" s="97"/>
      <c r="W135" s="97"/>
      <c r="X135" s="97"/>
      <c r="Y135" s="97"/>
      <c r="Z135" s="97"/>
      <c r="AA135" s="97"/>
      <c r="AB135" s="97"/>
      <c r="AC135" s="97"/>
      <c r="AD135" s="102"/>
      <c r="AE135" s="102"/>
      <c r="AF135" s="102"/>
      <c r="AG135" s="102"/>
      <c r="AH135" s="102"/>
      <c r="AI135" s="102"/>
      <c r="AJ135" s="102"/>
      <c r="AK135" s="102"/>
      <c r="AL135" s="102"/>
      <c r="AM135" s="102"/>
      <c r="AN135" s="102"/>
      <c r="AO135" s="102"/>
      <c r="AP135" s="102"/>
      <c r="AQ135" s="102"/>
      <c r="AR135" s="102"/>
      <c r="AS135" s="102"/>
      <c r="AT135" s="102"/>
    </row>
    <row r="136" ht="15.75" customHeight="1">
      <c r="A136" s="295" t="s">
        <v>227</v>
      </c>
      <c r="B136" s="296" t="s">
        <v>3541</v>
      </c>
      <c r="C136" s="296" t="s">
        <v>3542</v>
      </c>
      <c r="D136" s="296"/>
      <c r="E136" s="296"/>
      <c r="F136" s="298"/>
      <c r="G136" s="298"/>
      <c r="H136" s="298"/>
      <c r="I136" s="298"/>
      <c r="J136" s="299" t="s">
        <v>3246</v>
      </c>
      <c r="K136" s="298"/>
      <c r="L136" s="298"/>
      <c r="M136" s="298"/>
      <c r="N136" s="298"/>
      <c r="O136" s="302"/>
      <c r="P136" s="303"/>
      <c r="Q136" s="298"/>
      <c r="R136" s="298"/>
      <c r="S136" s="298"/>
      <c r="T136" s="298"/>
      <c r="U136" s="298"/>
      <c r="V136" s="298"/>
      <c r="W136" s="298"/>
      <c r="X136" s="298"/>
      <c r="Y136" s="298"/>
      <c r="Z136" s="298"/>
      <c r="AA136" s="298"/>
      <c r="AB136" s="298"/>
      <c r="AC136" s="298"/>
      <c r="AD136" s="170"/>
      <c r="AE136" s="170"/>
      <c r="AF136" s="170"/>
      <c r="AG136" s="170"/>
      <c r="AH136" s="170"/>
      <c r="AI136" s="170"/>
      <c r="AJ136" s="170"/>
      <c r="AK136" s="170"/>
      <c r="AL136" s="170"/>
      <c r="AM136" s="170"/>
      <c r="AN136" s="170"/>
      <c r="AO136" s="102"/>
      <c r="AP136" s="102"/>
      <c r="AQ136" s="102"/>
      <c r="AR136" s="102"/>
      <c r="AS136" s="102"/>
      <c r="AT136" s="102"/>
    </row>
    <row r="137" ht="15.75" customHeight="1">
      <c r="A137" s="198" t="s">
        <v>42</v>
      </c>
      <c r="B137" s="199" t="s">
        <v>667</v>
      </c>
      <c r="C137" s="77" t="s">
        <v>674</v>
      </c>
      <c r="D137" s="77" t="s">
        <v>675</v>
      </c>
      <c r="E137" s="77" t="s">
        <v>676</v>
      </c>
      <c r="F137" s="77"/>
      <c r="G137" s="77"/>
      <c r="H137" s="77"/>
      <c r="I137" s="200"/>
      <c r="J137" s="200"/>
      <c r="K137" s="200"/>
      <c r="L137" s="200"/>
      <c r="M137" s="200"/>
      <c r="N137" s="200"/>
      <c r="O137" s="287"/>
      <c r="P137" s="287"/>
      <c r="Q137" s="288"/>
      <c r="R137" s="200"/>
      <c r="S137" s="200"/>
      <c r="T137" s="200"/>
      <c r="U137" s="200"/>
      <c r="V137" s="200"/>
      <c r="W137" s="200"/>
      <c r="X137" s="200"/>
      <c r="Y137" s="200"/>
      <c r="Z137" s="200"/>
      <c r="AA137" s="200"/>
      <c r="AB137" s="200"/>
      <c r="AC137" s="200"/>
      <c r="AD137" s="125"/>
      <c r="AE137" s="125"/>
      <c r="AF137" s="125"/>
      <c r="AG137" s="125"/>
      <c r="AH137" s="125"/>
      <c r="AI137" s="125"/>
      <c r="AJ137" s="125"/>
      <c r="AK137" s="125"/>
      <c r="AL137" s="125"/>
      <c r="AM137" s="125"/>
      <c r="AN137" s="125"/>
      <c r="AO137" s="102"/>
      <c r="AP137" s="102"/>
      <c r="AQ137" s="102"/>
      <c r="AR137" s="102"/>
      <c r="AS137" s="102"/>
      <c r="AT137" s="102"/>
    </row>
    <row r="138" ht="15.75" customHeight="1">
      <c r="A138" s="206" t="s">
        <v>677</v>
      </c>
      <c r="B138" s="245" t="s">
        <v>678</v>
      </c>
      <c r="C138" s="77" t="s">
        <v>684</v>
      </c>
      <c r="D138" s="77" t="s">
        <v>685</v>
      </c>
      <c r="E138" s="77" t="s">
        <v>686</v>
      </c>
      <c r="F138" s="77"/>
      <c r="G138" s="77"/>
      <c r="H138" s="77"/>
      <c r="I138" s="208"/>
      <c r="J138" s="212" t="s">
        <v>10</v>
      </c>
      <c r="K138" s="208"/>
      <c r="L138" s="208"/>
      <c r="M138" s="208"/>
      <c r="N138" s="208"/>
      <c r="O138" s="208"/>
      <c r="P138" s="208"/>
      <c r="Q138" s="125"/>
      <c r="R138" s="208"/>
      <c r="S138" s="208"/>
      <c r="T138" s="208"/>
      <c r="U138" s="208"/>
      <c r="V138" s="208"/>
      <c r="W138" s="208"/>
      <c r="X138" s="208"/>
      <c r="Y138" s="208"/>
      <c r="Z138" s="208"/>
      <c r="AA138" s="208"/>
      <c r="AB138" s="208"/>
      <c r="AC138" s="208"/>
      <c r="AD138" s="125"/>
      <c r="AE138" s="125"/>
      <c r="AF138" s="125"/>
      <c r="AG138" s="125"/>
      <c r="AH138" s="125"/>
      <c r="AI138" s="125"/>
      <c r="AJ138" s="125"/>
      <c r="AK138" s="125"/>
      <c r="AL138" s="125"/>
      <c r="AM138" s="125"/>
      <c r="AN138" s="125"/>
      <c r="AO138" s="102"/>
      <c r="AP138" s="102"/>
      <c r="AQ138" s="102"/>
      <c r="AR138" s="102"/>
      <c r="AS138" s="102"/>
      <c r="AT138" s="102"/>
    </row>
    <row r="139" ht="15.75" customHeight="1">
      <c r="A139" s="206" t="s">
        <v>677</v>
      </c>
      <c r="B139" s="245" t="s">
        <v>687</v>
      </c>
      <c r="C139" s="77" t="s">
        <v>689</v>
      </c>
      <c r="D139" s="77" t="s">
        <v>690</v>
      </c>
      <c r="E139" s="77" t="s">
        <v>691</v>
      </c>
      <c r="F139" s="77"/>
      <c r="G139" s="77"/>
      <c r="H139" s="77"/>
      <c r="I139" s="208"/>
      <c r="J139" s="212" t="s">
        <v>3286</v>
      </c>
      <c r="K139" s="208"/>
      <c r="L139" s="208"/>
      <c r="M139" s="208"/>
      <c r="N139" s="208"/>
      <c r="O139" s="208"/>
      <c r="P139" s="208"/>
      <c r="Q139" s="208" t="s">
        <v>268</v>
      </c>
      <c r="R139" s="208"/>
      <c r="S139" s="208"/>
      <c r="T139" s="208"/>
      <c r="U139" s="208"/>
      <c r="V139" s="208"/>
      <c r="W139" s="208"/>
      <c r="X139" s="208"/>
      <c r="Y139" s="208"/>
      <c r="Z139" s="208"/>
      <c r="AA139" s="208"/>
      <c r="AB139" s="208"/>
      <c r="AC139" s="208"/>
      <c r="AD139" s="125"/>
      <c r="AE139" s="125"/>
      <c r="AF139" s="125"/>
      <c r="AG139" s="125"/>
      <c r="AH139" s="125"/>
      <c r="AI139" s="125"/>
      <c r="AJ139" s="125"/>
      <c r="AK139" s="125"/>
      <c r="AL139" s="125"/>
      <c r="AM139" s="125"/>
      <c r="AN139" s="125"/>
      <c r="AO139" s="102"/>
      <c r="AP139" s="102"/>
      <c r="AQ139" s="102"/>
      <c r="AR139" s="102"/>
      <c r="AS139" s="102"/>
      <c r="AT139" s="102"/>
    </row>
    <row r="140" ht="15.75" customHeight="1">
      <c r="A140" s="206" t="s">
        <v>677</v>
      </c>
      <c r="B140" s="245" t="s">
        <v>692</v>
      </c>
      <c r="C140" s="77" t="s">
        <v>696</v>
      </c>
      <c r="D140" s="77" t="s">
        <v>697</v>
      </c>
      <c r="E140" s="77" t="s">
        <v>698</v>
      </c>
      <c r="F140" s="77"/>
      <c r="G140" s="77"/>
      <c r="H140" s="77"/>
      <c r="I140" s="208"/>
      <c r="J140" s="212" t="s">
        <v>3286</v>
      </c>
      <c r="K140" s="208"/>
      <c r="L140" s="208"/>
      <c r="M140" s="208"/>
      <c r="N140" s="208"/>
      <c r="O140" s="208"/>
      <c r="P140" s="208"/>
      <c r="Q140" s="208" t="s">
        <v>268</v>
      </c>
      <c r="R140" s="208"/>
      <c r="S140" s="208"/>
      <c r="T140" s="208"/>
      <c r="U140" s="208"/>
      <c r="V140" s="208"/>
      <c r="W140" s="208"/>
      <c r="X140" s="208"/>
      <c r="Y140" s="208"/>
      <c r="Z140" s="208"/>
      <c r="AA140" s="208"/>
      <c r="AB140" s="208"/>
      <c r="AC140" s="208"/>
      <c r="AD140" s="125"/>
      <c r="AE140" s="125"/>
      <c r="AF140" s="125"/>
      <c r="AG140" s="125"/>
      <c r="AH140" s="125"/>
      <c r="AI140" s="125"/>
      <c r="AJ140" s="125"/>
      <c r="AK140" s="125"/>
      <c r="AL140" s="125"/>
      <c r="AM140" s="125"/>
      <c r="AN140" s="125"/>
      <c r="AO140" s="102"/>
      <c r="AP140" s="102"/>
      <c r="AQ140" s="102"/>
      <c r="AR140" s="102"/>
      <c r="AS140" s="102"/>
      <c r="AT140" s="102"/>
    </row>
    <row r="141" ht="15.75" customHeight="1">
      <c r="A141" s="206" t="s">
        <v>677</v>
      </c>
      <c r="B141" s="245" t="s">
        <v>699</v>
      </c>
      <c r="C141" s="77" t="s">
        <v>704</v>
      </c>
      <c r="D141" s="77" t="s">
        <v>705</v>
      </c>
      <c r="E141" s="77" t="s">
        <v>3644</v>
      </c>
      <c r="F141" s="77"/>
      <c r="G141" s="77"/>
      <c r="H141" s="77"/>
      <c r="I141" s="208"/>
      <c r="J141" s="212" t="s">
        <v>3286</v>
      </c>
      <c r="K141" s="208"/>
      <c r="L141" s="208"/>
      <c r="M141" s="208"/>
      <c r="N141" s="208"/>
      <c r="O141" s="208"/>
      <c r="P141" s="208"/>
      <c r="Q141" s="208" t="s">
        <v>268</v>
      </c>
      <c r="R141" s="208"/>
      <c r="S141" s="208"/>
      <c r="T141" s="208"/>
      <c r="U141" s="208"/>
      <c r="V141" s="208"/>
      <c r="W141" s="208"/>
      <c r="X141" s="208"/>
      <c r="Y141" s="208"/>
      <c r="Z141" s="208"/>
      <c r="AA141" s="208"/>
      <c r="AB141" s="208"/>
      <c r="AC141" s="208"/>
      <c r="AD141" s="125"/>
      <c r="AE141" s="125"/>
      <c r="AF141" s="125"/>
      <c r="AG141" s="125"/>
      <c r="AH141" s="125"/>
      <c r="AI141" s="125"/>
      <c r="AJ141" s="125"/>
      <c r="AK141" s="125"/>
      <c r="AL141" s="125"/>
      <c r="AM141" s="125"/>
      <c r="AN141" s="125"/>
      <c r="AO141" s="102"/>
      <c r="AP141" s="102"/>
      <c r="AQ141" s="102"/>
      <c r="AR141" s="102"/>
      <c r="AS141" s="102"/>
      <c r="AT141" s="102"/>
    </row>
    <row r="142" ht="15.75" customHeight="1">
      <c r="A142" s="206" t="s">
        <v>677</v>
      </c>
      <c r="B142" s="245" t="s">
        <v>707</v>
      </c>
      <c r="C142" s="77" t="s">
        <v>708</v>
      </c>
      <c r="D142" s="77" t="s">
        <v>709</v>
      </c>
      <c r="E142" s="77" t="s">
        <v>710</v>
      </c>
      <c r="F142" s="77"/>
      <c r="G142" s="77"/>
      <c r="H142" s="77"/>
      <c r="I142" s="208"/>
      <c r="J142" s="212" t="s">
        <v>3286</v>
      </c>
      <c r="K142" s="208"/>
      <c r="L142" s="208"/>
      <c r="M142" s="208"/>
      <c r="N142" s="208"/>
      <c r="O142" s="208"/>
      <c r="P142" s="208"/>
      <c r="Q142" s="208" t="s">
        <v>268</v>
      </c>
      <c r="R142" s="208"/>
      <c r="S142" s="208"/>
      <c r="T142" s="208"/>
      <c r="U142" s="208"/>
      <c r="V142" s="208"/>
      <c r="W142" s="208"/>
      <c r="X142" s="208"/>
      <c r="Y142" s="208"/>
      <c r="Z142" s="208"/>
      <c r="AA142" s="208"/>
      <c r="AB142" s="208"/>
      <c r="AC142" s="208"/>
      <c r="AD142" s="125"/>
      <c r="AE142" s="125"/>
      <c r="AF142" s="125"/>
      <c r="AG142" s="125"/>
      <c r="AH142" s="125"/>
      <c r="AI142" s="125"/>
      <c r="AJ142" s="125"/>
      <c r="AK142" s="125"/>
      <c r="AL142" s="125"/>
      <c r="AM142" s="125"/>
      <c r="AN142" s="125"/>
      <c r="AO142" s="102"/>
      <c r="AP142" s="102"/>
      <c r="AQ142" s="102"/>
      <c r="AR142" s="102"/>
      <c r="AS142" s="102"/>
      <c r="AT142" s="102"/>
    </row>
    <row r="143" ht="15.75" customHeight="1">
      <c r="A143" s="206" t="s">
        <v>677</v>
      </c>
      <c r="B143" s="245" t="s">
        <v>711</v>
      </c>
      <c r="C143" s="77" t="s">
        <v>718</v>
      </c>
      <c r="D143" s="77" t="s">
        <v>719</v>
      </c>
      <c r="E143" s="77" t="s">
        <v>720</v>
      </c>
      <c r="F143" s="77"/>
      <c r="G143" s="77"/>
      <c r="H143" s="77"/>
      <c r="I143" s="208"/>
      <c r="J143" s="212" t="s">
        <v>3286</v>
      </c>
      <c r="K143" s="208"/>
      <c r="L143" s="208"/>
      <c r="M143" s="208"/>
      <c r="N143" s="208"/>
      <c r="O143" s="208"/>
      <c r="P143" s="208"/>
      <c r="Q143" s="208" t="s">
        <v>268</v>
      </c>
      <c r="R143" s="208"/>
      <c r="S143" s="208"/>
      <c r="T143" s="208"/>
      <c r="U143" s="208"/>
      <c r="V143" s="208"/>
      <c r="W143" s="208"/>
      <c r="X143" s="208"/>
      <c r="Y143" s="208"/>
      <c r="Z143" s="208"/>
      <c r="AA143" s="208"/>
      <c r="AB143" s="208"/>
      <c r="AC143" s="208"/>
      <c r="AD143" s="125"/>
      <c r="AE143" s="125"/>
      <c r="AF143" s="125"/>
      <c r="AG143" s="125"/>
      <c r="AH143" s="125"/>
      <c r="AI143" s="125"/>
      <c r="AJ143" s="125"/>
      <c r="AK143" s="125"/>
      <c r="AL143" s="125"/>
      <c r="AM143" s="125"/>
      <c r="AN143" s="125"/>
      <c r="AO143" s="102"/>
      <c r="AP143" s="102"/>
      <c r="AQ143" s="102"/>
      <c r="AR143" s="102"/>
      <c r="AS143" s="102"/>
      <c r="AT143" s="102"/>
    </row>
    <row r="144" ht="15.75" customHeight="1">
      <c r="A144" s="206" t="s">
        <v>677</v>
      </c>
      <c r="B144" s="245" t="s">
        <v>723</v>
      </c>
      <c r="C144" s="77" t="s">
        <v>727</v>
      </c>
      <c r="D144" s="77" t="s">
        <v>728</v>
      </c>
      <c r="E144" s="77" t="s">
        <v>729</v>
      </c>
      <c r="F144" s="77"/>
      <c r="G144" s="77"/>
      <c r="H144" s="77"/>
      <c r="I144" s="208"/>
      <c r="J144" s="212" t="s">
        <v>3286</v>
      </c>
      <c r="K144" s="208"/>
      <c r="L144" s="208"/>
      <c r="M144" s="208"/>
      <c r="N144" s="208"/>
      <c r="O144" s="208"/>
      <c r="P144" s="208"/>
      <c r="Q144" s="208" t="s">
        <v>268</v>
      </c>
      <c r="R144" s="208"/>
      <c r="S144" s="208"/>
      <c r="T144" s="208"/>
      <c r="U144" s="208"/>
      <c r="V144" s="208"/>
      <c r="W144" s="208"/>
      <c r="X144" s="208"/>
      <c r="Y144" s="208"/>
      <c r="Z144" s="208"/>
      <c r="AA144" s="208"/>
      <c r="AB144" s="208"/>
      <c r="AC144" s="208"/>
      <c r="AD144" s="125"/>
      <c r="AE144" s="125"/>
      <c r="AF144" s="125"/>
      <c r="AG144" s="125"/>
      <c r="AH144" s="125"/>
      <c r="AI144" s="125"/>
      <c r="AJ144" s="125"/>
      <c r="AK144" s="125"/>
      <c r="AL144" s="125"/>
      <c r="AM144" s="125"/>
      <c r="AN144" s="125"/>
      <c r="AO144" s="102"/>
      <c r="AP144" s="102"/>
      <c r="AQ144" s="102"/>
      <c r="AR144" s="102"/>
      <c r="AS144" s="102"/>
      <c r="AT144" s="102"/>
    </row>
    <row r="145" ht="15.75" customHeight="1">
      <c r="A145" s="206" t="s">
        <v>677</v>
      </c>
      <c r="B145" s="245" t="s">
        <v>731</v>
      </c>
      <c r="C145" s="77" t="s">
        <v>736</v>
      </c>
      <c r="D145" s="77" t="s">
        <v>737</v>
      </c>
      <c r="E145" s="77" t="s">
        <v>738</v>
      </c>
      <c r="F145" s="77"/>
      <c r="G145" s="77"/>
      <c r="H145" s="77"/>
      <c r="I145" s="208"/>
      <c r="J145" s="212" t="s">
        <v>3286</v>
      </c>
      <c r="K145" s="208"/>
      <c r="L145" s="208"/>
      <c r="M145" s="208"/>
      <c r="N145" s="208"/>
      <c r="O145" s="208"/>
      <c r="P145" s="208"/>
      <c r="Q145" s="208" t="s">
        <v>268</v>
      </c>
      <c r="R145" s="208"/>
      <c r="S145" s="208"/>
      <c r="T145" s="208"/>
      <c r="U145" s="208"/>
      <c r="V145" s="208"/>
      <c r="W145" s="208"/>
      <c r="X145" s="208"/>
      <c r="Y145" s="208"/>
      <c r="Z145" s="208"/>
      <c r="AA145" s="208"/>
      <c r="AB145" s="208"/>
      <c r="AC145" s="208"/>
      <c r="AD145" s="125"/>
      <c r="AE145" s="125"/>
      <c r="AF145" s="125"/>
      <c r="AG145" s="125"/>
      <c r="AH145" s="125"/>
      <c r="AI145" s="125"/>
      <c r="AJ145" s="125"/>
      <c r="AK145" s="125"/>
      <c r="AL145" s="125"/>
      <c r="AM145" s="125"/>
      <c r="AN145" s="125"/>
      <c r="AO145" s="102"/>
      <c r="AP145" s="102"/>
      <c r="AQ145" s="102"/>
      <c r="AR145" s="102"/>
      <c r="AS145" s="102"/>
      <c r="AT145" s="102"/>
    </row>
    <row r="146" ht="15.75" customHeight="1">
      <c r="A146" s="206" t="s">
        <v>677</v>
      </c>
      <c r="B146" s="245" t="s">
        <v>739</v>
      </c>
      <c r="C146" s="77" t="s">
        <v>743</v>
      </c>
      <c r="D146" s="77" t="s">
        <v>744</v>
      </c>
      <c r="E146" s="77" t="s">
        <v>745</v>
      </c>
      <c r="F146" s="77"/>
      <c r="G146" s="77"/>
      <c r="H146" s="77"/>
      <c r="I146" s="208"/>
      <c r="J146" s="212" t="s">
        <v>3286</v>
      </c>
      <c r="K146" s="208"/>
      <c r="L146" s="208"/>
      <c r="M146" s="208"/>
      <c r="N146" s="208"/>
      <c r="O146" s="208"/>
      <c r="P146" s="208"/>
      <c r="Q146" s="208" t="s">
        <v>268</v>
      </c>
      <c r="R146" s="208"/>
      <c r="S146" s="208"/>
      <c r="T146" s="208"/>
      <c r="U146" s="208"/>
      <c r="V146" s="208"/>
      <c r="W146" s="208"/>
      <c r="X146" s="208"/>
      <c r="Y146" s="208"/>
      <c r="Z146" s="208"/>
      <c r="AA146" s="208"/>
      <c r="AB146" s="208"/>
      <c r="AC146" s="208"/>
      <c r="AD146" s="125"/>
      <c r="AE146" s="125"/>
      <c r="AF146" s="125"/>
      <c r="AG146" s="125"/>
      <c r="AH146" s="125"/>
      <c r="AI146" s="125"/>
      <c r="AJ146" s="125"/>
      <c r="AK146" s="125"/>
      <c r="AL146" s="125"/>
      <c r="AM146" s="125"/>
      <c r="AN146" s="125"/>
      <c r="AO146" s="102"/>
      <c r="AP146" s="102"/>
      <c r="AQ146" s="102"/>
      <c r="AR146" s="102"/>
      <c r="AS146" s="102"/>
      <c r="AT146" s="102"/>
    </row>
    <row r="147" ht="15.75" customHeight="1">
      <c r="A147" s="206" t="s">
        <v>677</v>
      </c>
      <c r="B147" s="245" t="s">
        <v>746</v>
      </c>
      <c r="C147" s="77" t="s">
        <v>750</v>
      </c>
      <c r="D147" s="77" t="s">
        <v>751</v>
      </c>
      <c r="E147" s="77" t="s">
        <v>752</v>
      </c>
      <c r="F147" s="77"/>
      <c r="G147" s="77"/>
      <c r="H147" s="77"/>
      <c r="I147" s="208"/>
      <c r="J147" s="212" t="s">
        <v>3286</v>
      </c>
      <c r="K147" s="208"/>
      <c r="L147" s="208"/>
      <c r="M147" s="208"/>
      <c r="N147" s="208"/>
      <c r="O147" s="208"/>
      <c r="P147" s="208"/>
      <c r="Q147" s="208" t="s">
        <v>268</v>
      </c>
      <c r="R147" s="208"/>
      <c r="S147" s="208"/>
      <c r="T147" s="208"/>
      <c r="U147" s="208"/>
      <c r="V147" s="208"/>
      <c r="W147" s="208"/>
      <c r="X147" s="208"/>
      <c r="Y147" s="208"/>
      <c r="Z147" s="208"/>
      <c r="AA147" s="208"/>
      <c r="AB147" s="208"/>
      <c r="AC147" s="208"/>
      <c r="AD147" s="125"/>
      <c r="AE147" s="125"/>
      <c r="AF147" s="125"/>
      <c r="AG147" s="125"/>
      <c r="AH147" s="125"/>
      <c r="AI147" s="125"/>
      <c r="AJ147" s="125"/>
      <c r="AK147" s="125"/>
      <c r="AL147" s="125"/>
      <c r="AM147" s="125"/>
      <c r="AN147" s="125"/>
      <c r="AO147" s="102"/>
      <c r="AP147" s="102"/>
      <c r="AQ147" s="102"/>
      <c r="AR147" s="102"/>
      <c r="AS147" s="102"/>
      <c r="AT147" s="102"/>
    </row>
    <row r="148" ht="15.75" customHeight="1">
      <c r="A148" s="206" t="s">
        <v>677</v>
      </c>
      <c r="B148" s="245" t="s">
        <v>753</v>
      </c>
      <c r="C148" s="77" t="s">
        <v>757</v>
      </c>
      <c r="D148" s="77" t="s">
        <v>758</v>
      </c>
      <c r="E148" s="77" t="s">
        <v>759</v>
      </c>
      <c r="F148" s="77"/>
      <c r="G148" s="77"/>
      <c r="H148" s="77"/>
      <c r="I148" s="208"/>
      <c r="J148" s="212" t="s">
        <v>3286</v>
      </c>
      <c r="K148" s="208"/>
      <c r="L148" s="208"/>
      <c r="M148" s="208"/>
      <c r="N148" s="208"/>
      <c r="O148" s="208"/>
      <c r="P148" s="208"/>
      <c r="Q148" s="208" t="s">
        <v>268</v>
      </c>
      <c r="R148" s="208"/>
      <c r="S148" s="208"/>
      <c r="T148" s="208"/>
      <c r="U148" s="208"/>
      <c r="V148" s="208"/>
      <c r="W148" s="208"/>
      <c r="X148" s="208"/>
      <c r="Y148" s="208"/>
      <c r="Z148" s="208"/>
      <c r="AA148" s="208"/>
      <c r="AB148" s="208"/>
      <c r="AC148" s="208"/>
      <c r="AD148" s="125"/>
      <c r="AE148" s="125"/>
      <c r="AF148" s="125"/>
      <c r="AG148" s="125"/>
      <c r="AH148" s="125"/>
      <c r="AI148" s="125"/>
      <c r="AJ148" s="125"/>
      <c r="AK148" s="125"/>
      <c r="AL148" s="125"/>
      <c r="AM148" s="125"/>
      <c r="AN148" s="125"/>
      <c r="AO148" s="102"/>
      <c r="AP148" s="102"/>
      <c r="AQ148" s="102"/>
      <c r="AR148" s="102"/>
      <c r="AS148" s="102"/>
      <c r="AT148" s="102"/>
    </row>
    <row r="149" ht="15.75" customHeight="1">
      <c r="A149" s="197" t="s">
        <v>735</v>
      </c>
      <c r="B149" s="96" t="s">
        <v>3541</v>
      </c>
      <c r="C149" s="96" t="s">
        <v>3542</v>
      </c>
      <c r="D149" s="96"/>
      <c r="E149" s="96"/>
      <c r="F149" s="97"/>
      <c r="G149" s="97"/>
      <c r="H149" s="97"/>
      <c r="I149" s="97"/>
      <c r="J149" s="97" t="s">
        <v>3246</v>
      </c>
      <c r="K149" s="97"/>
      <c r="L149" s="97"/>
      <c r="M149" s="97"/>
      <c r="N149" s="97"/>
      <c r="O149" s="100"/>
      <c r="P149" s="100"/>
      <c r="Q149" s="97"/>
      <c r="R149" s="97"/>
      <c r="S149" s="97"/>
      <c r="T149" s="97"/>
      <c r="U149" s="97"/>
      <c r="V149" s="97"/>
      <c r="W149" s="97"/>
      <c r="X149" s="97"/>
      <c r="Y149" s="97"/>
      <c r="Z149" s="97"/>
      <c r="AA149" s="97"/>
      <c r="AB149" s="97"/>
      <c r="AC149" s="97"/>
      <c r="AD149" s="170"/>
      <c r="AE149" s="170"/>
      <c r="AF149" s="170"/>
      <c r="AG149" s="170"/>
      <c r="AH149" s="170"/>
      <c r="AI149" s="170"/>
      <c r="AJ149" s="170"/>
      <c r="AK149" s="170"/>
      <c r="AL149" s="170"/>
      <c r="AM149" s="170"/>
      <c r="AN149" s="170"/>
      <c r="AO149" s="102"/>
      <c r="AP149" s="102"/>
      <c r="AQ149" s="102"/>
      <c r="AR149" s="102"/>
      <c r="AS149" s="102"/>
      <c r="AT149" s="102"/>
    </row>
    <row r="150" ht="15.75" customHeight="1">
      <c r="A150" s="197"/>
      <c r="B150" s="93"/>
      <c r="C150" s="93"/>
      <c r="D150" s="96"/>
      <c r="E150" s="96"/>
      <c r="F150" s="97"/>
      <c r="G150" s="97"/>
      <c r="H150" s="97"/>
      <c r="I150" s="98"/>
      <c r="J150" s="98"/>
      <c r="K150" s="97"/>
      <c r="L150" s="98"/>
      <c r="M150" s="98"/>
      <c r="N150" s="98"/>
      <c r="O150" s="236"/>
      <c r="P150" s="100"/>
      <c r="Q150" s="100"/>
      <c r="R150" s="100"/>
      <c r="S150" s="97"/>
      <c r="T150" s="170"/>
      <c r="U150" s="97"/>
      <c r="V150" s="97"/>
      <c r="W150" s="97"/>
      <c r="X150" s="97"/>
      <c r="Y150" s="97"/>
      <c r="Z150" s="97"/>
      <c r="AA150" s="97"/>
      <c r="AB150" s="97"/>
      <c r="AC150" s="97"/>
      <c r="AD150" s="102"/>
      <c r="AE150" s="102"/>
      <c r="AF150" s="102"/>
      <c r="AG150" s="102"/>
      <c r="AH150" s="102"/>
      <c r="AI150" s="102"/>
      <c r="AJ150" s="102"/>
      <c r="AK150" s="102"/>
      <c r="AL150" s="102"/>
      <c r="AM150" s="102"/>
      <c r="AN150" s="102"/>
      <c r="AO150" s="102"/>
      <c r="AP150" s="102"/>
      <c r="AQ150" s="102"/>
      <c r="AR150" s="102"/>
      <c r="AS150" s="102"/>
      <c r="AT150" s="102"/>
    </row>
    <row r="151" ht="15.75" customHeight="1">
      <c r="A151" s="289" t="s">
        <v>42</v>
      </c>
      <c r="B151" s="290" t="s">
        <v>765</v>
      </c>
      <c r="C151" s="77" t="s">
        <v>770</v>
      </c>
      <c r="D151" s="77" t="s">
        <v>771</v>
      </c>
      <c r="E151" s="77" t="s">
        <v>772</v>
      </c>
      <c r="F151" s="77"/>
      <c r="G151" s="77"/>
      <c r="H151" s="77"/>
      <c r="I151" s="291"/>
      <c r="J151" s="291"/>
      <c r="K151" s="291"/>
      <c r="L151" s="291"/>
      <c r="M151" s="291"/>
      <c r="N151" s="291"/>
      <c r="O151" s="291"/>
      <c r="P151" s="291"/>
      <c r="Q151" s="291"/>
      <c r="R151" s="291"/>
      <c r="S151" s="291"/>
      <c r="T151" s="291"/>
      <c r="U151" s="291"/>
      <c r="V151" s="291"/>
      <c r="W151" s="291"/>
      <c r="X151" s="291"/>
      <c r="Y151" s="291"/>
      <c r="Z151" s="291"/>
      <c r="AA151" s="291"/>
      <c r="AB151" s="291"/>
      <c r="AC151" s="291"/>
      <c r="AD151" s="288"/>
      <c r="AE151" s="288"/>
      <c r="AF151" s="288"/>
      <c r="AG151" s="288"/>
      <c r="AH151" s="288"/>
      <c r="AI151" s="288"/>
      <c r="AJ151" s="288"/>
      <c r="AK151" s="288"/>
      <c r="AL151" s="288"/>
      <c r="AM151" s="288"/>
      <c r="AN151" s="288"/>
      <c r="AO151" s="102"/>
      <c r="AP151" s="102"/>
      <c r="AQ151" s="102"/>
      <c r="AR151" s="102"/>
      <c r="AS151" s="102"/>
      <c r="AT151" s="102"/>
    </row>
    <row r="152" ht="15.75" customHeight="1">
      <c r="A152" s="206" t="s">
        <v>553</v>
      </c>
      <c r="B152" s="245" t="s">
        <v>774</v>
      </c>
      <c r="C152" s="77" t="s">
        <v>780</v>
      </c>
      <c r="D152" s="77" t="s">
        <v>781</v>
      </c>
      <c r="E152" s="77" t="s">
        <v>782</v>
      </c>
      <c r="F152" s="77"/>
      <c r="G152" s="77"/>
      <c r="H152" s="77"/>
      <c r="I152" s="208"/>
      <c r="J152" s="212"/>
      <c r="K152" s="208"/>
      <c r="L152" s="208"/>
      <c r="M152" s="208"/>
      <c r="N152" s="208"/>
      <c r="O152" s="208"/>
      <c r="P152" s="208"/>
      <c r="Q152" s="208" t="s">
        <v>268</v>
      </c>
      <c r="R152" s="208"/>
      <c r="S152" s="208"/>
      <c r="T152" s="208"/>
      <c r="U152" s="208"/>
      <c r="V152" s="208"/>
      <c r="W152" s="208"/>
      <c r="X152" s="208"/>
      <c r="Y152" s="208"/>
      <c r="Z152" s="208"/>
      <c r="AA152" s="208"/>
      <c r="AB152" s="208"/>
      <c r="AC152" s="208"/>
      <c r="AD152" s="125"/>
      <c r="AE152" s="125"/>
      <c r="AF152" s="125"/>
      <c r="AG152" s="125"/>
      <c r="AH152" s="125"/>
      <c r="AI152" s="125"/>
      <c r="AJ152" s="125"/>
      <c r="AK152" s="125"/>
      <c r="AL152" s="125"/>
      <c r="AM152" s="125"/>
      <c r="AN152" s="125"/>
      <c r="AO152" s="102"/>
      <c r="AP152" s="102"/>
      <c r="AQ152" s="102"/>
      <c r="AR152" s="102"/>
      <c r="AS152" s="102"/>
      <c r="AT152" s="102"/>
    </row>
    <row r="153" ht="15.75" customHeight="1">
      <c r="A153" s="206" t="s">
        <v>553</v>
      </c>
      <c r="B153" s="245" t="s">
        <v>783</v>
      </c>
      <c r="C153" s="77" t="s">
        <v>788</v>
      </c>
      <c r="D153" s="77" t="s">
        <v>789</v>
      </c>
      <c r="E153" s="77" t="s">
        <v>790</v>
      </c>
      <c r="F153" s="77"/>
      <c r="G153" s="77"/>
      <c r="H153" s="77"/>
      <c r="I153" s="211"/>
      <c r="J153" s="209"/>
      <c r="K153" s="208"/>
      <c r="L153" s="208"/>
      <c r="M153" s="208"/>
      <c r="N153" s="208"/>
      <c r="O153" s="208"/>
      <c r="P153" s="208"/>
      <c r="Q153" s="208" t="s">
        <v>268</v>
      </c>
      <c r="R153" s="208"/>
      <c r="S153" s="208"/>
      <c r="T153" s="208"/>
      <c r="U153" s="208"/>
      <c r="V153" s="208"/>
      <c r="W153" s="208"/>
      <c r="X153" s="208"/>
      <c r="Y153" s="208"/>
      <c r="Z153" s="208"/>
      <c r="AA153" s="208"/>
      <c r="AB153" s="208"/>
      <c r="AC153" s="208"/>
      <c r="AD153" s="125"/>
      <c r="AE153" s="125"/>
      <c r="AF153" s="125"/>
      <c r="AG153" s="125"/>
      <c r="AH153" s="125"/>
      <c r="AI153" s="125"/>
      <c r="AJ153" s="125"/>
      <c r="AK153" s="125"/>
      <c r="AL153" s="125"/>
      <c r="AM153" s="125"/>
      <c r="AN153" s="125"/>
      <c r="AO153" s="102"/>
      <c r="AP153" s="102"/>
      <c r="AQ153" s="102"/>
      <c r="AR153" s="102"/>
      <c r="AS153" s="102"/>
      <c r="AT153" s="102"/>
    </row>
    <row r="154" ht="15.75" customHeight="1">
      <c r="A154" s="313"/>
      <c r="B154" s="314"/>
      <c r="C154" s="314"/>
      <c r="D154" s="314"/>
      <c r="E154" s="314"/>
      <c r="F154" s="316"/>
      <c r="G154" s="316"/>
      <c r="H154" s="316"/>
      <c r="I154" s="316"/>
      <c r="J154" s="316"/>
      <c r="K154" s="316"/>
      <c r="L154" s="316"/>
      <c r="M154" s="316"/>
      <c r="N154" s="316"/>
      <c r="O154" s="317"/>
      <c r="P154" s="317"/>
      <c r="Q154" s="317"/>
      <c r="R154" s="317"/>
      <c r="S154" s="316"/>
      <c r="T154" s="318"/>
      <c r="U154" s="316"/>
      <c r="V154" s="316"/>
      <c r="W154" s="316"/>
      <c r="X154" s="316"/>
      <c r="Y154" s="316"/>
      <c r="Z154" s="316"/>
      <c r="AA154" s="316"/>
      <c r="AB154" s="316"/>
      <c r="AC154" s="316"/>
      <c r="AD154" s="318"/>
      <c r="AE154" s="318"/>
      <c r="AF154" s="318"/>
      <c r="AG154" s="318"/>
      <c r="AH154" s="318"/>
      <c r="AI154" s="318"/>
      <c r="AJ154" s="318"/>
      <c r="AK154" s="318"/>
      <c r="AL154" s="318"/>
      <c r="AM154" s="318"/>
      <c r="AN154" s="318"/>
      <c r="AO154" s="318"/>
      <c r="AP154" s="318"/>
      <c r="AQ154" s="318"/>
      <c r="AR154" s="318"/>
      <c r="AS154" s="318"/>
      <c r="AT154" s="318"/>
    </row>
    <row r="155" ht="15.75" customHeight="1">
      <c r="A155" s="197" t="s">
        <v>227</v>
      </c>
      <c r="B155" s="93" t="s">
        <v>3989</v>
      </c>
      <c r="C155" s="93"/>
      <c r="D155" s="93"/>
      <c r="E155" s="93"/>
      <c r="F155" s="100"/>
      <c r="G155" s="100"/>
      <c r="H155" s="100"/>
      <c r="I155" s="100"/>
      <c r="J155" s="98" t="s">
        <v>3246</v>
      </c>
      <c r="K155" s="97"/>
      <c r="L155" s="97"/>
      <c r="M155" s="97"/>
      <c r="N155" s="97"/>
      <c r="O155" s="98"/>
      <c r="P155" s="97"/>
      <c r="Q155" s="97"/>
      <c r="R155" s="97"/>
      <c r="S155" s="97"/>
      <c r="T155" s="97"/>
      <c r="U155" s="97"/>
      <c r="V155" s="97"/>
      <c r="W155" s="97"/>
      <c r="X155" s="97"/>
      <c r="Y155" s="97"/>
      <c r="Z155" s="97"/>
      <c r="AA155" s="97"/>
      <c r="AB155" s="97"/>
      <c r="AC155" s="97"/>
      <c r="AD155" s="288"/>
      <c r="AE155" s="288"/>
      <c r="AF155" s="288"/>
      <c r="AG155" s="288"/>
      <c r="AH155" s="288"/>
      <c r="AI155" s="288"/>
      <c r="AJ155" s="288"/>
      <c r="AK155" s="288"/>
      <c r="AL155" s="288"/>
      <c r="AM155" s="288"/>
      <c r="AN155" s="288"/>
      <c r="AO155" s="102"/>
      <c r="AP155" s="102"/>
      <c r="AQ155" s="102"/>
      <c r="AR155" s="102"/>
      <c r="AS155" s="102"/>
      <c r="AT155" s="102"/>
    </row>
    <row r="156" ht="15.75" customHeight="1">
      <c r="A156" s="206" t="s">
        <v>194</v>
      </c>
      <c r="B156" s="245" t="s">
        <v>796</v>
      </c>
      <c r="C156" s="77" t="s">
        <v>799</v>
      </c>
      <c r="D156" s="77" t="s">
        <v>800</v>
      </c>
      <c r="E156" s="77" t="s">
        <v>801</v>
      </c>
      <c r="F156" s="77"/>
      <c r="G156" s="77"/>
      <c r="H156" s="77"/>
      <c r="I156" s="208"/>
      <c r="J156" s="209" t="s">
        <v>10</v>
      </c>
      <c r="K156" s="208"/>
      <c r="L156" s="208"/>
      <c r="M156" s="208"/>
      <c r="N156" s="208"/>
      <c r="O156" s="208"/>
      <c r="P156" s="208"/>
      <c r="Q156" s="208"/>
      <c r="R156" s="208"/>
      <c r="S156" s="208"/>
      <c r="T156" s="208"/>
      <c r="U156" s="208"/>
      <c r="V156" s="208"/>
      <c r="W156" s="208"/>
      <c r="X156" s="208"/>
      <c r="Y156" s="208"/>
      <c r="Z156" s="208"/>
      <c r="AA156" s="208"/>
      <c r="AB156" s="208"/>
      <c r="AC156" s="208"/>
      <c r="AD156" s="288"/>
      <c r="AE156" s="288"/>
      <c r="AF156" s="288"/>
      <c r="AG156" s="288"/>
      <c r="AH156" s="288"/>
      <c r="AI156" s="288"/>
      <c r="AJ156" s="288"/>
      <c r="AK156" s="288"/>
      <c r="AL156" s="288"/>
      <c r="AM156" s="288"/>
      <c r="AN156" s="288"/>
      <c r="AO156" s="102"/>
      <c r="AP156" s="102"/>
      <c r="AQ156" s="102"/>
      <c r="AR156" s="102"/>
      <c r="AS156" s="102"/>
      <c r="AT156" s="102"/>
    </row>
    <row r="157" ht="15.75" customHeight="1">
      <c r="A157" s="206" t="s">
        <v>194</v>
      </c>
      <c r="B157" s="245" t="s">
        <v>802</v>
      </c>
      <c r="C157" s="77" t="s">
        <v>806</v>
      </c>
      <c r="D157" s="77" t="s">
        <v>807</v>
      </c>
      <c r="E157" s="77" t="s">
        <v>808</v>
      </c>
      <c r="F157" s="77"/>
      <c r="G157" s="77"/>
      <c r="H157" s="77"/>
      <c r="I157" s="208"/>
      <c r="J157" s="212" t="s">
        <v>3286</v>
      </c>
      <c r="K157" s="208"/>
      <c r="L157" s="208"/>
      <c r="M157" s="208"/>
      <c r="N157" s="208"/>
      <c r="O157" s="208"/>
      <c r="P157" s="208"/>
      <c r="Q157" s="208" t="s">
        <v>268</v>
      </c>
      <c r="R157" s="208"/>
      <c r="S157" s="208"/>
      <c r="T157" s="208"/>
      <c r="U157" s="208"/>
      <c r="V157" s="208"/>
      <c r="W157" s="208"/>
      <c r="X157" s="208"/>
      <c r="Y157" s="208"/>
      <c r="Z157" s="208"/>
      <c r="AA157" s="208"/>
      <c r="AB157" s="208"/>
      <c r="AC157" s="208"/>
      <c r="AD157" s="125"/>
      <c r="AE157" s="125"/>
      <c r="AF157" s="125"/>
      <c r="AG157" s="125"/>
      <c r="AH157" s="125"/>
      <c r="AI157" s="125"/>
      <c r="AJ157" s="125"/>
      <c r="AK157" s="125"/>
      <c r="AL157" s="125"/>
      <c r="AM157" s="125"/>
      <c r="AN157" s="125"/>
      <c r="AO157" s="102"/>
      <c r="AP157" s="102"/>
      <c r="AQ157" s="102"/>
      <c r="AR157" s="102"/>
      <c r="AS157" s="102"/>
      <c r="AT157" s="102"/>
    </row>
    <row r="158" ht="15.75" customHeight="1">
      <c r="A158" s="206" t="s">
        <v>194</v>
      </c>
      <c r="B158" s="245" t="s">
        <v>809</v>
      </c>
      <c r="C158" s="77" t="s">
        <v>815</v>
      </c>
      <c r="D158" s="77" t="s">
        <v>816</v>
      </c>
      <c r="E158" s="77" t="s">
        <v>818</v>
      </c>
      <c r="F158" s="77"/>
      <c r="G158" s="77"/>
      <c r="H158" s="77"/>
      <c r="I158" s="208"/>
      <c r="J158" s="212" t="s">
        <v>3286</v>
      </c>
      <c r="K158" s="208"/>
      <c r="L158" s="208"/>
      <c r="M158" s="208"/>
      <c r="N158" s="208"/>
      <c r="O158" s="208"/>
      <c r="P158" s="208"/>
      <c r="Q158" s="208" t="s">
        <v>268</v>
      </c>
      <c r="R158" s="208"/>
      <c r="S158" s="208"/>
      <c r="T158" s="208"/>
      <c r="U158" s="208"/>
      <c r="V158" s="208"/>
      <c r="W158" s="208"/>
      <c r="X158" s="208"/>
      <c r="Y158" s="208"/>
      <c r="Z158" s="208"/>
      <c r="AA158" s="208"/>
      <c r="AB158" s="208"/>
      <c r="AC158" s="208"/>
      <c r="AD158" s="125"/>
      <c r="AE158" s="125"/>
      <c r="AF158" s="125"/>
      <c r="AG158" s="125"/>
      <c r="AH158" s="125"/>
      <c r="AI158" s="125"/>
      <c r="AJ158" s="125"/>
      <c r="AK158" s="125"/>
      <c r="AL158" s="125"/>
      <c r="AM158" s="125"/>
      <c r="AN158" s="125"/>
      <c r="AO158" s="102"/>
      <c r="AP158" s="102"/>
      <c r="AQ158" s="102"/>
      <c r="AR158" s="102"/>
      <c r="AS158" s="102"/>
      <c r="AT158" s="102"/>
    </row>
    <row r="159" ht="15.75" customHeight="1">
      <c r="A159" s="206" t="s">
        <v>194</v>
      </c>
      <c r="B159" s="245" t="s">
        <v>819</v>
      </c>
      <c r="C159" s="77" t="s">
        <v>824</v>
      </c>
      <c r="D159" s="77" t="s">
        <v>825</v>
      </c>
      <c r="E159" s="77" t="s">
        <v>4069</v>
      </c>
      <c r="F159" s="77"/>
      <c r="G159" s="77"/>
      <c r="H159" s="77"/>
      <c r="I159" s="208"/>
      <c r="J159" s="212" t="s">
        <v>3286</v>
      </c>
      <c r="K159" s="211"/>
      <c r="L159" s="208"/>
      <c r="M159" s="208"/>
      <c r="N159" s="208"/>
      <c r="O159" s="208"/>
      <c r="P159" s="208"/>
      <c r="Q159" s="208" t="s">
        <v>268</v>
      </c>
      <c r="R159" s="208"/>
      <c r="S159" s="208"/>
      <c r="T159" s="208"/>
      <c r="U159" s="208"/>
      <c r="V159" s="208"/>
      <c r="W159" s="208"/>
      <c r="X159" s="208"/>
      <c r="Y159" s="208"/>
      <c r="Z159" s="208"/>
      <c r="AA159" s="208"/>
      <c r="AB159" s="208"/>
      <c r="AC159" s="208"/>
      <c r="AD159" s="125"/>
      <c r="AE159" s="125"/>
      <c r="AF159" s="125"/>
      <c r="AG159" s="125"/>
      <c r="AH159" s="125"/>
      <c r="AI159" s="125"/>
      <c r="AJ159" s="125"/>
      <c r="AK159" s="125"/>
      <c r="AL159" s="125"/>
      <c r="AM159" s="125"/>
      <c r="AN159" s="125"/>
      <c r="AO159" s="102"/>
      <c r="AP159" s="102"/>
      <c r="AQ159" s="102"/>
      <c r="AR159" s="102"/>
      <c r="AS159" s="102"/>
      <c r="AT159" s="102"/>
    </row>
    <row r="160" ht="15.75" customHeight="1">
      <c r="A160" s="206" t="s">
        <v>194</v>
      </c>
      <c r="B160" s="245" t="s">
        <v>827</v>
      </c>
      <c r="C160" s="77" t="s">
        <v>829</v>
      </c>
      <c r="D160" s="77" t="s">
        <v>830</v>
      </c>
      <c r="E160" s="77" t="s">
        <v>831</v>
      </c>
      <c r="F160" s="77"/>
      <c r="G160" s="77"/>
      <c r="H160" s="77"/>
      <c r="I160" s="208"/>
      <c r="J160" s="212" t="s">
        <v>3286</v>
      </c>
      <c r="K160" s="208"/>
      <c r="L160" s="208"/>
      <c r="M160" s="208"/>
      <c r="N160" s="208"/>
      <c r="O160" s="208"/>
      <c r="P160" s="208"/>
      <c r="Q160" s="208" t="s">
        <v>268</v>
      </c>
      <c r="R160" s="208"/>
      <c r="S160" s="208"/>
      <c r="T160" s="211"/>
      <c r="U160" s="211"/>
      <c r="V160" s="211"/>
      <c r="W160" s="211"/>
      <c r="X160" s="211"/>
      <c r="Y160" s="211"/>
      <c r="Z160" s="208"/>
      <c r="AA160" s="208"/>
      <c r="AB160" s="208"/>
      <c r="AC160" s="208"/>
      <c r="AD160" s="125"/>
      <c r="AE160" s="125"/>
      <c r="AF160" s="125"/>
      <c r="AG160" s="125"/>
      <c r="AH160" s="125"/>
      <c r="AI160" s="125"/>
      <c r="AJ160" s="125"/>
      <c r="AK160" s="125"/>
      <c r="AL160" s="125"/>
      <c r="AM160" s="125"/>
      <c r="AN160" s="125"/>
      <c r="AO160" s="102"/>
      <c r="AP160" s="102"/>
      <c r="AQ160" s="102"/>
      <c r="AR160" s="102"/>
      <c r="AS160" s="102"/>
      <c r="AT160" s="102"/>
    </row>
    <row r="161" ht="15.75" customHeight="1">
      <c r="A161" s="197" t="s">
        <v>735</v>
      </c>
      <c r="B161" s="96" t="s">
        <v>3989</v>
      </c>
      <c r="C161" s="96"/>
      <c r="D161" s="96"/>
      <c r="E161" s="96"/>
      <c r="F161" s="97"/>
      <c r="G161" s="97"/>
      <c r="H161" s="100"/>
      <c r="I161" s="100"/>
      <c r="J161" s="97"/>
      <c r="K161" s="97"/>
      <c r="L161" s="97"/>
      <c r="M161" s="97"/>
      <c r="N161" s="97"/>
      <c r="O161" s="97"/>
      <c r="P161" s="97"/>
      <c r="Q161" s="97"/>
      <c r="R161" s="97"/>
      <c r="S161" s="97"/>
      <c r="T161" s="100"/>
      <c r="U161" s="100"/>
      <c r="V161" s="97"/>
      <c r="W161" s="97"/>
      <c r="X161" s="97"/>
      <c r="Y161" s="97"/>
      <c r="Z161" s="97"/>
      <c r="AA161" s="97"/>
      <c r="AB161" s="97"/>
      <c r="AC161" s="97"/>
      <c r="AD161" s="219"/>
      <c r="AE161" s="219"/>
      <c r="AF161" s="219"/>
      <c r="AG161" s="219"/>
      <c r="AH161" s="219"/>
      <c r="AI161" s="219"/>
      <c r="AJ161" s="219"/>
      <c r="AK161" s="219"/>
      <c r="AL161" s="219"/>
      <c r="AM161" s="219"/>
      <c r="AN161" s="219"/>
      <c r="AO161" s="102"/>
      <c r="AP161" s="102"/>
      <c r="AQ161" s="102"/>
      <c r="AR161" s="102"/>
      <c r="AS161" s="102"/>
      <c r="AT161" s="102"/>
    </row>
    <row r="162" ht="15.75" customHeight="1">
      <c r="A162" s="197" t="s">
        <v>227</v>
      </c>
      <c r="B162" s="93" t="s">
        <v>4137</v>
      </c>
      <c r="C162" s="93"/>
      <c r="D162" s="93"/>
      <c r="E162" s="93"/>
      <c r="F162" s="97"/>
      <c r="G162" s="97"/>
      <c r="H162" s="100"/>
      <c r="I162" s="100"/>
      <c r="J162" s="98" t="s">
        <v>3246</v>
      </c>
      <c r="K162" s="97"/>
      <c r="L162" s="97"/>
      <c r="M162" s="97"/>
      <c r="N162" s="97"/>
      <c r="O162" s="99" t="s">
        <v>4144</v>
      </c>
      <c r="P162" s="100"/>
      <c r="Q162" s="100"/>
      <c r="R162" s="97"/>
      <c r="S162" s="97"/>
      <c r="T162" s="100"/>
      <c r="U162" s="100"/>
      <c r="V162" s="97"/>
      <c r="W162" s="97"/>
      <c r="X162" s="97"/>
      <c r="Y162" s="97"/>
      <c r="Z162" s="97"/>
      <c r="AA162" s="97"/>
      <c r="AB162" s="97"/>
      <c r="AC162" s="97"/>
      <c r="AD162" s="170"/>
      <c r="AE162" s="170"/>
      <c r="AF162" s="170"/>
      <c r="AG162" s="170"/>
      <c r="AH162" s="170"/>
      <c r="AI162" s="170"/>
      <c r="AJ162" s="170"/>
      <c r="AK162" s="170"/>
      <c r="AL162" s="170"/>
      <c r="AM162" s="170"/>
      <c r="AN162" s="170"/>
      <c r="AO162" s="102"/>
      <c r="AP162" s="102"/>
      <c r="AQ162" s="102"/>
      <c r="AR162" s="102"/>
      <c r="AS162" s="102"/>
      <c r="AT162" s="102"/>
    </row>
    <row r="163" ht="15.75" customHeight="1">
      <c r="A163" s="198" t="s">
        <v>42</v>
      </c>
      <c r="B163" s="199" t="s">
        <v>838</v>
      </c>
      <c r="C163" s="77" t="s">
        <v>843</v>
      </c>
      <c r="D163" s="77" t="s">
        <v>844</v>
      </c>
      <c r="E163" s="77" t="s">
        <v>4159</v>
      </c>
      <c r="F163" s="77"/>
      <c r="G163" s="77"/>
      <c r="H163" s="77"/>
      <c r="I163" s="287"/>
      <c r="J163" s="287" t="s">
        <v>10</v>
      </c>
      <c r="K163" s="200"/>
      <c r="L163" s="200"/>
      <c r="M163" s="200"/>
      <c r="N163" s="200"/>
      <c r="O163" s="200"/>
      <c r="P163" s="200"/>
      <c r="Q163" s="200"/>
      <c r="R163" s="200"/>
      <c r="S163" s="200"/>
      <c r="T163" s="287"/>
      <c r="U163" s="287"/>
      <c r="V163" s="200"/>
      <c r="W163" s="200"/>
      <c r="X163" s="200"/>
      <c r="Y163" s="200"/>
      <c r="Z163" s="200"/>
      <c r="AA163" s="200"/>
      <c r="AB163" s="200"/>
      <c r="AC163" s="200"/>
      <c r="AD163" s="219"/>
      <c r="AE163" s="219"/>
      <c r="AF163" s="219"/>
      <c r="AG163" s="219"/>
      <c r="AH163" s="219"/>
      <c r="AI163" s="219"/>
      <c r="AJ163" s="219"/>
      <c r="AK163" s="219"/>
      <c r="AL163" s="219"/>
      <c r="AM163" s="219"/>
      <c r="AN163" s="219"/>
      <c r="AO163" s="102"/>
      <c r="AP163" s="102"/>
      <c r="AQ163" s="102"/>
      <c r="AR163" s="102"/>
      <c r="AS163" s="102"/>
      <c r="AT163" s="102"/>
    </row>
    <row r="164" ht="15.75" customHeight="1">
      <c r="A164" s="214" t="s">
        <v>299</v>
      </c>
      <c r="B164" s="246" t="s">
        <v>848</v>
      </c>
      <c r="C164" s="77" t="s">
        <v>852</v>
      </c>
      <c r="D164" s="77" t="s">
        <v>853</v>
      </c>
      <c r="E164" s="77" t="s">
        <v>854</v>
      </c>
      <c r="F164" s="77" t="s">
        <v>4172</v>
      </c>
      <c r="G164" s="77" t="s">
        <v>4173</v>
      </c>
      <c r="H164" s="77" t="s">
        <v>4174</v>
      </c>
      <c r="I164" s="229"/>
      <c r="J164" s="217" t="s">
        <v>3286</v>
      </c>
      <c r="K164" s="216"/>
      <c r="L164" s="216"/>
      <c r="M164" s="216"/>
      <c r="N164" s="216"/>
      <c r="O164" s="292" t="s">
        <v>4177</v>
      </c>
      <c r="P164" s="216"/>
      <c r="Q164" s="216" t="s">
        <v>268</v>
      </c>
      <c r="R164" s="216"/>
      <c r="S164" s="216"/>
      <c r="T164" s="216"/>
      <c r="U164" s="216"/>
      <c r="V164" s="216"/>
      <c r="W164" s="216"/>
      <c r="X164" s="216"/>
      <c r="Y164" s="216"/>
      <c r="Z164" s="216"/>
      <c r="AA164" s="216"/>
      <c r="AB164" s="216"/>
      <c r="AC164" s="216"/>
      <c r="AD164" s="219"/>
      <c r="AE164" s="219"/>
      <c r="AF164" s="219"/>
      <c r="AG164" s="219"/>
      <c r="AH164" s="219"/>
      <c r="AI164" s="219"/>
      <c r="AJ164" s="219"/>
      <c r="AK164" s="219"/>
      <c r="AL164" s="219"/>
      <c r="AM164" s="219"/>
      <c r="AN164" s="219"/>
      <c r="AO164" s="102"/>
      <c r="AP164" s="102"/>
      <c r="AQ164" s="102"/>
      <c r="AR164" s="102"/>
      <c r="AS164" s="102"/>
      <c r="AT164" s="102"/>
    </row>
    <row r="165" ht="15.75" customHeight="1">
      <c r="A165" s="214" t="s">
        <v>299</v>
      </c>
      <c r="B165" s="246" t="s">
        <v>855</v>
      </c>
      <c r="C165" s="77" t="s">
        <v>862</v>
      </c>
      <c r="D165" s="77" t="s">
        <v>863</v>
      </c>
      <c r="E165" s="77" t="s">
        <v>864</v>
      </c>
      <c r="F165" s="77" t="s">
        <v>4172</v>
      </c>
      <c r="G165" s="77" t="s">
        <v>4173</v>
      </c>
      <c r="H165" s="77" t="s">
        <v>4174</v>
      </c>
      <c r="I165" s="229"/>
      <c r="J165" s="217" t="s">
        <v>3286</v>
      </c>
      <c r="K165" s="216"/>
      <c r="L165" s="216"/>
      <c r="M165" s="216"/>
      <c r="N165" s="216"/>
      <c r="O165" s="292" t="s">
        <v>4196</v>
      </c>
      <c r="P165" s="216"/>
      <c r="Q165" s="216" t="s">
        <v>268</v>
      </c>
      <c r="R165" s="216"/>
      <c r="S165" s="216"/>
      <c r="T165" s="216"/>
      <c r="U165" s="216"/>
      <c r="V165" s="216"/>
      <c r="W165" s="216"/>
      <c r="X165" s="216"/>
      <c r="Y165" s="216"/>
      <c r="Z165" s="216"/>
      <c r="AA165" s="216"/>
      <c r="AB165" s="216"/>
      <c r="AC165" s="216"/>
      <c r="AD165" s="219"/>
      <c r="AE165" s="219"/>
      <c r="AF165" s="219"/>
      <c r="AG165" s="219"/>
      <c r="AH165" s="219"/>
      <c r="AI165" s="219"/>
      <c r="AJ165" s="219"/>
      <c r="AK165" s="219"/>
      <c r="AL165" s="219"/>
      <c r="AM165" s="219"/>
      <c r="AN165" s="219"/>
      <c r="AO165" s="102"/>
      <c r="AP165" s="102"/>
      <c r="AQ165" s="102"/>
      <c r="AR165" s="102"/>
      <c r="AS165" s="102"/>
      <c r="AT165" s="102"/>
    </row>
    <row r="166" ht="15.75" customHeight="1">
      <c r="A166" s="214" t="s">
        <v>299</v>
      </c>
      <c r="B166" s="246" t="s">
        <v>865</v>
      </c>
      <c r="C166" s="77" t="s">
        <v>870</v>
      </c>
      <c r="D166" s="77" t="s">
        <v>872</v>
      </c>
      <c r="E166" s="77" t="s">
        <v>873</v>
      </c>
      <c r="F166" s="77" t="s">
        <v>4172</v>
      </c>
      <c r="G166" s="77" t="s">
        <v>4173</v>
      </c>
      <c r="H166" s="77" t="s">
        <v>4174</v>
      </c>
      <c r="I166" s="229"/>
      <c r="J166" s="217" t="s">
        <v>3286</v>
      </c>
      <c r="K166" s="216"/>
      <c r="L166" s="216"/>
      <c r="M166" s="216"/>
      <c r="N166" s="216"/>
      <c r="O166" s="292" t="s">
        <v>4207</v>
      </c>
      <c r="P166" s="216"/>
      <c r="Q166" s="216" t="s">
        <v>268</v>
      </c>
      <c r="R166" s="216"/>
      <c r="S166" s="216"/>
      <c r="T166" s="229"/>
      <c r="U166" s="216"/>
      <c r="V166" s="216"/>
      <c r="W166" s="216"/>
      <c r="X166" s="216"/>
      <c r="Y166" s="216"/>
      <c r="Z166" s="216"/>
      <c r="AA166" s="216"/>
      <c r="AB166" s="216"/>
      <c r="AC166" s="216"/>
      <c r="AD166" s="219"/>
      <c r="AE166" s="219"/>
      <c r="AF166" s="219"/>
      <c r="AG166" s="219"/>
      <c r="AH166" s="219"/>
      <c r="AI166" s="219"/>
      <c r="AJ166" s="219"/>
      <c r="AK166" s="219"/>
      <c r="AL166" s="219"/>
      <c r="AM166" s="219"/>
      <c r="AN166" s="219"/>
      <c r="AO166" s="102"/>
      <c r="AP166" s="102"/>
      <c r="AQ166" s="102"/>
      <c r="AR166" s="102"/>
      <c r="AS166" s="102"/>
      <c r="AT166" s="102"/>
    </row>
    <row r="167" ht="15.75" customHeight="1">
      <c r="A167" s="214" t="s">
        <v>299</v>
      </c>
      <c r="B167" s="246" t="s">
        <v>874</v>
      </c>
      <c r="C167" s="77" t="s">
        <v>876</v>
      </c>
      <c r="D167" s="77" t="s">
        <v>877</v>
      </c>
      <c r="E167" s="77" t="s">
        <v>878</v>
      </c>
      <c r="F167" s="77" t="s">
        <v>4172</v>
      </c>
      <c r="G167" s="77" t="s">
        <v>4173</v>
      </c>
      <c r="H167" s="77" t="s">
        <v>4174</v>
      </c>
      <c r="I167" s="229"/>
      <c r="J167" s="217" t="s">
        <v>3286</v>
      </c>
      <c r="K167" s="216"/>
      <c r="L167" s="216"/>
      <c r="M167" s="216"/>
      <c r="N167" s="216"/>
      <c r="O167" s="292" t="s">
        <v>4237</v>
      </c>
      <c r="P167" s="216"/>
      <c r="Q167" s="216" t="s">
        <v>268</v>
      </c>
      <c r="R167" s="216"/>
      <c r="S167" s="216"/>
      <c r="T167" s="229"/>
      <c r="U167" s="229"/>
      <c r="V167" s="216"/>
      <c r="W167" s="216"/>
      <c r="X167" s="216"/>
      <c r="Y167" s="216"/>
      <c r="Z167" s="216"/>
      <c r="AA167" s="216"/>
      <c r="AB167" s="216"/>
      <c r="AC167" s="216"/>
      <c r="AD167" s="219"/>
      <c r="AE167" s="219"/>
      <c r="AF167" s="219"/>
      <c r="AG167" s="219"/>
      <c r="AH167" s="219"/>
      <c r="AI167" s="219"/>
      <c r="AJ167" s="219"/>
      <c r="AK167" s="219"/>
      <c r="AL167" s="219"/>
      <c r="AM167" s="219"/>
      <c r="AN167" s="219"/>
      <c r="AO167" s="102"/>
      <c r="AP167" s="102"/>
      <c r="AQ167" s="102"/>
      <c r="AR167" s="102"/>
      <c r="AS167" s="102"/>
      <c r="AT167" s="102"/>
    </row>
    <row r="168" ht="15.75" customHeight="1">
      <c r="A168" s="197" t="s">
        <v>735</v>
      </c>
      <c r="B168" s="96" t="s">
        <v>4137</v>
      </c>
      <c r="C168" s="96"/>
      <c r="D168" s="96"/>
      <c r="E168" s="96"/>
      <c r="F168" s="97"/>
      <c r="G168" s="97"/>
      <c r="H168" s="100"/>
      <c r="I168" s="100"/>
      <c r="J168" s="97"/>
      <c r="K168" s="97"/>
      <c r="L168" s="97"/>
      <c r="M168" s="97"/>
      <c r="N168" s="97"/>
      <c r="O168" s="97"/>
      <c r="P168" s="97"/>
      <c r="Q168" s="97"/>
      <c r="R168" s="97"/>
      <c r="S168" s="97"/>
      <c r="T168" s="100"/>
      <c r="U168" s="100"/>
      <c r="V168" s="97"/>
      <c r="W168" s="97"/>
      <c r="X168" s="97"/>
      <c r="Y168" s="97"/>
      <c r="Z168" s="97"/>
      <c r="AA168" s="97"/>
      <c r="AB168" s="97"/>
      <c r="AC168" s="97"/>
      <c r="AD168" s="170"/>
      <c r="AE168" s="170"/>
      <c r="AF168" s="170"/>
      <c r="AG168" s="170"/>
      <c r="AH168" s="170"/>
      <c r="AI168" s="170"/>
      <c r="AJ168" s="170"/>
      <c r="AK168" s="170"/>
      <c r="AL168" s="170"/>
      <c r="AM168" s="170"/>
      <c r="AN168" s="170"/>
      <c r="AO168" s="102"/>
      <c r="AP168" s="102"/>
      <c r="AQ168" s="102"/>
      <c r="AR168" s="102"/>
      <c r="AS168" s="102"/>
      <c r="AT168" s="102"/>
    </row>
    <row r="169" ht="15.75" customHeight="1">
      <c r="A169" s="197"/>
      <c r="B169" s="93"/>
      <c r="C169" s="93"/>
      <c r="D169" s="96"/>
      <c r="E169" s="96"/>
      <c r="F169" s="97"/>
      <c r="G169" s="97"/>
      <c r="H169" s="97"/>
      <c r="I169" s="98"/>
      <c r="J169" s="98"/>
      <c r="K169" s="97"/>
      <c r="L169" s="98"/>
      <c r="M169" s="98"/>
      <c r="N169" s="98"/>
      <c r="O169" s="236"/>
      <c r="P169" s="100"/>
      <c r="Q169" s="100"/>
      <c r="R169" s="100"/>
      <c r="S169" s="97"/>
      <c r="T169" s="170"/>
      <c r="U169" s="97"/>
      <c r="V169" s="97"/>
      <c r="W169" s="97"/>
      <c r="X169" s="97"/>
      <c r="Y169" s="97"/>
      <c r="Z169" s="97"/>
      <c r="AA169" s="97"/>
      <c r="AB169" s="97"/>
      <c r="AC169" s="97"/>
      <c r="AD169" s="102"/>
      <c r="AE169" s="102"/>
      <c r="AF169" s="102"/>
      <c r="AG169" s="102"/>
      <c r="AH169" s="102"/>
      <c r="AI169" s="102"/>
      <c r="AJ169" s="102"/>
      <c r="AK169" s="102"/>
      <c r="AL169" s="102"/>
      <c r="AM169" s="102"/>
      <c r="AN169" s="102"/>
      <c r="AO169" s="102"/>
      <c r="AP169" s="102"/>
      <c r="AQ169" s="102"/>
      <c r="AR169" s="102"/>
      <c r="AS169" s="102"/>
      <c r="AT169" s="102"/>
    </row>
    <row r="170" ht="15.75" customHeight="1">
      <c r="A170" s="289" t="s">
        <v>42</v>
      </c>
      <c r="B170" s="290" t="s">
        <v>889</v>
      </c>
      <c r="C170" s="77" t="s">
        <v>893</v>
      </c>
      <c r="D170" s="77" t="s">
        <v>895</v>
      </c>
      <c r="E170" s="77" t="s">
        <v>896</v>
      </c>
      <c r="F170" s="77"/>
      <c r="G170" s="77"/>
      <c r="H170" s="77"/>
      <c r="I170" s="291"/>
      <c r="J170" s="291"/>
      <c r="K170" s="291"/>
      <c r="L170" s="291"/>
      <c r="M170" s="291"/>
      <c r="N170" s="291"/>
      <c r="O170" s="333"/>
      <c r="P170" s="291"/>
      <c r="Q170" s="291"/>
      <c r="R170" s="291"/>
      <c r="S170" s="291"/>
      <c r="T170" s="291"/>
      <c r="U170" s="291"/>
      <c r="V170" s="291"/>
      <c r="W170" s="291"/>
      <c r="X170" s="291"/>
      <c r="Y170" s="291"/>
      <c r="Z170" s="291"/>
      <c r="AA170" s="291"/>
      <c r="AB170" s="291"/>
      <c r="AC170" s="291"/>
      <c r="AD170" s="288"/>
      <c r="AE170" s="288"/>
      <c r="AF170" s="288"/>
      <c r="AG170" s="288"/>
      <c r="AH170" s="288"/>
      <c r="AI170" s="288"/>
      <c r="AJ170" s="288"/>
      <c r="AK170" s="288"/>
      <c r="AL170" s="288"/>
      <c r="AM170" s="288"/>
      <c r="AN170" s="288"/>
      <c r="AO170" s="102"/>
      <c r="AP170" s="102"/>
      <c r="AQ170" s="102"/>
      <c r="AR170" s="102"/>
      <c r="AS170" s="102"/>
      <c r="AT170" s="102"/>
    </row>
    <row r="171" ht="15.75" customHeight="1">
      <c r="A171" s="206" t="s">
        <v>277</v>
      </c>
      <c r="B171" s="245" t="s">
        <v>898</v>
      </c>
      <c r="C171" s="77" t="s">
        <v>906</v>
      </c>
      <c r="D171" s="77" t="s">
        <v>907</v>
      </c>
      <c r="E171" s="77" t="s">
        <v>908</v>
      </c>
      <c r="F171" s="77"/>
      <c r="G171" s="77"/>
      <c r="H171" s="77"/>
      <c r="I171" s="208"/>
      <c r="J171" s="212"/>
      <c r="K171" s="208"/>
      <c r="L171" s="208"/>
      <c r="M171" s="208"/>
      <c r="N171" s="208"/>
      <c r="O171" s="211"/>
      <c r="P171" s="208"/>
      <c r="Q171" s="208" t="s">
        <v>268</v>
      </c>
      <c r="R171" s="208"/>
      <c r="S171" s="208"/>
      <c r="T171" s="208"/>
      <c r="U171" s="208"/>
      <c r="V171" s="208"/>
      <c r="W171" s="208"/>
      <c r="X171" s="208"/>
      <c r="Y171" s="208"/>
      <c r="Z171" s="208"/>
      <c r="AA171" s="208"/>
      <c r="AB171" s="208"/>
      <c r="AC171" s="208"/>
      <c r="AD171" s="125"/>
      <c r="AE171" s="125"/>
      <c r="AF171" s="125"/>
      <c r="AG171" s="125"/>
      <c r="AH171" s="125"/>
      <c r="AI171" s="125"/>
      <c r="AJ171" s="125"/>
      <c r="AK171" s="125"/>
      <c r="AL171" s="125"/>
      <c r="AM171" s="125"/>
      <c r="AN171" s="125"/>
      <c r="AO171" s="102"/>
      <c r="AP171" s="102"/>
      <c r="AQ171" s="102"/>
      <c r="AR171" s="102"/>
      <c r="AS171" s="102"/>
      <c r="AT171" s="102"/>
    </row>
    <row r="172" ht="15.75" customHeight="1">
      <c r="A172" s="265" t="s">
        <v>396</v>
      </c>
      <c r="B172" s="266" t="s">
        <v>909</v>
      </c>
      <c r="C172" s="77" t="s">
        <v>883</v>
      </c>
      <c r="D172" s="77" t="s">
        <v>884</v>
      </c>
      <c r="E172" s="77" t="s">
        <v>914</v>
      </c>
      <c r="F172" s="77"/>
      <c r="G172" s="77"/>
      <c r="H172" s="77"/>
      <c r="I172" s="267"/>
      <c r="J172" s="267"/>
      <c r="K172" s="268" t="s">
        <v>4363</v>
      </c>
      <c r="L172" s="268"/>
      <c r="M172" s="268"/>
      <c r="N172" s="268"/>
      <c r="O172" s="335" t="s">
        <v>4368</v>
      </c>
      <c r="P172" s="267"/>
      <c r="Q172" s="267" t="s">
        <v>268</v>
      </c>
      <c r="R172" s="267"/>
      <c r="S172" s="267"/>
      <c r="T172" s="267"/>
      <c r="U172" s="267"/>
      <c r="V172" s="267"/>
      <c r="W172" s="267"/>
      <c r="X172" s="267"/>
      <c r="Y172" s="267"/>
      <c r="Z172" s="267"/>
      <c r="AA172" s="267"/>
      <c r="AB172" s="267"/>
      <c r="AC172" s="267"/>
      <c r="AD172" s="294"/>
      <c r="AE172" s="294"/>
      <c r="AF172" s="294"/>
      <c r="AG172" s="294"/>
      <c r="AH172" s="294"/>
      <c r="AI172" s="294"/>
      <c r="AJ172" s="294"/>
      <c r="AK172" s="294"/>
      <c r="AL172" s="294"/>
      <c r="AM172" s="294"/>
      <c r="AN172" s="294"/>
      <c r="AO172" s="102"/>
      <c r="AP172" s="102"/>
      <c r="AQ172" s="102"/>
      <c r="AR172" s="102"/>
      <c r="AS172" s="102"/>
      <c r="AT172" s="102"/>
    </row>
    <row r="173" ht="15.75" customHeight="1">
      <c r="A173" s="206" t="s">
        <v>277</v>
      </c>
      <c r="B173" s="245" t="s">
        <v>915</v>
      </c>
      <c r="C173" s="77" t="s">
        <v>919</v>
      </c>
      <c r="D173" s="77" t="s">
        <v>920</v>
      </c>
      <c r="E173" s="77" t="s">
        <v>921</v>
      </c>
      <c r="F173" s="77"/>
      <c r="G173" s="77"/>
      <c r="H173" s="77"/>
      <c r="I173" s="208"/>
      <c r="J173" s="212"/>
      <c r="K173" s="208"/>
      <c r="L173" s="208"/>
      <c r="M173" s="208"/>
      <c r="N173" s="208"/>
      <c r="O173" s="211"/>
      <c r="P173" s="208"/>
      <c r="Q173" s="208" t="s">
        <v>268</v>
      </c>
      <c r="R173" s="208"/>
      <c r="S173" s="208"/>
      <c r="T173" s="208"/>
      <c r="U173" s="208"/>
      <c r="V173" s="208"/>
      <c r="W173" s="208"/>
      <c r="X173" s="208"/>
      <c r="Y173" s="208"/>
      <c r="Z173" s="208"/>
      <c r="AA173" s="208"/>
      <c r="AB173" s="208"/>
      <c r="AC173" s="208"/>
      <c r="AD173" s="125"/>
      <c r="AE173" s="125"/>
      <c r="AF173" s="125"/>
      <c r="AG173" s="125"/>
      <c r="AH173" s="125"/>
      <c r="AI173" s="125"/>
      <c r="AJ173" s="125"/>
      <c r="AK173" s="125"/>
      <c r="AL173" s="125"/>
      <c r="AM173" s="125"/>
      <c r="AN173" s="125"/>
      <c r="AO173" s="102"/>
      <c r="AP173" s="102"/>
      <c r="AQ173" s="102"/>
      <c r="AR173" s="102"/>
      <c r="AS173" s="102"/>
      <c r="AT173" s="102"/>
    </row>
    <row r="174" ht="15.75" customHeight="1">
      <c r="A174" s="265" t="s">
        <v>396</v>
      </c>
      <c r="B174" s="266" t="s">
        <v>922</v>
      </c>
      <c r="C174" s="77" t="s">
        <v>927</v>
      </c>
      <c r="D174" s="77" t="s">
        <v>928</v>
      </c>
      <c r="E174" s="77" t="s">
        <v>4391</v>
      </c>
      <c r="F174" s="77"/>
      <c r="G174" s="77"/>
      <c r="H174" s="77"/>
      <c r="I174" s="267"/>
      <c r="J174" s="267"/>
      <c r="K174" s="268" t="s">
        <v>4363</v>
      </c>
      <c r="L174" s="268"/>
      <c r="M174" s="268"/>
      <c r="N174" s="268"/>
      <c r="O174" s="335" t="s">
        <v>4399</v>
      </c>
      <c r="P174" s="267"/>
      <c r="Q174" s="267" t="s">
        <v>268</v>
      </c>
      <c r="R174" s="267"/>
      <c r="S174" s="267"/>
      <c r="T174" s="267"/>
      <c r="U174" s="267"/>
      <c r="V174" s="267"/>
      <c r="W174" s="267"/>
      <c r="X174" s="267"/>
      <c r="Y174" s="267"/>
      <c r="Z174" s="267"/>
      <c r="AA174" s="267"/>
      <c r="AB174" s="267"/>
      <c r="AC174" s="267"/>
      <c r="AD174" s="294"/>
      <c r="AE174" s="294"/>
      <c r="AF174" s="294"/>
      <c r="AG174" s="294"/>
      <c r="AH174" s="294"/>
      <c r="AI174" s="294"/>
      <c r="AJ174" s="294"/>
      <c r="AK174" s="294"/>
      <c r="AL174" s="294"/>
      <c r="AM174" s="294"/>
      <c r="AN174" s="294"/>
      <c r="AO174" s="102"/>
      <c r="AP174" s="102"/>
      <c r="AQ174" s="102"/>
      <c r="AR174" s="102"/>
      <c r="AS174" s="102"/>
      <c r="AT174" s="102"/>
    </row>
    <row r="175" ht="15.75" customHeight="1">
      <c r="A175" s="265" t="s">
        <v>396</v>
      </c>
      <c r="B175" s="266" t="s">
        <v>931</v>
      </c>
      <c r="C175" s="77" t="s">
        <v>933</v>
      </c>
      <c r="D175" s="77" t="s">
        <v>934</v>
      </c>
      <c r="E175" s="77" t="s">
        <v>935</v>
      </c>
      <c r="F175" s="77"/>
      <c r="G175" s="77"/>
      <c r="H175" s="77"/>
      <c r="I175" s="267"/>
      <c r="J175" s="267"/>
      <c r="K175" s="268" t="s">
        <v>4363</v>
      </c>
      <c r="L175" s="268"/>
      <c r="M175" s="268"/>
      <c r="N175" s="268"/>
      <c r="O175" s="293"/>
      <c r="P175" s="267"/>
      <c r="Q175" s="267" t="s">
        <v>268</v>
      </c>
      <c r="R175" s="267"/>
      <c r="S175" s="267"/>
      <c r="T175" s="267"/>
      <c r="U175" s="267"/>
      <c r="V175" s="267"/>
      <c r="W175" s="267"/>
      <c r="X175" s="267"/>
      <c r="Y175" s="267"/>
      <c r="Z175" s="267"/>
      <c r="AA175" s="267"/>
      <c r="AB175" s="267"/>
      <c r="AC175" s="267"/>
      <c r="AD175" s="294"/>
      <c r="AE175" s="294"/>
      <c r="AF175" s="294"/>
      <c r="AG175" s="294"/>
      <c r="AH175" s="294"/>
      <c r="AI175" s="294"/>
      <c r="AJ175" s="294"/>
      <c r="AK175" s="294"/>
      <c r="AL175" s="294"/>
      <c r="AM175" s="294"/>
      <c r="AN175" s="294"/>
      <c r="AO175" s="102"/>
      <c r="AP175" s="102"/>
      <c r="AQ175" s="102"/>
      <c r="AR175" s="102"/>
      <c r="AS175" s="102"/>
      <c r="AT175" s="102"/>
    </row>
    <row r="176" ht="15.75" customHeight="1">
      <c r="A176" s="206" t="s">
        <v>277</v>
      </c>
      <c r="B176" s="245" t="s">
        <v>936</v>
      </c>
      <c r="C176" s="77" t="s">
        <v>942</v>
      </c>
      <c r="D176" s="77" t="s">
        <v>943</v>
      </c>
      <c r="E176" s="77" t="s">
        <v>4445</v>
      </c>
      <c r="F176" s="77"/>
      <c r="G176" s="77"/>
      <c r="H176" s="77"/>
      <c r="I176" s="208"/>
      <c r="J176" s="212"/>
      <c r="K176" s="208"/>
      <c r="L176" s="208"/>
      <c r="M176" s="208"/>
      <c r="N176" s="208"/>
      <c r="O176" s="208"/>
      <c r="P176" s="208"/>
      <c r="Q176" s="208" t="s">
        <v>268</v>
      </c>
      <c r="R176" s="208"/>
      <c r="S176" s="208"/>
      <c r="T176" s="208"/>
      <c r="U176" s="208"/>
      <c r="V176" s="208"/>
      <c r="W176" s="208"/>
      <c r="X176" s="208"/>
      <c r="Y176" s="208"/>
      <c r="Z176" s="208"/>
      <c r="AA176" s="208"/>
      <c r="AB176" s="208"/>
      <c r="AC176" s="208"/>
      <c r="AD176" s="125"/>
      <c r="AE176" s="125"/>
      <c r="AF176" s="125"/>
      <c r="AG176" s="125"/>
      <c r="AH176" s="125"/>
      <c r="AI176" s="125"/>
      <c r="AJ176" s="125"/>
      <c r="AK176" s="125"/>
      <c r="AL176" s="125"/>
      <c r="AM176" s="125"/>
      <c r="AN176" s="125"/>
      <c r="AO176" s="102"/>
      <c r="AP176" s="102"/>
      <c r="AQ176" s="102"/>
      <c r="AR176" s="102"/>
      <c r="AS176" s="102"/>
      <c r="AT176" s="102"/>
    </row>
    <row r="177" ht="15.75" customHeight="1">
      <c r="A177" s="265" t="s">
        <v>396</v>
      </c>
      <c r="B177" s="266" t="s">
        <v>948</v>
      </c>
      <c r="C177" s="77" t="s">
        <v>954</v>
      </c>
      <c r="D177" s="77" t="s">
        <v>956</v>
      </c>
      <c r="E177" s="77" t="s">
        <v>957</v>
      </c>
      <c r="F177" s="77"/>
      <c r="G177" s="77"/>
      <c r="H177" s="77"/>
      <c r="I177" s="267"/>
      <c r="J177" s="267"/>
      <c r="K177" s="268" t="s">
        <v>4363</v>
      </c>
      <c r="L177" s="268"/>
      <c r="M177" s="268"/>
      <c r="N177" s="268"/>
      <c r="O177" s="336" t="s">
        <v>4474</v>
      </c>
      <c r="P177" s="267"/>
      <c r="Q177" s="267" t="s">
        <v>268</v>
      </c>
      <c r="R177" s="267"/>
      <c r="S177" s="267"/>
      <c r="T177" s="267"/>
      <c r="U177" s="267"/>
      <c r="V177" s="267"/>
      <c r="W177" s="267"/>
      <c r="X177" s="267"/>
      <c r="Y177" s="267"/>
      <c r="Z177" s="267"/>
      <c r="AA177" s="267"/>
      <c r="AB177" s="267"/>
      <c r="AC177" s="267"/>
      <c r="AD177" s="294"/>
      <c r="AE177" s="294"/>
      <c r="AF177" s="294"/>
      <c r="AG177" s="294"/>
      <c r="AH177" s="294"/>
      <c r="AI177" s="294"/>
      <c r="AJ177" s="294"/>
      <c r="AK177" s="294"/>
      <c r="AL177" s="294"/>
      <c r="AM177" s="294"/>
      <c r="AN177" s="294"/>
      <c r="AO177" s="102"/>
      <c r="AP177" s="102"/>
      <c r="AQ177" s="102"/>
      <c r="AR177" s="102"/>
      <c r="AS177" s="102"/>
      <c r="AT177" s="102"/>
    </row>
    <row r="178" ht="15.75" customHeight="1">
      <c r="A178" s="206" t="s">
        <v>277</v>
      </c>
      <c r="B178" s="245" t="s">
        <v>958</v>
      </c>
      <c r="C178" s="77" t="s">
        <v>962</v>
      </c>
      <c r="D178" s="77" t="s">
        <v>963</v>
      </c>
      <c r="E178" s="77" t="s">
        <v>964</v>
      </c>
      <c r="F178" s="77"/>
      <c r="G178" s="77"/>
      <c r="H178" s="77"/>
      <c r="I178" s="208"/>
      <c r="J178" s="212"/>
      <c r="K178" s="208"/>
      <c r="L178" s="208"/>
      <c r="M178" s="208"/>
      <c r="N178" s="208"/>
      <c r="O178" s="208"/>
      <c r="P178" s="208"/>
      <c r="Q178" s="208" t="s">
        <v>268</v>
      </c>
      <c r="R178" s="208"/>
      <c r="S178" s="208"/>
      <c r="T178" s="208"/>
      <c r="U178" s="208"/>
      <c r="V178" s="208"/>
      <c r="W178" s="208"/>
      <c r="X178" s="208"/>
      <c r="Y178" s="208"/>
      <c r="Z178" s="208"/>
      <c r="AA178" s="208"/>
      <c r="AB178" s="208"/>
      <c r="AC178" s="208"/>
      <c r="AD178" s="125"/>
      <c r="AE178" s="125"/>
      <c r="AF178" s="125"/>
      <c r="AG178" s="125"/>
      <c r="AH178" s="125"/>
      <c r="AI178" s="125"/>
      <c r="AJ178" s="125"/>
      <c r="AK178" s="125"/>
      <c r="AL178" s="125"/>
      <c r="AM178" s="125"/>
      <c r="AN178" s="125"/>
      <c r="AO178" s="102"/>
      <c r="AP178" s="102"/>
      <c r="AQ178" s="102"/>
      <c r="AR178" s="102"/>
      <c r="AS178" s="102"/>
      <c r="AT178" s="102"/>
    </row>
    <row r="179" ht="15.75" customHeight="1">
      <c r="A179" s="265" t="s">
        <v>396</v>
      </c>
      <c r="B179" s="266" t="s">
        <v>966</v>
      </c>
      <c r="C179" s="77" t="s">
        <v>974</v>
      </c>
      <c r="D179" s="77" t="s">
        <v>975</v>
      </c>
      <c r="E179" s="77" t="s">
        <v>4516</v>
      </c>
      <c r="F179" s="77"/>
      <c r="G179" s="77"/>
      <c r="H179" s="77"/>
      <c r="I179" s="267"/>
      <c r="J179" s="267"/>
      <c r="K179" s="268" t="s">
        <v>4363</v>
      </c>
      <c r="L179" s="268"/>
      <c r="M179" s="268"/>
      <c r="N179" s="268"/>
      <c r="O179" s="336" t="s">
        <v>4517</v>
      </c>
      <c r="P179" s="267"/>
      <c r="Q179" s="267" t="s">
        <v>268</v>
      </c>
      <c r="R179" s="267"/>
      <c r="S179" s="267"/>
      <c r="T179" s="267"/>
      <c r="U179" s="267"/>
      <c r="V179" s="267"/>
      <c r="W179" s="267"/>
      <c r="X179" s="267"/>
      <c r="Y179" s="267"/>
      <c r="Z179" s="267"/>
      <c r="AA179" s="267"/>
      <c r="AB179" s="267"/>
      <c r="AC179" s="267"/>
      <c r="AD179" s="294"/>
      <c r="AE179" s="294"/>
      <c r="AF179" s="294"/>
      <c r="AG179" s="294"/>
      <c r="AH179" s="294"/>
      <c r="AI179" s="294"/>
      <c r="AJ179" s="294"/>
      <c r="AK179" s="294"/>
      <c r="AL179" s="294"/>
      <c r="AM179" s="294"/>
      <c r="AN179" s="294"/>
      <c r="AO179" s="102"/>
      <c r="AP179" s="102"/>
      <c r="AQ179" s="102"/>
      <c r="AR179" s="102"/>
      <c r="AS179" s="102"/>
      <c r="AT179" s="102"/>
    </row>
    <row r="180" ht="15.75" customHeight="1">
      <c r="A180" s="265" t="s">
        <v>396</v>
      </c>
      <c r="B180" s="266" t="s">
        <v>977</v>
      </c>
      <c r="C180" s="77" t="s">
        <v>982</v>
      </c>
      <c r="D180" s="77" t="s">
        <v>983</v>
      </c>
      <c r="E180" s="77" t="s">
        <v>984</v>
      </c>
      <c r="F180" s="77"/>
      <c r="G180" s="77"/>
      <c r="H180" s="77"/>
      <c r="I180" s="267"/>
      <c r="J180" s="267"/>
      <c r="K180" s="268" t="s">
        <v>4363</v>
      </c>
      <c r="L180" s="268"/>
      <c r="M180" s="268"/>
      <c r="N180" s="268"/>
      <c r="O180" s="267"/>
      <c r="P180" s="267"/>
      <c r="Q180" s="267" t="s">
        <v>268</v>
      </c>
      <c r="R180" s="267"/>
      <c r="S180" s="267"/>
      <c r="T180" s="267"/>
      <c r="U180" s="267"/>
      <c r="V180" s="267"/>
      <c r="W180" s="267"/>
      <c r="X180" s="267"/>
      <c r="Y180" s="267"/>
      <c r="Z180" s="267"/>
      <c r="AA180" s="267"/>
      <c r="AB180" s="267"/>
      <c r="AC180" s="267"/>
      <c r="AD180" s="294"/>
      <c r="AE180" s="294"/>
      <c r="AF180" s="294"/>
      <c r="AG180" s="294"/>
      <c r="AH180" s="294"/>
      <c r="AI180" s="294"/>
      <c r="AJ180" s="294"/>
      <c r="AK180" s="294"/>
      <c r="AL180" s="294"/>
      <c r="AM180" s="294"/>
      <c r="AN180" s="294"/>
      <c r="AO180" s="102"/>
      <c r="AP180" s="102"/>
      <c r="AQ180" s="102"/>
      <c r="AR180" s="102"/>
      <c r="AS180" s="102"/>
      <c r="AT180" s="102"/>
    </row>
    <row r="181" ht="15.75" customHeight="1">
      <c r="A181" s="337"/>
      <c r="B181" s="338"/>
      <c r="C181" s="338" t="s">
        <v>41</v>
      </c>
      <c r="D181" s="338" t="s">
        <v>41</v>
      </c>
      <c r="E181" s="338" t="s">
        <v>41</v>
      </c>
      <c r="F181" s="339"/>
      <c r="G181" s="339"/>
      <c r="H181" s="339"/>
      <c r="I181" s="339"/>
      <c r="J181" s="339"/>
      <c r="K181" s="340"/>
      <c r="L181" s="339"/>
      <c r="M181" s="339"/>
      <c r="N181" s="339"/>
      <c r="O181" s="339"/>
      <c r="P181" s="339"/>
      <c r="Q181" s="339"/>
      <c r="R181" s="339"/>
      <c r="S181" s="339"/>
      <c r="T181" s="339"/>
      <c r="U181" s="339"/>
      <c r="V181" s="339"/>
      <c r="W181" s="339"/>
      <c r="X181" s="339"/>
      <c r="Y181" s="339"/>
      <c r="Z181" s="339"/>
      <c r="AA181" s="339"/>
      <c r="AB181" s="339"/>
      <c r="AC181" s="339"/>
      <c r="AD181" s="102"/>
      <c r="AE181" s="102"/>
      <c r="AF181" s="102"/>
      <c r="AG181" s="102"/>
      <c r="AH181" s="102"/>
      <c r="AI181" s="102"/>
      <c r="AJ181" s="102"/>
      <c r="AK181" s="102"/>
      <c r="AL181" s="102"/>
      <c r="AM181" s="102"/>
      <c r="AN181" s="102"/>
      <c r="AO181" s="102"/>
      <c r="AP181" s="102"/>
      <c r="AQ181" s="102"/>
      <c r="AR181" s="102"/>
      <c r="AS181" s="102"/>
      <c r="AT181" s="102"/>
    </row>
    <row r="182" ht="15.75" customHeight="1">
      <c r="A182" s="197" t="s">
        <v>227</v>
      </c>
      <c r="B182" s="341" t="s">
        <v>4563</v>
      </c>
      <c r="C182" s="93"/>
      <c r="D182" s="93"/>
      <c r="E182" s="93"/>
      <c r="F182" s="97"/>
      <c r="G182" s="97"/>
      <c r="H182" s="97"/>
      <c r="I182" s="97"/>
      <c r="J182" s="98"/>
      <c r="K182" s="100"/>
      <c r="L182" s="97"/>
      <c r="M182" s="97"/>
      <c r="N182" s="97"/>
      <c r="O182" s="98"/>
      <c r="P182" s="97"/>
      <c r="Q182" s="97"/>
      <c r="R182" s="97"/>
      <c r="S182" s="97"/>
      <c r="T182" s="97"/>
      <c r="U182" s="97"/>
      <c r="V182" s="97"/>
      <c r="W182" s="97"/>
      <c r="X182" s="97"/>
      <c r="Y182" s="97"/>
      <c r="Z182" s="97"/>
      <c r="AA182" s="97"/>
      <c r="AB182" s="97"/>
      <c r="AC182" s="97"/>
      <c r="AD182" s="102"/>
      <c r="AE182" s="102"/>
      <c r="AF182" s="102"/>
      <c r="AG182" s="102"/>
      <c r="AH182" s="102"/>
      <c r="AI182" s="102"/>
      <c r="AJ182" s="102"/>
      <c r="AK182" s="102"/>
      <c r="AL182" s="102"/>
      <c r="AM182" s="102"/>
      <c r="AN182" s="102"/>
      <c r="AO182" s="102"/>
      <c r="AP182" s="102"/>
      <c r="AQ182" s="102"/>
      <c r="AR182" s="102"/>
      <c r="AS182" s="102"/>
      <c r="AT182" s="102"/>
    </row>
    <row r="183" ht="15.75" customHeight="1">
      <c r="A183" s="206" t="s">
        <v>988</v>
      </c>
      <c r="B183" s="245" t="s">
        <v>989</v>
      </c>
      <c r="C183" s="77" t="s">
        <v>995</v>
      </c>
      <c r="D183" s="77" t="s">
        <v>997</v>
      </c>
      <c r="E183" s="77" t="s">
        <v>999</v>
      </c>
      <c r="F183" s="77"/>
      <c r="G183" s="77"/>
      <c r="H183" s="77"/>
      <c r="I183" s="208"/>
      <c r="J183" s="212"/>
      <c r="K183" s="211" t="s">
        <v>4564</v>
      </c>
      <c r="L183" s="208"/>
      <c r="M183" s="208"/>
      <c r="N183" s="208"/>
      <c r="O183" s="208"/>
      <c r="P183" s="208"/>
      <c r="Q183" s="208" t="s">
        <v>268</v>
      </c>
      <c r="R183" s="208"/>
      <c r="S183" s="208"/>
      <c r="T183" s="208"/>
      <c r="U183" s="208"/>
      <c r="V183" s="208"/>
      <c r="W183" s="208"/>
      <c r="X183" s="208"/>
      <c r="Y183" s="208"/>
      <c r="Z183" s="208"/>
      <c r="AA183" s="208"/>
      <c r="AB183" s="208"/>
      <c r="AC183" s="208"/>
      <c r="AD183" s="125"/>
      <c r="AE183" s="125"/>
      <c r="AF183" s="125"/>
      <c r="AG183" s="125"/>
      <c r="AH183" s="125"/>
      <c r="AI183" s="125"/>
      <c r="AJ183" s="125"/>
      <c r="AK183" s="125"/>
      <c r="AL183" s="125"/>
      <c r="AM183" s="125"/>
      <c r="AN183" s="125"/>
      <c r="AO183" s="102"/>
      <c r="AP183" s="102"/>
      <c r="AQ183" s="102"/>
      <c r="AR183" s="102"/>
      <c r="AS183" s="102"/>
      <c r="AT183" s="102"/>
    </row>
    <row r="184" ht="15.75" customHeight="1">
      <c r="A184" s="249" t="s">
        <v>2279</v>
      </c>
      <c r="B184" s="250" t="s">
        <v>4565</v>
      </c>
      <c r="C184" s="250" t="s">
        <v>4566</v>
      </c>
      <c r="D184" s="250" t="s">
        <v>4567</v>
      </c>
      <c r="E184" s="250" t="s">
        <v>4568</v>
      </c>
      <c r="F184" s="252"/>
      <c r="G184" s="252"/>
      <c r="H184" s="252"/>
      <c r="I184" s="252"/>
      <c r="J184" s="252"/>
      <c r="K184" s="252"/>
      <c r="L184" s="252"/>
      <c r="M184" s="252"/>
      <c r="N184" s="252"/>
      <c r="O184" s="342" t="s">
        <v>4569</v>
      </c>
      <c r="P184" s="255"/>
      <c r="Q184" s="255"/>
      <c r="R184" s="252"/>
      <c r="S184" s="252"/>
      <c r="T184" s="252"/>
      <c r="U184" s="342" t="s">
        <v>4570</v>
      </c>
      <c r="V184" s="255"/>
      <c r="W184" s="255"/>
      <c r="X184" s="252"/>
      <c r="Y184" s="252"/>
      <c r="Z184" s="252"/>
      <c r="AA184" s="252"/>
      <c r="AB184" s="252"/>
      <c r="AC184" s="252"/>
      <c r="AD184" s="343"/>
      <c r="AE184" s="343"/>
      <c r="AF184" s="343"/>
      <c r="AG184" s="343"/>
      <c r="AH184" s="343"/>
      <c r="AI184" s="343"/>
      <c r="AJ184" s="343"/>
      <c r="AK184" s="343"/>
      <c r="AL184" s="343"/>
      <c r="AM184" s="343"/>
      <c r="AN184" s="343"/>
      <c r="AO184" s="102"/>
      <c r="AP184" s="102"/>
      <c r="AQ184" s="102"/>
      <c r="AR184" s="102"/>
      <c r="AS184" s="102"/>
      <c r="AT184" s="102"/>
    </row>
    <row r="185" ht="15.75" customHeight="1">
      <c r="A185" s="259" t="s">
        <v>116</v>
      </c>
      <c r="B185" s="260" t="s">
        <v>4571</v>
      </c>
      <c r="C185" s="261" t="s">
        <v>4572</v>
      </c>
      <c r="D185" s="261" t="s">
        <v>4573</v>
      </c>
      <c r="E185" s="261" t="s">
        <v>4574</v>
      </c>
      <c r="F185" s="262"/>
      <c r="G185" s="262"/>
      <c r="H185" s="262"/>
      <c r="I185" s="262"/>
      <c r="J185" s="262"/>
      <c r="K185" s="262"/>
      <c r="L185" s="262"/>
      <c r="M185" s="262"/>
      <c r="N185" s="262"/>
      <c r="O185" s="262"/>
      <c r="P185" s="262"/>
      <c r="Q185" s="262"/>
      <c r="R185" s="262"/>
      <c r="S185" s="262"/>
      <c r="T185" s="171" t="s">
        <v>4575</v>
      </c>
      <c r="U185" s="264"/>
      <c r="V185" s="264"/>
      <c r="W185" s="264"/>
      <c r="X185" s="264"/>
      <c r="Y185" s="262"/>
      <c r="Z185" s="262"/>
      <c r="AA185" s="262"/>
      <c r="AB185" s="262"/>
      <c r="AC185" s="262"/>
      <c r="AD185" s="147"/>
      <c r="AE185" s="147"/>
      <c r="AF185" s="147"/>
      <c r="AG185" s="147"/>
      <c r="AH185" s="147"/>
      <c r="AI185" s="147"/>
      <c r="AJ185" s="147"/>
      <c r="AK185" s="147"/>
      <c r="AL185" s="147"/>
      <c r="AM185" s="147"/>
      <c r="AN185" s="147"/>
      <c r="AO185" s="102"/>
      <c r="AP185" s="102"/>
      <c r="AQ185" s="102"/>
      <c r="AR185" s="102"/>
      <c r="AS185" s="102"/>
      <c r="AT185" s="102"/>
    </row>
    <row r="186" ht="15.75" customHeight="1">
      <c r="A186" s="265" t="s">
        <v>396</v>
      </c>
      <c r="B186" s="266" t="s">
        <v>1010</v>
      </c>
      <c r="C186" s="77" t="s">
        <v>1017</v>
      </c>
      <c r="D186" s="77" t="s">
        <v>1018</v>
      </c>
      <c r="E186" s="77" t="s">
        <v>1019</v>
      </c>
      <c r="F186" s="77"/>
      <c r="G186" s="77"/>
      <c r="H186" s="77"/>
      <c r="I186" s="267"/>
      <c r="J186" s="267"/>
      <c r="K186" s="268" t="s">
        <v>4576</v>
      </c>
      <c r="L186" s="268"/>
      <c r="M186" s="268"/>
      <c r="N186" s="268"/>
      <c r="O186" s="267"/>
      <c r="P186" s="267"/>
      <c r="Q186" s="267" t="s">
        <v>268</v>
      </c>
      <c r="R186" s="267"/>
      <c r="S186" s="267"/>
      <c r="T186" s="267"/>
      <c r="U186" s="267"/>
      <c r="V186" s="267"/>
      <c r="W186" s="267"/>
      <c r="X186" s="267"/>
      <c r="Y186" s="267"/>
      <c r="Z186" s="267"/>
      <c r="AA186" s="267"/>
      <c r="AB186" s="267"/>
      <c r="AC186" s="267"/>
      <c r="AD186" s="294"/>
      <c r="AE186" s="294"/>
      <c r="AF186" s="294"/>
      <c r="AG186" s="294"/>
      <c r="AH186" s="294"/>
      <c r="AI186" s="294"/>
      <c r="AJ186" s="294"/>
      <c r="AK186" s="294"/>
      <c r="AL186" s="294"/>
      <c r="AM186" s="294"/>
      <c r="AN186" s="294"/>
      <c r="AO186" s="102"/>
      <c r="AP186" s="102"/>
      <c r="AQ186" s="102"/>
      <c r="AR186" s="102"/>
      <c r="AS186" s="102"/>
      <c r="AT186" s="102"/>
    </row>
    <row r="187" ht="15.75" customHeight="1">
      <c r="A187" s="249" t="s">
        <v>2336</v>
      </c>
      <c r="B187" s="251" t="s">
        <v>4565</v>
      </c>
      <c r="C187" s="251" t="s">
        <v>4566</v>
      </c>
      <c r="D187" s="251" t="s">
        <v>4567</v>
      </c>
      <c r="E187" s="251" t="s">
        <v>4568</v>
      </c>
      <c r="F187" s="252"/>
      <c r="G187" s="252"/>
      <c r="H187" s="252"/>
      <c r="I187" s="252"/>
      <c r="J187" s="252"/>
      <c r="K187" s="252"/>
      <c r="L187" s="252"/>
      <c r="M187" s="252"/>
      <c r="N187" s="252"/>
      <c r="O187" s="252"/>
      <c r="P187" s="252"/>
      <c r="Q187" s="252"/>
      <c r="R187" s="252"/>
      <c r="S187" s="252"/>
      <c r="T187" s="252"/>
      <c r="U187" s="252"/>
      <c r="V187" s="252"/>
      <c r="W187" s="252"/>
      <c r="X187" s="252"/>
      <c r="Y187" s="252"/>
      <c r="Z187" s="252"/>
      <c r="AA187" s="252"/>
      <c r="AB187" s="252"/>
      <c r="AC187" s="252"/>
      <c r="AD187" s="343"/>
      <c r="AE187" s="343"/>
      <c r="AF187" s="343"/>
      <c r="AG187" s="343"/>
      <c r="AH187" s="343"/>
      <c r="AI187" s="343"/>
      <c r="AJ187" s="343"/>
      <c r="AK187" s="343"/>
      <c r="AL187" s="343"/>
      <c r="AM187" s="343"/>
      <c r="AN187" s="343"/>
      <c r="AO187" s="102"/>
      <c r="AP187" s="102"/>
      <c r="AQ187" s="102"/>
      <c r="AR187" s="102"/>
      <c r="AS187" s="102"/>
      <c r="AT187" s="102"/>
    </row>
    <row r="188" ht="15.75" customHeight="1">
      <c r="A188" s="206" t="s">
        <v>1023</v>
      </c>
      <c r="B188" s="245" t="s">
        <v>1024</v>
      </c>
      <c r="C188" s="77" t="s">
        <v>1026</v>
      </c>
      <c r="D188" s="77" t="s">
        <v>1027</v>
      </c>
      <c r="E188" s="77" t="s">
        <v>4577</v>
      </c>
      <c r="F188" s="77"/>
      <c r="G188" s="77"/>
      <c r="H188" s="77"/>
      <c r="I188" s="208"/>
      <c r="J188" s="212"/>
      <c r="K188" s="211" t="s">
        <v>4564</v>
      </c>
      <c r="L188" s="208"/>
      <c r="M188" s="208"/>
      <c r="N188" s="208"/>
      <c r="O188" s="208"/>
      <c r="P188" s="208"/>
      <c r="Q188" s="208" t="s">
        <v>268</v>
      </c>
      <c r="R188" s="208"/>
      <c r="S188" s="208"/>
      <c r="T188" s="208"/>
      <c r="U188" s="208"/>
      <c r="V188" s="208"/>
      <c r="W188" s="208"/>
      <c r="X188" s="208"/>
      <c r="Y188" s="208"/>
      <c r="Z188" s="208"/>
      <c r="AA188" s="208"/>
      <c r="AB188" s="208"/>
      <c r="AC188" s="208"/>
      <c r="AD188" s="125"/>
      <c r="AE188" s="125"/>
      <c r="AF188" s="125"/>
      <c r="AG188" s="125"/>
      <c r="AH188" s="125"/>
      <c r="AI188" s="125"/>
      <c r="AJ188" s="125"/>
      <c r="AK188" s="125"/>
      <c r="AL188" s="125"/>
      <c r="AM188" s="125"/>
      <c r="AN188" s="125"/>
      <c r="AO188" s="102"/>
      <c r="AP188" s="102"/>
      <c r="AQ188" s="102"/>
      <c r="AR188" s="102"/>
      <c r="AS188" s="102"/>
      <c r="AT188" s="102"/>
    </row>
    <row r="189" ht="15.75" customHeight="1">
      <c r="A189" s="249" t="s">
        <v>2279</v>
      </c>
      <c r="B189" s="250" t="s">
        <v>4578</v>
      </c>
      <c r="C189" s="250" t="s">
        <v>4579</v>
      </c>
      <c r="D189" s="250" t="s">
        <v>4580</v>
      </c>
      <c r="E189" s="250" t="s">
        <v>4581</v>
      </c>
      <c r="F189" s="252"/>
      <c r="G189" s="252"/>
      <c r="H189" s="252"/>
      <c r="I189" s="252"/>
      <c r="J189" s="252"/>
      <c r="K189" s="252"/>
      <c r="L189" s="252"/>
      <c r="M189" s="252"/>
      <c r="N189" s="252"/>
      <c r="O189" s="342" t="s">
        <v>4582</v>
      </c>
      <c r="P189" s="255"/>
      <c r="Q189" s="255"/>
      <c r="R189" s="252"/>
      <c r="S189" s="252"/>
      <c r="T189" s="252"/>
      <c r="U189" s="342" t="s">
        <v>4583</v>
      </c>
      <c r="V189" s="255"/>
      <c r="W189" s="252"/>
      <c r="X189" s="252"/>
      <c r="Y189" s="252"/>
      <c r="Z189" s="252"/>
      <c r="AA189" s="252"/>
      <c r="AB189" s="252"/>
      <c r="AC189" s="252"/>
      <c r="AD189" s="343"/>
      <c r="AE189" s="343"/>
      <c r="AF189" s="343"/>
      <c r="AG189" s="343"/>
      <c r="AH189" s="343"/>
      <c r="AI189" s="343"/>
      <c r="AJ189" s="343"/>
      <c r="AK189" s="343"/>
      <c r="AL189" s="343"/>
      <c r="AM189" s="343"/>
      <c r="AN189" s="343"/>
      <c r="AO189" s="102"/>
      <c r="AP189" s="102"/>
      <c r="AQ189" s="102"/>
      <c r="AR189" s="102"/>
      <c r="AS189" s="102"/>
      <c r="AT189" s="102"/>
    </row>
    <row r="190" ht="15.75" customHeight="1">
      <c r="A190" s="259" t="s">
        <v>116</v>
      </c>
      <c r="B190" s="260" t="s">
        <v>4584</v>
      </c>
      <c r="C190" s="261" t="s">
        <v>4585</v>
      </c>
      <c r="D190" s="261" t="s">
        <v>4586</v>
      </c>
      <c r="E190" s="261" t="s">
        <v>4587</v>
      </c>
      <c r="F190" s="262"/>
      <c r="G190" s="262"/>
      <c r="H190" s="262"/>
      <c r="I190" s="262"/>
      <c r="J190" s="262"/>
      <c r="K190" s="262"/>
      <c r="L190" s="262"/>
      <c r="M190" s="262"/>
      <c r="N190" s="262"/>
      <c r="O190" s="262"/>
      <c r="P190" s="262"/>
      <c r="Q190" s="262"/>
      <c r="R190" s="262"/>
      <c r="S190" s="262"/>
      <c r="T190" s="171" t="s">
        <v>4588</v>
      </c>
      <c r="U190" s="264"/>
      <c r="V190" s="264"/>
      <c r="W190" s="264"/>
      <c r="X190" s="264"/>
      <c r="Y190" s="262"/>
      <c r="Z190" s="262"/>
      <c r="AA190" s="262"/>
      <c r="AB190" s="262"/>
      <c r="AC190" s="262"/>
      <c r="AD190" s="147"/>
      <c r="AE190" s="147"/>
      <c r="AF190" s="147"/>
      <c r="AG190" s="147"/>
      <c r="AH190" s="147"/>
      <c r="AI190" s="147"/>
      <c r="AJ190" s="147"/>
      <c r="AK190" s="147"/>
      <c r="AL190" s="147"/>
      <c r="AM190" s="147"/>
      <c r="AN190" s="147"/>
      <c r="AO190" s="102"/>
      <c r="AP190" s="102"/>
      <c r="AQ190" s="102"/>
      <c r="AR190" s="102"/>
      <c r="AS190" s="102"/>
      <c r="AT190" s="102"/>
    </row>
    <row r="191" ht="15.75" customHeight="1">
      <c r="A191" s="265" t="s">
        <v>396</v>
      </c>
      <c r="B191" s="266" t="s">
        <v>1035</v>
      </c>
      <c r="C191" s="77" t="s">
        <v>1036</v>
      </c>
      <c r="D191" s="77" t="s">
        <v>1038</v>
      </c>
      <c r="E191" s="77" t="s">
        <v>1039</v>
      </c>
      <c r="F191" s="77"/>
      <c r="G191" s="77"/>
      <c r="H191" s="77"/>
      <c r="I191" s="267"/>
      <c r="J191" s="267"/>
      <c r="K191" s="344" t="s">
        <v>4576</v>
      </c>
      <c r="L191" s="268"/>
      <c r="M191" s="268"/>
      <c r="N191" s="268"/>
      <c r="O191" s="267"/>
      <c r="P191" s="267"/>
      <c r="Q191" s="267" t="s">
        <v>268</v>
      </c>
      <c r="R191" s="267"/>
      <c r="S191" s="267"/>
      <c r="T191" s="267"/>
      <c r="U191" s="267"/>
      <c r="V191" s="267"/>
      <c r="W191" s="267"/>
      <c r="X191" s="267"/>
      <c r="Y191" s="267"/>
      <c r="Z191" s="267"/>
      <c r="AA191" s="267"/>
      <c r="AB191" s="267"/>
      <c r="AC191" s="267"/>
      <c r="AD191" s="294"/>
      <c r="AE191" s="294"/>
      <c r="AF191" s="294"/>
      <c r="AG191" s="294"/>
      <c r="AH191" s="294"/>
      <c r="AI191" s="294"/>
      <c r="AJ191" s="294"/>
      <c r="AK191" s="294"/>
      <c r="AL191" s="294"/>
      <c r="AM191" s="294"/>
      <c r="AN191" s="294"/>
      <c r="AO191" s="102"/>
      <c r="AP191" s="102"/>
      <c r="AQ191" s="102"/>
      <c r="AR191" s="102"/>
      <c r="AS191" s="102"/>
      <c r="AT191" s="102"/>
    </row>
    <row r="192" ht="15.75" customHeight="1">
      <c r="A192" s="249" t="s">
        <v>2336</v>
      </c>
      <c r="B192" s="251" t="s">
        <v>4578</v>
      </c>
      <c r="C192" s="251" t="s">
        <v>4579</v>
      </c>
      <c r="D192" s="251" t="s">
        <v>4580</v>
      </c>
      <c r="E192" s="251" t="s">
        <v>4581</v>
      </c>
      <c r="F192" s="255"/>
      <c r="G192" s="255"/>
      <c r="H192" s="255"/>
      <c r="I192" s="252"/>
      <c r="J192" s="252"/>
      <c r="K192" s="252"/>
      <c r="L192" s="252"/>
      <c r="M192" s="255"/>
      <c r="N192" s="255"/>
      <c r="O192" s="252"/>
      <c r="P192" s="252"/>
      <c r="Q192" s="252"/>
      <c r="R192" s="252"/>
      <c r="S192" s="252"/>
      <c r="T192" s="252"/>
      <c r="U192" s="252"/>
      <c r="V192" s="252"/>
      <c r="W192" s="252"/>
      <c r="X192" s="252"/>
      <c r="Y192" s="252"/>
      <c r="Z192" s="252"/>
      <c r="AA192" s="252"/>
      <c r="AB192" s="255"/>
      <c r="AC192" s="255"/>
      <c r="AD192" s="343"/>
      <c r="AE192" s="343"/>
      <c r="AF192" s="343"/>
      <c r="AG192" s="343"/>
      <c r="AH192" s="343"/>
      <c r="AI192" s="343"/>
      <c r="AJ192" s="343"/>
      <c r="AK192" s="343"/>
      <c r="AL192" s="343"/>
      <c r="AM192" s="343"/>
      <c r="AN192" s="343"/>
      <c r="AO192" s="102"/>
      <c r="AP192" s="102"/>
      <c r="AQ192" s="102"/>
      <c r="AR192" s="102"/>
      <c r="AS192" s="102"/>
      <c r="AT192" s="102"/>
    </row>
    <row r="193" ht="15.75" customHeight="1">
      <c r="A193" s="197" t="s">
        <v>227</v>
      </c>
      <c r="B193" s="91" t="s">
        <v>4589</v>
      </c>
      <c r="C193" s="93"/>
      <c r="D193" s="96"/>
      <c r="E193" s="96"/>
      <c r="F193" s="97"/>
      <c r="G193" s="97"/>
      <c r="H193" s="97"/>
      <c r="I193" s="97"/>
      <c r="J193" s="98" t="s">
        <v>3246</v>
      </c>
      <c r="K193" s="97"/>
      <c r="L193" s="97"/>
      <c r="M193" s="98"/>
      <c r="N193" s="98"/>
      <c r="O193" s="98"/>
      <c r="P193" s="97"/>
      <c r="Q193" s="97"/>
      <c r="R193" s="97"/>
      <c r="S193" s="97"/>
      <c r="T193" s="97"/>
      <c r="U193" s="97"/>
      <c r="V193" s="97"/>
      <c r="W193" s="97"/>
      <c r="X193" s="97"/>
      <c r="Y193" s="97"/>
      <c r="Z193" s="97"/>
      <c r="AA193" s="97"/>
      <c r="AB193" s="97"/>
      <c r="AC193" s="97"/>
      <c r="AD193" s="102"/>
      <c r="AE193" s="102"/>
      <c r="AF193" s="102"/>
      <c r="AG193" s="102"/>
      <c r="AH193" s="102"/>
      <c r="AI193" s="102"/>
      <c r="AJ193" s="102"/>
      <c r="AK193" s="102"/>
      <c r="AL193" s="102"/>
      <c r="AM193" s="102"/>
      <c r="AN193" s="102"/>
      <c r="AO193" s="102"/>
      <c r="AP193" s="102"/>
      <c r="AQ193" s="102"/>
      <c r="AR193" s="102"/>
      <c r="AS193" s="102"/>
      <c r="AT193" s="102"/>
    </row>
    <row r="194" ht="15.75" customHeight="1">
      <c r="A194" s="206" t="s">
        <v>277</v>
      </c>
      <c r="B194" s="207" t="s">
        <v>1045</v>
      </c>
      <c r="C194" s="77" t="s">
        <v>4590</v>
      </c>
      <c r="D194" s="77" t="s">
        <v>4591</v>
      </c>
      <c r="E194" s="77" t="s">
        <v>4592</v>
      </c>
      <c r="F194" s="77"/>
      <c r="G194" s="77"/>
      <c r="H194" s="77"/>
      <c r="I194" s="208"/>
      <c r="J194" s="212" t="s">
        <v>10</v>
      </c>
      <c r="K194" s="208"/>
      <c r="L194" s="208"/>
      <c r="M194" s="208"/>
      <c r="N194" s="208"/>
      <c r="O194" s="208"/>
      <c r="P194" s="208"/>
      <c r="Q194" s="208"/>
      <c r="R194" s="208"/>
      <c r="S194" s="208"/>
      <c r="T194" s="208"/>
      <c r="U194" s="208"/>
      <c r="V194" s="208"/>
      <c r="W194" s="208"/>
      <c r="X194" s="208"/>
      <c r="Y194" s="208"/>
      <c r="Z194" s="208"/>
      <c r="AA194" s="208"/>
      <c r="AB194" s="208"/>
      <c r="AC194" s="208"/>
      <c r="AD194" s="102"/>
      <c r="AE194" s="102"/>
      <c r="AF194" s="102"/>
      <c r="AG194" s="102"/>
      <c r="AH194" s="102"/>
      <c r="AI194" s="102"/>
      <c r="AJ194" s="102"/>
      <c r="AK194" s="102"/>
      <c r="AL194" s="102"/>
      <c r="AM194" s="102"/>
      <c r="AN194" s="102"/>
      <c r="AO194" s="102"/>
      <c r="AP194" s="102"/>
      <c r="AQ194" s="102"/>
      <c r="AR194" s="102"/>
      <c r="AS194" s="102"/>
      <c r="AT194" s="102"/>
    </row>
    <row r="195" ht="15.75" customHeight="1">
      <c r="A195" s="206" t="s">
        <v>277</v>
      </c>
      <c r="B195" s="207" t="s">
        <v>1056</v>
      </c>
      <c r="C195" s="77" t="s">
        <v>1058</v>
      </c>
      <c r="D195" s="77" t="s">
        <v>1059</v>
      </c>
      <c r="E195" s="77" t="s">
        <v>1060</v>
      </c>
      <c r="F195" s="77"/>
      <c r="G195" s="77"/>
      <c r="H195" s="77"/>
      <c r="I195" s="208"/>
      <c r="J195" s="212" t="s">
        <v>3286</v>
      </c>
      <c r="K195" s="208"/>
      <c r="L195" s="208"/>
      <c r="M195" s="208"/>
      <c r="N195" s="208"/>
      <c r="O195" s="208"/>
      <c r="P195" s="208"/>
      <c r="Q195" s="208" t="s">
        <v>268</v>
      </c>
      <c r="R195" s="208"/>
      <c r="S195" s="208"/>
      <c r="T195" s="208"/>
      <c r="U195" s="208"/>
      <c r="V195" s="208"/>
      <c r="W195" s="208"/>
      <c r="X195" s="208"/>
      <c r="Y195" s="208"/>
      <c r="Z195" s="208"/>
      <c r="AA195" s="208"/>
      <c r="AB195" s="208"/>
      <c r="AC195" s="208"/>
      <c r="AD195" s="102"/>
      <c r="AE195" s="102"/>
      <c r="AF195" s="102"/>
      <c r="AG195" s="102"/>
      <c r="AH195" s="102"/>
      <c r="AI195" s="102"/>
      <c r="AJ195" s="102"/>
      <c r="AK195" s="102"/>
      <c r="AL195" s="102"/>
      <c r="AM195" s="102"/>
      <c r="AN195" s="102"/>
      <c r="AO195" s="102"/>
      <c r="AP195" s="102"/>
      <c r="AQ195" s="102"/>
      <c r="AR195" s="102"/>
      <c r="AS195" s="102"/>
      <c r="AT195" s="102"/>
    </row>
    <row r="196" ht="15.75" customHeight="1">
      <c r="A196" s="206" t="s">
        <v>277</v>
      </c>
      <c r="B196" s="207" t="s">
        <v>1061</v>
      </c>
      <c r="C196" s="77" t="s">
        <v>1063</v>
      </c>
      <c r="D196" s="77" t="s">
        <v>1064</v>
      </c>
      <c r="E196" s="77" t="s">
        <v>1065</v>
      </c>
      <c r="F196" s="77"/>
      <c r="G196" s="77"/>
      <c r="H196" s="77"/>
      <c r="I196" s="208"/>
      <c r="J196" s="212" t="s">
        <v>3286</v>
      </c>
      <c r="K196" s="208"/>
      <c r="L196" s="208"/>
      <c r="M196" s="208"/>
      <c r="N196" s="208"/>
      <c r="O196" s="208"/>
      <c r="P196" s="208"/>
      <c r="Q196" s="208" t="s">
        <v>268</v>
      </c>
      <c r="R196" s="208"/>
      <c r="S196" s="208"/>
      <c r="T196" s="208"/>
      <c r="U196" s="208"/>
      <c r="V196" s="208"/>
      <c r="W196" s="208"/>
      <c r="X196" s="208"/>
      <c r="Y196" s="208"/>
      <c r="Z196" s="208"/>
      <c r="AA196" s="208"/>
      <c r="AB196" s="208"/>
      <c r="AC196" s="208"/>
      <c r="AD196" s="102"/>
      <c r="AE196" s="102"/>
      <c r="AF196" s="102"/>
      <c r="AG196" s="102"/>
      <c r="AH196" s="102"/>
      <c r="AI196" s="102"/>
      <c r="AJ196" s="102"/>
      <c r="AK196" s="102"/>
      <c r="AL196" s="102"/>
      <c r="AM196" s="102"/>
      <c r="AN196" s="102"/>
      <c r="AO196" s="102"/>
      <c r="AP196" s="102"/>
      <c r="AQ196" s="102"/>
      <c r="AR196" s="102"/>
      <c r="AS196" s="102"/>
      <c r="AT196" s="102"/>
    </row>
    <row r="197" ht="15.75" customHeight="1">
      <c r="A197" s="206" t="s">
        <v>277</v>
      </c>
      <c r="B197" s="207" t="s">
        <v>1066</v>
      </c>
      <c r="C197" s="77" t="s">
        <v>1073</v>
      </c>
      <c r="D197" s="77" t="s">
        <v>1074</v>
      </c>
      <c r="E197" s="77" t="s">
        <v>1075</v>
      </c>
      <c r="F197" s="77"/>
      <c r="G197" s="77"/>
      <c r="H197" s="77"/>
      <c r="I197" s="208"/>
      <c r="J197" s="212" t="s">
        <v>3286</v>
      </c>
      <c r="K197" s="208"/>
      <c r="L197" s="208"/>
      <c r="M197" s="208"/>
      <c r="N197" s="208"/>
      <c r="O197" s="208"/>
      <c r="P197" s="208"/>
      <c r="Q197" s="208" t="s">
        <v>268</v>
      </c>
      <c r="R197" s="208"/>
      <c r="S197" s="208"/>
      <c r="T197" s="208"/>
      <c r="U197" s="208"/>
      <c r="V197" s="208"/>
      <c r="W197" s="208"/>
      <c r="X197" s="208"/>
      <c r="Y197" s="208"/>
      <c r="Z197" s="208"/>
      <c r="AA197" s="208"/>
      <c r="AB197" s="208"/>
      <c r="AC197" s="208"/>
      <c r="AD197" s="102"/>
      <c r="AE197" s="102"/>
      <c r="AF197" s="102"/>
      <c r="AG197" s="102"/>
      <c r="AH197" s="102"/>
      <c r="AI197" s="102"/>
      <c r="AJ197" s="102"/>
      <c r="AK197" s="102"/>
      <c r="AL197" s="102"/>
      <c r="AM197" s="102"/>
      <c r="AN197" s="102"/>
      <c r="AO197" s="102"/>
      <c r="AP197" s="102"/>
      <c r="AQ197" s="102"/>
      <c r="AR197" s="102"/>
      <c r="AS197" s="102"/>
      <c r="AT197" s="102"/>
    </row>
    <row r="198" ht="15.75" customHeight="1">
      <c r="A198" s="206" t="s">
        <v>277</v>
      </c>
      <c r="B198" s="207" t="s">
        <v>1077</v>
      </c>
      <c r="C198" s="77" t="s">
        <v>1078</v>
      </c>
      <c r="D198" s="77" t="s">
        <v>1079</v>
      </c>
      <c r="E198" s="77" t="s">
        <v>4604</v>
      </c>
      <c r="F198" s="77"/>
      <c r="G198" s="77"/>
      <c r="H198" s="77"/>
      <c r="I198" s="208"/>
      <c r="J198" s="212" t="s">
        <v>3286</v>
      </c>
      <c r="K198" s="208"/>
      <c r="L198" s="208"/>
      <c r="M198" s="208"/>
      <c r="N198" s="208"/>
      <c r="O198" s="208"/>
      <c r="P198" s="208"/>
      <c r="Q198" s="208" t="s">
        <v>268</v>
      </c>
      <c r="R198" s="208"/>
      <c r="S198" s="208"/>
      <c r="T198" s="208"/>
      <c r="U198" s="208"/>
      <c r="V198" s="208"/>
      <c r="W198" s="208"/>
      <c r="X198" s="208"/>
      <c r="Y198" s="208"/>
      <c r="Z198" s="208"/>
      <c r="AA198" s="208"/>
      <c r="AB198" s="208"/>
      <c r="AC198" s="208"/>
      <c r="AD198" s="102"/>
      <c r="AE198" s="102"/>
      <c r="AF198" s="102"/>
      <c r="AG198" s="102"/>
      <c r="AH198" s="102"/>
      <c r="AI198" s="102"/>
      <c r="AJ198" s="102"/>
      <c r="AK198" s="102"/>
      <c r="AL198" s="102"/>
      <c r="AM198" s="102"/>
      <c r="AN198" s="102"/>
      <c r="AO198" s="102"/>
      <c r="AP198" s="102"/>
      <c r="AQ198" s="102"/>
      <c r="AR198" s="102"/>
      <c r="AS198" s="102"/>
      <c r="AT198" s="102"/>
    </row>
    <row r="199" ht="15.75" customHeight="1">
      <c r="A199" s="197" t="s">
        <v>735</v>
      </c>
      <c r="B199" s="91" t="s">
        <v>4589</v>
      </c>
      <c r="C199" s="96"/>
      <c r="D199" s="96"/>
      <c r="E199" s="96"/>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102"/>
      <c r="AE199" s="102"/>
      <c r="AF199" s="102"/>
      <c r="AG199" s="102"/>
      <c r="AH199" s="102"/>
      <c r="AI199" s="102"/>
      <c r="AJ199" s="102"/>
      <c r="AK199" s="102"/>
      <c r="AL199" s="102"/>
      <c r="AM199" s="102"/>
      <c r="AN199" s="102"/>
      <c r="AO199" s="102"/>
      <c r="AP199" s="102"/>
      <c r="AQ199" s="102"/>
      <c r="AR199" s="102"/>
      <c r="AS199" s="102"/>
      <c r="AT199" s="102"/>
    </row>
    <row r="200" ht="15.75" customHeight="1">
      <c r="A200" s="197" t="s">
        <v>735</v>
      </c>
      <c r="B200" s="341" t="s">
        <v>4563</v>
      </c>
      <c r="C200" s="96"/>
      <c r="D200" s="96"/>
      <c r="E200" s="96"/>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102"/>
      <c r="AE200" s="102"/>
      <c r="AF200" s="102"/>
      <c r="AG200" s="102"/>
      <c r="AH200" s="102"/>
      <c r="AI200" s="102"/>
      <c r="AJ200" s="102"/>
      <c r="AK200" s="102"/>
      <c r="AL200" s="102"/>
      <c r="AM200" s="102"/>
      <c r="AN200" s="102"/>
      <c r="AO200" s="102"/>
      <c r="AP200" s="102"/>
      <c r="AQ200" s="102"/>
      <c r="AR200" s="102"/>
      <c r="AS200" s="102"/>
      <c r="AT200" s="102"/>
    </row>
    <row r="201" ht="15.75" customHeight="1">
      <c r="A201" s="313"/>
      <c r="B201" s="314"/>
      <c r="C201" s="314"/>
      <c r="D201" s="314"/>
      <c r="E201" s="314"/>
      <c r="F201" s="316"/>
      <c r="G201" s="316"/>
      <c r="H201" s="316"/>
      <c r="I201" s="316"/>
      <c r="J201" s="316"/>
      <c r="K201" s="316"/>
      <c r="L201" s="316"/>
      <c r="M201" s="316"/>
      <c r="N201" s="316"/>
      <c r="O201" s="317"/>
      <c r="P201" s="317"/>
      <c r="Q201" s="317"/>
      <c r="R201" s="317"/>
      <c r="S201" s="316"/>
      <c r="T201" s="318"/>
      <c r="U201" s="316"/>
      <c r="V201" s="316"/>
      <c r="W201" s="316"/>
      <c r="X201" s="316"/>
      <c r="Y201" s="316"/>
      <c r="Z201" s="316"/>
      <c r="AA201" s="316"/>
      <c r="AB201" s="316"/>
      <c r="AC201" s="316"/>
      <c r="AD201" s="318"/>
      <c r="AE201" s="318"/>
      <c r="AF201" s="318"/>
      <c r="AG201" s="318"/>
      <c r="AH201" s="318"/>
      <c r="AI201" s="318"/>
      <c r="AJ201" s="318"/>
      <c r="AK201" s="318"/>
      <c r="AL201" s="318"/>
      <c r="AM201" s="318"/>
      <c r="AN201" s="318"/>
      <c r="AO201" s="318"/>
      <c r="AP201" s="318"/>
      <c r="AQ201" s="318"/>
      <c r="AR201" s="318"/>
      <c r="AS201" s="318"/>
      <c r="AT201" s="318"/>
    </row>
    <row r="202" ht="15.75" customHeight="1">
      <c r="A202" s="126" t="s">
        <v>1086</v>
      </c>
      <c r="B202" s="346" t="s">
        <v>1087</v>
      </c>
      <c r="C202" s="77" t="s">
        <v>1091</v>
      </c>
      <c r="D202" s="77" t="s">
        <v>4615</v>
      </c>
      <c r="E202" s="77" t="s">
        <v>1093</v>
      </c>
      <c r="F202" s="77" t="s">
        <v>4616</v>
      </c>
      <c r="G202" s="77" t="s">
        <v>4617</v>
      </c>
      <c r="H202" s="77" t="s">
        <v>4618</v>
      </c>
      <c r="I202" s="128"/>
      <c r="J202" s="222"/>
      <c r="K202" s="205" t="s">
        <v>4619</v>
      </c>
      <c r="L202" s="128"/>
      <c r="M202" s="128"/>
      <c r="N202" s="128"/>
      <c r="O202" s="128"/>
      <c r="P202" s="128"/>
      <c r="Q202" s="128" t="s">
        <v>268</v>
      </c>
      <c r="R202" s="128"/>
      <c r="S202" s="128"/>
      <c r="T202" s="205"/>
      <c r="U202" s="205"/>
      <c r="V202" s="205"/>
      <c r="W202" s="205"/>
      <c r="X202" s="205"/>
      <c r="Y202" s="128"/>
      <c r="Z202" s="128"/>
      <c r="AA202" s="128"/>
      <c r="AB202" s="128"/>
      <c r="AC202" s="128"/>
      <c r="AD202" s="125"/>
      <c r="AE202" s="125"/>
      <c r="AF202" s="125"/>
      <c r="AG202" s="125"/>
      <c r="AH202" s="125"/>
      <c r="AI202" s="125"/>
      <c r="AJ202" s="125"/>
      <c r="AK202" s="125"/>
      <c r="AL202" s="125"/>
      <c r="AM202" s="125"/>
      <c r="AN202" s="125"/>
      <c r="AO202" s="102"/>
      <c r="AP202" s="102"/>
      <c r="AQ202" s="102"/>
      <c r="AR202" s="102"/>
      <c r="AS202" s="102"/>
      <c r="AT202" s="102"/>
    </row>
    <row r="203" ht="15.75" customHeight="1">
      <c r="A203" s="214" t="s">
        <v>299</v>
      </c>
      <c r="B203" s="246" t="s">
        <v>1094</v>
      </c>
      <c r="C203" s="77" t="s">
        <v>1099</v>
      </c>
      <c r="D203" s="77" t="s">
        <v>1100</v>
      </c>
      <c r="E203" s="77" t="s">
        <v>1101</v>
      </c>
      <c r="F203" s="77"/>
      <c r="G203" s="77"/>
      <c r="H203" s="77"/>
      <c r="I203" s="216"/>
      <c r="J203" s="217"/>
      <c r="K203" s="216"/>
      <c r="L203" s="216"/>
      <c r="M203" s="229"/>
      <c r="N203" s="229"/>
      <c r="O203" s="218" t="s">
        <v>4623</v>
      </c>
      <c r="P203" s="216"/>
      <c r="Q203" s="216" t="s">
        <v>268</v>
      </c>
      <c r="R203" s="216"/>
      <c r="S203" s="216"/>
      <c r="T203" s="216"/>
      <c r="U203" s="216"/>
      <c r="V203" s="216"/>
      <c r="W203" s="216"/>
      <c r="X203" s="216"/>
      <c r="Y203" s="216"/>
      <c r="Z203" s="216"/>
      <c r="AA203" s="216"/>
      <c r="AB203" s="216"/>
      <c r="AC203" s="216"/>
      <c r="AD203" s="219"/>
      <c r="AE203" s="219"/>
      <c r="AF203" s="219"/>
      <c r="AG203" s="219"/>
      <c r="AH203" s="219"/>
      <c r="AI203" s="219"/>
      <c r="AJ203" s="219"/>
      <c r="AK203" s="219"/>
      <c r="AL203" s="219"/>
      <c r="AM203" s="219"/>
      <c r="AN203" s="219"/>
      <c r="AO203" s="102"/>
      <c r="AP203" s="102"/>
      <c r="AQ203" s="102"/>
      <c r="AR203" s="102"/>
      <c r="AS203" s="102"/>
      <c r="AT203" s="102"/>
    </row>
    <row r="204" ht="15.75" customHeight="1">
      <c r="A204" s="249" t="s">
        <v>2279</v>
      </c>
      <c r="B204" s="250" t="s">
        <v>4624</v>
      </c>
      <c r="C204" s="250" t="s">
        <v>4625</v>
      </c>
      <c r="D204" s="250"/>
      <c r="E204" s="250"/>
      <c r="F204" s="252"/>
      <c r="G204" s="252"/>
      <c r="H204" s="252"/>
      <c r="I204" s="252"/>
      <c r="J204" s="252"/>
      <c r="K204" s="252"/>
      <c r="L204" s="252"/>
      <c r="M204" s="252"/>
      <c r="N204" s="252"/>
      <c r="O204" s="342" t="s">
        <v>4626</v>
      </c>
      <c r="P204" s="252"/>
      <c r="Q204" s="252"/>
      <c r="R204" s="252"/>
      <c r="S204" s="252"/>
      <c r="T204" s="252"/>
      <c r="U204" s="254" t="s">
        <v>4627</v>
      </c>
      <c r="V204" s="255"/>
      <c r="W204" s="252"/>
      <c r="X204" s="252"/>
      <c r="Y204" s="252"/>
      <c r="Z204" s="252"/>
      <c r="AA204" s="252"/>
      <c r="AB204" s="252"/>
      <c r="AC204" s="252"/>
      <c r="AD204" s="343"/>
      <c r="AE204" s="343"/>
      <c r="AF204" s="343"/>
      <c r="AG204" s="343"/>
      <c r="AH204" s="343"/>
      <c r="AI204" s="343"/>
      <c r="AJ204" s="343"/>
      <c r="AK204" s="343"/>
      <c r="AL204" s="343"/>
      <c r="AM204" s="343"/>
      <c r="AN204" s="343"/>
      <c r="AO204" s="102"/>
      <c r="AP204" s="102"/>
      <c r="AQ204" s="102"/>
      <c r="AR204" s="102"/>
      <c r="AS204" s="102"/>
      <c r="AT204" s="102"/>
    </row>
    <row r="205" ht="15.75" customHeight="1">
      <c r="A205" s="259" t="s">
        <v>116</v>
      </c>
      <c r="B205" s="260" t="s">
        <v>4629</v>
      </c>
      <c r="C205" s="261" t="s">
        <v>4630</v>
      </c>
      <c r="D205" s="261"/>
      <c r="E205" s="261"/>
      <c r="F205" s="262"/>
      <c r="G205" s="262"/>
      <c r="H205" s="262"/>
      <c r="I205" s="262"/>
      <c r="J205" s="262"/>
      <c r="K205" s="262"/>
      <c r="L205" s="262"/>
      <c r="M205" s="262"/>
      <c r="N205" s="262"/>
      <c r="O205" s="264"/>
      <c r="P205" s="262"/>
      <c r="Q205" s="262"/>
      <c r="R205" s="262"/>
      <c r="S205" s="262"/>
      <c r="T205" s="171" t="s">
        <v>4631</v>
      </c>
      <c r="U205" s="264"/>
      <c r="V205" s="264"/>
      <c r="W205" s="264"/>
      <c r="X205" s="264"/>
      <c r="Y205" s="264"/>
      <c r="Z205" s="262"/>
      <c r="AA205" s="262"/>
      <c r="AB205" s="262"/>
      <c r="AC205" s="262"/>
      <c r="AD205" s="147"/>
      <c r="AE205" s="147"/>
      <c r="AF205" s="147"/>
      <c r="AG205" s="147"/>
      <c r="AH205" s="147"/>
      <c r="AI205" s="147"/>
      <c r="AJ205" s="147"/>
      <c r="AK205" s="147"/>
      <c r="AL205" s="147"/>
      <c r="AM205" s="147"/>
      <c r="AN205" s="147"/>
      <c r="AO205" s="102"/>
      <c r="AP205" s="102"/>
      <c r="AQ205" s="102"/>
      <c r="AR205" s="102"/>
      <c r="AS205" s="102"/>
      <c r="AT205" s="102"/>
    </row>
    <row r="206" ht="15.75" customHeight="1">
      <c r="A206" s="197" t="s">
        <v>227</v>
      </c>
      <c r="B206" s="93" t="s">
        <v>4635</v>
      </c>
      <c r="C206" s="93"/>
      <c r="D206" s="93"/>
      <c r="E206" s="93"/>
      <c r="F206" s="100"/>
      <c r="G206" s="100"/>
      <c r="H206" s="100"/>
      <c r="I206" s="100"/>
      <c r="J206" s="98" t="s">
        <v>3246</v>
      </c>
      <c r="K206" s="97"/>
      <c r="L206" s="97"/>
      <c r="M206" s="97"/>
      <c r="N206" s="97"/>
      <c r="O206" s="236"/>
      <c r="P206" s="97"/>
      <c r="Q206" s="97"/>
      <c r="R206" s="97"/>
      <c r="S206" s="97"/>
      <c r="T206" s="97"/>
      <c r="U206" s="97"/>
      <c r="V206" s="97"/>
      <c r="W206" s="97"/>
      <c r="X206" s="97"/>
      <c r="Y206" s="97"/>
      <c r="Z206" s="97"/>
      <c r="AA206" s="97"/>
      <c r="AB206" s="97"/>
      <c r="AC206" s="97"/>
      <c r="AD206" s="170"/>
      <c r="AE206" s="170"/>
      <c r="AF206" s="170"/>
      <c r="AG206" s="170"/>
      <c r="AH206" s="170"/>
      <c r="AI206" s="170"/>
      <c r="AJ206" s="170"/>
      <c r="AK206" s="170"/>
      <c r="AL206" s="170"/>
      <c r="AM206" s="170"/>
      <c r="AN206" s="170"/>
      <c r="AO206" s="102"/>
      <c r="AP206" s="102"/>
      <c r="AQ206" s="102"/>
      <c r="AR206" s="102"/>
      <c r="AS206" s="102"/>
      <c r="AT206" s="102"/>
    </row>
    <row r="207" ht="15.75" customHeight="1">
      <c r="A207" s="206" t="s">
        <v>277</v>
      </c>
      <c r="B207" s="245" t="s">
        <v>1110</v>
      </c>
      <c r="C207" s="77" t="s">
        <v>1111</v>
      </c>
      <c r="D207" s="77" t="s">
        <v>1112</v>
      </c>
      <c r="E207" s="77" t="s">
        <v>1113</v>
      </c>
      <c r="F207" s="77"/>
      <c r="G207" s="77"/>
      <c r="H207" s="77"/>
      <c r="I207" s="208"/>
      <c r="J207" s="212" t="s">
        <v>10</v>
      </c>
      <c r="K207" s="208"/>
      <c r="L207" s="208"/>
      <c r="M207" s="208"/>
      <c r="N207" s="208"/>
      <c r="O207" s="211"/>
      <c r="P207" s="208"/>
      <c r="Q207" s="208"/>
      <c r="R207" s="208"/>
      <c r="S207" s="208"/>
      <c r="T207" s="208"/>
      <c r="U207" s="208"/>
      <c r="V207" s="208"/>
      <c r="W207" s="208"/>
      <c r="X207" s="208"/>
      <c r="Y207" s="208"/>
      <c r="Z207" s="208"/>
      <c r="AA207" s="208"/>
      <c r="AB207" s="208"/>
      <c r="AC207" s="208"/>
      <c r="AD207" s="125"/>
      <c r="AE207" s="125"/>
      <c r="AF207" s="125"/>
      <c r="AG207" s="125"/>
      <c r="AH207" s="125"/>
      <c r="AI207" s="125"/>
      <c r="AJ207" s="125"/>
      <c r="AK207" s="125"/>
      <c r="AL207" s="125"/>
      <c r="AM207" s="125"/>
      <c r="AN207" s="125"/>
      <c r="AO207" s="102"/>
      <c r="AP207" s="102"/>
      <c r="AQ207" s="102"/>
      <c r="AR207" s="102"/>
      <c r="AS207" s="102"/>
      <c r="AT207" s="102"/>
    </row>
    <row r="208" ht="15.75" customHeight="1">
      <c r="A208" s="206" t="s">
        <v>277</v>
      </c>
      <c r="B208" s="245" t="s">
        <v>1114</v>
      </c>
      <c r="C208" s="77" t="s">
        <v>1120</v>
      </c>
      <c r="D208" s="77" t="s">
        <v>1121</v>
      </c>
      <c r="E208" s="77" t="s">
        <v>1122</v>
      </c>
      <c r="F208" s="77"/>
      <c r="G208" s="77"/>
      <c r="H208" s="77"/>
      <c r="I208" s="208"/>
      <c r="J208" s="212" t="s">
        <v>3286</v>
      </c>
      <c r="K208" s="208"/>
      <c r="L208" s="208"/>
      <c r="M208" s="208"/>
      <c r="N208" s="208"/>
      <c r="O208" s="211"/>
      <c r="P208" s="208"/>
      <c r="Q208" s="208" t="s">
        <v>268</v>
      </c>
      <c r="R208" s="208"/>
      <c r="S208" s="208"/>
      <c r="T208" s="208"/>
      <c r="U208" s="208"/>
      <c r="V208" s="208"/>
      <c r="W208" s="208"/>
      <c r="X208" s="208"/>
      <c r="Y208" s="208"/>
      <c r="Z208" s="208"/>
      <c r="AA208" s="208"/>
      <c r="AB208" s="208"/>
      <c r="AC208" s="208"/>
      <c r="AD208" s="125"/>
      <c r="AE208" s="125"/>
      <c r="AF208" s="125"/>
      <c r="AG208" s="125"/>
      <c r="AH208" s="125"/>
      <c r="AI208" s="125"/>
      <c r="AJ208" s="125"/>
      <c r="AK208" s="125"/>
      <c r="AL208" s="125"/>
      <c r="AM208" s="125"/>
      <c r="AN208" s="125"/>
      <c r="AO208" s="102"/>
      <c r="AP208" s="102"/>
      <c r="AQ208" s="102"/>
      <c r="AR208" s="102"/>
      <c r="AS208" s="102"/>
      <c r="AT208" s="102"/>
    </row>
    <row r="209" ht="15.75" customHeight="1">
      <c r="A209" s="206" t="s">
        <v>277</v>
      </c>
      <c r="B209" s="245" t="s">
        <v>1123</v>
      </c>
      <c r="C209" s="77" t="s">
        <v>1131</v>
      </c>
      <c r="D209" s="77" t="s">
        <v>1132</v>
      </c>
      <c r="E209" s="77" t="s">
        <v>1133</v>
      </c>
      <c r="F209" s="77"/>
      <c r="G209" s="77"/>
      <c r="H209" s="77"/>
      <c r="I209" s="208"/>
      <c r="J209" s="212" t="s">
        <v>3286</v>
      </c>
      <c r="K209" s="208"/>
      <c r="L209" s="208"/>
      <c r="M209" s="208"/>
      <c r="N209" s="208"/>
      <c r="O209" s="211"/>
      <c r="P209" s="208"/>
      <c r="Q209" s="208" t="s">
        <v>268</v>
      </c>
      <c r="R209" s="208"/>
      <c r="S209" s="208"/>
      <c r="T209" s="208"/>
      <c r="U209" s="208"/>
      <c r="V209" s="208"/>
      <c r="W209" s="208"/>
      <c r="X209" s="208"/>
      <c r="Y209" s="208"/>
      <c r="Z209" s="208"/>
      <c r="AA209" s="208"/>
      <c r="AB209" s="208"/>
      <c r="AC209" s="208"/>
      <c r="AD209" s="125"/>
      <c r="AE209" s="125"/>
      <c r="AF209" s="125"/>
      <c r="AG209" s="125"/>
      <c r="AH209" s="125"/>
      <c r="AI209" s="125"/>
      <c r="AJ209" s="125"/>
      <c r="AK209" s="125"/>
      <c r="AL209" s="125"/>
      <c r="AM209" s="125"/>
      <c r="AN209" s="125"/>
      <c r="AO209" s="102"/>
      <c r="AP209" s="102"/>
      <c r="AQ209" s="102"/>
      <c r="AR209" s="102"/>
      <c r="AS209" s="102"/>
      <c r="AT209" s="102"/>
    </row>
    <row r="210" ht="15.75" customHeight="1">
      <c r="A210" s="206" t="s">
        <v>277</v>
      </c>
      <c r="B210" s="245" t="s">
        <v>1134</v>
      </c>
      <c r="C210" s="77" t="s">
        <v>1138</v>
      </c>
      <c r="D210" s="77" t="s">
        <v>1141</v>
      </c>
      <c r="E210" s="77" t="s">
        <v>1142</v>
      </c>
      <c r="F210" s="77"/>
      <c r="G210" s="77"/>
      <c r="H210" s="77"/>
      <c r="I210" s="208"/>
      <c r="J210" s="212" t="s">
        <v>3286</v>
      </c>
      <c r="K210" s="208"/>
      <c r="L210" s="208"/>
      <c r="M210" s="208"/>
      <c r="N210" s="208"/>
      <c r="O210" s="208"/>
      <c r="P210" s="208"/>
      <c r="Q210" s="208" t="s">
        <v>268</v>
      </c>
      <c r="R210" s="208"/>
      <c r="S210" s="208"/>
      <c r="T210" s="211"/>
      <c r="U210" s="208"/>
      <c r="V210" s="208"/>
      <c r="W210" s="208"/>
      <c r="X210" s="208"/>
      <c r="Y210" s="208"/>
      <c r="Z210" s="208"/>
      <c r="AA210" s="208"/>
      <c r="AB210" s="208"/>
      <c r="AC210" s="208"/>
      <c r="AD210" s="125"/>
      <c r="AE210" s="125"/>
      <c r="AF210" s="125"/>
      <c r="AG210" s="125"/>
      <c r="AH210" s="125"/>
      <c r="AI210" s="125"/>
      <c r="AJ210" s="125"/>
      <c r="AK210" s="125"/>
      <c r="AL210" s="125"/>
      <c r="AM210" s="125"/>
      <c r="AN210" s="125"/>
      <c r="AO210" s="102"/>
      <c r="AP210" s="102"/>
      <c r="AQ210" s="102"/>
      <c r="AR210" s="102"/>
      <c r="AS210" s="102"/>
      <c r="AT210" s="102"/>
    </row>
    <row r="211" ht="15.75" customHeight="1">
      <c r="A211" s="206" t="s">
        <v>277</v>
      </c>
      <c r="B211" s="245" t="s">
        <v>1143</v>
      </c>
      <c r="C211" s="77" t="s">
        <v>1144</v>
      </c>
      <c r="D211" s="77" t="s">
        <v>1145</v>
      </c>
      <c r="E211" s="77" t="s">
        <v>4651</v>
      </c>
      <c r="F211" s="77"/>
      <c r="G211" s="77"/>
      <c r="H211" s="77"/>
      <c r="I211" s="208"/>
      <c r="J211" s="212" t="s">
        <v>3286</v>
      </c>
      <c r="K211" s="208"/>
      <c r="L211" s="208"/>
      <c r="M211" s="211"/>
      <c r="N211" s="208"/>
      <c r="O211" s="211"/>
      <c r="P211" s="208"/>
      <c r="Q211" s="208" t="s">
        <v>268</v>
      </c>
      <c r="R211" s="208"/>
      <c r="S211" s="208"/>
      <c r="T211" s="208"/>
      <c r="U211" s="208"/>
      <c r="V211" s="208"/>
      <c r="W211" s="208"/>
      <c r="X211" s="208"/>
      <c r="Y211" s="208"/>
      <c r="Z211" s="208"/>
      <c r="AA211" s="208"/>
      <c r="AB211" s="208"/>
      <c r="AC211" s="208"/>
      <c r="AD211" s="125"/>
      <c r="AE211" s="125"/>
      <c r="AF211" s="125"/>
      <c r="AG211" s="125"/>
      <c r="AH211" s="125"/>
      <c r="AI211" s="125"/>
      <c r="AJ211" s="125"/>
      <c r="AK211" s="125"/>
      <c r="AL211" s="125"/>
      <c r="AM211" s="125"/>
      <c r="AN211" s="125"/>
      <c r="AO211" s="102"/>
      <c r="AP211" s="102"/>
      <c r="AQ211" s="102"/>
      <c r="AR211" s="102"/>
      <c r="AS211" s="102"/>
      <c r="AT211" s="102"/>
    </row>
    <row r="212" ht="15.75" customHeight="1">
      <c r="A212" s="197" t="s">
        <v>735</v>
      </c>
      <c r="B212" s="96" t="s">
        <v>4635</v>
      </c>
      <c r="C212" s="96"/>
      <c r="D212" s="96"/>
      <c r="E212" s="96"/>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170"/>
      <c r="AE212" s="170"/>
      <c r="AF212" s="170"/>
      <c r="AG212" s="170"/>
      <c r="AH212" s="170"/>
      <c r="AI212" s="170"/>
      <c r="AJ212" s="170"/>
      <c r="AK212" s="170"/>
      <c r="AL212" s="170"/>
      <c r="AM212" s="170"/>
      <c r="AN212" s="170"/>
      <c r="AO212" s="102"/>
      <c r="AP212" s="102"/>
      <c r="AQ212" s="102"/>
      <c r="AR212" s="102"/>
      <c r="AS212" s="102"/>
      <c r="AT212" s="102"/>
    </row>
    <row r="213" ht="15.75" customHeight="1">
      <c r="A213" s="197" t="s">
        <v>227</v>
      </c>
      <c r="B213" s="93" t="s">
        <v>4652</v>
      </c>
      <c r="C213" s="93"/>
      <c r="D213" s="93"/>
      <c r="E213" s="93"/>
      <c r="F213" s="97"/>
      <c r="G213" s="97"/>
      <c r="H213" s="97"/>
      <c r="I213" s="97"/>
      <c r="J213" s="98" t="s">
        <v>3246</v>
      </c>
      <c r="K213" s="97"/>
      <c r="L213" s="97"/>
      <c r="M213" s="97"/>
      <c r="N213" s="97"/>
      <c r="O213" s="99" t="s">
        <v>4653</v>
      </c>
      <c r="P213" s="100"/>
      <c r="Q213" s="100"/>
      <c r="R213" s="97"/>
      <c r="S213" s="97"/>
      <c r="T213" s="97"/>
      <c r="U213" s="97"/>
      <c r="V213" s="97"/>
      <c r="W213" s="97"/>
      <c r="X213" s="97"/>
      <c r="Y213" s="97"/>
      <c r="Z213" s="97"/>
      <c r="AA213" s="97"/>
      <c r="AB213" s="97"/>
      <c r="AC213" s="97"/>
      <c r="AD213" s="170"/>
      <c r="AE213" s="170"/>
      <c r="AF213" s="170"/>
      <c r="AG213" s="170"/>
      <c r="AH213" s="170"/>
      <c r="AI213" s="170"/>
      <c r="AJ213" s="170"/>
      <c r="AK213" s="170"/>
      <c r="AL213" s="170"/>
      <c r="AM213" s="170"/>
      <c r="AN213" s="170"/>
      <c r="AO213" s="102"/>
      <c r="AP213" s="102"/>
      <c r="AQ213" s="102"/>
      <c r="AR213" s="102"/>
      <c r="AS213" s="102"/>
      <c r="AT213" s="102"/>
    </row>
    <row r="214" ht="15.75" customHeight="1">
      <c r="A214" s="198" t="s">
        <v>42</v>
      </c>
      <c r="B214" s="199" t="s">
        <v>1154</v>
      </c>
      <c r="C214" s="77" t="s">
        <v>4654</v>
      </c>
      <c r="D214" s="77" t="s">
        <v>4655</v>
      </c>
      <c r="E214" s="77" t="s">
        <v>4656</v>
      </c>
      <c r="F214" s="77"/>
      <c r="G214" s="77"/>
      <c r="H214" s="77"/>
      <c r="I214" s="287"/>
      <c r="J214" s="287" t="s">
        <v>10</v>
      </c>
      <c r="K214" s="200"/>
      <c r="L214" s="200"/>
      <c r="M214" s="200"/>
      <c r="N214" s="200"/>
      <c r="O214" s="200"/>
      <c r="P214" s="200"/>
      <c r="Q214" s="200"/>
      <c r="R214" s="200"/>
      <c r="S214" s="200"/>
      <c r="T214" s="200"/>
      <c r="U214" s="200"/>
      <c r="V214" s="200"/>
      <c r="W214" s="200"/>
      <c r="X214" s="200"/>
      <c r="Y214" s="200"/>
      <c r="Z214" s="200"/>
      <c r="AA214" s="200"/>
      <c r="AB214" s="200"/>
      <c r="AC214" s="200"/>
      <c r="AD214" s="288"/>
      <c r="AE214" s="288"/>
      <c r="AF214" s="288"/>
      <c r="AG214" s="288"/>
      <c r="AH214" s="288"/>
      <c r="AI214" s="288"/>
      <c r="AJ214" s="288"/>
      <c r="AK214" s="288"/>
      <c r="AL214" s="288"/>
      <c r="AM214" s="288"/>
      <c r="AN214" s="288"/>
      <c r="AO214" s="102"/>
      <c r="AP214" s="102"/>
      <c r="AQ214" s="102"/>
      <c r="AR214" s="102"/>
      <c r="AS214" s="102"/>
      <c r="AT214" s="102"/>
    </row>
    <row r="215" ht="15.75" customHeight="1">
      <c r="A215" s="265" t="s">
        <v>396</v>
      </c>
      <c r="B215" s="266" t="s">
        <v>1165</v>
      </c>
      <c r="C215" s="77" t="s">
        <v>1169</v>
      </c>
      <c r="D215" s="77" t="s">
        <v>1170</v>
      </c>
      <c r="E215" s="77" t="s">
        <v>1171</v>
      </c>
      <c r="F215" s="77" t="s">
        <v>4657</v>
      </c>
      <c r="G215" s="77" t="s">
        <v>4658</v>
      </c>
      <c r="H215" s="77" t="s">
        <v>4659</v>
      </c>
      <c r="I215" s="267"/>
      <c r="J215" s="267" t="s">
        <v>3286</v>
      </c>
      <c r="K215" s="268" t="s">
        <v>4576</v>
      </c>
      <c r="L215" s="268"/>
      <c r="M215" s="268"/>
      <c r="N215" s="268"/>
      <c r="O215" s="336" t="s">
        <v>4660</v>
      </c>
      <c r="P215" s="267"/>
      <c r="Q215" s="267" t="s">
        <v>268</v>
      </c>
      <c r="R215" s="267"/>
      <c r="S215" s="267"/>
      <c r="T215" s="267"/>
      <c r="U215" s="267"/>
      <c r="V215" s="267"/>
      <c r="W215" s="267"/>
      <c r="X215" s="267"/>
      <c r="Y215" s="267"/>
      <c r="Z215" s="267"/>
      <c r="AA215" s="267"/>
      <c r="AB215" s="267"/>
      <c r="AC215" s="267"/>
      <c r="AD215" s="294"/>
      <c r="AE215" s="294"/>
      <c r="AF215" s="294"/>
      <c r="AG215" s="294"/>
      <c r="AH215" s="294"/>
      <c r="AI215" s="294"/>
      <c r="AJ215" s="294"/>
      <c r="AK215" s="294"/>
      <c r="AL215" s="294"/>
      <c r="AM215" s="294"/>
      <c r="AN215" s="294"/>
      <c r="AO215" s="102"/>
      <c r="AP215" s="102"/>
      <c r="AQ215" s="102"/>
      <c r="AR215" s="102"/>
      <c r="AS215" s="102"/>
      <c r="AT215" s="102"/>
    </row>
    <row r="216" ht="15.75" customHeight="1">
      <c r="A216" s="265" t="s">
        <v>396</v>
      </c>
      <c r="B216" s="266" t="s">
        <v>1172</v>
      </c>
      <c r="C216" s="77" t="s">
        <v>1178</v>
      </c>
      <c r="D216" s="77" t="s">
        <v>1179</v>
      </c>
      <c r="E216" s="77" t="s">
        <v>1180</v>
      </c>
      <c r="F216" s="77"/>
      <c r="G216" s="77"/>
      <c r="H216" s="77"/>
      <c r="I216" s="267"/>
      <c r="J216" s="267" t="s">
        <v>3286</v>
      </c>
      <c r="K216" s="268" t="s">
        <v>4576</v>
      </c>
      <c r="L216" s="268"/>
      <c r="M216" s="268"/>
      <c r="N216" s="268"/>
      <c r="O216" s="336" t="s">
        <v>4662</v>
      </c>
      <c r="P216" s="267"/>
      <c r="Q216" s="267" t="s">
        <v>268</v>
      </c>
      <c r="R216" s="267"/>
      <c r="S216" s="267"/>
      <c r="T216" s="267"/>
      <c r="U216" s="267"/>
      <c r="V216" s="267"/>
      <c r="W216" s="267"/>
      <c r="X216" s="267"/>
      <c r="Y216" s="267"/>
      <c r="Z216" s="267"/>
      <c r="AA216" s="267"/>
      <c r="AB216" s="267"/>
      <c r="AC216" s="267"/>
      <c r="AD216" s="294"/>
      <c r="AE216" s="294"/>
      <c r="AF216" s="294"/>
      <c r="AG216" s="294"/>
      <c r="AH216" s="294"/>
      <c r="AI216" s="294"/>
      <c r="AJ216" s="294"/>
      <c r="AK216" s="294"/>
      <c r="AL216" s="294"/>
      <c r="AM216" s="294"/>
      <c r="AN216" s="294"/>
      <c r="AO216" s="102"/>
      <c r="AP216" s="102"/>
      <c r="AQ216" s="102"/>
      <c r="AR216" s="102"/>
      <c r="AS216" s="102"/>
      <c r="AT216" s="102"/>
    </row>
    <row r="217" ht="15.75" customHeight="1">
      <c r="A217" s="265" t="s">
        <v>396</v>
      </c>
      <c r="B217" s="266" t="s">
        <v>1181</v>
      </c>
      <c r="C217" s="77" t="s">
        <v>1189</v>
      </c>
      <c r="D217" s="77" t="s">
        <v>1190</v>
      </c>
      <c r="E217" s="77" t="s">
        <v>1191</v>
      </c>
      <c r="F217" s="77"/>
      <c r="G217" s="77"/>
      <c r="H217" s="77"/>
      <c r="I217" s="267"/>
      <c r="J217" s="267" t="s">
        <v>3286</v>
      </c>
      <c r="K217" s="268" t="s">
        <v>4576</v>
      </c>
      <c r="L217" s="268"/>
      <c r="M217" s="268"/>
      <c r="N217" s="268"/>
      <c r="O217" s="336" t="s">
        <v>4663</v>
      </c>
      <c r="P217" s="267"/>
      <c r="Q217" s="267" t="s">
        <v>268</v>
      </c>
      <c r="R217" s="267"/>
      <c r="S217" s="267"/>
      <c r="T217" s="267"/>
      <c r="U217" s="267"/>
      <c r="V217" s="267"/>
      <c r="W217" s="267"/>
      <c r="X217" s="267"/>
      <c r="Y217" s="267"/>
      <c r="Z217" s="267"/>
      <c r="AA217" s="267"/>
      <c r="AB217" s="267"/>
      <c r="AC217" s="267"/>
      <c r="AD217" s="294"/>
      <c r="AE217" s="294"/>
      <c r="AF217" s="294"/>
      <c r="AG217" s="294"/>
      <c r="AH217" s="294"/>
      <c r="AI217" s="294"/>
      <c r="AJ217" s="294"/>
      <c r="AK217" s="294"/>
      <c r="AL217" s="294"/>
      <c r="AM217" s="294"/>
      <c r="AN217" s="294"/>
      <c r="AO217" s="102"/>
      <c r="AP217" s="102"/>
      <c r="AQ217" s="102"/>
      <c r="AR217" s="102"/>
      <c r="AS217" s="102"/>
      <c r="AT217" s="102"/>
    </row>
    <row r="218" ht="15.75" customHeight="1">
      <c r="A218" s="197" t="s">
        <v>735</v>
      </c>
      <c r="B218" s="96" t="s">
        <v>4652</v>
      </c>
      <c r="C218" s="96"/>
      <c r="D218" s="96"/>
      <c r="E218" s="96"/>
      <c r="F218" s="100"/>
      <c r="G218" s="100"/>
      <c r="H218" s="100"/>
      <c r="I218" s="100"/>
      <c r="J218" s="100"/>
      <c r="K218" s="97"/>
      <c r="L218" s="97"/>
      <c r="M218" s="97"/>
      <c r="N218" s="97"/>
      <c r="O218" s="97"/>
      <c r="P218" s="97"/>
      <c r="Q218" s="97"/>
      <c r="R218" s="97"/>
      <c r="S218" s="97"/>
      <c r="T218" s="97"/>
      <c r="U218" s="97"/>
      <c r="V218" s="97"/>
      <c r="W218" s="97"/>
      <c r="X218" s="97"/>
      <c r="Y218" s="97"/>
      <c r="Z218" s="97"/>
      <c r="AA218" s="97"/>
      <c r="AB218" s="97"/>
      <c r="AC218" s="97"/>
      <c r="AD218" s="170"/>
      <c r="AE218" s="170"/>
      <c r="AF218" s="170"/>
      <c r="AG218" s="170"/>
      <c r="AH218" s="170"/>
      <c r="AI218" s="170"/>
      <c r="AJ218" s="170"/>
      <c r="AK218" s="170"/>
      <c r="AL218" s="170"/>
      <c r="AM218" s="170"/>
      <c r="AN218" s="170"/>
      <c r="AO218" s="102"/>
      <c r="AP218" s="102"/>
      <c r="AQ218" s="102"/>
      <c r="AR218" s="102"/>
      <c r="AS218" s="102"/>
      <c r="AT218" s="102"/>
    </row>
    <row r="219" ht="15.75" customHeight="1">
      <c r="A219" s="249" t="s">
        <v>2336</v>
      </c>
      <c r="B219" s="251" t="s">
        <v>4624</v>
      </c>
      <c r="C219" s="251" t="s">
        <v>4625</v>
      </c>
      <c r="D219" s="251"/>
      <c r="E219" s="251"/>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343"/>
      <c r="AE219" s="343"/>
      <c r="AF219" s="343"/>
      <c r="AG219" s="343"/>
      <c r="AH219" s="343"/>
      <c r="AI219" s="343"/>
      <c r="AJ219" s="343"/>
      <c r="AK219" s="343"/>
      <c r="AL219" s="343"/>
      <c r="AM219" s="343"/>
      <c r="AN219" s="343"/>
      <c r="AO219" s="102"/>
      <c r="AP219" s="102"/>
      <c r="AQ219" s="102"/>
      <c r="AR219" s="102"/>
      <c r="AS219" s="102"/>
      <c r="AT219" s="102"/>
    </row>
    <row r="220" ht="15.75" customHeight="1">
      <c r="A220" s="197"/>
      <c r="B220" s="93"/>
      <c r="C220" s="93"/>
      <c r="D220" s="96"/>
      <c r="E220" s="96"/>
      <c r="F220" s="97"/>
      <c r="G220" s="97"/>
      <c r="H220" s="97"/>
      <c r="I220" s="98"/>
      <c r="J220" s="98"/>
      <c r="K220" s="97"/>
      <c r="L220" s="98"/>
      <c r="M220" s="98"/>
      <c r="N220" s="98"/>
      <c r="O220" s="236"/>
      <c r="P220" s="100"/>
      <c r="Q220" s="100"/>
      <c r="R220" s="100"/>
      <c r="S220" s="97"/>
      <c r="T220" s="170"/>
      <c r="U220" s="97"/>
      <c r="V220" s="97"/>
      <c r="W220" s="97"/>
      <c r="X220" s="97"/>
      <c r="Y220" s="97"/>
      <c r="Z220" s="97"/>
      <c r="AA220" s="97"/>
      <c r="AB220" s="97"/>
      <c r="AC220" s="97"/>
      <c r="AD220" s="102"/>
      <c r="AE220" s="102"/>
      <c r="AF220" s="102"/>
      <c r="AG220" s="102"/>
      <c r="AH220" s="102"/>
      <c r="AI220" s="102"/>
      <c r="AJ220" s="102"/>
      <c r="AK220" s="102"/>
      <c r="AL220" s="102"/>
      <c r="AM220" s="102"/>
      <c r="AN220" s="102"/>
      <c r="AO220" s="102"/>
      <c r="AP220" s="102"/>
      <c r="AQ220" s="102"/>
      <c r="AR220" s="102"/>
      <c r="AS220" s="102"/>
      <c r="AT220" s="102"/>
    </row>
    <row r="221" ht="15.75" customHeight="1">
      <c r="A221" s="289" t="s">
        <v>42</v>
      </c>
      <c r="B221" s="290" t="s">
        <v>1206</v>
      </c>
      <c r="C221" s="77" t="s">
        <v>1210</v>
      </c>
      <c r="D221" s="77" t="s">
        <v>1211</v>
      </c>
      <c r="E221" s="77" t="s">
        <v>1212</v>
      </c>
      <c r="F221" s="77"/>
      <c r="G221" s="77"/>
      <c r="H221" s="77"/>
      <c r="I221" s="291"/>
      <c r="J221" s="291"/>
      <c r="K221" s="291"/>
      <c r="L221" s="291"/>
      <c r="M221" s="291"/>
      <c r="N221" s="291"/>
      <c r="O221" s="291"/>
      <c r="P221" s="291"/>
      <c r="Q221" s="291"/>
      <c r="R221" s="291"/>
      <c r="S221" s="291"/>
      <c r="T221" s="291"/>
      <c r="U221" s="291"/>
      <c r="V221" s="291"/>
      <c r="W221" s="291"/>
      <c r="X221" s="291"/>
      <c r="Y221" s="291"/>
      <c r="Z221" s="291"/>
      <c r="AA221" s="291"/>
      <c r="AB221" s="291"/>
      <c r="AC221" s="291"/>
      <c r="AD221" s="102"/>
      <c r="AE221" s="102"/>
      <c r="AF221" s="102"/>
      <c r="AG221" s="102"/>
      <c r="AH221" s="102"/>
      <c r="AI221" s="102"/>
      <c r="AJ221" s="102"/>
      <c r="AK221" s="102"/>
      <c r="AL221" s="102"/>
      <c r="AM221" s="102"/>
      <c r="AN221" s="102"/>
      <c r="AO221" s="102"/>
      <c r="AP221" s="102"/>
      <c r="AQ221" s="102"/>
      <c r="AR221" s="102"/>
      <c r="AS221" s="102"/>
      <c r="AT221" s="102"/>
    </row>
    <row r="222" ht="15.75" customHeight="1">
      <c r="A222" s="197" t="s">
        <v>227</v>
      </c>
      <c r="B222" s="93" t="s">
        <v>4664</v>
      </c>
      <c r="C222" s="93"/>
      <c r="D222" s="96"/>
      <c r="E222" s="96"/>
      <c r="F222" s="97"/>
      <c r="G222" s="97"/>
      <c r="H222" s="97"/>
      <c r="I222" s="97"/>
      <c r="J222" s="98" t="s">
        <v>3246</v>
      </c>
      <c r="K222" s="97"/>
      <c r="L222" s="97"/>
      <c r="M222" s="98"/>
      <c r="N222" s="98"/>
      <c r="O222" s="98"/>
      <c r="P222" s="97"/>
      <c r="Q222" s="97"/>
      <c r="R222" s="97"/>
      <c r="S222" s="97"/>
      <c r="T222" s="97"/>
      <c r="U222" s="97"/>
      <c r="V222" s="97"/>
      <c r="W222" s="97"/>
      <c r="X222" s="97"/>
      <c r="Y222" s="97"/>
      <c r="Z222" s="97"/>
      <c r="AA222" s="97"/>
      <c r="AB222" s="97"/>
      <c r="AC222" s="97"/>
      <c r="AD222" s="102"/>
      <c r="AE222" s="102"/>
      <c r="AF222" s="102"/>
      <c r="AG222" s="102"/>
      <c r="AH222" s="102"/>
      <c r="AI222" s="102"/>
      <c r="AJ222" s="102"/>
      <c r="AK222" s="102"/>
      <c r="AL222" s="102"/>
      <c r="AM222" s="102"/>
      <c r="AN222" s="102"/>
      <c r="AO222" s="102"/>
      <c r="AP222" s="102"/>
      <c r="AQ222" s="102"/>
      <c r="AR222" s="102"/>
      <c r="AS222" s="102"/>
      <c r="AT222" s="102"/>
    </row>
    <row r="223" ht="15.75" customHeight="1">
      <c r="A223" s="206" t="s">
        <v>1217</v>
      </c>
      <c r="B223" s="245" t="s">
        <v>1218</v>
      </c>
      <c r="C223" s="77" t="s">
        <v>1223</v>
      </c>
      <c r="D223" s="77" t="s">
        <v>1224</v>
      </c>
      <c r="E223" s="77" t="s">
        <v>1225</v>
      </c>
      <c r="F223" s="77"/>
      <c r="G223" s="77"/>
      <c r="H223" s="77"/>
      <c r="I223" s="208"/>
      <c r="J223" s="212" t="s">
        <v>10</v>
      </c>
      <c r="K223" s="208"/>
      <c r="L223" s="208"/>
      <c r="M223" s="208"/>
      <c r="N223" s="208"/>
      <c r="O223" s="208"/>
      <c r="P223" s="208"/>
      <c r="Q223" s="208"/>
      <c r="R223" s="208"/>
      <c r="S223" s="208"/>
      <c r="T223" s="208"/>
      <c r="U223" s="208"/>
      <c r="V223" s="208"/>
      <c r="W223" s="208"/>
      <c r="X223" s="208"/>
      <c r="Y223" s="208"/>
      <c r="Z223" s="208"/>
      <c r="AA223" s="208"/>
      <c r="AB223" s="208"/>
      <c r="AC223" s="208"/>
      <c r="AD223" s="102"/>
      <c r="AE223" s="102"/>
      <c r="AF223" s="102"/>
      <c r="AG223" s="102"/>
      <c r="AH223" s="102"/>
      <c r="AI223" s="102"/>
      <c r="AJ223" s="102"/>
      <c r="AK223" s="102"/>
      <c r="AL223" s="102"/>
      <c r="AM223" s="102"/>
      <c r="AN223" s="102"/>
      <c r="AO223" s="102"/>
      <c r="AP223" s="102"/>
      <c r="AQ223" s="102"/>
      <c r="AR223" s="102"/>
      <c r="AS223" s="102"/>
      <c r="AT223" s="102"/>
    </row>
    <row r="224" ht="15.75" customHeight="1">
      <c r="A224" s="206" t="s">
        <v>1217</v>
      </c>
      <c r="B224" s="245" t="s">
        <v>1226</v>
      </c>
      <c r="C224" s="77" t="s">
        <v>1229</v>
      </c>
      <c r="D224" s="77" t="s">
        <v>1230</v>
      </c>
      <c r="E224" s="77" t="s">
        <v>1231</v>
      </c>
      <c r="F224" s="77"/>
      <c r="G224" s="77"/>
      <c r="H224" s="77"/>
      <c r="I224" s="208"/>
      <c r="J224" s="212" t="s">
        <v>3286</v>
      </c>
      <c r="K224" s="208"/>
      <c r="L224" s="208"/>
      <c r="M224" s="208"/>
      <c r="N224" s="208"/>
      <c r="O224" s="208"/>
      <c r="P224" s="208"/>
      <c r="Q224" s="208" t="s">
        <v>268</v>
      </c>
      <c r="R224" s="208"/>
      <c r="S224" s="208"/>
      <c r="T224" s="208"/>
      <c r="U224" s="208"/>
      <c r="V224" s="208"/>
      <c r="W224" s="208"/>
      <c r="X224" s="208"/>
      <c r="Y224" s="208"/>
      <c r="Z224" s="208"/>
      <c r="AA224" s="208"/>
      <c r="AB224" s="208"/>
      <c r="AC224" s="208"/>
      <c r="AD224" s="102"/>
      <c r="AE224" s="102"/>
      <c r="AF224" s="102"/>
      <c r="AG224" s="102"/>
      <c r="AH224" s="102"/>
      <c r="AI224" s="102"/>
      <c r="AJ224" s="102"/>
      <c r="AK224" s="102"/>
      <c r="AL224" s="102"/>
      <c r="AM224" s="102"/>
      <c r="AN224" s="102"/>
      <c r="AO224" s="102"/>
      <c r="AP224" s="102"/>
      <c r="AQ224" s="102"/>
      <c r="AR224" s="102"/>
      <c r="AS224" s="102"/>
      <c r="AT224" s="102"/>
    </row>
    <row r="225" ht="15.75" customHeight="1">
      <c r="A225" s="206" t="s">
        <v>1217</v>
      </c>
      <c r="B225" s="245" t="s">
        <v>1232</v>
      </c>
      <c r="C225" s="77" t="s">
        <v>1234</v>
      </c>
      <c r="D225" s="77" t="s">
        <v>1235</v>
      </c>
      <c r="E225" s="77" t="s">
        <v>1236</v>
      </c>
      <c r="F225" s="77"/>
      <c r="G225" s="77"/>
      <c r="H225" s="77"/>
      <c r="I225" s="208"/>
      <c r="J225" s="212" t="s">
        <v>3286</v>
      </c>
      <c r="K225" s="208"/>
      <c r="L225" s="208"/>
      <c r="M225" s="208"/>
      <c r="N225" s="208"/>
      <c r="O225" s="208"/>
      <c r="P225" s="208"/>
      <c r="Q225" s="208" t="s">
        <v>268</v>
      </c>
      <c r="R225" s="208"/>
      <c r="S225" s="208"/>
      <c r="T225" s="208"/>
      <c r="U225" s="208"/>
      <c r="V225" s="208"/>
      <c r="W225" s="208"/>
      <c r="X225" s="208"/>
      <c r="Y225" s="208"/>
      <c r="Z225" s="208"/>
      <c r="AA225" s="208"/>
      <c r="AB225" s="208"/>
      <c r="AC225" s="208"/>
      <c r="AD225" s="102"/>
      <c r="AE225" s="102"/>
      <c r="AF225" s="102"/>
      <c r="AG225" s="102"/>
      <c r="AH225" s="102"/>
      <c r="AI225" s="102"/>
      <c r="AJ225" s="102"/>
      <c r="AK225" s="102"/>
      <c r="AL225" s="102"/>
      <c r="AM225" s="102"/>
      <c r="AN225" s="102"/>
      <c r="AO225" s="102"/>
      <c r="AP225" s="102"/>
      <c r="AQ225" s="102"/>
      <c r="AR225" s="102"/>
      <c r="AS225" s="102"/>
      <c r="AT225" s="102"/>
    </row>
    <row r="226" ht="15.75" customHeight="1">
      <c r="A226" s="206" t="s">
        <v>1217</v>
      </c>
      <c r="B226" s="245" t="s">
        <v>1237</v>
      </c>
      <c r="C226" s="77" t="s">
        <v>1241</v>
      </c>
      <c r="D226" s="77" t="s">
        <v>1243</v>
      </c>
      <c r="E226" s="77" t="s">
        <v>1244</v>
      </c>
      <c r="F226" s="77"/>
      <c r="G226" s="77"/>
      <c r="H226" s="77"/>
      <c r="I226" s="208"/>
      <c r="J226" s="212" t="s">
        <v>3286</v>
      </c>
      <c r="K226" s="208"/>
      <c r="L226" s="208"/>
      <c r="M226" s="208"/>
      <c r="N226" s="208"/>
      <c r="O226" s="208"/>
      <c r="P226" s="208"/>
      <c r="Q226" s="208" t="s">
        <v>268</v>
      </c>
      <c r="R226" s="208"/>
      <c r="S226" s="208"/>
      <c r="T226" s="208"/>
      <c r="U226" s="208"/>
      <c r="V226" s="208"/>
      <c r="W226" s="208"/>
      <c r="X226" s="208"/>
      <c r="Y226" s="208"/>
      <c r="Z226" s="208"/>
      <c r="AA226" s="208"/>
      <c r="AB226" s="208"/>
      <c r="AC226" s="208"/>
      <c r="AD226" s="102"/>
      <c r="AE226" s="102"/>
      <c r="AF226" s="102"/>
      <c r="AG226" s="102"/>
      <c r="AH226" s="102"/>
      <c r="AI226" s="102"/>
      <c r="AJ226" s="102"/>
      <c r="AK226" s="102"/>
      <c r="AL226" s="102"/>
      <c r="AM226" s="102"/>
      <c r="AN226" s="102"/>
      <c r="AO226" s="102"/>
      <c r="AP226" s="102"/>
      <c r="AQ226" s="102"/>
      <c r="AR226" s="102"/>
      <c r="AS226" s="102"/>
      <c r="AT226" s="102"/>
    </row>
    <row r="227" ht="15.75" customHeight="1">
      <c r="A227" s="206" t="s">
        <v>1217</v>
      </c>
      <c r="B227" s="245" t="s">
        <v>1246</v>
      </c>
      <c r="C227" s="77" t="s">
        <v>1251</v>
      </c>
      <c r="D227" s="77" t="s">
        <v>1252</v>
      </c>
      <c r="E227" s="77" t="s">
        <v>1253</v>
      </c>
      <c r="F227" s="77"/>
      <c r="G227" s="77"/>
      <c r="H227" s="77"/>
      <c r="I227" s="208"/>
      <c r="J227" s="212" t="s">
        <v>3286</v>
      </c>
      <c r="K227" s="208"/>
      <c r="L227" s="208"/>
      <c r="M227" s="208"/>
      <c r="N227" s="208"/>
      <c r="O227" s="208"/>
      <c r="P227" s="208"/>
      <c r="Q227" s="208" t="s">
        <v>268</v>
      </c>
      <c r="R227" s="208"/>
      <c r="S227" s="208"/>
      <c r="T227" s="208"/>
      <c r="U227" s="208"/>
      <c r="V227" s="208"/>
      <c r="W227" s="208"/>
      <c r="X227" s="208"/>
      <c r="Y227" s="208"/>
      <c r="Z227" s="208"/>
      <c r="AA227" s="208"/>
      <c r="AB227" s="208"/>
      <c r="AC227" s="208"/>
      <c r="AD227" s="102"/>
      <c r="AE227" s="102"/>
      <c r="AF227" s="102"/>
      <c r="AG227" s="102"/>
      <c r="AH227" s="102"/>
      <c r="AI227" s="102"/>
      <c r="AJ227" s="102"/>
      <c r="AK227" s="102"/>
      <c r="AL227" s="102"/>
      <c r="AM227" s="102"/>
      <c r="AN227" s="102"/>
      <c r="AO227" s="102"/>
      <c r="AP227" s="102"/>
      <c r="AQ227" s="102"/>
      <c r="AR227" s="102"/>
      <c r="AS227" s="102"/>
      <c r="AT227" s="102"/>
    </row>
    <row r="228" ht="15.75" customHeight="1">
      <c r="A228" s="206" t="s">
        <v>1217</v>
      </c>
      <c r="B228" s="245" t="s">
        <v>1254</v>
      </c>
      <c r="C228" s="77" t="s">
        <v>1256</v>
      </c>
      <c r="D228" s="77" t="s">
        <v>1257</v>
      </c>
      <c r="E228" s="77" t="s">
        <v>1259</v>
      </c>
      <c r="F228" s="77"/>
      <c r="G228" s="77"/>
      <c r="H228" s="77"/>
      <c r="I228" s="208"/>
      <c r="J228" s="212" t="s">
        <v>3286</v>
      </c>
      <c r="K228" s="208"/>
      <c r="L228" s="208"/>
      <c r="M228" s="208"/>
      <c r="N228" s="208"/>
      <c r="O228" s="208"/>
      <c r="P228" s="208"/>
      <c r="Q228" s="208" t="s">
        <v>268</v>
      </c>
      <c r="R228" s="208"/>
      <c r="S228" s="208"/>
      <c r="T228" s="208"/>
      <c r="U228" s="208"/>
      <c r="V228" s="208"/>
      <c r="W228" s="208"/>
      <c r="X228" s="208"/>
      <c r="Y228" s="208"/>
      <c r="Z228" s="208"/>
      <c r="AA228" s="208"/>
      <c r="AB228" s="208"/>
      <c r="AC228" s="208"/>
      <c r="AD228" s="102"/>
      <c r="AE228" s="102"/>
      <c r="AF228" s="102"/>
      <c r="AG228" s="102"/>
      <c r="AH228" s="102"/>
      <c r="AI228" s="102"/>
      <c r="AJ228" s="102"/>
      <c r="AK228" s="102"/>
      <c r="AL228" s="102"/>
      <c r="AM228" s="102"/>
      <c r="AN228" s="102"/>
      <c r="AO228" s="102"/>
      <c r="AP228" s="102"/>
      <c r="AQ228" s="102"/>
      <c r="AR228" s="102"/>
      <c r="AS228" s="102"/>
      <c r="AT228" s="102"/>
    </row>
    <row r="229" ht="15.75" customHeight="1">
      <c r="A229" s="206" t="s">
        <v>1217</v>
      </c>
      <c r="B229" s="245" t="s">
        <v>1260</v>
      </c>
      <c r="C229" s="77" t="s">
        <v>1267</v>
      </c>
      <c r="D229" s="77" t="s">
        <v>1268</v>
      </c>
      <c r="E229" s="77" t="s">
        <v>1269</v>
      </c>
      <c r="F229" s="77"/>
      <c r="G229" s="77"/>
      <c r="H229" s="77"/>
      <c r="I229" s="208"/>
      <c r="J229" s="212" t="s">
        <v>3286</v>
      </c>
      <c r="K229" s="208"/>
      <c r="L229" s="208"/>
      <c r="M229" s="208"/>
      <c r="N229" s="208"/>
      <c r="O229" s="208"/>
      <c r="P229" s="208"/>
      <c r="Q229" s="208" t="s">
        <v>268</v>
      </c>
      <c r="R229" s="208"/>
      <c r="S229" s="208"/>
      <c r="T229" s="208"/>
      <c r="U229" s="208"/>
      <c r="V229" s="208"/>
      <c r="W229" s="208"/>
      <c r="X229" s="208"/>
      <c r="Y229" s="208"/>
      <c r="Z229" s="208"/>
      <c r="AA229" s="208"/>
      <c r="AB229" s="208"/>
      <c r="AC229" s="208"/>
      <c r="AD229" s="102"/>
      <c r="AE229" s="102"/>
      <c r="AF229" s="102"/>
      <c r="AG229" s="102"/>
      <c r="AH229" s="102"/>
      <c r="AI229" s="102"/>
      <c r="AJ229" s="102"/>
      <c r="AK229" s="102"/>
      <c r="AL229" s="102"/>
      <c r="AM229" s="102"/>
      <c r="AN229" s="102"/>
      <c r="AO229" s="102"/>
      <c r="AP229" s="102"/>
      <c r="AQ229" s="102"/>
      <c r="AR229" s="102"/>
      <c r="AS229" s="102"/>
      <c r="AT229" s="102"/>
    </row>
    <row r="230" ht="15.75" customHeight="1">
      <c r="A230" s="197" t="s">
        <v>735</v>
      </c>
      <c r="B230" s="96" t="s">
        <v>4664</v>
      </c>
      <c r="C230" s="96"/>
      <c r="D230" s="96"/>
      <c r="E230" s="96"/>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102"/>
      <c r="AE230" s="102"/>
      <c r="AF230" s="102"/>
      <c r="AG230" s="102"/>
      <c r="AH230" s="102"/>
      <c r="AI230" s="102"/>
      <c r="AJ230" s="102"/>
      <c r="AK230" s="102"/>
      <c r="AL230" s="102"/>
      <c r="AM230" s="102"/>
      <c r="AN230" s="102"/>
      <c r="AO230" s="102"/>
      <c r="AP230" s="102"/>
      <c r="AQ230" s="102"/>
      <c r="AR230" s="102"/>
      <c r="AS230" s="102"/>
      <c r="AT230" s="102"/>
    </row>
    <row r="231" ht="15.75" customHeight="1">
      <c r="A231" s="198" t="s">
        <v>42</v>
      </c>
      <c r="B231" s="199" t="s">
        <v>1274</v>
      </c>
      <c r="C231" s="77" t="s">
        <v>1280</v>
      </c>
      <c r="D231" s="77" t="s">
        <v>1282</v>
      </c>
      <c r="E231" s="77" t="s">
        <v>1284</v>
      </c>
      <c r="F231" s="77"/>
      <c r="G231" s="77"/>
      <c r="H231" s="77"/>
      <c r="I231" s="200"/>
      <c r="J231" s="200"/>
      <c r="K231" s="200"/>
      <c r="L231" s="200"/>
      <c r="M231" s="200"/>
      <c r="N231" s="200"/>
      <c r="O231" s="200"/>
      <c r="P231" s="200"/>
      <c r="Q231" s="200"/>
      <c r="R231" s="200"/>
      <c r="S231" s="200"/>
      <c r="T231" s="200"/>
      <c r="U231" s="200"/>
      <c r="V231" s="200"/>
      <c r="W231" s="200"/>
      <c r="X231" s="200"/>
      <c r="Y231" s="200"/>
      <c r="Z231" s="200"/>
      <c r="AA231" s="200"/>
      <c r="AB231" s="200"/>
      <c r="AC231" s="200"/>
      <c r="AD231" s="102"/>
      <c r="AE231" s="102"/>
      <c r="AF231" s="102"/>
      <c r="AG231" s="102"/>
      <c r="AH231" s="102"/>
      <c r="AI231" s="102"/>
      <c r="AJ231" s="102"/>
      <c r="AK231" s="102"/>
      <c r="AL231" s="102"/>
      <c r="AM231" s="102"/>
      <c r="AN231" s="102"/>
      <c r="AO231" s="102"/>
      <c r="AP231" s="102"/>
      <c r="AQ231" s="102"/>
      <c r="AR231" s="102"/>
      <c r="AS231" s="102"/>
      <c r="AT231" s="102"/>
    </row>
    <row r="232" ht="15.75" customHeight="1">
      <c r="A232" s="206" t="s">
        <v>553</v>
      </c>
      <c r="B232" s="245" t="s">
        <v>1286</v>
      </c>
      <c r="C232" s="77" t="s">
        <v>1290</v>
      </c>
      <c r="D232" s="77" t="s">
        <v>1291</v>
      </c>
      <c r="E232" s="77" t="s">
        <v>1292</v>
      </c>
      <c r="F232" s="77"/>
      <c r="G232" s="77"/>
      <c r="H232" s="77"/>
      <c r="I232" s="208"/>
      <c r="J232" s="212"/>
      <c r="K232" s="208"/>
      <c r="L232" s="208"/>
      <c r="M232" s="208"/>
      <c r="N232" s="208"/>
      <c r="O232" s="208"/>
      <c r="P232" s="208"/>
      <c r="Q232" s="208" t="s">
        <v>268</v>
      </c>
      <c r="R232" s="208"/>
      <c r="S232" s="208"/>
      <c r="T232" s="208"/>
      <c r="U232" s="208"/>
      <c r="V232" s="208"/>
      <c r="W232" s="208"/>
      <c r="X232" s="208"/>
      <c r="Y232" s="208"/>
      <c r="Z232" s="208"/>
      <c r="AA232" s="208"/>
      <c r="AB232" s="208"/>
      <c r="AC232" s="208"/>
      <c r="AD232" s="102"/>
      <c r="AE232" s="102"/>
      <c r="AF232" s="102"/>
      <c r="AG232" s="102"/>
      <c r="AH232" s="102"/>
      <c r="AI232" s="102"/>
      <c r="AJ232" s="102"/>
      <c r="AK232" s="102"/>
      <c r="AL232" s="102"/>
      <c r="AM232" s="102"/>
      <c r="AN232" s="102"/>
      <c r="AO232" s="102"/>
      <c r="AP232" s="102"/>
      <c r="AQ232" s="102"/>
      <c r="AR232" s="102"/>
      <c r="AS232" s="102"/>
      <c r="AT232" s="102"/>
    </row>
    <row r="233" ht="15.75" customHeight="1">
      <c r="A233" s="206" t="s">
        <v>553</v>
      </c>
      <c r="B233" s="245" t="s">
        <v>1293</v>
      </c>
      <c r="C233" s="77" t="s">
        <v>1299</v>
      </c>
      <c r="D233" s="77" t="s">
        <v>1300</v>
      </c>
      <c r="E233" s="77" t="s">
        <v>1301</v>
      </c>
      <c r="F233" s="77"/>
      <c r="G233" s="77"/>
      <c r="H233" s="77"/>
      <c r="I233" s="208"/>
      <c r="J233" s="212"/>
      <c r="K233" s="208"/>
      <c r="L233" s="208"/>
      <c r="M233" s="208"/>
      <c r="N233" s="208"/>
      <c r="O233" s="208"/>
      <c r="P233" s="208"/>
      <c r="Q233" s="208" t="s">
        <v>268</v>
      </c>
      <c r="R233" s="208"/>
      <c r="S233" s="208"/>
      <c r="T233" s="208"/>
      <c r="U233" s="208"/>
      <c r="V233" s="208"/>
      <c r="W233" s="208"/>
      <c r="X233" s="208"/>
      <c r="Y233" s="208"/>
      <c r="Z233" s="208"/>
      <c r="AA233" s="208"/>
      <c r="AB233" s="208"/>
      <c r="AC233" s="208"/>
      <c r="AD233" s="102"/>
      <c r="AE233" s="102"/>
      <c r="AF233" s="102"/>
      <c r="AG233" s="102"/>
      <c r="AH233" s="102"/>
      <c r="AI233" s="102"/>
      <c r="AJ233" s="102"/>
      <c r="AK233" s="102"/>
      <c r="AL233" s="102"/>
      <c r="AM233" s="102"/>
      <c r="AN233" s="102"/>
      <c r="AO233" s="102"/>
      <c r="AP233" s="102"/>
      <c r="AQ233" s="102"/>
      <c r="AR233" s="102"/>
      <c r="AS233" s="102"/>
      <c r="AT233" s="102"/>
    </row>
    <row r="234" ht="15.75" customHeight="1">
      <c r="A234" s="206" t="s">
        <v>553</v>
      </c>
      <c r="B234" s="245" t="s">
        <v>1302</v>
      </c>
      <c r="C234" s="77" t="s">
        <v>1309</v>
      </c>
      <c r="D234" s="77" t="s">
        <v>1310</v>
      </c>
      <c r="E234" s="77" t="s">
        <v>1311</v>
      </c>
      <c r="F234" s="77"/>
      <c r="G234" s="77"/>
      <c r="H234" s="77"/>
      <c r="I234" s="208"/>
      <c r="J234" s="212"/>
      <c r="K234" s="208"/>
      <c r="L234" s="208"/>
      <c r="M234" s="208"/>
      <c r="N234" s="208"/>
      <c r="O234" s="208"/>
      <c r="P234" s="208"/>
      <c r="Q234" s="208" t="s">
        <v>268</v>
      </c>
      <c r="R234" s="208"/>
      <c r="S234" s="208"/>
      <c r="T234" s="208"/>
      <c r="U234" s="208"/>
      <c r="V234" s="208"/>
      <c r="W234" s="208"/>
      <c r="X234" s="208"/>
      <c r="Y234" s="208"/>
      <c r="Z234" s="208"/>
      <c r="AA234" s="208"/>
      <c r="AB234" s="208"/>
      <c r="AC234" s="208"/>
      <c r="AD234" s="102"/>
      <c r="AE234" s="102"/>
      <c r="AF234" s="102"/>
      <c r="AG234" s="102"/>
      <c r="AH234" s="102"/>
      <c r="AI234" s="102"/>
      <c r="AJ234" s="102"/>
      <c r="AK234" s="102"/>
      <c r="AL234" s="102"/>
      <c r="AM234" s="102"/>
      <c r="AN234" s="102"/>
      <c r="AO234" s="102"/>
      <c r="AP234" s="102"/>
      <c r="AQ234" s="102"/>
      <c r="AR234" s="102"/>
      <c r="AS234" s="102"/>
      <c r="AT234" s="102"/>
    </row>
    <row r="235" ht="15.75" customHeight="1">
      <c r="A235" s="206" t="s">
        <v>553</v>
      </c>
      <c r="B235" s="245" t="s">
        <v>1312</v>
      </c>
      <c r="C235" s="77" t="s">
        <v>1317</v>
      </c>
      <c r="D235" s="77" t="s">
        <v>1318</v>
      </c>
      <c r="E235" s="77" t="s">
        <v>1319</v>
      </c>
      <c r="F235" s="77"/>
      <c r="G235" s="77"/>
      <c r="H235" s="77"/>
      <c r="I235" s="208"/>
      <c r="J235" s="212"/>
      <c r="K235" s="208"/>
      <c r="L235" s="208"/>
      <c r="M235" s="208"/>
      <c r="N235" s="208"/>
      <c r="O235" s="208"/>
      <c r="P235" s="208"/>
      <c r="Q235" s="208" t="s">
        <v>268</v>
      </c>
      <c r="R235" s="208"/>
      <c r="S235" s="208"/>
      <c r="T235" s="208"/>
      <c r="U235" s="208"/>
      <c r="V235" s="208"/>
      <c r="W235" s="208"/>
      <c r="X235" s="208"/>
      <c r="Y235" s="208"/>
      <c r="Z235" s="208"/>
      <c r="AA235" s="208"/>
      <c r="AB235" s="208"/>
      <c r="AC235" s="208"/>
      <c r="AD235" s="102"/>
      <c r="AE235" s="102"/>
      <c r="AF235" s="102"/>
      <c r="AG235" s="102"/>
      <c r="AH235" s="102"/>
      <c r="AI235" s="102"/>
      <c r="AJ235" s="102"/>
      <c r="AK235" s="102"/>
      <c r="AL235" s="102"/>
      <c r="AM235" s="102"/>
      <c r="AN235" s="102"/>
      <c r="AO235" s="102"/>
      <c r="AP235" s="102"/>
      <c r="AQ235" s="102"/>
      <c r="AR235" s="102"/>
      <c r="AS235" s="102"/>
      <c r="AT235" s="102"/>
    </row>
    <row r="236" ht="15.75" customHeight="1">
      <c r="A236" s="206" t="s">
        <v>553</v>
      </c>
      <c r="B236" s="245" t="s">
        <v>1320</v>
      </c>
      <c r="C236" s="77" t="s">
        <v>1323</v>
      </c>
      <c r="D236" s="77" t="s">
        <v>1324</v>
      </c>
      <c r="E236" s="77" t="s">
        <v>1325</v>
      </c>
      <c r="F236" s="77"/>
      <c r="G236" s="77"/>
      <c r="H236" s="77"/>
      <c r="I236" s="208"/>
      <c r="J236" s="212"/>
      <c r="K236" s="208"/>
      <c r="L236" s="208"/>
      <c r="M236" s="208"/>
      <c r="N236" s="208"/>
      <c r="O236" s="208"/>
      <c r="P236" s="208"/>
      <c r="Q236" s="208" t="s">
        <v>268</v>
      </c>
      <c r="R236" s="208"/>
      <c r="S236" s="208"/>
      <c r="T236" s="208"/>
      <c r="U236" s="208"/>
      <c r="V236" s="208"/>
      <c r="W236" s="208"/>
      <c r="X236" s="208"/>
      <c r="Y236" s="208"/>
      <c r="Z236" s="208"/>
      <c r="AA236" s="208"/>
      <c r="AB236" s="208"/>
      <c r="AC236" s="208"/>
      <c r="AD236" s="102"/>
      <c r="AE236" s="102"/>
      <c r="AF236" s="102"/>
      <c r="AG236" s="102"/>
      <c r="AH236" s="102"/>
      <c r="AI236" s="102"/>
      <c r="AJ236" s="102"/>
      <c r="AK236" s="102"/>
      <c r="AL236" s="102"/>
      <c r="AM236" s="102"/>
      <c r="AN236" s="102"/>
      <c r="AO236" s="102"/>
      <c r="AP236" s="102"/>
      <c r="AQ236" s="102"/>
      <c r="AR236" s="102"/>
      <c r="AS236" s="102"/>
      <c r="AT236" s="102"/>
    </row>
    <row r="237" ht="15.75" customHeight="1">
      <c r="A237" s="206" t="s">
        <v>194</v>
      </c>
      <c r="B237" s="245" t="s">
        <v>1326</v>
      </c>
      <c r="C237" s="77" t="s">
        <v>1330</v>
      </c>
      <c r="D237" s="77" t="s">
        <v>4739</v>
      </c>
      <c r="E237" s="77" t="s">
        <v>4740</v>
      </c>
      <c r="F237" s="77"/>
      <c r="G237" s="77"/>
      <c r="H237" s="77"/>
      <c r="I237" s="212"/>
      <c r="J237" s="208"/>
      <c r="K237" s="208"/>
      <c r="L237" s="208"/>
      <c r="M237" s="208"/>
      <c r="N237" s="208"/>
      <c r="O237" s="208"/>
      <c r="P237" s="208"/>
      <c r="Q237" s="210" t="s">
        <v>268</v>
      </c>
      <c r="R237" s="208"/>
      <c r="S237" s="208"/>
      <c r="T237" s="208"/>
      <c r="U237" s="208"/>
      <c r="V237" s="208"/>
      <c r="W237" s="208"/>
      <c r="X237" s="208"/>
      <c r="Y237" s="208"/>
      <c r="Z237" s="208"/>
      <c r="AA237" s="208"/>
      <c r="AB237" s="208"/>
      <c r="AC237" s="208"/>
      <c r="AD237" s="102"/>
      <c r="AE237" s="102"/>
      <c r="AF237" s="102"/>
      <c r="AG237" s="102"/>
      <c r="AH237" s="102"/>
      <c r="AI237" s="102"/>
      <c r="AJ237" s="102"/>
      <c r="AK237" s="102"/>
      <c r="AL237" s="102"/>
      <c r="AM237" s="102"/>
      <c r="AN237" s="102"/>
      <c r="AO237" s="102"/>
      <c r="AP237" s="102"/>
      <c r="AQ237" s="102"/>
      <c r="AR237" s="102"/>
      <c r="AS237" s="102"/>
      <c r="AT237" s="102"/>
    </row>
    <row r="238" ht="15.75" customHeight="1">
      <c r="A238" s="198" t="s">
        <v>42</v>
      </c>
      <c r="B238" s="199" t="s">
        <v>1332</v>
      </c>
      <c r="C238" s="77" t="s">
        <v>1337</v>
      </c>
      <c r="D238" s="77" t="s">
        <v>1338</v>
      </c>
      <c r="E238" s="77" t="s">
        <v>1339</v>
      </c>
      <c r="F238" s="77"/>
      <c r="G238" s="77"/>
      <c r="H238" s="77"/>
      <c r="I238" s="200"/>
      <c r="J238" s="200"/>
      <c r="K238" s="200"/>
      <c r="L238" s="200"/>
      <c r="M238" s="200"/>
      <c r="N238" s="200"/>
      <c r="O238" s="348" t="s">
        <v>4741</v>
      </c>
      <c r="P238" s="200"/>
      <c r="Q238" s="200"/>
      <c r="R238" s="200"/>
      <c r="S238" s="200"/>
      <c r="T238" s="200"/>
      <c r="U238" s="200"/>
      <c r="V238" s="200"/>
      <c r="W238" s="200"/>
      <c r="X238" s="200"/>
      <c r="Y238" s="200"/>
      <c r="Z238" s="200"/>
      <c r="AA238" s="200"/>
      <c r="AB238" s="200"/>
      <c r="AC238" s="200"/>
      <c r="AD238" s="102"/>
      <c r="AE238" s="102"/>
      <c r="AF238" s="102"/>
      <c r="AG238" s="102"/>
      <c r="AH238" s="102"/>
      <c r="AI238" s="102"/>
      <c r="AJ238" s="102"/>
      <c r="AK238" s="102"/>
      <c r="AL238" s="102"/>
      <c r="AM238" s="102"/>
      <c r="AN238" s="102"/>
      <c r="AO238" s="102"/>
      <c r="AP238" s="102"/>
      <c r="AQ238" s="102"/>
      <c r="AR238" s="102"/>
      <c r="AS238" s="102"/>
      <c r="AT238" s="102"/>
    </row>
    <row r="239" ht="15.75" customHeight="1">
      <c r="A239" s="206" t="s">
        <v>553</v>
      </c>
      <c r="B239" s="245" t="s">
        <v>1340</v>
      </c>
      <c r="C239" s="77" t="s">
        <v>1346</v>
      </c>
      <c r="D239" s="77" t="s">
        <v>1347</v>
      </c>
      <c r="E239" s="77" t="s">
        <v>1348</v>
      </c>
      <c r="F239" s="77"/>
      <c r="G239" s="77"/>
      <c r="H239" s="77"/>
      <c r="I239" s="208"/>
      <c r="J239" s="212"/>
      <c r="K239" s="208"/>
      <c r="L239" s="208"/>
      <c r="M239" s="208"/>
      <c r="N239" s="208"/>
      <c r="O239" s="348" t="s">
        <v>4741</v>
      </c>
      <c r="P239" s="208"/>
      <c r="Q239" s="208" t="s">
        <v>268</v>
      </c>
      <c r="R239" s="208"/>
      <c r="S239" s="208"/>
      <c r="T239" s="208"/>
      <c r="U239" s="208"/>
      <c r="V239" s="208"/>
      <c r="W239" s="208"/>
      <c r="X239" s="208"/>
      <c r="Y239" s="208"/>
      <c r="Z239" s="208"/>
      <c r="AA239" s="208"/>
      <c r="AB239" s="208"/>
      <c r="AC239" s="208"/>
      <c r="AD239" s="102"/>
      <c r="AE239" s="102"/>
      <c r="AF239" s="102"/>
      <c r="AG239" s="102"/>
      <c r="AH239" s="102"/>
      <c r="AI239" s="102"/>
      <c r="AJ239" s="102"/>
      <c r="AK239" s="102"/>
      <c r="AL239" s="102"/>
      <c r="AM239" s="102"/>
      <c r="AN239" s="102"/>
      <c r="AO239" s="102"/>
      <c r="AP239" s="102"/>
      <c r="AQ239" s="102"/>
      <c r="AR239" s="102"/>
      <c r="AS239" s="102"/>
      <c r="AT239" s="102"/>
    </row>
    <row r="240" ht="15.75" customHeight="1">
      <c r="A240" s="206" t="s">
        <v>553</v>
      </c>
      <c r="B240" s="245" t="s">
        <v>1349</v>
      </c>
      <c r="C240" s="77" t="s">
        <v>1354</v>
      </c>
      <c r="D240" s="77" t="s">
        <v>1355</v>
      </c>
      <c r="E240" s="77" t="s">
        <v>1356</v>
      </c>
      <c r="F240" s="77"/>
      <c r="G240" s="77"/>
      <c r="H240" s="77"/>
      <c r="I240" s="208"/>
      <c r="J240" s="212"/>
      <c r="K240" s="208"/>
      <c r="L240" s="208"/>
      <c r="M240" s="208"/>
      <c r="N240" s="208"/>
      <c r="O240" s="348" t="s">
        <v>4741</v>
      </c>
      <c r="P240" s="208"/>
      <c r="Q240" s="208" t="s">
        <v>268</v>
      </c>
      <c r="R240" s="208"/>
      <c r="S240" s="208"/>
      <c r="T240" s="208"/>
      <c r="U240" s="208"/>
      <c r="V240" s="208"/>
      <c r="W240" s="208"/>
      <c r="X240" s="208"/>
      <c r="Y240" s="208"/>
      <c r="Z240" s="208"/>
      <c r="AA240" s="208"/>
      <c r="AB240" s="208"/>
      <c r="AC240" s="208"/>
      <c r="AD240" s="102"/>
      <c r="AE240" s="102"/>
      <c r="AF240" s="102"/>
      <c r="AG240" s="102"/>
      <c r="AH240" s="102"/>
      <c r="AI240" s="102"/>
      <c r="AJ240" s="102"/>
      <c r="AK240" s="102"/>
      <c r="AL240" s="102"/>
      <c r="AM240" s="102"/>
      <c r="AN240" s="102"/>
      <c r="AO240" s="102"/>
      <c r="AP240" s="102"/>
      <c r="AQ240" s="102"/>
      <c r="AR240" s="102"/>
      <c r="AS240" s="102"/>
      <c r="AT240" s="102"/>
    </row>
    <row r="241" ht="15.75" customHeight="1">
      <c r="A241" s="206" t="s">
        <v>553</v>
      </c>
      <c r="B241" s="245" t="s">
        <v>1357</v>
      </c>
      <c r="C241" s="77" t="s">
        <v>1364</v>
      </c>
      <c r="D241" s="77" t="s">
        <v>1365</v>
      </c>
      <c r="E241" s="77" t="s">
        <v>1366</v>
      </c>
      <c r="F241" s="77"/>
      <c r="G241" s="77"/>
      <c r="H241" s="77"/>
      <c r="I241" s="208"/>
      <c r="J241" s="212"/>
      <c r="K241" s="208"/>
      <c r="L241" s="208"/>
      <c r="M241" s="208"/>
      <c r="N241" s="208"/>
      <c r="O241" s="348" t="s">
        <v>4741</v>
      </c>
      <c r="P241" s="208"/>
      <c r="Q241" s="208" t="s">
        <v>268</v>
      </c>
      <c r="R241" s="208"/>
      <c r="S241" s="208"/>
      <c r="T241" s="208"/>
      <c r="U241" s="208"/>
      <c r="V241" s="208"/>
      <c r="W241" s="208"/>
      <c r="X241" s="208"/>
      <c r="Y241" s="208"/>
      <c r="Z241" s="208"/>
      <c r="AA241" s="208"/>
      <c r="AB241" s="208"/>
      <c r="AC241" s="208"/>
      <c r="AD241" s="102"/>
      <c r="AE241" s="102"/>
      <c r="AF241" s="102"/>
      <c r="AG241" s="102"/>
      <c r="AH241" s="102"/>
      <c r="AI241" s="102"/>
      <c r="AJ241" s="102"/>
      <c r="AK241" s="102"/>
      <c r="AL241" s="102"/>
      <c r="AM241" s="102"/>
      <c r="AN241" s="102"/>
      <c r="AO241" s="102"/>
      <c r="AP241" s="102"/>
      <c r="AQ241" s="102"/>
      <c r="AR241" s="102"/>
      <c r="AS241" s="102"/>
      <c r="AT241" s="102"/>
    </row>
    <row r="242" ht="15.75" customHeight="1">
      <c r="A242" s="206" t="s">
        <v>553</v>
      </c>
      <c r="B242" s="245" t="s">
        <v>1367</v>
      </c>
      <c r="C242" s="77" t="s">
        <v>1372</v>
      </c>
      <c r="D242" s="77" t="s">
        <v>1373</v>
      </c>
      <c r="E242" s="77" t="s">
        <v>1374</v>
      </c>
      <c r="F242" s="77"/>
      <c r="G242" s="77"/>
      <c r="H242" s="77"/>
      <c r="I242" s="208"/>
      <c r="J242" s="212"/>
      <c r="K242" s="208"/>
      <c r="L242" s="208"/>
      <c r="M242" s="208"/>
      <c r="N242" s="208"/>
      <c r="O242" s="348" t="s">
        <v>4741</v>
      </c>
      <c r="P242" s="208"/>
      <c r="Q242" s="208" t="s">
        <v>268</v>
      </c>
      <c r="R242" s="208"/>
      <c r="S242" s="208"/>
      <c r="T242" s="208"/>
      <c r="U242" s="208"/>
      <c r="V242" s="208"/>
      <c r="W242" s="208"/>
      <c r="X242" s="208"/>
      <c r="Y242" s="208"/>
      <c r="Z242" s="208"/>
      <c r="AA242" s="208"/>
      <c r="AB242" s="208"/>
      <c r="AC242" s="208"/>
      <c r="AD242" s="102"/>
      <c r="AE242" s="102"/>
      <c r="AF242" s="102"/>
      <c r="AG242" s="102"/>
      <c r="AH242" s="102"/>
      <c r="AI242" s="102"/>
      <c r="AJ242" s="102"/>
      <c r="AK242" s="102"/>
      <c r="AL242" s="102"/>
      <c r="AM242" s="102"/>
      <c r="AN242" s="102"/>
      <c r="AO242" s="102"/>
      <c r="AP242" s="102"/>
      <c r="AQ242" s="102"/>
      <c r="AR242" s="102"/>
      <c r="AS242" s="102"/>
      <c r="AT242" s="102"/>
    </row>
    <row r="243" ht="15.75" customHeight="1">
      <c r="A243" s="206" t="s">
        <v>553</v>
      </c>
      <c r="B243" s="245" t="s">
        <v>1375</v>
      </c>
      <c r="C243" s="77" t="s">
        <v>1379</v>
      </c>
      <c r="D243" s="77" t="s">
        <v>1380</v>
      </c>
      <c r="E243" s="77" t="s">
        <v>1381</v>
      </c>
      <c r="F243" s="77"/>
      <c r="G243" s="77"/>
      <c r="H243" s="77"/>
      <c r="I243" s="208"/>
      <c r="J243" s="212"/>
      <c r="K243" s="208"/>
      <c r="L243" s="208"/>
      <c r="M243" s="208"/>
      <c r="N243" s="208"/>
      <c r="O243" s="348" t="s">
        <v>4741</v>
      </c>
      <c r="P243" s="208"/>
      <c r="Q243" s="208" t="s">
        <v>268</v>
      </c>
      <c r="R243" s="208"/>
      <c r="S243" s="208"/>
      <c r="T243" s="208"/>
      <c r="U243" s="208"/>
      <c r="V243" s="208"/>
      <c r="W243" s="208"/>
      <c r="X243" s="208"/>
      <c r="Y243" s="208"/>
      <c r="Z243" s="208"/>
      <c r="AA243" s="208"/>
      <c r="AB243" s="208"/>
      <c r="AC243" s="208"/>
      <c r="AD243" s="102"/>
      <c r="AE243" s="102"/>
      <c r="AF243" s="102"/>
      <c r="AG243" s="102"/>
      <c r="AH243" s="102"/>
      <c r="AI243" s="102"/>
      <c r="AJ243" s="102"/>
      <c r="AK243" s="102"/>
      <c r="AL243" s="102"/>
      <c r="AM243" s="102"/>
      <c r="AN243" s="102"/>
      <c r="AO243" s="102"/>
      <c r="AP243" s="102"/>
      <c r="AQ243" s="102"/>
      <c r="AR243" s="102"/>
      <c r="AS243" s="102"/>
      <c r="AT243" s="102"/>
    </row>
    <row r="244" ht="15.75" customHeight="1">
      <c r="A244" s="206" t="s">
        <v>553</v>
      </c>
      <c r="B244" s="245" t="s">
        <v>1382</v>
      </c>
      <c r="C244" s="77" t="s">
        <v>1388</v>
      </c>
      <c r="D244" s="77" t="s">
        <v>1389</v>
      </c>
      <c r="E244" s="77" t="s">
        <v>1390</v>
      </c>
      <c r="F244" s="77"/>
      <c r="G244" s="77"/>
      <c r="H244" s="77"/>
      <c r="I244" s="208"/>
      <c r="J244" s="212"/>
      <c r="K244" s="208"/>
      <c r="L244" s="208"/>
      <c r="M244" s="208"/>
      <c r="N244" s="208"/>
      <c r="O244" s="348" t="s">
        <v>4741</v>
      </c>
      <c r="P244" s="208"/>
      <c r="Q244" s="208" t="s">
        <v>268</v>
      </c>
      <c r="R244" s="208"/>
      <c r="S244" s="208"/>
      <c r="T244" s="208"/>
      <c r="U244" s="208"/>
      <c r="V244" s="208"/>
      <c r="W244" s="208"/>
      <c r="X244" s="208"/>
      <c r="Y244" s="208"/>
      <c r="Z244" s="208"/>
      <c r="AA244" s="208"/>
      <c r="AB244" s="208"/>
      <c r="AC244" s="208"/>
      <c r="AD244" s="102"/>
      <c r="AE244" s="102"/>
      <c r="AF244" s="102"/>
      <c r="AG244" s="102"/>
      <c r="AH244" s="102"/>
      <c r="AI244" s="102"/>
      <c r="AJ244" s="102"/>
      <c r="AK244" s="102"/>
      <c r="AL244" s="102"/>
      <c r="AM244" s="102"/>
      <c r="AN244" s="102"/>
      <c r="AO244" s="102"/>
      <c r="AP244" s="102"/>
      <c r="AQ244" s="102"/>
      <c r="AR244" s="102"/>
      <c r="AS244" s="102"/>
      <c r="AT244" s="102"/>
    </row>
    <row r="245" ht="15.75" customHeight="1">
      <c r="A245" s="206" t="s">
        <v>553</v>
      </c>
      <c r="B245" s="245" t="s">
        <v>1391</v>
      </c>
      <c r="C245" s="77" t="s">
        <v>1395</v>
      </c>
      <c r="D245" s="77" t="s">
        <v>1396</v>
      </c>
      <c r="E245" s="77" t="s">
        <v>1397</v>
      </c>
      <c r="F245" s="77"/>
      <c r="G245" s="77"/>
      <c r="H245" s="77"/>
      <c r="I245" s="208"/>
      <c r="J245" s="212"/>
      <c r="K245" s="208"/>
      <c r="L245" s="208"/>
      <c r="M245" s="208"/>
      <c r="N245" s="208"/>
      <c r="O245" s="348" t="s">
        <v>4741</v>
      </c>
      <c r="P245" s="208"/>
      <c r="Q245" s="208" t="s">
        <v>268</v>
      </c>
      <c r="R245" s="208"/>
      <c r="S245" s="208"/>
      <c r="T245" s="208"/>
      <c r="U245" s="208"/>
      <c r="V245" s="208"/>
      <c r="W245" s="208"/>
      <c r="X245" s="208"/>
      <c r="Y245" s="208"/>
      <c r="Z245" s="208"/>
      <c r="AA245" s="208"/>
      <c r="AB245" s="208"/>
      <c r="AC245" s="208"/>
      <c r="AD245" s="102"/>
      <c r="AE245" s="102"/>
      <c r="AF245" s="102"/>
      <c r="AG245" s="102"/>
      <c r="AH245" s="102"/>
      <c r="AI245" s="102"/>
      <c r="AJ245" s="102"/>
      <c r="AK245" s="102"/>
      <c r="AL245" s="102"/>
      <c r="AM245" s="102"/>
      <c r="AN245" s="102"/>
      <c r="AO245" s="102"/>
      <c r="AP245" s="102"/>
      <c r="AQ245" s="102"/>
      <c r="AR245" s="102"/>
      <c r="AS245" s="102"/>
      <c r="AT245" s="102"/>
    </row>
    <row r="246" ht="15.75" customHeight="1">
      <c r="A246" s="198" t="s">
        <v>42</v>
      </c>
      <c r="B246" s="199" t="s">
        <v>1398</v>
      </c>
      <c r="C246" s="77" t="s">
        <v>1404</v>
      </c>
      <c r="D246" s="77" t="s">
        <v>1405</v>
      </c>
      <c r="E246" s="77" t="s">
        <v>1406</v>
      </c>
      <c r="F246" s="77" t="s">
        <v>4765</v>
      </c>
      <c r="G246" s="77" t="s">
        <v>4766</v>
      </c>
      <c r="H246" s="77" t="s">
        <v>4767</v>
      </c>
      <c r="I246" s="200"/>
      <c r="J246" s="200"/>
      <c r="K246" s="200"/>
      <c r="L246" s="200"/>
      <c r="M246" s="200"/>
      <c r="N246" s="200"/>
      <c r="O246" s="348"/>
      <c r="P246" s="200"/>
      <c r="Q246" s="200"/>
      <c r="R246" s="200"/>
      <c r="S246" s="200"/>
      <c r="T246" s="200"/>
      <c r="U246" s="200"/>
      <c r="V246" s="200"/>
      <c r="W246" s="200"/>
      <c r="X246" s="200"/>
      <c r="Y246" s="200"/>
      <c r="Z246" s="200"/>
      <c r="AA246" s="200"/>
      <c r="AB246" s="200"/>
      <c r="AC246" s="200"/>
      <c r="AD246" s="102"/>
      <c r="AE246" s="102"/>
      <c r="AF246" s="102"/>
      <c r="AG246" s="102"/>
      <c r="AH246" s="102"/>
      <c r="AI246" s="102"/>
      <c r="AJ246" s="102"/>
      <c r="AK246" s="102"/>
      <c r="AL246" s="102"/>
      <c r="AM246" s="102"/>
      <c r="AN246" s="102"/>
      <c r="AO246" s="102"/>
      <c r="AP246" s="102"/>
      <c r="AQ246" s="102"/>
      <c r="AR246" s="102"/>
      <c r="AS246" s="102"/>
      <c r="AT246" s="102"/>
    </row>
    <row r="247" ht="15.75" customHeight="1">
      <c r="A247" s="206" t="s">
        <v>619</v>
      </c>
      <c r="B247" s="245" t="s">
        <v>1407</v>
      </c>
      <c r="C247" s="77" t="s">
        <v>1412</v>
      </c>
      <c r="D247" s="77" t="s">
        <v>1413</v>
      </c>
      <c r="E247" s="77" t="s">
        <v>1414</v>
      </c>
      <c r="F247" s="77"/>
      <c r="G247" s="77"/>
      <c r="H247" s="77"/>
      <c r="I247" s="208"/>
      <c r="J247" s="212"/>
      <c r="K247" s="208"/>
      <c r="L247" s="208"/>
      <c r="M247" s="208"/>
      <c r="N247" s="208"/>
      <c r="O247" s="208"/>
      <c r="P247" s="208"/>
      <c r="Q247" s="208" t="s">
        <v>268</v>
      </c>
      <c r="R247" s="208"/>
      <c r="S247" s="208"/>
      <c r="T247" s="208"/>
      <c r="U247" s="208"/>
      <c r="V247" s="208"/>
      <c r="W247" s="208"/>
      <c r="X247" s="208"/>
      <c r="Y247" s="208"/>
      <c r="Z247" s="208"/>
      <c r="AA247" s="208"/>
      <c r="AB247" s="208"/>
      <c r="AC247" s="208"/>
      <c r="AD247" s="102"/>
      <c r="AE247" s="102"/>
      <c r="AF247" s="102"/>
      <c r="AG247" s="102"/>
      <c r="AH247" s="102"/>
      <c r="AI247" s="102"/>
      <c r="AJ247" s="102"/>
      <c r="AK247" s="102"/>
      <c r="AL247" s="102"/>
      <c r="AM247" s="102"/>
      <c r="AN247" s="102"/>
      <c r="AO247" s="102"/>
      <c r="AP247" s="102"/>
      <c r="AQ247" s="102"/>
      <c r="AR247" s="102"/>
      <c r="AS247" s="102"/>
      <c r="AT247" s="102"/>
    </row>
    <row r="248" ht="15.75" customHeight="1">
      <c r="A248" s="206" t="s">
        <v>619</v>
      </c>
      <c r="B248" s="245" t="s">
        <v>1415</v>
      </c>
      <c r="C248" s="77" t="s">
        <v>1419</v>
      </c>
      <c r="D248" s="77" t="s">
        <v>1420</v>
      </c>
      <c r="E248" s="77" t="s">
        <v>1421</v>
      </c>
      <c r="F248" s="77"/>
      <c r="G248" s="77"/>
      <c r="H248" s="77"/>
      <c r="I248" s="208"/>
      <c r="J248" s="212"/>
      <c r="K248" s="208"/>
      <c r="L248" s="208"/>
      <c r="M248" s="208"/>
      <c r="N248" s="208"/>
      <c r="O248" s="208"/>
      <c r="P248" s="208"/>
      <c r="Q248" s="208" t="s">
        <v>268</v>
      </c>
      <c r="R248" s="208"/>
      <c r="S248" s="208"/>
      <c r="T248" s="208"/>
      <c r="U248" s="208"/>
      <c r="V248" s="208"/>
      <c r="W248" s="208"/>
      <c r="X248" s="208"/>
      <c r="Y248" s="208"/>
      <c r="Z248" s="208"/>
      <c r="AA248" s="208"/>
      <c r="AB248" s="208"/>
      <c r="AC248" s="208"/>
      <c r="AD248" s="102"/>
      <c r="AE248" s="102"/>
      <c r="AF248" s="102"/>
      <c r="AG248" s="102"/>
      <c r="AH248" s="102"/>
      <c r="AI248" s="102"/>
      <c r="AJ248" s="102"/>
      <c r="AK248" s="102"/>
      <c r="AL248" s="102"/>
      <c r="AM248" s="102"/>
      <c r="AN248" s="102"/>
      <c r="AO248" s="102"/>
      <c r="AP248" s="102"/>
      <c r="AQ248" s="102"/>
      <c r="AR248" s="102"/>
      <c r="AS248" s="102"/>
      <c r="AT248" s="102"/>
    </row>
    <row r="249" ht="15.75" customHeight="1">
      <c r="A249" s="349" t="s">
        <v>619</v>
      </c>
      <c r="B249" s="245" t="s">
        <v>1422</v>
      </c>
      <c r="C249" s="77" t="s">
        <v>1427</v>
      </c>
      <c r="D249" s="77" t="s">
        <v>1428</v>
      </c>
      <c r="E249" s="77" t="s">
        <v>1429</v>
      </c>
      <c r="F249" s="77"/>
      <c r="G249" s="77"/>
      <c r="H249" s="77"/>
      <c r="I249" s="208"/>
      <c r="J249" s="212"/>
      <c r="K249" s="208"/>
      <c r="L249" s="208"/>
      <c r="M249" s="208"/>
      <c r="N249" s="208"/>
      <c r="O249" s="208"/>
      <c r="P249" s="208"/>
      <c r="Q249" s="208" t="s">
        <v>268</v>
      </c>
      <c r="R249" s="208"/>
      <c r="S249" s="208"/>
      <c r="T249" s="208"/>
      <c r="U249" s="208"/>
      <c r="V249" s="208"/>
      <c r="W249" s="208"/>
      <c r="X249" s="208"/>
      <c r="Y249" s="208"/>
      <c r="Z249" s="208"/>
      <c r="AA249" s="208"/>
      <c r="AB249" s="208"/>
      <c r="AC249" s="208"/>
      <c r="AD249" s="102"/>
      <c r="AE249" s="102"/>
      <c r="AF249" s="102"/>
      <c r="AG249" s="102"/>
      <c r="AH249" s="102"/>
      <c r="AI249" s="102"/>
      <c r="AJ249" s="102"/>
      <c r="AK249" s="102"/>
      <c r="AL249" s="102"/>
      <c r="AM249" s="102"/>
      <c r="AN249" s="102"/>
      <c r="AO249" s="102"/>
      <c r="AP249" s="102"/>
      <c r="AQ249" s="102"/>
      <c r="AR249" s="102"/>
      <c r="AS249" s="102"/>
      <c r="AT249" s="102"/>
    </row>
    <row r="250" ht="15.75" customHeight="1">
      <c r="A250" s="350" t="s">
        <v>1430</v>
      </c>
      <c r="B250" s="245" t="s">
        <v>1432</v>
      </c>
      <c r="C250" s="77" t="s">
        <v>1437</v>
      </c>
      <c r="D250" s="77" t="s">
        <v>1438</v>
      </c>
      <c r="E250" s="77" t="s">
        <v>1439</v>
      </c>
      <c r="F250" s="77" t="s">
        <v>3110</v>
      </c>
      <c r="G250" s="77" t="s">
        <v>3113</v>
      </c>
      <c r="H250" s="77" t="s">
        <v>3114</v>
      </c>
      <c r="I250" s="211"/>
      <c r="J250" s="209"/>
      <c r="K250" s="208"/>
      <c r="L250" s="208"/>
      <c r="M250" s="208"/>
      <c r="N250" s="208"/>
      <c r="O250" s="208"/>
      <c r="P250" s="208"/>
      <c r="Q250" s="208" t="s">
        <v>268</v>
      </c>
      <c r="R250" s="208"/>
      <c r="S250" s="208"/>
      <c r="T250" s="208"/>
      <c r="U250" s="208"/>
      <c r="V250" s="208"/>
      <c r="W250" s="208"/>
      <c r="X250" s="208"/>
      <c r="Y250" s="208"/>
      <c r="Z250" s="208"/>
      <c r="AA250" s="208"/>
      <c r="AB250" s="208"/>
      <c r="AC250" s="208"/>
      <c r="AD250" s="102"/>
      <c r="AE250" s="102"/>
      <c r="AF250" s="102"/>
      <c r="AG250" s="102"/>
      <c r="AH250" s="102"/>
      <c r="AI250" s="102"/>
      <c r="AJ250" s="102"/>
      <c r="AK250" s="102"/>
      <c r="AL250" s="102"/>
      <c r="AM250" s="102"/>
      <c r="AN250" s="102"/>
      <c r="AO250" s="102"/>
      <c r="AP250" s="102"/>
      <c r="AQ250" s="102"/>
      <c r="AR250" s="102"/>
      <c r="AS250" s="102"/>
      <c r="AT250" s="102"/>
    </row>
    <row r="251" ht="15.75" customHeight="1">
      <c r="A251" s="351" t="s">
        <v>299</v>
      </c>
      <c r="B251" s="246" t="s">
        <v>1440</v>
      </c>
      <c r="C251" s="77" t="s">
        <v>1445</v>
      </c>
      <c r="D251" s="77" t="s">
        <v>1446</v>
      </c>
      <c r="E251" s="77" t="s">
        <v>1447</v>
      </c>
      <c r="F251" s="77"/>
      <c r="G251" s="77"/>
      <c r="H251" s="77"/>
      <c r="I251" s="216"/>
      <c r="J251" s="217"/>
      <c r="K251" s="216"/>
      <c r="L251" s="216"/>
      <c r="M251" s="216"/>
      <c r="N251" s="216"/>
      <c r="O251" s="218" t="s">
        <v>4785</v>
      </c>
      <c r="P251" s="216"/>
      <c r="Q251" s="216" t="s">
        <v>268</v>
      </c>
      <c r="R251" s="216"/>
      <c r="S251" s="216"/>
      <c r="T251" s="216"/>
      <c r="U251" s="216"/>
      <c r="V251" s="216"/>
      <c r="W251" s="216"/>
      <c r="X251" s="216"/>
      <c r="Y251" s="216"/>
      <c r="Z251" s="216"/>
      <c r="AA251" s="216"/>
      <c r="AB251" s="216"/>
      <c r="AC251" s="216"/>
      <c r="AD251" s="102"/>
      <c r="AE251" s="102"/>
      <c r="AF251" s="102"/>
      <c r="AG251" s="102"/>
      <c r="AH251" s="102"/>
      <c r="AI251" s="102"/>
      <c r="AJ251" s="102"/>
      <c r="AK251" s="102"/>
      <c r="AL251" s="102"/>
      <c r="AM251" s="102"/>
      <c r="AN251" s="102"/>
      <c r="AO251" s="102"/>
      <c r="AP251" s="102"/>
      <c r="AQ251" s="102"/>
      <c r="AR251" s="102"/>
      <c r="AS251" s="102"/>
      <c r="AT251" s="102"/>
    </row>
    <row r="252" ht="15.75" customHeight="1">
      <c r="A252" s="198" t="s">
        <v>42</v>
      </c>
      <c r="B252" s="199" t="s">
        <v>1448</v>
      </c>
      <c r="C252" s="77" t="s">
        <v>1452</v>
      </c>
      <c r="D252" s="77" t="s">
        <v>1453</v>
      </c>
      <c r="E252" s="77" t="s">
        <v>1454</v>
      </c>
      <c r="F252" s="77"/>
      <c r="G252" s="77"/>
      <c r="H252" s="77"/>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102"/>
      <c r="AE252" s="102"/>
      <c r="AF252" s="102"/>
      <c r="AG252" s="102"/>
      <c r="AH252" s="102"/>
      <c r="AI252" s="102"/>
      <c r="AJ252" s="102"/>
      <c r="AK252" s="102"/>
      <c r="AL252" s="102"/>
      <c r="AM252" s="102"/>
      <c r="AN252" s="102"/>
      <c r="AO252" s="102"/>
      <c r="AP252" s="102"/>
      <c r="AQ252" s="102"/>
      <c r="AR252" s="102"/>
      <c r="AS252" s="102"/>
      <c r="AT252" s="102"/>
    </row>
    <row r="253" ht="15.75" customHeight="1">
      <c r="A253" s="206" t="s">
        <v>553</v>
      </c>
      <c r="B253" s="245" t="s">
        <v>1455</v>
      </c>
      <c r="C253" s="77" t="s">
        <v>1461</v>
      </c>
      <c r="D253" s="77" t="s">
        <v>1462</v>
      </c>
      <c r="E253" s="77" t="s">
        <v>1463</v>
      </c>
      <c r="F253" s="77"/>
      <c r="G253" s="77"/>
      <c r="H253" s="77"/>
      <c r="I253" s="208"/>
      <c r="J253" s="212"/>
      <c r="K253" s="208"/>
      <c r="L253" s="208"/>
      <c r="M253" s="208"/>
      <c r="N253" s="208"/>
      <c r="O253" s="208"/>
      <c r="P253" s="208"/>
      <c r="Q253" s="208" t="s">
        <v>268</v>
      </c>
      <c r="R253" s="208"/>
      <c r="S253" s="208"/>
      <c r="T253" s="208"/>
      <c r="U253" s="208"/>
      <c r="V253" s="208"/>
      <c r="W253" s="208"/>
      <c r="X253" s="208"/>
      <c r="Y253" s="208"/>
      <c r="Z253" s="208"/>
      <c r="AA253" s="208"/>
      <c r="AB253" s="208"/>
      <c r="AC253" s="208"/>
      <c r="AD253" s="102"/>
      <c r="AE253" s="102"/>
      <c r="AF253" s="102"/>
      <c r="AG253" s="102"/>
      <c r="AH253" s="102"/>
      <c r="AI253" s="102"/>
      <c r="AJ253" s="102"/>
      <c r="AK253" s="102"/>
      <c r="AL253" s="102"/>
      <c r="AM253" s="102"/>
      <c r="AN253" s="102"/>
      <c r="AO253" s="102"/>
      <c r="AP253" s="102"/>
      <c r="AQ253" s="102"/>
      <c r="AR253" s="102"/>
      <c r="AS253" s="102"/>
      <c r="AT253" s="102"/>
    </row>
    <row r="254" ht="15.75" customHeight="1">
      <c r="A254" s="198" t="s">
        <v>42</v>
      </c>
      <c r="B254" s="199" t="s">
        <v>1464</v>
      </c>
      <c r="C254" s="77" t="s">
        <v>1468</v>
      </c>
      <c r="D254" s="77" t="s">
        <v>1469</v>
      </c>
      <c r="E254" s="77" t="s">
        <v>1470</v>
      </c>
      <c r="F254" s="77"/>
      <c r="G254" s="77"/>
      <c r="H254" s="77"/>
      <c r="I254" s="200"/>
      <c r="J254" s="200"/>
      <c r="K254" s="200"/>
      <c r="L254" s="200"/>
      <c r="M254" s="200"/>
      <c r="N254" s="200"/>
      <c r="O254" s="200"/>
      <c r="P254" s="200"/>
      <c r="Q254" s="200"/>
      <c r="R254" s="200"/>
      <c r="S254" s="200"/>
      <c r="T254" s="200"/>
      <c r="U254" s="200"/>
      <c r="V254" s="200"/>
      <c r="W254" s="200"/>
      <c r="X254" s="200"/>
      <c r="Y254" s="200"/>
      <c r="Z254" s="200"/>
      <c r="AA254" s="200"/>
      <c r="AB254" s="200"/>
      <c r="AC254" s="200"/>
      <c r="AD254" s="102"/>
      <c r="AE254" s="102"/>
      <c r="AF254" s="102"/>
      <c r="AG254" s="102"/>
      <c r="AH254" s="102"/>
      <c r="AI254" s="102"/>
      <c r="AJ254" s="102"/>
      <c r="AK254" s="102"/>
      <c r="AL254" s="102"/>
      <c r="AM254" s="102"/>
      <c r="AN254" s="102"/>
      <c r="AO254" s="102"/>
      <c r="AP254" s="102"/>
      <c r="AQ254" s="102"/>
      <c r="AR254" s="102"/>
      <c r="AS254" s="102"/>
      <c r="AT254" s="102"/>
    </row>
    <row r="255" ht="15.75" customHeight="1">
      <c r="A255" s="206" t="s">
        <v>1471</v>
      </c>
      <c r="B255" s="245" t="s">
        <v>1472</v>
      </c>
      <c r="C255" s="77" t="s">
        <v>1476</v>
      </c>
      <c r="D255" s="77" t="s">
        <v>1477</v>
      </c>
      <c r="E255" s="77" t="s">
        <v>1478</v>
      </c>
      <c r="F255" s="77"/>
      <c r="G255" s="77"/>
      <c r="H255" s="77"/>
      <c r="I255" s="208"/>
      <c r="J255" s="212"/>
      <c r="K255" s="208"/>
      <c r="L255" s="208"/>
      <c r="M255" s="208"/>
      <c r="N255" s="208"/>
      <c r="O255" s="208"/>
      <c r="P255" s="208"/>
      <c r="Q255" s="208" t="s">
        <v>268</v>
      </c>
      <c r="R255" s="208"/>
      <c r="S255" s="208"/>
      <c r="T255" s="208"/>
      <c r="U255" s="208"/>
      <c r="V255" s="208"/>
      <c r="W255" s="208"/>
      <c r="X255" s="208"/>
      <c r="Y255" s="208"/>
      <c r="Z255" s="208"/>
      <c r="AA255" s="208"/>
      <c r="AB255" s="208"/>
      <c r="AC255" s="208"/>
      <c r="AD255" s="102"/>
      <c r="AE255" s="102"/>
      <c r="AF255" s="102"/>
      <c r="AG255" s="102"/>
      <c r="AH255" s="102"/>
      <c r="AI255" s="102"/>
      <c r="AJ255" s="102"/>
      <c r="AK255" s="102"/>
      <c r="AL255" s="102"/>
      <c r="AM255" s="102"/>
      <c r="AN255" s="102"/>
      <c r="AO255" s="102"/>
      <c r="AP255" s="102"/>
      <c r="AQ255" s="102"/>
      <c r="AR255" s="102"/>
      <c r="AS255" s="102"/>
      <c r="AT255" s="102"/>
    </row>
    <row r="256" ht="15.75" customHeight="1">
      <c r="A256" s="206" t="s">
        <v>1471</v>
      </c>
      <c r="B256" s="245" t="s">
        <v>1479</v>
      </c>
      <c r="C256" s="77" t="s">
        <v>1484</v>
      </c>
      <c r="D256" s="77" t="s">
        <v>1485</v>
      </c>
      <c r="E256" s="77" t="s">
        <v>1486</v>
      </c>
      <c r="F256" s="77"/>
      <c r="G256" s="77"/>
      <c r="H256" s="77"/>
      <c r="I256" s="208"/>
      <c r="J256" s="212"/>
      <c r="K256" s="208"/>
      <c r="L256" s="208"/>
      <c r="M256" s="208"/>
      <c r="N256" s="208"/>
      <c r="O256" s="208"/>
      <c r="P256" s="208"/>
      <c r="Q256" s="208" t="s">
        <v>268</v>
      </c>
      <c r="R256" s="208"/>
      <c r="S256" s="208"/>
      <c r="T256" s="208"/>
      <c r="U256" s="208"/>
      <c r="V256" s="208"/>
      <c r="W256" s="208"/>
      <c r="X256" s="208"/>
      <c r="Y256" s="208"/>
      <c r="Z256" s="208"/>
      <c r="AA256" s="208"/>
      <c r="AB256" s="208"/>
      <c r="AC256" s="208"/>
      <c r="AD256" s="102"/>
      <c r="AE256" s="102"/>
      <c r="AF256" s="102"/>
      <c r="AG256" s="102"/>
      <c r="AH256" s="102"/>
      <c r="AI256" s="102"/>
      <c r="AJ256" s="102"/>
      <c r="AK256" s="102"/>
      <c r="AL256" s="102"/>
      <c r="AM256" s="102"/>
      <c r="AN256" s="102"/>
      <c r="AO256" s="102"/>
      <c r="AP256" s="102"/>
      <c r="AQ256" s="102"/>
      <c r="AR256" s="102"/>
      <c r="AS256" s="102"/>
      <c r="AT256" s="102"/>
    </row>
    <row r="257" ht="15.75" customHeight="1">
      <c r="A257" s="206" t="s">
        <v>1471</v>
      </c>
      <c r="B257" s="245" t="s">
        <v>1487</v>
      </c>
      <c r="C257" s="77" t="s">
        <v>1492</v>
      </c>
      <c r="D257" s="77" t="s">
        <v>1493</v>
      </c>
      <c r="E257" s="77" t="s">
        <v>1494</v>
      </c>
      <c r="F257" s="77"/>
      <c r="G257" s="77"/>
      <c r="H257" s="77"/>
      <c r="I257" s="208"/>
      <c r="J257" s="212"/>
      <c r="K257" s="208"/>
      <c r="L257" s="208"/>
      <c r="M257" s="208"/>
      <c r="N257" s="208"/>
      <c r="O257" s="208"/>
      <c r="P257" s="208"/>
      <c r="Q257" s="208" t="s">
        <v>268</v>
      </c>
      <c r="R257" s="208"/>
      <c r="S257" s="208"/>
      <c r="T257" s="208"/>
      <c r="U257" s="208"/>
      <c r="V257" s="208"/>
      <c r="W257" s="208"/>
      <c r="X257" s="208"/>
      <c r="Y257" s="208"/>
      <c r="Z257" s="208"/>
      <c r="AA257" s="208"/>
      <c r="AB257" s="208"/>
      <c r="AC257" s="208"/>
      <c r="AD257" s="102"/>
      <c r="AE257" s="102"/>
      <c r="AF257" s="102"/>
      <c r="AG257" s="102"/>
      <c r="AH257" s="102"/>
      <c r="AI257" s="102"/>
      <c r="AJ257" s="102"/>
      <c r="AK257" s="102"/>
      <c r="AL257" s="102"/>
      <c r="AM257" s="102"/>
      <c r="AN257" s="102"/>
      <c r="AO257" s="102"/>
      <c r="AP257" s="102"/>
      <c r="AQ257" s="102"/>
      <c r="AR257" s="102"/>
      <c r="AS257" s="102"/>
      <c r="AT257" s="102"/>
    </row>
    <row r="258" ht="15.75" customHeight="1">
      <c r="A258" s="206" t="s">
        <v>1471</v>
      </c>
      <c r="B258" s="245" t="s">
        <v>1495</v>
      </c>
      <c r="C258" s="77" t="s">
        <v>1499</v>
      </c>
      <c r="D258" s="77" t="s">
        <v>1500</v>
      </c>
      <c r="E258" s="77" t="s">
        <v>1501</v>
      </c>
      <c r="F258" s="77"/>
      <c r="G258" s="77"/>
      <c r="H258" s="77"/>
      <c r="I258" s="208"/>
      <c r="J258" s="212"/>
      <c r="K258" s="208"/>
      <c r="L258" s="208"/>
      <c r="M258" s="208"/>
      <c r="N258" s="208"/>
      <c r="O258" s="208"/>
      <c r="P258" s="208"/>
      <c r="Q258" s="208" t="s">
        <v>268</v>
      </c>
      <c r="R258" s="208"/>
      <c r="S258" s="208"/>
      <c r="T258" s="208"/>
      <c r="U258" s="208"/>
      <c r="V258" s="208"/>
      <c r="W258" s="208"/>
      <c r="X258" s="208"/>
      <c r="Y258" s="208"/>
      <c r="Z258" s="208"/>
      <c r="AA258" s="208"/>
      <c r="AB258" s="208"/>
      <c r="AC258" s="208"/>
      <c r="AD258" s="102"/>
      <c r="AE258" s="102"/>
      <c r="AF258" s="102"/>
      <c r="AG258" s="102"/>
      <c r="AH258" s="102"/>
      <c r="AI258" s="102"/>
      <c r="AJ258" s="102"/>
      <c r="AK258" s="102"/>
      <c r="AL258" s="102"/>
      <c r="AM258" s="102"/>
      <c r="AN258" s="102"/>
      <c r="AO258" s="102"/>
      <c r="AP258" s="102"/>
      <c r="AQ258" s="102"/>
      <c r="AR258" s="102"/>
      <c r="AS258" s="102"/>
      <c r="AT258" s="102"/>
    </row>
    <row r="259" ht="15.75" customHeight="1">
      <c r="A259" s="206" t="s">
        <v>1471</v>
      </c>
      <c r="B259" s="245" t="s">
        <v>1502</v>
      </c>
      <c r="C259" s="77" t="s">
        <v>1506</v>
      </c>
      <c r="D259" s="77" t="s">
        <v>1507</v>
      </c>
      <c r="E259" s="77" t="s">
        <v>1508</v>
      </c>
      <c r="F259" s="77"/>
      <c r="G259" s="77"/>
      <c r="H259" s="77"/>
      <c r="I259" s="208"/>
      <c r="J259" s="212"/>
      <c r="K259" s="208"/>
      <c r="L259" s="208"/>
      <c r="M259" s="208"/>
      <c r="N259" s="208"/>
      <c r="O259" s="208"/>
      <c r="P259" s="208"/>
      <c r="Q259" s="208" t="s">
        <v>268</v>
      </c>
      <c r="R259" s="208"/>
      <c r="S259" s="208"/>
      <c r="T259" s="208"/>
      <c r="U259" s="208"/>
      <c r="V259" s="208"/>
      <c r="W259" s="208"/>
      <c r="X259" s="208"/>
      <c r="Y259" s="208"/>
      <c r="Z259" s="208"/>
      <c r="AA259" s="208"/>
      <c r="AB259" s="208"/>
      <c r="AC259" s="208"/>
      <c r="AD259" s="102"/>
      <c r="AE259" s="102"/>
      <c r="AF259" s="102"/>
      <c r="AG259" s="102"/>
      <c r="AH259" s="102"/>
      <c r="AI259" s="102"/>
      <c r="AJ259" s="102"/>
      <c r="AK259" s="102"/>
      <c r="AL259" s="102"/>
      <c r="AM259" s="102"/>
      <c r="AN259" s="102"/>
      <c r="AO259" s="102"/>
      <c r="AP259" s="102"/>
      <c r="AQ259" s="102"/>
      <c r="AR259" s="102"/>
      <c r="AS259" s="102"/>
      <c r="AT259" s="102"/>
    </row>
    <row r="260" ht="15.75" customHeight="1">
      <c r="A260" s="206" t="s">
        <v>1471</v>
      </c>
      <c r="B260" s="245" t="s">
        <v>1509</v>
      </c>
      <c r="C260" s="77" t="s">
        <v>1515</v>
      </c>
      <c r="D260" s="77" t="s">
        <v>1517</v>
      </c>
      <c r="E260" s="77" t="s">
        <v>1518</v>
      </c>
      <c r="F260" s="77"/>
      <c r="G260" s="77"/>
      <c r="H260" s="77"/>
      <c r="I260" s="208"/>
      <c r="J260" s="212"/>
      <c r="K260" s="208"/>
      <c r="L260" s="208"/>
      <c r="M260" s="208"/>
      <c r="N260" s="208"/>
      <c r="O260" s="208"/>
      <c r="P260" s="208"/>
      <c r="Q260" s="208" t="s">
        <v>268</v>
      </c>
      <c r="R260" s="208"/>
      <c r="S260" s="208"/>
      <c r="T260" s="208"/>
      <c r="U260" s="208"/>
      <c r="V260" s="208"/>
      <c r="W260" s="208"/>
      <c r="X260" s="208"/>
      <c r="Y260" s="208"/>
      <c r="Z260" s="208"/>
      <c r="AA260" s="208"/>
      <c r="AB260" s="208"/>
      <c r="AC260" s="208"/>
      <c r="AD260" s="102"/>
      <c r="AE260" s="102"/>
      <c r="AF260" s="102"/>
      <c r="AG260" s="102"/>
      <c r="AH260" s="102"/>
      <c r="AI260" s="102"/>
      <c r="AJ260" s="102"/>
      <c r="AK260" s="102"/>
      <c r="AL260" s="102"/>
      <c r="AM260" s="102"/>
      <c r="AN260" s="102"/>
      <c r="AO260" s="102"/>
      <c r="AP260" s="102"/>
      <c r="AQ260" s="102"/>
      <c r="AR260" s="102"/>
      <c r="AS260" s="102"/>
      <c r="AT260" s="102"/>
    </row>
    <row r="261" ht="15.75" customHeight="1">
      <c r="A261" s="206" t="s">
        <v>1471</v>
      </c>
      <c r="B261" s="245" t="s">
        <v>1519</v>
      </c>
      <c r="C261" s="77" t="s">
        <v>1523</v>
      </c>
      <c r="D261" s="77" t="s">
        <v>1524</v>
      </c>
      <c r="E261" s="77" t="s">
        <v>1525</v>
      </c>
      <c r="F261" s="77"/>
      <c r="G261" s="77"/>
      <c r="H261" s="77"/>
      <c r="I261" s="208"/>
      <c r="J261" s="212"/>
      <c r="K261" s="208"/>
      <c r="L261" s="208"/>
      <c r="M261" s="208"/>
      <c r="N261" s="208"/>
      <c r="O261" s="208"/>
      <c r="P261" s="208"/>
      <c r="Q261" s="208" t="s">
        <v>268</v>
      </c>
      <c r="R261" s="208"/>
      <c r="S261" s="208"/>
      <c r="T261" s="208"/>
      <c r="U261" s="208"/>
      <c r="V261" s="208"/>
      <c r="W261" s="208"/>
      <c r="X261" s="208"/>
      <c r="Y261" s="208"/>
      <c r="Z261" s="208"/>
      <c r="AA261" s="208"/>
      <c r="AB261" s="208"/>
      <c r="AC261" s="208"/>
      <c r="AD261" s="102"/>
      <c r="AE261" s="102"/>
      <c r="AF261" s="102"/>
      <c r="AG261" s="102"/>
      <c r="AH261" s="102"/>
      <c r="AI261" s="102"/>
      <c r="AJ261" s="102"/>
      <c r="AK261" s="102"/>
      <c r="AL261" s="102"/>
      <c r="AM261" s="102"/>
      <c r="AN261" s="102"/>
      <c r="AO261" s="102"/>
      <c r="AP261" s="102"/>
      <c r="AQ261" s="102"/>
      <c r="AR261" s="102"/>
      <c r="AS261" s="102"/>
      <c r="AT261" s="102"/>
    </row>
    <row r="262" ht="15.75" customHeight="1">
      <c r="A262" s="206" t="s">
        <v>194</v>
      </c>
      <c r="B262" s="245" t="s">
        <v>1526</v>
      </c>
      <c r="C262" s="77" t="s">
        <v>1530</v>
      </c>
      <c r="D262" s="77" t="s">
        <v>1531</v>
      </c>
      <c r="E262" s="77" t="s">
        <v>1532</v>
      </c>
      <c r="F262" s="77"/>
      <c r="G262" s="77"/>
      <c r="H262" s="77"/>
      <c r="I262" s="208"/>
      <c r="J262" s="212"/>
      <c r="K262" s="208"/>
      <c r="L262" s="208"/>
      <c r="M262" s="208"/>
      <c r="N262" s="208"/>
      <c r="O262" s="208"/>
      <c r="P262" s="208"/>
      <c r="Q262" s="208" t="s">
        <v>268</v>
      </c>
      <c r="R262" s="208"/>
      <c r="S262" s="208"/>
      <c r="T262" s="208"/>
      <c r="U262" s="208"/>
      <c r="V262" s="208"/>
      <c r="W262" s="208"/>
      <c r="X262" s="208"/>
      <c r="Y262" s="208"/>
      <c r="Z262" s="208"/>
      <c r="AA262" s="208"/>
      <c r="AB262" s="208"/>
      <c r="AC262" s="208"/>
      <c r="AD262" s="102"/>
      <c r="AE262" s="102"/>
      <c r="AF262" s="102"/>
      <c r="AG262" s="102"/>
      <c r="AH262" s="102"/>
      <c r="AI262" s="102"/>
      <c r="AJ262" s="102"/>
      <c r="AK262" s="102"/>
      <c r="AL262" s="102"/>
      <c r="AM262" s="102"/>
      <c r="AN262" s="102"/>
      <c r="AO262" s="102"/>
      <c r="AP262" s="102"/>
      <c r="AQ262" s="102"/>
      <c r="AR262" s="102"/>
      <c r="AS262" s="102"/>
      <c r="AT262" s="102"/>
    </row>
    <row r="263" ht="15.75" customHeight="1">
      <c r="A263" s="206" t="s">
        <v>194</v>
      </c>
      <c r="B263" s="245" t="s">
        <v>1533</v>
      </c>
      <c r="C263" s="77" t="s">
        <v>1538</v>
      </c>
      <c r="D263" s="77" t="s">
        <v>1539</v>
      </c>
      <c r="E263" s="77" t="s">
        <v>1540</v>
      </c>
      <c r="F263" s="77"/>
      <c r="G263" s="77"/>
      <c r="H263" s="77"/>
      <c r="I263" s="208"/>
      <c r="J263" s="212"/>
      <c r="K263" s="208"/>
      <c r="L263" s="208"/>
      <c r="M263" s="208"/>
      <c r="N263" s="208"/>
      <c r="O263" s="208"/>
      <c r="P263" s="208"/>
      <c r="Q263" s="208" t="s">
        <v>268</v>
      </c>
      <c r="R263" s="208"/>
      <c r="S263" s="208"/>
      <c r="T263" s="208"/>
      <c r="U263" s="208"/>
      <c r="V263" s="208"/>
      <c r="W263" s="208"/>
      <c r="X263" s="208"/>
      <c r="Y263" s="208"/>
      <c r="Z263" s="208"/>
      <c r="AA263" s="208"/>
      <c r="AB263" s="208"/>
      <c r="AC263" s="208"/>
      <c r="AD263" s="102"/>
      <c r="AE263" s="102"/>
      <c r="AF263" s="102"/>
      <c r="AG263" s="102"/>
      <c r="AH263" s="102"/>
      <c r="AI263" s="102"/>
      <c r="AJ263" s="102"/>
      <c r="AK263" s="102"/>
      <c r="AL263" s="102"/>
      <c r="AM263" s="102"/>
      <c r="AN263" s="102"/>
      <c r="AO263" s="102"/>
      <c r="AP263" s="102"/>
      <c r="AQ263" s="102"/>
      <c r="AR263" s="102"/>
      <c r="AS263" s="102"/>
      <c r="AT263" s="102"/>
    </row>
    <row r="264" ht="15.75" customHeight="1">
      <c r="A264" s="206" t="s">
        <v>194</v>
      </c>
      <c r="B264" s="245" t="s">
        <v>1541</v>
      </c>
      <c r="C264" s="77" t="s">
        <v>1545</v>
      </c>
      <c r="D264" s="77" t="s">
        <v>1546</v>
      </c>
      <c r="E264" s="77" t="s">
        <v>1547</v>
      </c>
      <c r="F264" s="77"/>
      <c r="G264" s="77"/>
      <c r="H264" s="77"/>
      <c r="I264" s="208"/>
      <c r="J264" s="212"/>
      <c r="K264" s="208"/>
      <c r="L264" s="208"/>
      <c r="M264" s="208"/>
      <c r="N264" s="208"/>
      <c r="O264" s="208"/>
      <c r="P264" s="208"/>
      <c r="Q264" s="208" t="s">
        <v>268</v>
      </c>
      <c r="R264" s="208"/>
      <c r="S264" s="208"/>
      <c r="T264" s="208"/>
      <c r="U264" s="208"/>
      <c r="V264" s="208"/>
      <c r="W264" s="208"/>
      <c r="X264" s="208"/>
      <c r="Y264" s="208"/>
      <c r="Z264" s="208"/>
      <c r="AA264" s="208"/>
      <c r="AB264" s="208"/>
      <c r="AC264" s="208"/>
      <c r="AD264" s="102"/>
      <c r="AE264" s="102"/>
      <c r="AF264" s="102"/>
      <c r="AG264" s="102"/>
      <c r="AH264" s="102"/>
      <c r="AI264" s="102"/>
      <c r="AJ264" s="102"/>
      <c r="AK264" s="102"/>
      <c r="AL264" s="102"/>
      <c r="AM264" s="102"/>
      <c r="AN264" s="102"/>
      <c r="AO264" s="102"/>
      <c r="AP264" s="102"/>
      <c r="AQ264" s="102"/>
      <c r="AR264" s="102"/>
      <c r="AS264" s="102"/>
      <c r="AT264" s="102"/>
    </row>
    <row r="265" ht="15.75" customHeight="1">
      <c r="A265" s="206" t="s">
        <v>194</v>
      </c>
      <c r="B265" s="245" t="s">
        <v>1548</v>
      </c>
      <c r="C265" s="77" t="s">
        <v>1553</v>
      </c>
      <c r="D265" s="77" t="s">
        <v>1554</v>
      </c>
      <c r="E265" s="77" t="s">
        <v>1555</v>
      </c>
      <c r="F265" s="77"/>
      <c r="G265" s="77"/>
      <c r="H265" s="77"/>
      <c r="I265" s="208"/>
      <c r="J265" s="212"/>
      <c r="K265" s="208"/>
      <c r="L265" s="208"/>
      <c r="M265" s="208"/>
      <c r="N265" s="208"/>
      <c r="O265" s="208"/>
      <c r="P265" s="208"/>
      <c r="Q265" s="208" t="s">
        <v>268</v>
      </c>
      <c r="R265" s="208"/>
      <c r="S265" s="208"/>
      <c r="T265" s="208"/>
      <c r="U265" s="208"/>
      <c r="V265" s="208"/>
      <c r="W265" s="208"/>
      <c r="X265" s="208"/>
      <c r="Y265" s="208"/>
      <c r="Z265" s="208"/>
      <c r="AA265" s="208"/>
      <c r="AB265" s="208"/>
      <c r="AC265" s="208"/>
      <c r="AD265" s="102"/>
      <c r="AE265" s="102"/>
      <c r="AF265" s="102"/>
      <c r="AG265" s="102"/>
      <c r="AH265" s="102"/>
      <c r="AI265" s="102"/>
      <c r="AJ265" s="102"/>
      <c r="AK265" s="102"/>
      <c r="AL265" s="102"/>
      <c r="AM265" s="102"/>
      <c r="AN265" s="102"/>
      <c r="AO265" s="102"/>
      <c r="AP265" s="102"/>
      <c r="AQ265" s="102"/>
      <c r="AR265" s="102"/>
      <c r="AS265" s="102"/>
      <c r="AT265" s="102"/>
    </row>
    <row r="266" ht="15.75" customHeight="1">
      <c r="A266" s="198" t="s">
        <v>42</v>
      </c>
      <c r="B266" s="199" t="s">
        <v>1556</v>
      </c>
      <c r="C266" s="77" t="s">
        <v>1561</v>
      </c>
      <c r="D266" s="77" t="s">
        <v>1562</v>
      </c>
      <c r="E266" s="77" t="s">
        <v>1563</v>
      </c>
      <c r="F266" s="77"/>
      <c r="G266" s="77"/>
      <c r="H266" s="77"/>
      <c r="I266" s="200"/>
      <c r="J266" s="200"/>
      <c r="K266" s="200"/>
      <c r="L266" s="200"/>
      <c r="M266" s="200"/>
      <c r="N266" s="200"/>
      <c r="O266" s="200"/>
      <c r="P266" s="200"/>
      <c r="Q266" s="200"/>
      <c r="R266" s="200"/>
      <c r="S266" s="200"/>
      <c r="T266" s="200"/>
      <c r="U266" s="200"/>
      <c r="V266" s="200"/>
      <c r="W266" s="200"/>
      <c r="X266" s="200"/>
      <c r="Y266" s="200"/>
      <c r="Z266" s="200"/>
      <c r="AA266" s="200"/>
      <c r="AB266" s="200"/>
      <c r="AC266" s="200"/>
      <c r="AD266" s="102"/>
      <c r="AE266" s="102"/>
      <c r="AF266" s="102"/>
      <c r="AG266" s="102"/>
      <c r="AH266" s="102"/>
      <c r="AI266" s="102"/>
      <c r="AJ266" s="102"/>
      <c r="AK266" s="102"/>
      <c r="AL266" s="102"/>
      <c r="AM266" s="102"/>
      <c r="AN266" s="102"/>
      <c r="AO266" s="102"/>
      <c r="AP266" s="102"/>
      <c r="AQ266" s="102"/>
      <c r="AR266" s="102"/>
      <c r="AS266" s="102"/>
      <c r="AT266" s="102"/>
    </row>
    <row r="267" ht="15.75" customHeight="1">
      <c r="A267" s="206" t="s">
        <v>619</v>
      </c>
      <c r="B267" s="245" t="s">
        <v>1564</v>
      </c>
      <c r="C267" s="77" t="s">
        <v>1568</v>
      </c>
      <c r="D267" s="77" t="s">
        <v>1569</v>
      </c>
      <c r="E267" s="77" t="s">
        <v>1570</v>
      </c>
      <c r="F267" s="77"/>
      <c r="G267" s="77"/>
      <c r="H267" s="77"/>
      <c r="I267" s="208"/>
      <c r="J267" s="212"/>
      <c r="K267" s="208"/>
      <c r="L267" s="208"/>
      <c r="M267" s="208"/>
      <c r="N267" s="208"/>
      <c r="O267" s="208"/>
      <c r="P267" s="208"/>
      <c r="Q267" s="208" t="s">
        <v>268</v>
      </c>
      <c r="R267" s="208"/>
      <c r="S267" s="208"/>
      <c r="T267" s="208"/>
      <c r="U267" s="208"/>
      <c r="V267" s="208"/>
      <c r="W267" s="208"/>
      <c r="X267" s="208"/>
      <c r="Y267" s="208"/>
      <c r="Z267" s="208"/>
      <c r="AA267" s="208"/>
      <c r="AB267" s="208"/>
      <c r="AC267" s="208"/>
      <c r="AD267" s="102"/>
      <c r="AE267" s="102"/>
      <c r="AF267" s="102"/>
      <c r="AG267" s="102"/>
      <c r="AH267" s="102"/>
      <c r="AI267" s="102"/>
      <c r="AJ267" s="102"/>
      <c r="AK267" s="102"/>
      <c r="AL267" s="102"/>
      <c r="AM267" s="102"/>
      <c r="AN267" s="102"/>
      <c r="AO267" s="102"/>
      <c r="AP267" s="102"/>
      <c r="AQ267" s="102"/>
      <c r="AR267" s="102"/>
      <c r="AS267" s="102"/>
      <c r="AT267" s="102"/>
    </row>
    <row r="268" ht="15.75" customHeight="1">
      <c r="A268" s="206" t="s">
        <v>619</v>
      </c>
      <c r="B268" s="245" t="s">
        <v>1571</v>
      </c>
      <c r="C268" s="77" t="s">
        <v>1575</v>
      </c>
      <c r="D268" s="77" t="s">
        <v>1576</v>
      </c>
      <c r="E268" s="77" t="s">
        <v>1578</v>
      </c>
      <c r="F268" s="77"/>
      <c r="G268" s="77"/>
      <c r="H268" s="77"/>
      <c r="I268" s="208"/>
      <c r="J268" s="212"/>
      <c r="K268" s="208"/>
      <c r="L268" s="208"/>
      <c r="M268" s="208"/>
      <c r="N268" s="208"/>
      <c r="O268" s="208"/>
      <c r="P268" s="208"/>
      <c r="Q268" s="208" t="s">
        <v>268</v>
      </c>
      <c r="R268" s="208"/>
      <c r="S268" s="208"/>
      <c r="T268" s="208"/>
      <c r="U268" s="208"/>
      <c r="V268" s="208"/>
      <c r="W268" s="208"/>
      <c r="X268" s="208"/>
      <c r="Y268" s="208"/>
      <c r="Z268" s="208"/>
      <c r="AA268" s="208"/>
      <c r="AB268" s="208"/>
      <c r="AC268" s="208"/>
      <c r="AD268" s="102"/>
      <c r="AE268" s="102"/>
      <c r="AF268" s="102"/>
      <c r="AG268" s="102"/>
      <c r="AH268" s="102"/>
      <c r="AI268" s="102"/>
      <c r="AJ268" s="102"/>
      <c r="AK268" s="102"/>
      <c r="AL268" s="102"/>
      <c r="AM268" s="102"/>
      <c r="AN268" s="102"/>
      <c r="AO268" s="102"/>
      <c r="AP268" s="102"/>
      <c r="AQ268" s="102"/>
      <c r="AR268" s="102"/>
      <c r="AS268" s="102"/>
      <c r="AT268" s="102"/>
    </row>
    <row r="269" ht="15.75" customHeight="1">
      <c r="A269" s="206" t="s">
        <v>619</v>
      </c>
      <c r="B269" s="245" t="s">
        <v>1579</v>
      </c>
      <c r="C269" s="77" t="s">
        <v>1583</v>
      </c>
      <c r="D269" s="77" t="s">
        <v>1584</v>
      </c>
      <c r="E269" s="77" t="s">
        <v>1585</v>
      </c>
      <c r="F269" s="77"/>
      <c r="G269" s="77"/>
      <c r="H269" s="77"/>
      <c r="I269" s="208"/>
      <c r="J269" s="212"/>
      <c r="K269" s="208"/>
      <c r="L269" s="208"/>
      <c r="M269" s="208"/>
      <c r="N269" s="208"/>
      <c r="O269" s="208"/>
      <c r="P269" s="208"/>
      <c r="Q269" s="208" t="s">
        <v>268</v>
      </c>
      <c r="R269" s="208"/>
      <c r="S269" s="208"/>
      <c r="T269" s="208"/>
      <c r="U269" s="208"/>
      <c r="V269" s="208"/>
      <c r="W269" s="208"/>
      <c r="X269" s="208"/>
      <c r="Y269" s="208"/>
      <c r="Z269" s="208"/>
      <c r="AA269" s="208"/>
      <c r="AB269" s="208"/>
      <c r="AC269" s="208"/>
      <c r="AD269" s="102"/>
      <c r="AE269" s="102"/>
      <c r="AF269" s="102"/>
      <c r="AG269" s="102"/>
      <c r="AH269" s="102"/>
      <c r="AI269" s="102"/>
      <c r="AJ269" s="102"/>
      <c r="AK269" s="102"/>
      <c r="AL269" s="102"/>
      <c r="AM269" s="102"/>
      <c r="AN269" s="102"/>
      <c r="AO269" s="102"/>
      <c r="AP269" s="102"/>
      <c r="AQ269" s="102"/>
      <c r="AR269" s="102"/>
      <c r="AS269" s="102"/>
      <c r="AT269" s="102"/>
    </row>
    <row r="270" ht="15.75" customHeight="1">
      <c r="A270" s="206" t="s">
        <v>619</v>
      </c>
      <c r="B270" s="245" t="s">
        <v>1586</v>
      </c>
      <c r="C270" s="77" t="s">
        <v>1592</v>
      </c>
      <c r="D270" s="77" t="s">
        <v>1593</v>
      </c>
      <c r="E270" s="77" t="s">
        <v>1594</v>
      </c>
      <c r="F270" s="77"/>
      <c r="G270" s="77"/>
      <c r="H270" s="77"/>
      <c r="I270" s="208"/>
      <c r="J270" s="212"/>
      <c r="K270" s="208"/>
      <c r="L270" s="208"/>
      <c r="M270" s="208"/>
      <c r="N270" s="208"/>
      <c r="O270" s="208"/>
      <c r="P270" s="208"/>
      <c r="Q270" s="208" t="s">
        <v>268</v>
      </c>
      <c r="R270" s="208"/>
      <c r="S270" s="208"/>
      <c r="T270" s="208"/>
      <c r="U270" s="208"/>
      <c r="V270" s="208"/>
      <c r="W270" s="208"/>
      <c r="X270" s="208"/>
      <c r="Y270" s="208"/>
      <c r="Z270" s="208"/>
      <c r="AA270" s="208"/>
      <c r="AB270" s="208"/>
      <c r="AC270" s="208"/>
      <c r="AD270" s="102"/>
      <c r="AE270" s="102"/>
      <c r="AF270" s="102"/>
      <c r="AG270" s="102"/>
      <c r="AH270" s="102"/>
      <c r="AI270" s="102"/>
      <c r="AJ270" s="102"/>
      <c r="AK270" s="102"/>
      <c r="AL270" s="102"/>
      <c r="AM270" s="102"/>
      <c r="AN270" s="102"/>
      <c r="AO270" s="102"/>
      <c r="AP270" s="102"/>
      <c r="AQ270" s="102"/>
      <c r="AR270" s="102"/>
      <c r="AS270" s="102"/>
      <c r="AT270" s="102"/>
    </row>
    <row r="271" ht="15.75" customHeight="1">
      <c r="A271" s="206" t="s">
        <v>619</v>
      </c>
      <c r="B271" s="245" t="s">
        <v>1595</v>
      </c>
      <c r="C271" s="77" t="s">
        <v>1599</v>
      </c>
      <c r="D271" s="77" t="s">
        <v>1600</v>
      </c>
      <c r="E271" s="77" t="s">
        <v>1601</v>
      </c>
      <c r="F271" s="77"/>
      <c r="G271" s="77"/>
      <c r="H271" s="77"/>
      <c r="I271" s="208"/>
      <c r="J271" s="212"/>
      <c r="K271" s="208"/>
      <c r="L271" s="208"/>
      <c r="M271" s="208"/>
      <c r="N271" s="208"/>
      <c r="O271" s="208"/>
      <c r="P271" s="208"/>
      <c r="Q271" s="208" t="s">
        <v>268</v>
      </c>
      <c r="R271" s="208"/>
      <c r="S271" s="208"/>
      <c r="T271" s="208"/>
      <c r="U271" s="208"/>
      <c r="V271" s="208"/>
      <c r="W271" s="208"/>
      <c r="X271" s="208"/>
      <c r="Y271" s="208"/>
      <c r="Z271" s="208"/>
      <c r="AA271" s="208"/>
      <c r="AB271" s="208"/>
      <c r="AC271" s="208"/>
      <c r="AD271" s="102"/>
      <c r="AE271" s="102"/>
      <c r="AF271" s="102"/>
      <c r="AG271" s="102"/>
      <c r="AH271" s="102"/>
      <c r="AI271" s="102"/>
      <c r="AJ271" s="102"/>
      <c r="AK271" s="102"/>
      <c r="AL271" s="102"/>
      <c r="AM271" s="102"/>
      <c r="AN271" s="102"/>
      <c r="AO271" s="102"/>
      <c r="AP271" s="102"/>
      <c r="AQ271" s="102"/>
      <c r="AR271" s="102"/>
      <c r="AS271" s="102"/>
      <c r="AT271" s="102"/>
    </row>
    <row r="272" ht="15.75" customHeight="1">
      <c r="A272" s="197" t="s">
        <v>227</v>
      </c>
      <c r="B272" s="93" t="s">
        <v>4860</v>
      </c>
      <c r="C272" s="93"/>
      <c r="D272" s="96"/>
      <c r="E272" s="96"/>
      <c r="F272" s="97"/>
      <c r="G272" s="97"/>
      <c r="H272" s="97"/>
      <c r="I272" s="97"/>
      <c r="J272" s="98" t="s">
        <v>3246</v>
      </c>
      <c r="K272" s="97"/>
      <c r="L272" s="97"/>
      <c r="M272" s="98"/>
      <c r="N272" s="98"/>
      <c r="O272" s="98"/>
      <c r="P272" s="97"/>
      <c r="Q272" s="97"/>
      <c r="R272" s="97"/>
      <c r="S272" s="97"/>
      <c r="T272" s="97"/>
      <c r="U272" s="97"/>
      <c r="V272" s="97"/>
      <c r="W272" s="97"/>
      <c r="X272" s="97"/>
      <c r="Y272" s="97"/>
      <c r="Z272" s="97"/>
      <c r="AA272" s="97"/>
      <c r="AB272" s="97"/>
      <c r="AC272" s="97"/>
      <c r="AD272" s="102"/>
      <c r="AE272" s="102"/>
      <c r="AF272" s="102"/>
      <c r="AG272" s="102"/>
      <c r="AH272" s="102"/>
      <c r="AI272" s="102"/>
      <c r="AJ272" s="102"/>
      <c r="AK272" s="102"/>
      <c r="AL272" s="102"/>
      <c r="AM272" s="102"/>
      <c r="AN272" s="102"/>
      <c r="AO272" s="102"/>
      <c r="AP272" s="102"/>
      <c r="AQ272" s="102"/>
      <c r="AR272" s="102"/>
      <c r="AS272" s="102"/>
      <c r="AT272" s="102"/>
    </row>
    <row r="273" ht="15.75" customHeight="1">
      <c r="A273" s="206" t="s">
        <v>194</v>
      </c>
      <c r="B273" s="245" t="s">
        <v>1602</v>
      </c>
      <c r="C273" s="77" t="s">
        <v>1608</v>
      </c>
      <c r="D273" s="77" t="s">
        <v>1609</v>
      </c>
      <c r="E273" s="77" t="s">
        <v>1610</v>
      </c>
      <c r="F273" s="77"/>
      <c r="G273" s="77"/>
      <c r="H273" s="77"/>
      <c r="I273" s="208"/>
      <c r="J273" s="212" t="s">
        <v>10</v>
      </c>
      <c r="K273" s="208"/>
      <c r="L273" s="208"/>
      <c r="M273" s="208"/>
      <c r="N273" s="208"/>
      <c r="O273" s="208"/>
      <c r="P273" s="208"/>
      <c r="Q273" s="208"/>
      <c r="R273" s="208"/>
      <c r="S273" s="208"/>
      <c r="T273" s="208"/>
      <c r="U273" s="208"/>
      <c r="V273" s="208"/>
      <c r="W273" s="208"/>
      <c r="X273" s="208"/>
      <c r="Y273" s="208"/>
      <c r="Z273" s="208"/>
      <c r="AA273" s="208"/>
      <c r="AB273" s="208"/>
      <c r="AC273" s="208"/>
      <c r="AD273" s="102"/>
      <c r="AE273" s="102"/>
      <c r="AF273" s="102"/>
      <c r="AG273" s="102"/>
      <c r="AH273" s="102"/>
      <c r="AI273" s="102"/>
      <c r="AJ273" s="102"/>
      <c r="AK273" s="102"/>
      <c r="AL273" s="102"/>
      <c r="AM273" s="102"/>
      <c r="AN273" s="102"/>
      <c r="AO273" s="102"/>
      <c r="AP273" s="102"/>
      <c r="AQ273" s="102"/>
      <c r="AR273" s="102"/>
      <c r="AS273" s="102"/>
      <c r="AT273" s="102"/>
    </row>
    <row r="274" ht="15.75" customHeight="1">
      <c r="A274" s="206" t="s">
        <v>194</v>
      </c>
      <c r="B274" s="245" t="s">
        <v>1611</v>
      </c>
      <c r="C274" s="77" t="s">
        <v>1615</v>
      </c>
      <c r="D274" s="77" t="s">
        <v>1616</v>
      </c>
      <c r="E274" s="77" t="s">
        <v>1617</v>
      </c>
      <c r="F274" s="77"/>
      <c r="G274" s="77"/>
      <c r="H274" s="77"/>
      <c r="I274" s="208"/>
      <c r="J274" s="212" t="s">
        <v>3286</v>
      </c>
      <c r="K274" s="208"/>
      <c r="L274" s="208"/>
      <c r="M274" s="208"/>
      <c r="N274" s="208"/>
      <c r="O274" s="208"/>
      <c r="P274" s="208"/>
      <c r="Q274" s="208" t="s">
        <v>268</v>
      </c>
      <c r="R274" s="208"/>
      <c r="S274" s="208"/>
      <c r="T274" s="208"/>
      <c r="U274" s="208"/>
      <c r="V274" s="208"/>
      <c r="W274" s="208"/>
      <c r="X274" s="208"/>
      <c r="Y274" s="208"/>
      <c r="Z274" s="208"/>
      <c r="AA274" s="208"/>
      <c r="AB274" s="208"/>
      <c r="AC274" s="208"/>
      <c r="AD274" s="102"/>
      <c r="AE274" s="102"/>
      <c r="AF274" s="102"/>
      <c r="AG274" s="102"/>
      <c r="AH274" s="102"/>
      <c r="AI274" s="102"/>
      <c r="AJ274" s="102"/>
      <c r="AK274" s="102"/>
      <c r="AL274" s="102"/>
      <c r="AM274" s="102"/>
      <c r="AN274" s="102"/>
      <c r="AO274" s="102"/>
      <c r="AP274" s="102"/>
      <c r="AQ274" s="102"/>
      <c r="AR274" s="102"/>
      <c r="AS274" s="102"/>
      <c r="AT274" s="102"/>
    </row>
    <row r="275" ht="15.75" customHeight="1">
      <c r="A275" s="206" t="s">
        <v>194</v>
      </c>
      <c r="B275" s="245" t="s">
        <v>1618</v>
      </c>
      <c r="C275" s="77" t="s">
        <v>1623</v>
      </c>
      <c r="D275" s="77" t="s">
        <v>1624</v>
      </c>
      <c r="E275" s="77" t="s">
        <v>1625</v>
      </c>
      <c r="F275" s="77"/>
      <c r="G275" s="77"/>
      <c r="H275" s="77"/>
      <c r="I275" s="208"/>
      <c r="J275" s="212" t="s">
        <v>3286</v>
      </c>
      <c r="K275" s="208"/>
      <c r="L275" s="208"/>
      <c r="M275" s="208"/>
      <c r="N275" s="208"/>
      <c r="O275" s="208"/>
      <c r="P275" s="208"/>
      <c r="Q275" s="208" t="s">
        <v>268</v>
      </c>
      <c r="R275" s="208"/>
      <c r="S275" s="208"/>
      <c r="T275" s="208"/>
      <c r="U275" s="208"/>
      <c r="V275" s="208"/>
      <c r="W275" s="208"/>
      <c r="X275" s="208"/>
      <c r="Y275" s="208"/>
      <c r="Z275" s="208"/>
      <c r="AA275" s="208"/>
      <c r="AB275" s="208"/>
      <c r="AC275" s="208"/>
      <c r="AD275" s="102"/>
      <c r="AE275" s="102"/>
      <c r="AF275" s="102"/>
      <c r="AG275" s="102"/>
      <c r="AH275" s="102"/>
      <c r="AI275" s="102"/>
      <c r="AJ275" s="102"/>
      <c r="AK275" s="102"/>
      <c r="AL275" s="102"/>
      <c r="AM275" s="102"/>
      <c r="AN275" s="102"/>
      <c r="AO275" s="102"/>
      <c r="AP275" s="102"/>
      <c r="AQ275" s="102"/>
      <c r="AR275" s="102"/>
      <c r="AS275" s="102"/>
      <c r="AT275" s="102"/>
    </row>
    <row r="276" ht="15.75" customHeight="1">
      <c r="A276" s="206" t="s">
        <v>194</v>
      </c>
      <c r="B276" s="245" t="s">
        <v>1626</v>
      </c>
      <c r="C276" s="77" t="s">
        <v>1632</v>
      </c>
      <c r="D276" s="77" t="s">
        <v>1633</v>
      </c>
      <c r="E276" s="77" t="s">
        <v>1635</v>
      </c>
      <c r="F276" s="77"/>
      <c r="G276" s="77"/>
      <c r="H276" s="77"/>
      <c r="I276" s="208"/>
      <c r="J276" s="212" t="s">
        <v>3286</v>
      </c>
      <c r="K276" s="208"/>
      <c r="L276" s="208"/>
      <c r="M276" s="208"/>
      <c r="N276" s="208"/>
      <c r="O276" s="208"/>
      <c r="P276" s="208"/>
      <c r="Q276" s="208" t="s">
        <v>268</v>
      </c>
      <c r="R276" s="208"/>
      <c r="S276" s="208"/>
      <c r="T276" s="208"/>
      <c r="U276" s="208"/>
      <c r="V276" s="208"/>
      <c r="W276" s="208"/>
      <c r="X276" s="208"/>
      <c r="Y276" s="208"/>
      <c r="Z276" s="208"/>
      <c r="AA276" s="208"/>
      <c r="AB276" s="208"/>
      <c r="AC276" s="208"/>
      <c r="AD276" s="102"/>
      <c r="AE276" s="102"/>
      <c r="AF276" s="102"/>
      <c r="AG276" s="102"/>
      <c r="AH276" s="102"/>
      <c r="AI276" s="102"/>
      <c r="AJ276" s="102"/>
      <c r="AK276" s="102"/>
      <c r="AL276" s="102"/>
      <c r="AM276" s="102"/>
      <c r="AN276" s="102"/>
      <c r="AO276" s="102"/>
      <c r="AP276" s="102"/>
      <c r="AQ276" s="102"/>
      <c r="AR276" s="102"/>
      <c r="AS276" s="102"/>
      <c r="AT276" s="102"/>
    </row>
    <row r="277" ht="15.75" customHeight="1">
      <c r="A277" s="206" t="s">
        <v>194</v>
      </c>
      <c r="B277" s="245" t="s">
        <v>1637</v>
      </c>
      <c r="C277" s="77" t="s">
        <v>1641</v>
      </c>
      <c r="D277" s="77" t="s">
        <v>1642</v>
      </c>
      <c r="E277" s="77" t="s">
        <v>1643</v>
      </c>
      <c r="F277" s="77"/>
      <c r="G277" s="77"/>
      <c r="H277" s="77"/>
      <c r="I277" s="208"/>
      <c r="J277" s="212" t="s">
        <v>3286</v>
      </c>
      <c r="K277" s="208"/>
      <c r="L277" s="208"/>
      <c r="M277" s="208"/>
      <c r="N277" s="208"/>
      <c r="O277" s="208"/>
      <c r="P277" s="208"/>
      <c r="Q277" s="208" t="s">
        <v>268</v>
      </c>
      <c r="R277" s="208"/>
      <c r="S277" s="208"/>
      <c r="T277" s="208"/>
      <c r="U277" s="208"/>
      <c r="V277" s="208"/>
      <c r="W277" s="208"/>
      <c r="X277" s="208"/>
      <c r="Y277" s="208"/>
      <c r="Z277" s="208"/>
      <c r="AA277" s="208"/>
      <c r="AB277" s="208"/>
      <c r="AC277" s="208"/>
      <c r="AD277" s="102"/>
      <c r="AE277" s="102"/>
      <c r="AF277" s="102"/>
      <c r="AG277" s="102"/>
      <c r="AH277" s="102"/>
      <c r="AI277" s="102"/>
      <c r="AJ277" s="102"/>
      <c r="AK277" s="102"/>
      <c r="AL277" s="102"/>
      <c r="AM277" s="102"/>
      <c r="AN277" s="102"/>
      <c r="AO277" s="102"/>
      <c r="AP277" s="102"/>
      <c r="AQ277" s="102"/>
      <c r="AR277" s="102"/>
      <c r="AS277" s="102"/>
      <c r="AT277" s="102"/>
    </row>
    <row r="278" ht="15.75" customHeight="1">
      <c r="A278" s="197" t="s">
        <v>735</v>
      </c>
      <c r="B278" s="96" t="s">
        <v>4860</v>
      </c>
      <c r="C278" s="96"/>
      <c r="D278" s="96"/>
      <c r="E278" s="96"/>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102"/>
      <c r="AE278" s="102"/>
      <c r="AF278" s="102"/>
      <c r="AG278" s="102"/>
      <c r="AH278" s="102"/>
      <c r="AI278" s="102"/>
      <c r="AJ278" s="102"/>
      <c r="AK278" s="102"/>
      <c r="AL278" s="102"/>
      <c r="AM278" s="102"/>
      <c r="AN278" s="102"/>
      <c r="AO278" s="102"/>
      <c r="AP278" s="102"/>
      <c r="AQ278" s="102"/>
      <c r="AR278" s="102"/>
      <c r="AS278" s="102"/>
      <c r="AT278" s="102"/>
    </row>
    <row r="279" ht="15.75" customHeight="1">
      <c r="A279" s="206" t="s">
        <v>1648</v>
      </c>
      <c r="B279" s="245" t="s">
        <v>1649</v>
      </c>
      <c r="C279" s="77" t="s">
        <v>1656</v>
      </c>
      <c r="D279" s="77" t="s">
        <v>1657</v>
      </c>
      <c r="E279" s="77" t="s">
        <v>1658</v>
      </c>
      <c r="F279" s="77" t="s">
        <v>3110</v>
      </c>
      <c r="G279" s="77" t="s">
        <v>4904</v>
      </c>
      <c r="H279" s="77" t="s">
        <v>4905</v>
      </c>
      <c r="I279" s="211"/>
      <c r="J279" s="212"/>
      <c r="K279" s="211" t="s">
        <v>4564</v>
      </c>
      <c r="L279" s="208"/>
      <c r="M279" s="208"/>
      <c r="N279" s="208"/>
      <c r="O279" s="208"/>
      <c r="P279" s="208"/>
      <c r="Q279" s="208" t="s">
        <v>268</v>
      </c>
      <c r="R279" s="208"/>
      <c r="S279" s="208"/>
      <c r="T279" s="208"/>
      <c r="U279" s="208"/>
      <c r="V279" s="208"/>
      <c r="W279" s="208"/>
      <c r="X279" s="208"/>
      <c r="Y279" s="208"/>
      <c r="Z279" s="208"/>
      <c r="AA279" s="208"/>
      <c r="AB279" s="208"/>
      <c r="AC279" s="208"/>
      <c r="AD279" s="102"/>
      <c r="AE279" s="102"/>
      <c r="AF279" s="102"/>
      <c r="AG279" s="102"/>
      <c r="AH279" s="102"/>
      <c r="AI279" s="102"/>
      <c r="AJ279" s="102"/>
      <c r="AK279" s="102"/>
      <c r="AL279" s="102"/>
      <c r="AM279" s="102"/>
      <c r="AN279" s="102"/>
      <c r="AO279" s="102"/>
      <c r="AP279" s="102"/>
      <c r="AQ279" s="102"/>
      <c r="AR279" s="102"/>
      <c r="AS279" s="102"/>
      <c r="AT279" s="102"/>
    </row>
    <row r="280" ht="15.75" customHeight="1">
      <c r="A280" s="214" t="s">
        <v>299</v>
      </c>
      <c r="B280" s="246" t="s">
        <v>1659</v>
      </c>
      <c r="C280" s="77" t="s">
        <v>1663</v>
      </c>
      <c r="D280" s="77" t="s">
        <v>1664</v>
      </c>
      <c r="E280" s="77" t="s">
        <v>1665</v>
      </c>
      <c r="F280" s="77"/>
      <c r="G280" s="77"/>
      <c r="H280" s="77"/>
      <c r="I280" s="216"/>
      <c r="J280" s="217"/>
      <c r="K280" s="216"/>
      <c r="L280" s="216"/>
      <c r="M280" s="216"/>
      <c r="N280" s="216"/>
      <c r="O280" s="218" t="s">
        <v>4910</v>
      </c>
      <c r="P280" s="216"/>
      <c r="Q280" s="216" t="s">
        <v>268</v>
      </c>
      <c r="R280" s="216"/>
      <c r="S280" s="216"/>
      <c r="T280" s="216"/>
      <c r="U280" s="216"/>
      <c r="V280" s="216"/>
      <c r="W280" s="216"/>
      <c r="X280" s="216"/>
      <c r="Y280" s="216"/>
      <c r="Z280" s="216"/>
      <c r="AA280" s="216"/>
      <c r="AB280" s="216"/>
      <c r="AC280" s="216"/>
      <c r="AD280" s="102"/>
      <c r="AE280" s="102"/>
      <c r="AF280" s="102"/>
      <c r="AG280" s="102"/>
      <c r="AH280" s="102"/>
      <c r="AI280" s="102"/>
      <c r="AJ280" s="102"/>
      <c r="AK280" s="102"/>
      <c r="AL280" s="102"/>
      <c r="AM280" s="102"/>
      <c r="AN280" s="102"/>
      <c r="AO280" s="102"/>
      <c r="AP280" s="102"/>
      <c r="AQ280" s="102"/>
      <c r="AR280" s="102"/>
      <c r="AS280" s="102"/>
      <c r="AT280" s="102"/>
    </row>
    <row r="281" ht="15.75" customHeight="1">
      <c r="A281" s="90" t="s">
        <v>735</v>
      </c>
      <c r="B281" s="91" t="s">
        <v>2972</v>
      </c>
      <c r="C281" s="93"/>
      <c r="D281" s="96"/>
      <c r="E281" s="96"/>
      <c r="F281" s="97"/>
      <c r="G281" s="97"/>
      <c r="H281" s="97"/>
      <c r="I281" s="98"/>
      <c r="J281" s="98"/>
      <c r="K281" s="97"/>
      <c r="L281" s="98"/>
      <c r="M281" s="98"/>
      <c r="N281" s="98"/>
      <c r="O281" s="236"/>
      <c r="P281" s="100"/>
      <c r="Q281" s="100"/>
      <c r="R281" s="100"/>
      <c r="S281" s="97"/>
      <c r="T281" s="170"/>
      <c r="U281" s="97"/>
      <c r="V281" s="97"/>
      <c r="W281" s="97"/>
      <c r="X281" s="97"/>
      <c r="Y281" s="97"/>
      <c r="Z281" s="97"/>
      <c r="AA281" s="97"/>
      <c r="AB281" s="97"/>
      <c r="AC281" s="97"/>
      <c r="AD281" s="102"/>
      <c r="AE281" s="102"/>
      <c r="AF281" s="102"/>
      <c r="AG281" s="102"/>
      <c r="AH281" s="102"/>
      <c r="AI281" s="102"/>
      <c r="AJ281" s="102"/>
      <c r="AK281" s="102"/>
      <c r="AL281" s="102"/>
      <c r="AM281" s="102"/>
      <c r="AN281" s="102"/>
      <c r="AO281" s="102"/>
      <c r="AP281" s="102"/>
      <c r="AQ281" s="102"/>
      <c r="AR281" s="102"/>
      <c r="AS281" s="102"/>
      <c r="AT281" s="102"/>
    </row>
    <row r="282" ht="15.75" customHeight="1">
      <c r="A282" s="150" t="s">
        <v>183</v>
      </c>
      <c r="B282" s="353" t="s">
        <v>4917</v>
      </c>
      <c r="C282" s="282"/>
      <c r="D282" s="282"/>
      <c r="E282" s="282"/>
      <c r="F282" s="283"/>
      <c r="G282" s="283"/>
      <c r="H282" s="283"/>
      <c r="I282" s="283"/>
      <c r="J282" s="283"/>
      <c r="K282" s="283"/>
      <c r="L282" s="283"/>
      <c r="M282" s="283"/>
      <c r="N282" s="283"/>
      <c r="O282" s="284"/>
      <c r="P282" s="284"/>
      <c r="Q282" s="284"/>
      <c r="R282" s="284"/>
      <c r="S282" s="283"/>
      <c r="T282" s="354" t="s">
        <v>211</v>
      </c>
      <c r="U282" s="283"/>
      <c r="V282" s="283"/>
      <c r="W282" s="283"/>
      <c r="X282" s="283"/>
      <c r="Y282" s="283"/>
      <c r="Z282" s="283"/>
      <c r="AA282" s="283"/>
      <c r="AB282" s="283"/>
      <c r="AC282" s="283"/>
      <c r="AD282" s="280"/>
      <c r="AE282" s="280"/>
      <c r="AF282" s="280"/>
      <c r="AG282" s="280"/>
      <c r="AH282" s="280"/>
      <c r="AI282" s="280"/>
      <c r="AJ282" s="280"/>
      <c r="AK282" s="280"/>
      <c r="AL282" s="280"/>
      <c r="AM282" s="280"/>
      <c r="AN282" s="280"/>
      <c r="AO282" s="280"/>
      <c r="AP282" s="280"/>
      <c r="AQ282" s="280"/>
      <c r="AR282" s="280"/>
      <c r="AS282" s="280"/>
      <c r="AT282" s="280"/>
    </row>
    <row r="283" ht="14.25" customHeight="1">
      <c r="A283" s="156" t="s">
        <v>116</v>
      </c>
      <c r="B283" s="355" t="s">
        <v>4924</v>
      </c>
      <c r="C283" s="276"/>
      <c r="D283" s="276"/>
      <c r="E283" s="276"/>
      <c r="F283" s="277"/>
      <c r="G283" s="277"/>
      <c r="H283" s="277"/>
      <c r="I283" s="277"/>
      <c r="J283" s="277"/>
      <c r="K283" s="277"/>
      <c r="L283" s="277"/>
      <c r="M283" s="277"/>
      <c r="N283" s="277"/>
      <c r="O283" s="278"/>
      <c r="P283" s="278"/>
      <c r="Q283" s="278"/>
      <c r="R283" s="278"/>
      <c r="S283" s="277"/>
      <c r="T283" s="356" t="s">
        <v>4928</v>
      </c>
      <c r="U283" s="278"/>
      <c r="V283" s="278"/>
      <c r="W283" s="277"/>
      <c r="X283" s="277"/>
      <c r="Y283" s="277"/>
      <c r="Z283" s="277"/>
      <c r="AA283" s="277"/>
      <c r="AB283" s="277"/>
      <c r="AC283" s="277"/>
      <c r="AD283" s="280"/>
      <c r="AE283" s="280"/>
      <c r="AF283" s="280"/>
      <c r="AG283" s="280"/>
      <c r="AH283" s="280"/>
      <c r="AI283" s="280"/>
      <c r="AJ283" s="280"/>
      <c r="AK283" s="280"/>
      <c r="AL283" s="280"/>
      <c r="AM283" s="280"/>
      <c r="AN283" s="280"/>
      <c r="AO283" s="280"/>
      <c r="AP283" s="280"/>
      <c r="AQ283" s="280"/>
      <c r="AR283" s="280"/>
      <c r="AS283" s="280"/>
      <c r="AT283" s="280"/>
    </row>
    <row r="284" ht="15.75" customHeight="1">
      <c r="A284" s="197" t="s">
        <v>227</v>
      </c>
      <c r="B284" s="93" t="s">
        <v>4932</v>
      </c>
      <c r="C284" s="93"/>
      <c r="D284" s="96"/>
      <c r="E284" s="96"/>
      <c r="F284" s="97"/>
      <c r="G284" s="97"/>
      <c r="H284" s="97"/>
      <c r="I284" s="98"/>
      <c r="J284" s="98" t="s">
        <v>3246</v>
      </c>
      <c r="K284" s="97"/>
      <c r="L284" s="98"/>
      <c r="M284" s="98"/>
      <c r="N284" s="98"/>
      <c r="O284" s="98"/>
      <c r="P284" s="97"/>
      <c r="Q284" s="97"/>
      <c r="R284" s="97"/>
      <c r="S284" s="97"/>
      <c r="T284" s="97"/>
      <c r="U284" s="97"/>
      <c r="V284" s="97"/>
      <c r="W284" s="97"/>
      <c r="X284" s="97"/>
      <c r="Y284" s="97"/>
      <c r="Z284" s="97"/>
      <c r="AA284" s="97"/>
      <c r="AB284" s="97"/>
      <c r="AC284" s="97"/>
      <c r="AD284" s="102"/>
      <c r="AE284" s="102"/>
      <c r="AF284" s="102"/>
      <c r="AG284" s="102"/>
      <c r="AH284" s="102"/>
      <c r="AI284" s="102"/>
      <c r="AJ284" s="102"/>
      <c r="AK284" s="102"/>
      <c r="AL284" s="102"/>
      <c r="AM284" s="102"/>
      <c r="AN284" s="102"/>
      <c r="AO284" s="102"/>
      <c r="AP284" s="102"/>
      <c r="AQ284" s="102"/>
      <c r="AR284" s="102"/>
      <c r="AS284" s="102"/>
      <c r="AT284" s="102"/>
    </row>
    <row r="285" ht="15.75" customHeight="1">
      <c r="A285" s="206" t="s">
        <v>194</v>
      </c>
      <c r="B285" s="245" t="s">
        <v>1670</v>
      </c>
      <c r="C285" s="77" t="s">
        <v>4933</v>
      </c>
      <c r="D285" s="77" t="s">
        <v>4935</v>
      </c>
      <c r="E285" s="77" t="s">
        <v>4937</v>
      </c>
      <c r="F285" s="77"/>
      <c r="G285" s="77"/>
      <c r="H285" s="77"/>
      <c r="I285" s="212"/>
      <c r="J285" s="208" t="s">
        <v>10</v>
      </c>
      <c r="K285" s="208"/>
      <c r="L285" s="208"/>
      <c r="M285" s="208"/>
      <c r="N285" s="208"/>
      <c r="O285" s="208"/>
      <c r="P285" s="208"/>
      <c r="Q285" s="208"/>
      <c r="R285" s="208"/>
      <c r="S285" s="208"/>
      <c r="T285" s="208"/>
      <c r="U285" s="208"/>
      <c r="V285" s="208"/>
      <c r="W285" s="208"/>
      <c r="X285" s="208"/>
      <c r="Y285" s="208"/>
      <c r="Z285" s="208"/>
      <c r="AA285" s="208"/>
      <c r="AB285" s="208"/>
      <c r="AC285" s="208"/>
      <c r="AD285" s="102"/>
      <c r="AE285" s="102"/>
      <c r="AF285" s="102"/>
      <c r="AG285" s="102"/>
      <c r="AH285" s="102"/>
      <c r="AI285" s="102"/>
      <c r="AJ285" s="102"/>
      <c r="AK285" s="102"/>
      <c r="AL285" s="102"/>
      <c r="AM285" s="102"/>
      <c r="AN285" s="102"/>
      <c r="AO285" s="102"/>
      <c r="AP285" s="102"/>
      <c r="AQ285" s="102"/>
      <c r="AR285" s="102"/>
      <c r="AS285" s="102"/>
      <c r="AT285" s="102"/>
    </row>
    <row r="286" ht="15.75" customHeight="1">
      <c r="A286" s="206" t="s">
        <v>194</v>
      </c>
      <c r="B286" s="245" t="s">
        <v>1680</v>
      </c>
      <c r="C286" s="77" t="s">
        <v>1687</v>
      </c>
      <c r="D286" s="77" t="s">
        <v>1688</v>
      </c>
      <c r="E286" s="77" t="s">
        <v>1689</v>
      </c>
      <c r="F286" s="77"/>
      <c r="G286" s="77"/>
      <c r="H286" s="77"/>
      <c r="I286" s="212"/>
      <c r="J286" s="208" t="s">
        <v>3286</v>
      </c>
      <c r="K286" s="208"/>
      <c r="L286" s="208"/>
      <c r="M286" s="208"/>
      <c r="N286" s="208"/>
      <c r="O286" s="208"/>
      <c r="P286" s="208"/>
      <c r="Q286" s="208" t="s">
        <v>268</v>
      </c>
      <c r="R286" s="208"/>
      <c r="S286" s="208"/>
      <c r="T286" s="208"/>
      <c r="U286" s="208"/>
      <c r="V286" s="208"/>
      <c r="W286" s="208"/>
      <c r="X286" s="208"/>
      <c r="Y286" s="208"/>
      <c r="Z286" s="208"/>
      <c r="AA286" s="208"/>
      <c r="AB286" s="208"/>
      <c r="AC286" s="208"/>
      <c r="AD286" s="102"/>
      <c r="AE286" s="102"/>
      <c r="AF286" s="102"/>
      <c r="AG286" s="102"/>
      <c r="AH286" s="102"/>
      <c r="AI286" s="102"/>
      <c r="AJ286" s="102"/>
      <c r="AK286" s="102"/>
      <c r="AL286" s="102"/>
      <c r="AM286" s="102"/>
      <c r="AN286" s="102"/>
      <c r="AO286" s="102"/>
      <c r="AP286" s="102"/>
      <c r="AQ286" s="102"/>
      <c r="AR286" s="102"/>
      <c r="AS286" s="102"/>
      <c r="AT286" s="102"/>
    </row>
    <row r="287" ht="15.75" customHeight="1">
      <c r="A287" s="206" t="s">
        <v>194</v>
      </c>
      <c r="B287" s="245" t="s">
        <v>1690</v>
      </c>
      <c r="C287" s="77" t="s">
        <v>1694</v>
      </c>
      <c r="D287" s="77" t="s">
        <v>1695</v>
      </c>
      <c r="E287" s="77" t="s">
        <v>1696</v>
      </c>
      <c r="F287" s="77"/>
      <c r="G287" s="77"/>
      <c r="H287" s="77"/>
      <c r="I287" s="212"/>
      <c r="J287" s="208" t="s">
        <v>3286</v>
      </c>
      <c r="K287" s="208"/>
      <c r="L287" s="208"/>
      <c r="M287" s="208"/>
      <c r="N287" s="208"/>
      <c r="O287" s="208"/>
      <c r="P287" s="208"/>
      <c r="Q287" s="208" t="s">
        <v>268</v>
      </c>
      <c r="R287" s="208"/>
      <c r="S287" s="208"/>
      <c r="T287" s="208"/>
      <c r="U287" s="208"/>
      <c r="V287" s="208"/>
      <c r="W287" s="208"/>
      <c r="X287" s="208"/>
      <c r="Y287" s="208"/>
      <c r="Z287" s="208"/>
      <c r="AA287" s="208"/>
      <c r="AB287" s="208"/>
      <c r="AC287" s="208"/>
      <c r="AD287" s="102"/>
      <c r="AE287" s="102"/>
      <c r="AF287" s="102"/>
      <c r="AG287" s="102"/>
      <c r="AH287" s="102"/>
      <c r="AI287" s="102"/>
      <c r="AJ287" s="102"/>
      <c r="AK287" s="102"/>
      <c r="AL287" s="102"/>
      <c r="AM287" s="102"/>
      <c r="AN287" s="102"/>
      <c r="AO287" s="102"/>
      <c r="AP287" s="102"/>
      <c r="AQ287" s="102"/>
      <c r="AR287" s="102"/>
      <c r="AS287" s="102"/>
      <c r="AT287" s="102"/>
    </row>
    <row r="288" ht="15.75" customHeight="1">
      <c r="A288" s="197" t="s">
        <v>735</v>
      </c>
      <c r="B288" s="96" t="s">
        <v>4932</v>
      </c>
      <c r="C288" s="96"/>
      <c r="D288" s="96"/>
      <c r="E288" s="96"/>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102"/>
      <c r="AE288" s="102"/>
      <c r="AF288" s="102"/>
      <c r="AG288" s="102"/>
      <c r="AH288" s="102"/>
      <c r="AI288" s="102"/>
      <c r="AJ288" s="102"/>
      <c r="AK288" s="102"/>
      <c r="AL288" s="102"/>
      <c r="AM288" s="102"/>
      <c r="AN288" s="102"/>
      <c r="AO288" s="102"/>
      <c r="AP288" s="102"/>
      <c r="AQ288" s="102"/>
      <c r="AR288" s="102"/>
      <c r="AS288" s="102"/>
      <c r="AT288" s="102"/>
    </row>
    <row r="289" ht="15.75" customHeight="1">
      <c r="A289" s="197"/>
      <c r="B289" s="93"/>
      <c r="C289" s="93"/>
      <c r="D289" s="96"/>
      <c r="E289" s="96"/>
      <c r="F289" s="97"/>
      <c r="G289" s="97"/>
      <c r="H289" s="97"/>
      <c r="I289" s="97"/>
      <c r="J289" s="98"/>
      <c r="K289" s="97"/>
      <c r="L289" s="97"/>
      <c r="M289" s="98"/>
      <c r="N289" s="98"/>
      <c r="O289" s="98"/>
      <c r="P289" s="97"/>
      <c r="Q289" s="97"/>
      <c r="R289" s="97"/>
      <c r="S289" s="97"/>
      <c r="T289" s="97"/>
      <c r="U289" s="97"/>
      <c r="V289" s="97"/>
      <c r="W289" s="97"/>
      <c r="X289" s="97"/>
      <c r="Y289" s="97"/>
      <c r="Z289" s="97"/>
      <c r="AA289" s="97"/>
      <c r="AB289" s="97"/>
      <c r="AC289" s="97"/>
      <c r="AD289" s="102"/>
      <c r="AE289" s="102"/>
      <c r="AF289" s="102"/>
      <c r="AG289" s="102"/>
      <c r="AH289" s="102"/>
      <c r="AI289" s="102"/>
      <c r="AJ289" s="102"/>
      <c r="AK289" s="102"/>
      <c r="AL289" s="102"/>
      <c r="AM289" s="102"/>
      <c r="AN289" s="102"/>
      <c r="AO289" s="102"/>
      <c r="AP289" s="102"/>
      <c r="AQ289" s="102"/>
      <c r="AR289" s="102"/>
      <c r="AS289" s="102"/>
      <c r="AT289" s="102"/>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65"/>
      <c r="AF290" s="165"/>
      <c r="AG290" s="165"/>
      <c r="AH290" s="165"/>
      <c r="AI290" s="165"/>
      <c r="AJ290" s="165"/>
      <c r="AK290" s="165"/>
      <c r="AL290" s="165"/>
      <c r="AM290" s="165"/>
      <c r="AN290" s="165"/>
      <c r="AO290" s="165"/>
      <c r="AP290" s="165"/>
      <c r="AQ290" s="165"/>
      <c r="AR290" s="165"/>
      <c r="AS290" s="165"/>
      <c r="AT290" s="165"/>
    </row>
    <row r="291" ht="15.75" customHeight="1">
      <c r="A291" s="197" t="s">
        <v>227</v>
      </c>
      <c r="B291" s="93" t="s">
        <v>4959</v>
      </c>
      <c r="C291" s="93"/>
      <c r="D291" s="96"/>
      <c r="E291" s="96"/>
      <c r="F291" s="97"/>
      <c r="G291" s="97"/>
      <c r="H291" s="97"/>
      <c r="I291" s="98"/>
      <c r="J291" s="98"/>
      <c r="K291" s="97"/>
      <c r="L291" s="98"/>
      <c r="M291" s="98"/>
      <c r="N291" s="98"/>
      <c r="O291" s="98" t="s">
        <v>4741</v>
      </c>
      <c r="P291" s="97"/>
      <c r="Q291" s="97"/>
      <c r="R291" s="97"/>
      <c r="S291" s="97"/>
      <c r="T291" s="97"/>
      <c r="U291" s="97"/>
      <c r="V291" s="97"/>
      <c r="W291" s="97"/>
      <c r="X291" s="97"/>
      <c r="Y291" s="97"/>
      <c r="Z291" s="97"/>
      <c r="AA291" s="97"/>
      <c r="AB291" s="97"/>
      <c r="AC291" s="97"/>
      <c r="AD291" s="102"/>
      <c r="AE291" s="102"/>
      <c r="AF291" s="102"/>
      <c r="AG291" s="102"/>
      <c r="AH291" s="102"/>
      <c r="AI291" s="102"/>
      <c r="AJ291" s="102"/>
      <c r="AK291" s="102"/>
      <c r="AL291" s="102"/>
      <c r="AM291" s="102"/>
      <c r="AN291" s="102"/>
      <c r="AO291" s="102"/>
      <c r="AP291" s="102"/>
      <c r="AQ291" s="102"/>
      <c r="AR291" s="102"/>
      <c r="AS291" s="102"/>
      <c r="AT291" s="102"/>
    </row>
    <row r="292" ht="15.75" customHeight="1">
      <c r="A292" s="197" t="s">
        <v>227</v>
      </c>
      <c r="B292" s="93" t="s">
        <v>4960</v>
      </c>
      <c r="C292" s="93"/>
      <c r="D292" s="96"/>
      <c r="E292" s="96"/>
      <c r="F292" s="97"/>
      <c r="G292" s="97"/>
      <c r="H292" s="97"/>
      <c r="I292" s="98"/>
      <c r="J292" s="98" t="s">
        <v>3246</v>
      </c>
      <c r="K292" s="97"/>
      <c r="L292" s="98"/>
      <c r="M292" s="98"/>
      <c r="N292" s="98"/>
      <c r="O292" s="98"/>
      <c r="P292" s="97"/>
      <c r="Q292" s="97"/>
      <c r="R292" s="97"/>
      <c r="S292" s="97"/>
      <c r="T292" s="97"/>
      <c r="U292" s="97"/>
      <c r="V292" s="97"/>
      <c r="W292" s="97"/>
      <c r="X292" s="97"/>
      <c r="Y292" s="97"/>
      <c r="Z292" s="97"/>
      <c r="AA292" s="97"/>
      <c r="AB292" s="97"/>
      <c r="AC292" s="97"/>
      <c r="AD292" s="102"/>
      <c r="AE292" s="102"/>
      <c r="AF292" s="102"/>
      <c r="AG292" s="102"/>
      <c r="AH292" s="102"/>
      <c r="AI292" s="102"/>
      <c r="AJ292" s="102"/>
      <c r="AK292" s="102"/>
      <c r="AL292" s="102"/>
      <c r="AM292" s="102"/>
      <c r="AN292" s="102"/>
      <c r="AO292" s="102"/>
      <c r="AP292" s="102"/>
      <c r="AQ292" s="102"/>
      <c r="AR292" s="102"/>
      <c r="AS292" s="102"/>
      <c r="AT292" s="102"/>
    </row>
    <row r="293" ht="15.75" customHeight="1">
      <c r="A293" s="269" t="s">
        <v>42</v>
      </c>
      <c r="B293" s="207" t="s">
        <v>1717</v>
      </c>
      <c r="C293" s="77" t="s">
        <v>1720</v>
      </c>
      <c r="D293" s="77">
        <v>178.0</v>
      </c>
      <c r="E293" s="77">
        <v>178.0</v>
      </c>
      <c r="F293" s="77"/>
      <c r="G293" s="77"/>
      <c r="H293" s="77"/>
      <c r="I293" s="212"/>
      <c r="J293" s="208"/>
      <c r="K293" s="208"/>
      <c r="L293" s="208"/>
      <c r="M293" s="208"/>
      <c r="N293" s="208"/>
      <c r="O293" s="208"/>
      <c r="P293" s="208"/>
      <c r="Q293" s="208"/>
      <c r="R293" s="208"/>
      <c r="S293" s="208"/>
      <c r="T293" s="208"/>
      <c r="U293" s="208"/>
      <c r="V293" s="208"/>
      <c r="W293" s="208"/>
      <c r="X293" s="208"/>
      <c r="Y293" s="208"/>
      <c r="Z293" s="208"/>
      <c r="AA293" s="208"/>
      <c r="AB293" s="208"/>
      <c r="AC293" s="208"/>
      <c r="AD293" s="102"/>
      <c r="AE293" s="102"/>
      <c r="AF293" s="102"/>
      <c r="AG293" s="102"/>
      <c r="AH293" s="102"/>
      <c r="AI293" s="102"/>
      <c r="AJ293" s="102"/>
      <c r="AK293" s="102"/>
      <c r="AL293" s="102"/>
      <c r="AM293" s="102"/>
      <c r="AN293" s="102"/>
      <c r="AO293" s="102"/>
      <c r="AP293" s="102"/>
      <c r="AQ293" s="102"/>
      <c r="AR293" s="102"/>
      <c r="AS293" s="102"/>
      <c r="AT293" s="102"/>
    </row>
    <row r="294" ht="15.75" customHeight="1">
      <c r="A294" s="206" t="s">
        <v>553</v>
      </c>
      <c r="B294" s="245" t="s">
        <v>1722</v>
      </c>
      <c r="C294" s="77" t="s">
        <v>1727</v>
      </c>
      <c r="D294" s="77" t="s">
        <v>1728</v>
      </c>
      <c r="E294" s="77" t="s">
        <v>1729</v>
      </c>
      <c r="F294" s="77"/>
      <c r="G294" s="77"/>
      <c r="H294" s="77"/>
      <c r="I294" s="212"/>
      <c r="J294" s="208" t="s">
        <v>10</v>
      </c>
      <c r="K294" s="208"/>
      <c r="L294" s="208"/>
      <c r="M294" s="208"/>
      <c r="N294" s="208"/>
      <c r="O294" s="208"/>
      <c r="P294" s="208"/>
      <c r="Q294" s="208"/>
      <c r="R294" s="208"/>
      <c r="S294" s="208"/>
      <c r="T294" s="208"/>
      <c r="U294" s="208"/>
      <c r="V294" s="208"/>
      <c r="W294" s="208"/>
      <c r="X294" s="208"/>
      <c r="Y294" s="208"/>
      <c r="Z294" s="208"/>
      <c r="AA294" s="208"/>
      <c r="AB294" s="208"/>
      <c r="AC294" s="208"/>
      <c r="AD294" s="102"/>
      <c r="AE294" s="102"/>
      <c r="AF294" s="102"/>
      <c r="AG294" s="102"/>
      <c r="AH294" s="102"/>
      <c r="AI294" s="102"/>
      <c r="AJ294" s="102"/>
      <c r="AK294" s="102"/>
      <c r="AL294" s="102"/>
      <c r="AM294" s="102"/>
      <c r="AN294" s="102"/>
      <c r="AO294" s="102"/>
      <c r="AP294" s="102"/>
      <c r="AQ294" s="102"/>
      <c r="AR294" s="102"/>
      <c r="AS294" s="102"/>
      <c r="AT294" s="102"/>
    </row>
    <row r="295" ht="15.75" customHeight="1">
      <c r="A295" s="206" t="s">
        <v>553</v>
      </c>
      <c r="B295" s="245" t="s">
        <v>1730</v>
      </c>
      <c r="C295" s="77" t="s">
        <v>1735</v>
      </c>
      <c r="D295" s="77" t="s">
        <v>1736</v>
      </c>
      <c r="E295" s="77" t="s">
        <v>1737</v>
      </c>
      <c r="F295" s="77"/>
      <c r="G295" s="77"/>
      <c r="H295" s="77"/>
      <c r="I295" s="212"/>
      <c r="J295" s="208" t="s">
        <v>3286</v>
      </c>
      <c r="K295" s="208"/>
      <c r="L295" s="208"/>
      <c r="M295" s="208"/>
      <c r="N295" s="208"/>
      <c r="O295" s="208"/>
      <c r="P295" s="208"/>
      <c r="Q295" s="208" t="s">
        <v>268</v>
      </c>
      <c r="R295" s="208"/>
      <c r="S295" s="208"/>
      <c r="T295" s="208"/>
      <c r="U295" s="208"/>
      <c r="V295" s="208"/>
      <c r="W295" s="208"/>
      <c r="X295" s="208"/>
      <c r="Y295" s="208"/>
      <c r="Z295" s="208"/>
      <c r="AA295" s="208"/>
      <c r="AB295" s="208"/>
      <c r="AC295" s="208"/>
      <c r="AD295" s="102"/>
      <c r="AE295" s="102"/>
      <c r="AF295" s="102"/>
      <c r="AG295" s="102"/>
      <c r="AH295" s="102"/>
      <c r="AI295" s="102"/>
      <c r="AJ295" s="102"/>
      <c r="AK295" s="102"/>
      <c r="AL295" s="102"/>
      <c r="AM295" s="102"/>
      <c r="AN295" s="102"/>
      <c r="AO295" s="102"/>
      <c r="AP295" s="102"/>
      <c r="AQ295" s="102"/>
      <c r="AR295" s="102"/>
      <c r="AS295" s="102"/>
      <c r="AT295" s="102"/>
    </row>
    <row r="296" ht="15.75" customHeight="1">
      <c r="A296" s="206" t="s">
        <v>553</v>
      </c>
      <c r="B296" s="245" t="s">
        <v>1739</v>
      </c>
      <c r="C296" s="77" t="s">
        <v>1740</v>
      </c>
      <c r="D296" s="77" t="s">
        <v>1741</v>
      </c>
      <c r="E296" s="77" t="s">
        <v>1742</v>
      </c>
      <c r="F296" s="77"/>
      <c r="G296" s="77"/>
      <c r="H296" s="77"/>
      <c r="I296" s="212"/>
      <c r="J296" s="208" t="s">
        <v>3286</v>
      </c>
      <c r="K296" s="208"/>
      <c r="L296" s="208"/>
      <c r="M296" s="208"/>
      <c r="N296" s="208"/>
      <c r="O296" s="208"/>
      <c r="P296" s="208"/>
      <c r="Q296" s="208" t="s">
        <v>268</v>
      </c>
      <c r="R296" s="208"/>
      <c r="S296" s="208"/>
      <c r="T296" s="208"/>
      <c r="U296" s="208"/>
      <c r="V296" s="208"/>
      <c r="W296" s="208"/>
      <c r="X296" s="208"/>
      <c r="Y296" s="208"/>
      <c r="Z296" s="208"/>
      <c r="AA296" s="208"/>
      <c r="AB296" s="208"/>
      <c r="AC296" s="208"/>
      <c r="AD296" s="102"/>
      <c r="AE296" s="102"/>
      <c r="AF296" s="102"/>
      <c r="AG296" s="102"/>
      <c r="AH296" s="102"/>
      <c r="AI296" s="102"/>
      <c r="AJ296" s="102"/>
      <c r="AK296" s="102"/>
      <c r="AL296" s="102"/>
      <c r="AM296" s="102"/>
      <c r="AN296" s="102"/>
      <c r="AO296" s="102"/>
      <c r="AP296" s="102"/>
      <c r="AQ296" s="102"/>
      <c r="AR296" s="102"/>
      <c r="AS296" s="102"/>
      <c r="AT296" s="102"/>
    </row>
    <row r="297" ht="15.75" customHeight="1">
      <c r="A297" s="197" t="s">
        <v>735</v>
      </c>
      <c r="B297" s="96" t="s">
        <v>4960</v>
      </c>
      <c r="C297" s="96"/>
      <c r="D297" s="96"/>
      <c r="E297" s="96"/>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102"/>
      <c r="AE297" s="102"/>
      <c r="AF297" s="102"/>
      <c r="AG297" s="102"/>
      <c r="AH297" s="102"/>
      <c r="AI297" s="102"/>
      <c r="AJ297" s="102"/>
      <c r="AK297" s="102"/>
      <c r="AL297" s="102"/>
      <c r="AM297" s="102"/>
      <c r="AN297" s="102"/>
      <c r="AO297" s="102"/>
      <c r="AP297" s="102"/>
      <c r="AQ297" s="102"/>
      <c r="AR297" s="102"/>
      <c r="AS297" s="102"/>
      <c r="AT297" s="102"/>
    </row>
    <row r="298" ht="15.75" customHeight="1">
      <c r="A298" s="197" t="s">
        <v>227</v>
      </c>
      <c r="B298" s="93" t="s">
        <v>4983</v>
      </c>
      <c r="C298" s="93"/>
      <c r="D298" s="96"/>
      <c r="E298" s="96"/>
      <c r="F298" s="97"/>
      <c r="G298" s="97"/>
      <c r="H298" s="97"/>
      <c r="I298" s="98"/>
      <c r="J298" s="98" t="s">
        <v>3246</v>
      </c>
      <c r="K298" s="97"/>
      <c r="L298" s="98"/>
      <c r="M298" s="98"/>
      <c r="N298" s="98"/>
      <c r="O298" s="98"/>
      <c r="P298" s="97"/>
      <c r="Q298" s="97"/>
      <c r="R298" s="97"/>
      <c r="S298" s="97"/>
      <c r="T298" s="97"/>
      <c r="U298" s="97"/>
      <c r="V298" s="97"/>
      <c r="W298" s="97"/>
      <c r="X298" s="97"/>
      <c r="Y298" s="97"/>
      <c r="Z298" s="97"/>
      <c r="AA298" s="97"/>
      <c r="AB298" s="97"/>
      <c r="AC298" s="97"/>
      <c r="AD298" s="102"/>
      <c r="AE298" s="102"/>
      <c r="AF298" s="102"/>
      <c r="AG298" s="102"/>
      <c r="AH298" s="102"/>
      <c r="AI298" s="102"/>
      <c r="AJ298" s="102"/>
      <c r="AK298" s="102"/>
      <c r="AL298" s="102"/>
      <c r="AM298" s="102"/>
      <c r="AN298" s="102"/>
      <c r="AO298" s="102"/>
      <c r="AP298" s="102"/>
      <c r="AQ298" s="102"/>
      <c r="AR298" s="102"/>
      <c r="AS298" s="102"/>
      <c r="AT298" s="102"/>
    </row>
    <row r="299" ht="15.75" customHeight="1">
      <c r="A299" s="206" t="s">
        <v>277</v>
      </c>
      <c r="B299" s="245" t="s">
        <v>1750</v>
      </c>
      <c r="C299" s="77" t="s">
        <v>1751</v>
      </c>
      <c r="D299" s="77" t="s">
        <v>1752</v>
      </c>
      <c r="E299" s="77" t="s">
        <v>1753</v>
      </c>
      <c r="F299" s="77"/>
      <c r="G299" s="77"/>
      <c r="H299" s="77"/>
      <c r="I299" s="212"/>
      <c r="J299" s="208" t="s">
        <v>10</v>
      </c>
      <c r="K299" s="208"/>
      <c r="L299" s="208"/>
      <c r="M299" s="208"/>
      <c r="N299" s="208"/>
      <c r="O299" s="208"/>
      <c r="P299" s="208"/>
      <c r="Q299" s="208"/>
      <c r="R299" s="208"/>
      <c r="S299" s="208"/>
      <c r="T299" s="208"/>
      <c r="U299" s="208"/>
      <c r="V299" s="208"/>
      <c r="W299" s="208"/>
      <c r="X299" s="208"/>
      <c r="Y299" s="208"/>
      <c r="Z299" s="208"/>
      <c r="AA299" s="208"/>
      <c r="AB299" s="208"/>
      <c r="AC299" s="208"/>
      <c r="AD299" s="102"/>
      <c r="AE299" s="102"/>
      <c r="AF299" s="102"/>
      <c r="AG299" s="102"/>
      <c r="AH299" s="102"/>
      <c r="AI299" s="102"/>
      <c r="AJ299" s="102"/>
      <c r="AK299" s="102"/>
      <c r="AL299" s="102"/>
      <c r="AM299" s="102"/>
      <c r="AN299" s="102"/>
      <c r="AO299" s="102"/>
      <c r="AP299" s="102"/>
      <c r="AQ299" s="102"/>
      <c r="AR299" s="102"/>
      <c r="AS299" s="102"/>
      <c r="AT299" s="102"/>
    </row>
    <row r="300" ht="15.75" customHeight="1">
      <c r="A300" s="206" t="s">
        <v>277</v>
      </c>
      <c r="B300" s="245" t="s">
        <v>1754</v>
      </c>
      <c r="C300" s="77" t="s">
        <v>1755</v>
      </c>
      <c r="D300" s="77" t="s">
        <v>1757</v>
      </c>
      <c r="E300" s="77" t="s">
        <v>1758</v>
      </c>
      <c r="F300" s="77"/>
      <c r="G300" s="77"/>
      <c r="H300" s="77"/>
      <c r="I300" s="212"/>
      <c r="J300" s="208" t="s">
        <v>3286</v>
      </c>
      <c r="K300" s="208"/>
      <c r="L300" s="208"/>
      <c r="M300" s="208"/>
      <c r="N300" s="208"/>
      <c r="O300" s="208"/>
      <c r="P300" s="208"/>
      <c r="Q300" s="208" t="s">
        <v>268</v>
      </c>
      <c r="R300" s="208"/>
      <c r="S300" s="208"/>
      <c r="T300" s="208"/>
      <c r="U300" s="208"/>
      <c r="V300" s="208"/>
      <c r="W300" s="208"/>
      <c r="X300" s="208"/>
      <c r="Y300" s="208"/>
      <c r="Z300" s="208"/>
      <c r="AA300" s="208"/>
      <c r="AB300" s="208"/>
      <c r="AC300" s="208"/>
      <c r="AD300" s="102"/>
      <c r="AE300" s="102"/>
      <c r="AF300" s="102"/>
      <c r="AG300" s="102"/>
      <c r="AH300" s="102"/>
      <c r="AI300" s="102"/>
      <c r="AJ300" s="102"/>
      <c r="AK300" s="102"/>
      <c r="AL300" s="102"/>
      <c r="AM300" s="102"/>
      <c r="AN300" s="102"/>
      <c r="AO300" s="102"/>
      <c r="AP300" s="102"/>
      <c r="AQ300" s="102"/>
      <c r="AR300" s="102"/>
      <c r="AS300" s="102"/>
      <c r="AT300" s="102"/>
    </row>
    <row r="301" ht="15.75" customHeight="1">
      <c r="A301" s="206" t="s">
        <v>277</v>
      </c>
      <c r="B301" s="245" t="s">
        <v>1759</v>
      </c>
      <c r="C301" s="77" t="s">
        <v>1763</v>
      </c>
      <c r="D301" s="77" t="s">
        <v>1764</v>
      </c>
      <c r="E301" s="77" t="s">
        <v>1765</v>
      </c>
      <c r="F301" s="77"/>
      <c r="G301" s="77"/>
      <c r="H301" s="77"/>
      <c r="I301" s="212"/>
      <c r="J301" s="208" t="s">
        <v>3286</v>
      </c>
      <c r="K301" s="208"/>
      <c r="L301" s="208"/>
      <c r="M301" s="208"/>
      <c r="N301" s="208"/>
      <c r="O301" s="208"/>
      <c r="P301" s="208"/>
      <c r="Q301" s="208" t="s">
        <v>268</v>
      </c>
      <c r="R301" s="208"/>
      <c r="S301" s="208"/>
      <c r="T301" s="208"/>
      <c r="U301" s="208"/>
      <c r="V301" s="208"/>
      <c r="W301" s="208"/>
      <c r="X301" s="208"/>
      <c r="Y301" s="208"/>
      <c r="Z301" s="208"/>
      <c r="AA301" s="208"/>
      <c r="AB301" s="208"/>
      <c r="AC301" s="208"/>
      <c r="AD301" s="102"/>
      <c r="AE301" s="102"/>
      <c r="AF301" s="102"/>
      <c r="AG301" s="102"/>
      <c r="AH301" s="102"/>
      <c r="AI301" s="102"/>
      <c r="AJ301" s="102"/>
      <c r="AK301" s="102"/>
      <c r="AL301" s="102"/>
      <c r="AM301" s="102"/>
      <c r="AN301" s="102"/>
      <c r="AO301" s="102"/>
      <c r="AP301" s="102"/>
      <c r="AQ301" s="102"/>
      <c r="AR301" s="102"/>
      <c r="AS301" s="102"/>
      <c r="AT301" s="102"/>
    </row>
    <row r="302" ht="15.75" customHeight="1">
      <c r="A302" s="206" t="s">
        <v>277</v>
      </c>
      <c r="B302" s="245" t="s">
        <v>1766</v>
      </c>
      <c r="C302" s="77" t="s">
        <v>1770</v>
      </c>
      <c r="D302" s="77" t="s">
        <v>1771</v>
      </c>
      <c r="E302" s="77" t="s">
        <v>1772</v>
      </c>
      <c r="F302" s="77"/>
      <c r="G302" s="77"/>
      <c r="H302" s="77"/>
      <c r="I302" s="212"/>
      <c r="J302" s="208" t="s">
        <v>3286</v>
      </c>
      <c r="K302" s="208"/>
      <c r="L302" s="208"/>
      <c r="M302" s="208"/>
      <c r="N302" s="208"/>
      <c r="O302" s="208"/>
      <c r="P302" s="208"/>
      <c r="Q302" s="208" t="s">
        <v>268</v>
      </c>
      <c r="R302" s="208"/>
      <c r="S302" s="208"/>
      <c r="T302" s="208"/>
      <c r="U302" s="208"/>
      <c r="V302" s="208"/>
      <c r="W302" s="208"/>
      <c r="X302" s="208"/>
      <c r="Y302" s="208"/>
      <c r="Z302" s="208"/>
      <c r="AA302" s="208"/>
      <c r="AB302" s="208"/>
      <c r="AC302" s="208"/>
      <c r="AD302" s="102"/>
      <c r="AE302" s="102"/>
      <c r="AF302" s="102"/>
      <c r="AG302" s="102"/>
      <c r="AH302" s="102"/>
      <c r="AI302" s="102"/>
      <c r="AJ302" s="102"/>
      <c r="AK302" s="102"/>
      <c r="AL302" s="102"/>
      <c r="AM302" s="102"/>
      <c r="AN302" s="102"/>
      <c r="AO302" s="102"/>
      <c r="AP302" s="102"/>
      <c r="AQ302" s="102"/>
      <c r="AR302" s="102"/>
      <c r="AS302" s="102"/>
      <c r="AT302" s="102"/>
    </row>
    <row r="303" ht="15.75" customHeight="1">
      <c r="A303" s="197" t="s">
        <v>735</v>
      </c>
      <c r="B303" s="96" t="s">
        <v>4983</v>
      </c>
      <c r="C303" s="96"/>
      <c r="D303" s="96"/>
      <c r="E303" s="96"/>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102"/>
      <c r="AE303" s="102"/>
      <c r="AF303" s="102"/>
      <c r="AG303" s="102"/>
      <c r="AH303" s="102"/>
      <c r="AI303" s="102"/>
      <c r="AJ303" s="102"/>
      <c r="AK303" s="102"/>
      <c r="AL303" s="102"/>
      <c r="AM303" s="102"/>
      <c r="AN303" s="102"/>
      <c r="AO303" s="102"/>
      <c r="AP303" s="102"/>
      <c r="AQ303" s="102"/>
      <c r="AR303" s="102"/>
      <c r="AS303" s="102"/>
      <c r="AT303" s="102"/>
    </row>
    <row r="304" ht="15.75" customHeight="1">
      <c r="A304" s="197" t="s">
        <v>227</v>
      </c>
      <c r="B304" s="93" t="s">
        <v>5005</v>
      </c>
      <c r="C304" s="93"/>
      <c r="D304" s="96"/>
      <c r="E304" s="96"/>
      <c r="F304" s="97"/>
      <c r="G304" s="97"/>
      <c r="H304" s="97"/>
      <c r="I304" s="98"/>
      <c r="J304" s="98" t="s">
        <v>3246</v>
      </c>
      <c r="K304" s="97"/>
      <c r="L304" s="98"/>
      <c r="M304" s="98"/>
      <c r="N304" s="98"/>
      <c r="O304" s="98"/>
      <c r="P304" s="97"/>
      <c r="Q304" s="97"/>
      <c r="R304" s="97"/>
      <c r="S304" s="97"/>
      <c r="T304" s="97"/>
      <c r="U304" s="97"/>
      <c r="V304" s="97"/>
      <c r="W304" s="97"/>
      <c r="X304" s="97"/>
      <c r="Y304" s="97"/>
      <c r="Z304" s="97"/>
      <c r="AA304" s="97"/>
      <c r="AB304" s="97"/>
      <c r="AC304" s="97"/>
      <c r="AD304" s="102"/>
      <c r="AE304" s="102"/>
      <c r="AF304" s="102"/>
      <c r="AG304" s="102"/>
      <c r="AH304" s="102"/>
      <c r="AI304" s="102"/>
      <c r="AJ304" s="102"/>
      <c r="AK304" s="102"/>
      <c r="AL304" s="102"/>
      <c r="AM304" s="102"/>
      <c r="AN304" s="102"/>
      <c r="AO304" s="102"/>
      <c r="AP304" s="102"/>
      <c r="AQ304" s="102"/>
      <c r="AR304" s="102"/>
      <c r="AS304" s="102"/>
      <c r="AT304" s="102"/>
    </row>
    <row r="305" ht="15.75" customHeight="1">
      <c r="A305" s="206" t="s">
        <v>194</v>
      </c>
      <c r="B305" s="245" t="s">
        <v>1783</v>
      </c>
      <c r="C305" s="77" t="s">
        <v>1786</v>
      </c>
      <c r="D305" s="77" t="s">
        <v>1787</v>
      </c>
      <c r="E305" s="77" t="s">
        <v>1788</v>
      </c>
      <c r="F305" s="77"/>
      <c r="G305" s="77"/>
      <c r="H305" s="77"/>
      <c r="I305" s="212"/>
      <c r="J305" s="208" t="s">
        <v>10</v>
      </c>
      <c r="K305" s="208"/>
      <c r="L305" s="208"/>
      <c r="M305" s="208"/>
      <c r="N305" s="208"/>
      <c r="O305" s="208"/>
      <c r="P305" s="208"/>
      <c r="Q305" s="208"/>
      <c r="R305" s="208"/>
      <c r="S305" s="208"/>
      <c r="T305" s="208"/>
      <c r="U305" s="208"/>
      <c r="V305" s="208"/>
      <c r="W305" s="208"/>
      <c r="X305" s="208"/>
      <c r="Y305" s="208"/>
      <c r="Z305" s="208"/>
      <c r="AA305" s="208"/>
      <c r="AB305" s="208"/>
      <c r="AC305" s="208"/>
      <c r="AD305" s="102"/>
      <c r="AE305" s="102"/>
      <c r="AF305" s="102"/>
      <c r="AG305" s="102"/>
      <c r="AH305" s="102"/>
      <c r="AI305" s="102"/>
      <c r="AJ305" s="102"/>
      <c r="AK305" s="102"/>
      <c r="AL305" s="102"/>
      <c r="AM305" s="102"/>
      <c r="AN305" s="102"/>
      <c r="AO305" s="102"/>
      <c r="AP305" s="102"/>
      <c r="AQ305" s="102"/>
      <c r="AR305" s="102"/>
      <c r="AS305" s="102"/>
      <c r="AT305" s="102"/>
    </row>
    <row r="306" ht="15.75" customHeight="1">
      <c r="A306" s="206" t="s">
        <v>194</v>
      </c>
      <c r="B306" s="245" t="s">
        <v>1789</v>
      </c>
      <c r="C306" s="77" t="s">
        <v>1790</v>
      </c>
      <c r="D306" s="77" t="s">
        <v>1791</v>
      </c>
      <c r="E306" s="77" t="s">
        <v>1792</v>
      </c>
      <c r="F306" s="77"/>
      <c r="G306" s="77"/>
      <c r="H306" s="77"/>
      <c r="I306" s="212"/>
      <c r="J306" s="208" t="s">
        <v>3286</v>
      </c>
      <c r="K306" s="208"/>
      <c r="L306" s="208"/>
      <c r="M306" s="208"/>
      <c r="N306" s="208"/>
      <c r="O306" s="208"/>
      <c r="P306" s="208"/>
      <c r="Q306" s="208" t="s">
        <v>268</v>
      </c>
      <c r="R306" s="208"/>
      <c r="S306" s="208"/>
      <c r="T306" s="208"/>
      <c r="U306" s="208"/>
      <c r="V306" s="208"/>
      <c r="W306" s="208"/>
      <c r="X306" s="208"/>
      <c r="Y306" s="208"/>
      <c r="Z306" s="208"/>
      <c r="AA306" s="208"/>
      <c r="AB306" s="208"/>
      <c r="AC306" s="208"/>
      <c r="AD306" s="102"/>
      <c r="AE306" s="102"/>
      <c r="AF306" s="102"/>
      <c r="AG306" s="102"/>
      <c r="AH306" s="102"/>
      <c r="AI306" s="102"/>
      <c r="AJ306" s="102"/>
      <c r="AK306" s="102"/>
      <c r="AL306" s="102"/>
      <c r="AM306" s="102"/>
      <c r="AN306" s="102"/>
      <c r="AO306" s="102"/>
      <c r="AP306" s="102"/>
      <c r="AQ306" s="102"/>
      <c r="AR306" s="102"/>
      <c r="AS306" s="102"/>
      <c r="AT306" s="102"/>
    </row>
    <row r="307" ht="15.75" customHeight="1">
      <c r="A307" s="206" t="s">
        <v>194</v>
      </c>
      <c r="B307" s="245" t="s">
        <v>1793</v>
      </c>
      <c r="C307" s="77" t="s">
        <v>1797</v>
      </c>
      <c r="D307" s="77" t="s">
        <v>1798</v>
      </c>
      <c r="E307" s="77" t="s">
        <v>1799</v>
      </c>
      <c r="F307" s="77"/>
      <c r="G307" s="77"/>
      <c r="H307" s="77"/>
      <c r="I307" s="212"/>
      <c r="J307" s="208" t="s">
        <v>3286</v>
      </c>
      <c r="K307" s="208"/>
      <c r="L307" s="208"/>
      <c r="M307" s="208"/>
      <c r="N307" s="208"/>
      <c r="O307" s="208"/>
      <c r="P307" s="208"/>
      <c r="Q307" s="208" t="s">
        <v>268</v>
      </c>
      <c r="R307" s="208"/>
      <c r="S307" s="208"/>
      <c r="T307" s="208"/>
      <c r="U307" s="208"/>
      <c r="V307" s="208"/>
      <c r="W307" s="208"/>
      <c r="X307" s="208"/>
      <c r="Y307" s="208"/>
      <c r="Z307" s="208"/>
      <c r="AA307" s="208"/>
      <c r="AB307" s="208"/>
      <c r="AC307" s="208"/>
      <c r="AD307" s="102"/>
      <c r="AE307" s="102"/>
      <c r="AF307" s="102"/>
      <c r="AG307" s="102"/>
      <c r="AH307" s="102"/>
      <c r="AI307" s="102"/>
      <c r="AJ307" s="102"/>
      <c r="AK307" s="102"/>
      <c r="AL307" s="102"/>
      <c r="AM307" s="102"/>
      <c r="AN307" s="102"/>
      <c r="AO307" s="102"/>
      <c r="AP307" s="102"/>
      <c r="AQ307" s="102"/>
      <c r="AR307" s="102"/>
      <c r="AS307" s="102"/>
      <c r="AT307" s="102"/>
    </row>
    <row r="308" ht="15.75" customHeight="1">
      <c r="A308" s="206" t="s">
        <v>194</v>
      </c>
      <c r="B308" s="245" t="s">
        <v>1800</v>
      </c>
      <c r="C308" s="77" t="s">
        <v>1805</v>
      </c>
      <c r="D308" s="77" t="s">
        <v>1807</v>
      </c>
      <c r="E308" s="77" t="s">
        <v>1808</v>
      </c>
      <c r="F308" s="77"/>
      <c r="G308" s="77"/>
      <c r="H308" s="77"/>
      <c r="I308" s="212"/>
      <c r="J308" s="208" t="s">
        <v>3286</v>
      </c>
      <c r="K308" s="208"/>
      <c r="L308" s="208"/>
      <c r="M308" s="208"/>
      <c r="N308" s="208"/>
      <c r="O308" s="208"/>
      <c r="P308" s="208"/>
      <c r="Q308" s="208" t="s">
        <v>268</v>
      </c>
      <c r="R308" s="208"/>
      <c r="S308" s="208"/>
      <c r="T308" s="208"/>
      <c r="U308" s="208"/>
      <c r="V308" s="208"/>
      <c r="W308" s="208"/>
      <c r="X308" s="208"/>
      <c r="Y308" s="208"/>
      <c r="Z308" s="208"/>
      <c r="AA308" s="208"/>
      <c r="AB308" s="208"/>
      <c r="AC308" s="208"/>
      <c r="AD308" s="102"/>
      <c r="AE308" s="102"/>
      <c r="AF308" s="102"/>
      <c r="AG308" s="102"/>
      <c r="AH308" s="102"/>
      <c r="AI308" s="102"/>
      <c r="AJ308" s="102"/>
      <c r="AK308" s="102"/>
      <c r="AL308" s="102"/>
      <c r="AM308" s="102"/>
      <c r="AN308" s="102"/>
      <c r="AO308" s="102"/>
      <c r="AP308" s="102"/>
      <c r="AQ308" s="102"/>
      <c r="AR308" s="102"/>
      <c r="AS308" s="102"/>
      <c r="AT308" s="102"/>
    </row>
    <row r="309" ht="15.75" customHeight="1">
      <c r="A309" s="206" t="s">
        <v>194</v>
      </c>
      <c r="B309" s="245" t="s">
        <v>1809</v>
      </c>
      <c r="C309" s="77" t="s">
        <v>1814</v>
      </c>
      <c r="D309" s="77" t="s">
        <v>1815</v>
      </c>
      <c r="E309" s="77" t="s">
        <v>1816</v>
      </c>
      <c r="F309" s="77"/>
      <c r="G309" s="77"/>
      <c r="H309" s="77"/>
      <c r="I309" s="212"/>
      <c r="J309" s="208" t="s">
        <v>3286</v>
      </c>
      <c r="K309" s="208"/>
      <c r="L309" s="208"/>
      <c r="M309" s="208"/>
      <c r="N309" s="208"/>
      <c r="O309" s="208"/>
      <c r="P309" s="208"/>
      <c r="Q309" s="208" t="s">
        <v>268</v>
      </c>
      <c r="R309" s="208"/>
      <c r="S309" s="208"/>
      <c r="T309" s="208"/>
      <c r="U309" s="208"/>
      <c r="V309" s="208"/>
      <c r="W309" s="208"/>
      <c r="X309" s="208"/>
      <c r="Y309" s="208"/>
      <c r="Z309" s="208"/>
      <c r="AA309" s="208"/>
      <c r="AB309" s="208"/>
      <c r="AC309" s="208"/>
      <c r="AD309" s="102"/>
      <c r="AE309" s="102"/>
      <c r="AF309" s="102"/>
      <c r="AG309" s="102"/>
      <c r="AH309" s="102"/>
      <c r="AI309" s="102"/>
      <c r="AJ309" s="102"/>
      <c r="AK309" s="102"/>
      <c r="AL309" s="102"/>
      <c r="AM309" s="102"/>
      <c r="AN309" s="102"/>
      <c r="AO309" s="102"/>
      <c r="AP309" s="102"/>
      <c r="AQ309" s="102"/>
      <c r="AR309" s="102"/>
      <c r="AS309" s="102"/>
      <c r="AT309" s="102"/>
    </row>
    <row r="310" ht="15.75" customHeight="1">
      <c r="A310" s="206" t="s">
        <v>194</v>
      </c>
      <c r="B310" s="245" t="s">
        <v>1817</v>
      </c>
      <c r="C310" s="77" t="s">
        <v>1821</v>
      </c>
      <c r="D310" s="77" t="s">
        <v>1822</v>
      </c>
      <c r="E310" s="77" t="s">
        <v>1823</v>
      </c>
      <c r="F310" s="77"/>
      <c r="G310" s="77"/>
      <c r="H310" s="77"/>
      <c r="I310" s="212"/>
      <c r="J310" s="208" t="s">
        <v>3286</v>
      </c>
      <c r="K310" s="208"/>
      <c r="L310" s="208"/>
      <c r="M310" s="208"/>
      <c r="N310" s="208"/>
      <c r="O310" s="208"/>
      <c r="P310" s="208"/>
      <c r="Q310" s="208" t="s">
        <v>268</v>
      </c>
      <c r="R310" s="208"/>
      <c r="S310" s="208"/>
      <c r="T310" s="208"/>
      <c r="U310" s="208"/>
      <c r="V310" s="208"/>
      <c r="W310" s="208"/>
      <c r="X310" s="208"/>
      <c r="Y310" s="208"/>
      <c r="Z310" s="208"/>
      <c r="AA310" s="208"/>
      <c r="AB310" s="208"/>
      <c r="AC310" s="208"/>
      <c r="AD310" s="102"/>
      <c r="AE310" s="102"/>
      <c r="AF310" s="102"/>
      <c r="AG310" s="102"/>
      <c r="AH310" s="102"/>
      <c r="AI310" s="102"/>
      <c r="AJ310" s="102"/>
      <c r="AK310" s="102"/>
      <c r="AL310" s="102"/>
      <c r="AM310" s="102"/>
      <c r="AN310" s="102"/>
      <c r="AO310" s="102"/>
      <c r="AP310" s="102"/>
      <c r="AQ310" s="102"/>
      <c r="AR310" s="102"/>
      <c r="AS310" s="102"/>
      <c r="AT310" s="102"/>
    </row>
    <row r="311" ht="15.75" customHeight="1">
      <c r="A311" s="206" t="s">
        <v>194</v>
      </c>
      <c r="B311" s="245" t="s">
        <v>1825</v>
      </c>
      <c r="C311" s="77" t="s">
        <v>1826</v>
      </c>
      <c r="D311" s="77" t="s">
        <v>1827</v>
      </c>
      <c r="E311" s="77" t="s">
        <v>1828</v>
      </c>
      <c r="F311" s="77"/>
      <c r="G311" s="77"/>
      <c r="H311" s="77"/>
      <c r="I311" s="212"/>
      <c r="J311" s="208" t="s">
        <v>3286</v>
      </c>
      <c r="K311" s="208"/>
      <c r="L311" s="208"/>
      <c r="M311" s="208"/>
      <c r="N311" s="208"/>
      <c r="O311" s="208"/>
      <c r="P311" s="208"/>
      <c r="Q311" s="208" t="s">
        <v>268</v>
      </c>
      <c r="R311" s="208"/>
      <c r="S311" s="208"/>
      <c r="T311" s="208"/>
      <c r="U311" s="208"/>
      <c r="V311" s="208"/>
      <c r="W311" s="208"/>
      <c r="X311" s="208"/>
      <c r="Y311" s="208"/>
      <c r="Z311" s="208"/>
      <c r="AA311" s="208"/>
      <c r="AB311" s="208"/>
      <c r="AC311" s="208"/>
      <c r="AD311" s="102"/>
      <c r="AE311" s="102"/>
      <c r="AF311" s="102"/>
      <c r="AG311" s="102"/>
      <c r="AH311" s="102"/>
      <c r="AI311" s="102"/>
      <c r="AJ311" s="102"/>
      <c r="AK311" s="102"/>
      <c r="AL311" s="102"/>
      <c r="AM311" s="102"/>
      <c r="AN311" s="102"/>
      <c r="AO311" s="102"/>
      <c r="AP311" s="102"/>
      <c r="AQ311" s="102"/>
      <c r="AR311" s="102"/>
      <c r="AS311" s="102"/>
      <c r="AT311" s="102"/>
    </row>
    <row r="312" ht="15.75" customHeight="1">
      <c r="A312" s="206" t="s">
        <v>194</v>
      </c>
      <c r="B312" s="245" t="s">
        <v>1829</v>
      </c>
      <c r="C312" s="77" t="s">
        <v>1831</v>
      </c>
      <c r="D312" s="77" t="s">
        <v>1832</v>
      </c>
      <c r="E312" s="77" t="s">
        <v>1833</v>
      </c>
      <c r="F312" s="77"/>
      <c r="G312" s="77"/>
      <c r="H312" s="77"/>
      <c r="I312" s="212"/>
      <c r="J312" s="208" t="s">
        <v>3286</v>
      </c>
      <c r="K312" s="208"/>
      <c r="L312" s="208"/>
      <c r="M312" s="208"/>
      <c r="N312" s="208"/>
      <c r="O312" s="208"/>
      <c r="P312" s="208"/>
      <c r="Q312" s="208" t="s">
        <v>268</v>
      </c>
      <c r="R312" s="208"/>
      <c r="S312" s="208"/>
      <c r="T312" s="208"/>
      <c r="U312" s="208"/>
      <c r="V312" s="208"/>
      <c r="W312" s="208"/>
      <c r="X312" s="208"/>
      <c r="Y312" s="208"/>
      <c r="Z312" s="208"/>
      <c r="AA312" s="208"/>
      <c r="AB312" s="208"/>
      <c r="AC312" s="208"/>
      <c r="AD312" s="102"/>
      <c r="AE312" s="102"/>
      <c r="AF312" s="102"/>
      <c r="AG312" s="102"/>
      <c r="AH312" s="102"/>
      <c r="AI312" s="102"/>
      <c r="AJ312" s="102"/>
      <c r="AK312" s="102"/>
      <c r="AL312" s="102"/>
      <c r="AM312" s="102"/>
      <c r="AN312" s="102"/>
      <c r="AO312" s="102"/>
      <c r="AP312" s="102"/>
      <c r="AQ312" s="102"/>
      <c r="AR312" s="102"/>
      <c r="AS312" s="102"/>
      <c r="AT312" s="102"/>
    </row>
    <row r="313" ht="15.75" customHeight="1">
      <c r="A313" s="206" t="s">
        <v>194</v>
      </c>
      <c r="B313" s="245" t="s">
        <v>1834</v>
      </c>
      <c r="C313" s="77" t="s">
        <v>1839</v>
      </c>
      <c r="D313" s="77" t="s">
        <v>1840</v>
      </c>
      <c r="E313" s="77" t="s">
        <v>1841</v>
      </c>
      <c r="F313" s="77"/>
      <c r="G313" s="77"/>
      <c r="H313" s="77"/>
      <c r="I313" s="212"/>
      <c r="J313" s="208" t="s">
        <v>3286</v>
      </c>
      <c r="K313" s="208"/>
      <c r="L313" s="208"/>
      <c r="M313" s="208"/>
      <c r="N313" s="208"/>
      <c r="O313" s="208"/>
      <c r="P313" s="208"/>
      <c r="Q313" s="208" t="s">
        <v>268</v>
      </c>
      <c r="R313" s="208"/>
      <c r="S313" s="208"/>
      <c r="T313" s="208"/>
      <c r="U313" s="208"/>
      <c r="V313" s="208"/>
      <c r="W313" s="208"/>
      <c r="X313" s="208"/>
      <c r="Y313" s="208"/>
      <c r="Z313" s="208"/>
      <c r="AA313" s="208"/>
      <c r="AB313" s="208"/>
      <c r="AC313" s="208"/>
      <c r="AD313" s="102"/>
      <c r="AE313" s="102"/>
      <c r="AF313" s="102"/>
      <c r="AG313" s="102"/>
      <c r="AH313" s="102"/>
      <c r="AI313" s="102"/>
      <c r="AJ313" s="102"/>
      <c r="AK313" s="102"/>
      <c r="AL313" s="102"/>
      <c r="AM313" s="102"/>
      <c r="AN313" s="102"/>
      <c r="AO313" s="102"/>
      <c r="AP313" s="102"/>
      <c r="AQ313" s="102"/>
      <c r="AR313" s="102"/>
      <c r="AS313" s="102"/>
      <c r="AT313" s="102"/>
    </row>
    <row r="314" ht="15.75" customHeight="1">
      <c r="A314" s="206" t="s">
        <v>194</v>
      </c>
      <c r="B314" s="245" t="s">
        <v>1842</v>
      </c>
      <c r="C314" s="77" t="s">
        <v>1846</v>
      </c>
      <c r="D314" s="77" t="s">
        <v>1847</v>
      </c>
      <c r="E314" s="77" t="s">
        <v>1848</v>
      </c>
      <c r="F314" s="77"/>
      <c r="G314" s="77"/>
      <c r="H314" s="77"/>
      <c r="I314" s="212"/>
      <c r="J314" s="208" t="s">
        <v>3286</v>
      </c>
      <c r="K314" s="208"/>
      <c r="L314" s="208"/>
      <c r="M314" s="208"/>
      <c r="N314" s="208"/>
      <c r="O314" s="208"/>
      <c r="P314" s="208"/>
      <c r="Q314" s="208" t="s">
        <v>268</v>
      </c>
      <c r="R314" s="208"/>
      <c r="S314" s="208"/>
      <c r="T314" s="208"/>
      <c r="U314" s="208"/>
      <c r="V314" s="208"/>
      <c r="W314" s="208"/>
      <c r="X314" s="208"/>
      <c r="Y314" s="208"/>
      <c r="Z314" s="208"/>
      <c r="AA314" s="208"/>
      <c r="AB314" s="208"/>
      <c r="AC314" s="208"/>
      <c r="AD314" s="102"/>
      <c r="AE314" s="102"/>
      <c r="AF314" s="102"/>
      <c r="AG314" s="102"/>
      <c r="AH314" s="102"/>
      <c r="AI314" s="102"/>
      <c r="AJ314" s="102"/>
      <c r="AK314" s="102"/>
      <c r="AL314" s="102"/>
      <c r="AM314" s="102"/>
      <c r="AN314" s="102"/>
      <c r="AO314" s="102"/>
      <c r="AP314" s="102"/>
      <c r="AQ314" s="102"/>
      <c r="AR314" s="102"/>
      <c r="AS314" s="102"/>
      <c r="AT314" s="102"/>
    </row>
    <row r="315" ht="15.75" customHeight="1">
      <c r="A315" s="206" t="s">
        <v>194</v>
      </c>
      <c r="B315" s="245" t="s">
        <v>1849</v>
      </c>
      <c r="C315" s="77" t="s">
        <v>1855</v>
      </c>
      <c r="D315" s="77" t="s">
        <v>1856</v>
      </c>
      <c r="E315" s="77" t="s">
        <v>1857</v>
      </c>
      <c r="F315" s="77"/>
      <c r="G315" s="77"/>
      <c r="H315" s="77"/>
      <c r="I315" s="212"/>
      <c r="J315" s="208" t="s">
        <v>3286</v>
      </c>
      <c r="K315" s="208"/>
      <c r="L315" s="208"/>
      <c r="M315" s="208"/>
      <c r="N315" s="357" t="s">
        <v>5048</v>
      </c>
      <c r="O315" s="208"/>
      <c r="P315" s="208"/>
      <c r="Q315" s="208" t="s">
        <v>268</v>
      </c>
      <c r="R315" s="208"/>
      <c r="S315" s="208"/>
      <c r="T315" s="208"/>
      <c r="U315" s="208"/>
      <c r="V315" s="208"/>
      <c r="W315" s="208"/>
      <c r="X315" s="208"/>
      <c r="Y315" s="208"/>
      <c r="Z315" s="208"/>
      <c r="AA315" s="208"/>
      <c r="AB315" s="208"/>
      <c r="AC315" s="208"/>
      <c r="AD315" s="102"/>
      <c r="AE315" s="102"/>
      <c r="AF315" s="102"/>
      <c r="AG315" s="102"/>
      <c r="AH315" s="102"/>
      <c r="AI315" s="102"/>
      <c r="AJ315" s="102"/>
      <c r="AK315" s="102"/>
      <c r="AL315" s="102"/>
      <c r="AM315" s="102"/>
      <c r="AN315" s="102"/>
      <c r="AO315" s="102"/>
      <c r="AP315" s="102"/>
      <c r="AQ315" s="102"/>
      <c r="AR315" s="102"/>
      <c r="AS315" s="102"/>
      <c r="AT315" s="102"/>
    </row>
    <row r="316" ht="15.75" customHeight="1">
      <c r="A316" s="197" t="s">
        <v>735</v>
      </c>
      <c r="B316" s="96" t="s">
        <v>5005</v>
      </c>
      <c r="C316" s="96"/>
      <c r="D316" s="96"/>
      <c r="E316" s="96"/>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102"/>
      <c r="AE316" s="102"/>
      <c r="AF316" s="102"/>
      <c r="AG316" s="102"/>
      <c r="AH316" s="102"/>
      <c r="AI316" s="102"/>
      <c r="AJ316" s="102"/>
      <c r="AK316" s="102"/>
      <c r="AL316" s="102"/>
      <c r="AM316" s="102"/>
      <c r="AN316" s="102"/>
      <c r="AO316" s="102"/>
      <c r="AP316" s="102"/>
      <c r="AQ316" s="102"/>
      <c r="AR316" s="102"/>
      <c r="AS316" s="102"/>
      <c r="AT316" s="102"/>
    </row>
    <row r="317" ht="15.75" customHeight="1">
      <c r="A317" s="197" t="s">
        <v>735</v>
      </c>
      <c r="B317" s="96" t="s">
        <v>4959</v>
      </c>
      <c r="C317" s="96"/>
      <c r="D317" s="96"/>
      <c r="E317" s="96"/>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102"/>
      <c r="AE317" s="102"/>
      <c r="AF317" s="102"/>
      <c r="AG317" s="102"/>
      <c r="AH317" s="102"/>
      <c r="AI317" s="102"/>
      <c r="AJ317" s="102"/>
      <c r="AK317" s="102"/>
      <c r="AL317" s="102"/>
      <c r="AM317" s="102"/>
      <c r="AN317" s="102"/>
      <c r="AO317" s="102"/>
      <c r="AP317" s="102"/>
      <c r="AQ317" s="102"/>
      <c r="AR317" s="102"/>
      <c r="AS317" s="102"/>
      <c r="AT317" s="102"/>
    </row>
    <row r="318" ht="15.75" customHeight="1">
      <c r="A318" s="198" t="s">
        <v>42</v>
      </c>
      <c r="B318" s="199" t="s">
        <v>1867</v>
      </c>
      <c r="C318" s="77" t="s">
        <v>1871</v>
      </c>
      <c r="D318" s="77" t="s">
        <v>1872</v>
      </c>
      <c r="E318" s="77" t="s">
        <v>1873</v>
      </c>
      <c r="F318" s="77"/>
      <c r="G318" s="77"/>
      <c r="H318" s="77"/>
      <c r="I318" s="200"/>
      <c r="J318" s="200"/>
      <c r="K318" s="200"/>
      <c r="L318" s="200"/>
      <c r="M318" s="200"/>
      <c r="N318" s="200"/>
      <c r="O318" s="200"/>
      <c r="P318" s="200"/>
      <c r="Q318" s="200"/>
      <c r="R318" s="200"/>
      <c r="S318" s="200"/>
      <c r="T318" s="200"/>
      <c r="U318" s="200"/>
      <c r="V318" s="200"/>
      <c r="W318" s="200"/>
      <c r="X318" s="200"/>
      <c r="Y318" s="200"/>
      <c r="Z318" s="200"/>
      <c r="AA318" s="200"/>
      <c r="AB318" s="200"/>
      <c r="AC318" s="200"/>
      <c r="AD318" s="102"/>
      <c r="AE318" s="102"/>
      <c r="AF318" s="102"/>
      <c r="AG318" s="102"/>
      <c r="AH318" s="102"/>
      <c r="AI318" s="102"/>
      <c r="AJ318" s="102"/>
      <c r="AK318" s="102"/>
      <c r="AL318" s="102"/>
      <c r="AM318" s="102"/>
      <c r="AN318" s="102"/>
      <c r="AO318" s="102"/>
      <c r="AP318" s="102"/>
      <c r="AQ318" s="102"/>
      <c r="AR318" s="102"/>
      <c r="AS318" s="102"/>
      <c r="AT318" s="102"/>
    </row>
    <row r="319" ht="15.75" customHeight="1">
      <c r="A319" s="197" t="s">
        <v>735</v>
      </c>
      <c r="B319" s="96" t="s">
        <v>1945</v>
      </c>
      <c r="C319" s="96" t="s">
        <v>1948</v>
      </c>
      <c r="D319" s="96"/>
      <c r="E319" s="96"/>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102"/>
      <c r="AE319" s="102"/>
      <c r="AF319" s="102"/>
      <c r="AG319" s="102"/>
      <c r="AH319" s="102"/>
      <c r="AI319" s="102"/>
      <c r="AJ319" s="102"/>
      <c r="AK319" s="102"/>
      <c r="AL319" s="102"/>
      <c r="AM319" s="102"/>
      <c r="AN319" s="102"/>
      <c r="AO319" s="102"/>
      <c r="AP319" s="102"/>
      <c r="AQ319" s="102"/>
      <c r="AR319" s="102"/>
      <c r="AS319" s="102"/>
      <c r="AT319" s="102"/>
    </row>
    <row r="320" ht="15.75" customHeight="1">
      <c r="A320" s="90" t="s">
        <v>183</v>
      </c>
      <c r="B320" s="91" t="s">
        <v>5075</v>
      </c>
      <c r="C320" s="93"/>
      <c r="D320" s="96"/>
      <c r="E320" s="96"/>
      <c r="F320" s="97"/>
      <c r="G320" s="97"/>
      <c r="H320" s="97"/>
      <c r="I320" s="97"/>
      <c r="J320" s="98"/>
      <c r="K320" s="97"/>
      <c r="L320" s="97"/>
      <c r="M320" s="98"/>
      <c r="N320" s="98"/>
      <c r="O320" s="99"/>
      <c r="P320" s="100"/>
      <c r="Q320" s="100"/>
      <c r="R320" s="100"/>
      <c r="S320" s="97"/>
      <c r="T320" s="101" t="s">
        <v>211</v>
      </c>
      <c r="U320" s="97"/>
      <c r="V320" s="97"/>
      <c r="W320" s="97"/>
      <c r="X320" s="97"/>
      <c r="Y320" s="97"/>
      <c r="Z320" s="97"/>
      <c r="AA320" s="97"/>
      <c r="AB320" s="97"/>
      <c r="AC320" s="97"/>
      <c r="AD320" s="102"/>
      <c r="AE320" s="102"/>
      <c r="AF320" s="102"/>
      <c r="AG320" s="102"/>
      <c r="AH320" s="102"/>
      <c r="AI320" s="102"/>
      <c r="AJ320" s="102"/>
      <c r="AK320" s="102"/>
      <c r="AL320" s="102"/>
      <c r="AM320" s="102"/>
      <c r="AN320" s="102"/>
      <c r="AO320" s="102"/>
      <c r="AP320" s="102"/>
      <c r="AQ320" s="102"/>
      <c r="AR320" s="102"/>
      <c r="AS320" s="102"/>
      <c r="AT320" s="102"/>
    </row>
    <row r="321" ht="15.75" customHeight="1">
      <c r="A321" s="90" t="s">
        <v>116</v>
      </c>
      <c r="B321" s="91" t="s">
        <v>5081</v>
      </c>
      <c r="C321" s="93"/>
      <c r="D321" s="96"/>
      <c r="E321" s="96"/>
      <c r="F321" s="97"/>
      <c r="G321" s="97"/>
      <c r="H321" s="97"/>
      <c r="I321" s="98"/>
      <c r="J321" s="98"/>
      <c r="K321" s="97"/>
      <c r="L321" s="98"/>
      <c r="M321" s="98"/>
      <c r="N321" s="98"/>
      <c r="O321" s="236"/>
      <c r="P321" s="100"/>
      <c r="Q321" s="100"/>
      <c r="R321" s="100"/>
      <c r="S321" s="97"/>
      <c r="T321" s="238" t="s">
        <v>5082</v>
      </c>
      <c r="U321" s="97"/>
      <c r="V321" s="97"/>
      <c r="W321" s="97"/>
      <c r="X321" s="97"/>
      <c r="Y321" s="97"/>
      <c r="Z321" s="97"/>
      <c r="AA321" s="97"/>
      <c r="AB321" s="97"/>
      <c r="AC321" s="97"/>
      <c r="AD321" s="102"/>
      <c r="AE321" s="102"/>
      <c r="AF321" s="102"/>
      <c r="AG321" s="102"/>
      <c r="AH321" s="102"/>
      <c r="AI321" s="102"/>
      <c r="AJ321" s="102"/>
      <c r="AK321" s="102"/>
      <c r="AL321" s="102"/>
      <c r="AM321" s="102"/>
      <c r="AN321" s="102"/>
      <c r="AO321" s="102"/>
      <c r="AP321" s="102"/>
      <c r="AQ321" s="102"/>
      <c r="AR321" s="102"/>
      <c r="AS321" s="102"/>
      <c r="AT321" s="102"/>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65"/>
      <c r="AF322" s="165"/>
      <c r="AG322" s="165"/>
      <c r="AH322" s="165"/>
      <c r="AI322" s="165"/>
      <c r="AJ322" s="165"/>
      <c r="AK322" s="165"/>
      <c r="AL322" s="165"/>
      <c r="AM322" s="165"/>
      <c r="AN322" s="165"/>
      <c r="AO322" s="165"/>
      <c r="AP322" s="165"/>
      <c r="AQ322" s="165"/>
      <c r="AR322" s="165"/>
      <c r="AS322" s="165"/>
      <c r="AT322" s="165"/>
    </row>
    <row r="323" ht="15.75" customHeight="1">
      <c r="A323" s="90" t="s">
        <v>183</v>
      </c>
      <c r="B323" s="91" t="s">
        <v>5084</v>
      </c>
      <c r="C323" s="93"/>
      <c r="D323" s="96"/>
      <c r="E323" s="96"/>
      <c r="F323" s="97"/>
      <c r="G323" s="97"/>
      <c r="H323" s="97"/>
      <c r="I323" s="97"/>
      <c r="J323" s="98"/>
      <c r="K323" s="97"/>
      <c r="L323" s="97"/>
      <c r="M323" s="98"/>
      <c r="N323" s="98"/>
      <c r="O323" s="99"/>
      <c r="P323" s="100"/>
      <c r="Q323" s="100"/>
      <c r="R323" s="100"/>
      <c r="S323" s="97"/>
      <c r="T323" s="101" t="s">
        <v>211</v>
      </c>
      <c r="U323" s="97"/>
      <c r="V323" s="97"/>
      <c r="W323" s="97"/>
      <c r="X323" s="97"/>
      <c r="Y323" s="97"/>
      <c r="Z323" s="97"/>
      <c r="AA323" s="97"/>
      <c r="AB323" s="97"/>
      <c r="AC323" s="97"/>
      <c r="AD323" s="102"/>
      <c r="AE323" s="102"/>
      <c r="AF323" s="102"/>
      <c r="AG323" s="102"/>
      <c r="AH323" s="102"/>
      <c r="AI323" s="102"/>
      <c r="AJ323" s="102"/>
      <c r="AK323" s="102"/>
      <c r="AL323" s="102"/>
      <c r="AM323" s="102"/>
      <c r="AN323" s="102"/>
      <c r="AO323" s="102"/>
      <c r="AP323" s="102"/>
      <c r="AQ323" s="102"/>
      <c r="AR323" s="102"/>
      <c r="AS323" s="102"/>
      <c r="AT323" s="102"/>
    </row>
    <row r="324" ht="15.75" customHeight="1">
      <c r="A324" s="295" t="s">
        <v>227</v>
      </c>
      <c r="B324" s="360" t="s">
        <v>5085</v>
      </c>
      <c r="C324" s="296" t="s">
        <v>5086</v>
      </c>
      <c r="D324" s="298"/>
      <c r="E324" s="298"/>
      <c r="F324" s="298"/>
      <c r="G324" s="298"/>
      <c r="H324" s="298"/>
      <c r="I324" s="298"/>
      <c r="J324" s="299"/>
      <c r="K324" s="298"/>
      <c r="L324" s="298"/>
      <c r="M324" s="299"/>
      <c r="N324" s="299"/>
      <c r="O324" s="357" t="s">
        <v>5087</v>
      </c>
      <c r="P324" s="303"/>
      <c r="Q324" s="303"/>
      <c r="R324" s="298"/>
      <c r="S324" s="298"/>
      <c r="T324" s="298"/>
      <c r="U324" s="298"/>
      <c r="V324" s="298"/>
      <c r="W324" s="298"/>
      <c r="X324" s="298"/>
      <c r="Y324" s="298"/>
      <c r="Z324" s="298"/>
      <c r="AA324" s="298"/>
      <c r="AB324" s="298"/>
      <c r="AC324" s="298"/>
      <c r="AD324" s="102"/>
      <c r="AE324" s="102"/>
      <c r="AF324" s="102"/>
      <c r="AG324" s="102"/>
      <c r="AH324" s="102"/>
      <c r="AI324" s="102"/>
      <c r="AJ324" s="102"/>
      <c r="AK324" s="102"/>
      <c r="AL324" s="102"/>
      <c r="AM324" s="102"/>
      <c r="AN324" s="102"/>
      <c r="AO324" s="102"/>
      <c r="AP324" s="102"/>
      <c r="AQ324" s="102"/>
      <c r="AR324" s="102"/>
      <c r="AS324" s="102"/>
      <c r="AT324" s="102"/>
    </row>
    <row r="325" ht="15.75" customHeight="1">
      <c r="A325" s="289" t="s">
        <v>42</v>
      </c>
      <c r="B325" s="361" t="s">
        <v>1893</v>
      </c>
      <c r="C325" s="77" t="s">
        <v>1896</v>
      </c>
      <c r="D325" s="77">
        <v>198.0</v>
      </c>
      <c r="E325" s="77">
        <v>198.0</v>
      </c>
      <c r="F325" s="77"/>
      <c r="G325" s="77"/>
      <c r="H325" s="77"/>
      <c r="I325" s="291"/>
      <c r="J325" s="291"/>
      <c r="K325" s="291"/>
      <c r="L325" s="291"/>
      <c r="M325" s="291"/>
      <c r="N325" s="291"/>
      <c r="O325" s="291"/>
      <c r="P325" s="291"/>
      <c r="Q325" s="291"/>
      <c r="R325" s="291"/>
      <c r="S325" s="291"/>
      <c r="T325" s="291"/>
      <c r="U325" s="291"/>
      <c r="V325" s="291"/>
      <c r="W325" s="291"/>
      <c r="X325" s="291"/>
      <c r="Y325" s="291"/>
      <c r="Z325" s="291"/>
      <c r="AA325" s="291"/>
      <c r="AB325" s="291"/>
      <c r="AC325" s="291"/>
      <c r="AD325" s="102"/>
      <c r="AE325" s="102"/>
      <c r="AF325" s="102"/>
      <c r="AG325" s="102"/>
      <c r="AH325" s="102"/>
      <c r="AI325" s="102"/>
      <c r="AJ325" s="102"/>
      <c r="AK325" s="102"/>
      <c r="AL325" s="102"/>
      <c r="AM325" s="102"/>
      <c r="AN325" s="102"/>
      <c r="AO325" s="102"/>
      <c r="AP325" s="102"/>
      <c r="AQ325" s="102"/>
      <c r="AR325" s="102"/>
      <c r="AS325" s="102"/>
      <c r="AT325" s="102"/>
    </row>
    <row r="326" ht="15.75" customHeight="1">
      <c r="A326" s="259" t="s">
        <v>116</v>
      </c>
      <c r="B326" s="362" t="s">
        <v>5089</v>
      </c>
      <c r="C326" s="261"/>
      <c r="D326" s="261"/>
      <c r="E326" s="261"/>
      <c r="F326" s="262"/>
      <c r="G326" s="262"/>
      <c r="H326" s="262"/>
      <c r="I326" s="262"/>
      <c r="J326" s="262"/>
      <c r="K326" s="262"/>
      <c r="L326" s="262"/>
      <c r="M326" s="262"/>
      <c r="N326" s="262"/>
      <c r="O326" s="262"/>
      <c r="P326" s="262"/>
      <c r="Q326" s="262"/>
      <c r="R326" s="262"/>
      <c r="S326" s="262"/>
      <c r="T326" s="363" t="s">
        <v>5090</v>
      </c>
      <c r="U326" s="264"/>
      <c r="V326" s="262"/>
      <c r="W326" s="262"/>
      <c r="X326" s="262"/>
      <c r="Y326" s="262"/>
      <c r="Z326" s="262"/>
      <c r="AA326" s="262"/>
      <c r="AB326" s="262"/>
      <c r="AC326" s="262"/>
      <c r="AD326" s="147"/>
      <c r="AE326" s="147"/>
      <c r="AF326" s="147"/>
      <c r="AG326" s="147"/>
      <c r="AH326" s="147"/>
      <c r="AI326" s="147"/>
      <c r="AJ326" s="147"/>
      <c r="AK326" s="147"/>
      <c r="AL326" s="147"/>
      <c r="AM326" s="147"/>
      <c r="AN326" s="147"/>
      <c r="AO326" s="102"/>
      <c r="AP326" s="102"/>
      <c r="AQ326" s="102"/>
      <c r="AR326" s="102"/>
      <c r="AS326" s="102"/>
      <c r="AT326" s="102"/>
    </row>
    <row r="327" ht="15.75" customHeight="1">
      <c r="A327" s="249" t="s">
        <v>2279</v>
      </c>
      <c r="B327" s="364" t="s">
        <v>5093</v>
      </c>
      <c r="C327" s="250" t="s">
        <v>5096</v>
      </c>
      <c r="D327" s="251"/>
      <c r="E327" s="251"/>
      <c r="F327" s="252"/>
      <c r="G327" s="252"/>
      <c r="H327" s="252"/>
      <c r="I327" s="252"/>
      <c r="J327" s="252"/>
      <c r="K327" s="252"/>
      <c r="L327" s="252"/>
      <c r="M327" s="253"/>
      <c r="N327" s="253"/>
      <c r="O327" s="253"/>
      <c r="P327" s="252"/>
      <c r="Q327" s="252"/>
      <c r="R327" s="252"/>
      <c r="S327" s="252"/>
      <c r="T327" s="255"/>
      <c r="U327" s="254" t="s">
        <v>5097</v>
      </c>
      <c r="V327" s="252"/>
      <c r="W327" s="252"/>
      <c r="X327" s="252"/>
      <c r="Y327" s="252"/>
      <c r="Z327" s="252"/>
      <c r="AA327" s="252"/>
      <c r="AB327" s="252"/>
      <c r="AC327" s="252"/>
      <c r="AD327" s="147"/>
      <c r="AE327" s="147"/>
      <c r="AF327" s="147"/>
      <c r="AG327" s="147"/>
      <c r="AH327" s="147"/>
      <c r="AI327" s="147"/>
      <c r="AJ327" s="147"/>
      <c r="AK327" s="147"/>
      <c r="AL327" s="147"/>
      <c r="AM327" s="147"/>
      <c r="AN327" s="147"/>
      <c r="AO327" s="102"/>
      <c r="AP327" s="102"/>
      <c r="AQ327" s="102"/>
      <c r="AR327" s="102"/>
      <c r="AS327" s="102"/>
      <c r="AT327" s="102"/>
    </row>
    <row r="328" ht="15.75" customHeight="1">
      <c r="A328" s="259" t="s">
        <v>116</v>
      </c>
      <c r="B328" s="365" t="s">
        <v>5101</v>
      </c>
      <c r="C328" s="261"/>
      <c r="D328" s="261"/>
      <c r="E328" s="261"/>
      <c r="F328" s="262"/>
      <c r="G328" s="262"/>
      <c r="H328" s="262"/>
      <c r="I328" s="262"/>
      <c r="J328" s="262"/>
      <c r="K328" s="262"/>
      <c r="L328" s="262"/>
      <c r="M328" s="262"/>
      <c r="N328" s="262"/>
      <c r="O328" s="262"/>
      <c r="P328" s="262"/>
      <c r="Q328" s="262"/>
      <c r="R328" s="262"/>
      <c r="S328" s="262"/>
      <c r="T328" s="363" t="s">
        <v>2778</v>
      </c>
      <c r="U328" s="264"/>
      <c r="V328" s="262"/>
      <c r="W328" s="262"/>
      <c r="X328" s="262"/>
      <c r="Y328" s="262"/>
      <c r="Z328" s="262"/>
      <c r="AA328" s="262"/>
      <c r="AB328" s="262"/>
      <c r="AC328" s="262"/>
      <c r="AD328" s="147"/>
      <c r="AE328" s="147"/>
      <c r="AF328" s="147"/>
      <c r="AG328" s="147"/>
      <c r="AH328" s="147"/>
      <c r="AI328" s="147"/>
      <c r="AJ328" s="147"/>
      <c r="AK328" s="147"/>
      <c r="AL328" s="147"/>
      <c r="AM328" s="147"/>
      <c r="AN328" s="147"/>
      <c r="AO328" s="102"/>
      <c r="AP328" s="102"/>
      <c r="AQ328" s="102"/>
      <c r="AR328" s="102"/>
      <c r="AS328" s="102"/>
      <c r="AT328" s="102"/>
    </row>
    <row r="329" ht="15.75" customHeight="1">
      <c r="A329" s="259" t="s">
        <v>116</v>
      </c>
      <c r="B329" s="362" t="s">
        <v>5105</v>
      </c>
      <c r="C329" s="261"/>
      <c r="D329" s="261"/>
      <c r="E329" s="261"/>
      <c r="F329" s="262"/>
      <c r="G329" s="262"/>
      <c r="H329" s="262"/>
      <c r="I329" s="262"/>
      <c r="J329" s="262"/>
      <c r="K329" s="262"/>
      <c r="L329" s="262"/>
      <c r="M329" s="262"/>
      <c r="N329" s="262"/>
      <c r="O329" s="262" t="s">
        <v>5109</v>
      </c>
      <c r="P329" s="262"/>
      <c r="Q329" s="262"/>
      <c r="R329" s="262"/>
      <c r="S329" s="262"/>
      <c r="T329" s="363" t="s">
        <v>5110</v>
      </c>
      <c r="U329" s="264"/>
      <c r="V329" s="264"/>
      <c r="W329" s="264"/>
      <c r="X329" s="262"/>
      <c r="Y329" s="262"/>
      <c r="Z329" s="262"/>
      <c r="AA329" s="262"/>
      <c r="AB329" s="262"/>
      <c r="AC329" s="262"/>
      <c r="AD329" s="147"/>
      <c r="AE329" s="147"/>
      <c r="AF329" s="147"/>
      <c r="AG329" s="147"/>
      <c r="AH329" s="147"/>
      <c r="AI329" s="147"/>
      <c r="AJ329" s="147"/>
      <c r="AK329" s="147"/>
      <c r="AL329" s="147"/>
      <c r="AM329" s="147"/>
      <c r="AN329" s="147"/>
      <c r="AO329" s="102"/>
      <c r="AP329" s="102"/>
      <c r="AQ329" s="102"/>
      <c r="AR329" s="102"/>
      <c r="AS329" s="102"/>
      <c r="AT329" s="102"/>
    </row>
    <row r="330" ht="15.75" customHeight="1">
      <c r="A330" s="259" t="s">
        <v>116</v>
      </c>
      <c r="B330" s="362" t="s">
        <v>5114</v>
      </c>
      <c r="C330" s="261"/>
      <c r="D330" s="261"/>
      <c r="E330" s="261"/>
      <c r="F330" s="262"/>
      <c r="G330" s="262"/>
      <c r="H330" s="262"/>
      <c r="I330" s="262"/>
      <c r="J330" s="262"/>
      <c r="K330" s="262"/>
      <c r="L330" s="262"/>
      <c r="M330" s="262"/>
      <c r="N330" s="262"/>
      <c r="O330" s="262"/>
      <c r="P330" s="262"/>
      <c r="Q330" s="262"/>
      <c r="R330" s="262"/>
      <c r="S330" s="262"/>
      <c r="T330" s="363" t="s">
        <v>5118</v>
      </c>
      <c r="U330" s="264"/>
      <c r="V330" s="264"/>
      <c r="W330" s="264"/>
      <c r="X330" s="262"/>
      <c r="Y330" s="262"/>
      <c r="Z330" s="262"/>
      <c r="AA330" s="262"/>
      <c r="AB330" s="262"/>
      <c r="AC330" s="262"/>
      <c r="AD330" s="147"/>
      <c r="AE330" s="147"/>
      <c r="AF330" s="147"/>
      <c r="AG330" s="147"/>
      <c r="AH330" s="147"/>
      <c r="AI330" s="147"/>
      <c r="AJ330" s="147"/>
      <c r="AK330" s="147"/>
      <c r="AL330" s="147"/>
      <c r="AM330" s="147"/>
      <c r="AN330" s="147"/>
      <c r="AO330" s="102"/>
      <c r="AP330" s="102"/>
      <c r="AQ330" s="102"/>
      <c r="AR330" s="102"/>
      <c r="AS330" s="102"/>
      <c r="AT330" s="102"/>
    </row>
    <row r="331" ht="15.75" customHeight="1">
      <c r="A331" s="259" t="s">
        <v>116</v>
      </c>
      <c r="B331" s="362" t="s">
        <v>5119</v>
      </c>
      <c r="C331" s="261"/>
      <c r="D331" s="261"/>
      <c r="E331" s="261"/>
      <c r="F331" s="262"/>
      <c r="G331" s="262"/>
      <c r="H331" s="262"/>
      <c r="I331" s="262"/>
      <c r="J331" s="262"/>
      <c r="K331" s="262"/>
      <c r="L331" s="262"/>
      <c r="M331" s="262"/>
      <c r="N331" s="262"/>
      <c r="O331" s="262"/>
      <c r="P331" s="262"/>
      <c r="Q331" s="262"/>
      <c r="R331" s="262"/>
      <c r="S331" s="262"/>
      <c r="T331" s="363" t="s">
        <v>5123</v>
      </c>
      <c r="U331" s="264"/>
      <c r="V331" s="264"/>
      <c r="W331" s="264"/>
      <c r="X331" s="262"/>
      <c r="Y331" s="262"/>
      <c r="Z331" s="262"/>
      <c r="AA331" s="262"/>
      <c r="AB331" s="262"/>
      <c r="AC331" s="262"/>
      <c r="AD331" s="147"/>
      <c r="AE331" s="147"/>
      <c r="AF331" s="147"/>
      <c r="AG331" s="147"/>
      <c r="AH331" s="147"/>
      <c r="AI331" s="147"/>
      <c r="AJ331" s="147"/>
      <c r="AK331" s="147"/>
      <c r="AL331" s="147"/>
      <c r="AM331" s="147"/>
      <c r="AN331" s="147"/>
      <c r="AO331" s="102"/>
      <c r="AP331" s="102"/>
      <c r="AQ331" s="102"/>
      <c r="AR331" s="102"/>
      <c r="AS331" s="102"/>
      <c r="AT331" s="102"/>
    </row>
    <row r="332" ht="15.75" customHeight="1">
      <c r="A332" s="259" t="s">
        <v>116</v>
      </c>
      <c r="B332" s="362" t="s">
        <v>5127</v>
      </c>
      <c r="C332" s="261"/>
      <c r="D332" s="261"/>
      <c r="E332" s="261"/>
      <c r="F332" s="262"/>
      <c r="G332" s="262"/>
      <c r="H332" s="262"/>
      <c r="I332" s="262"/>
      <c r="J332" s="262"/>
      <c r="K332" s="262"/>
      <c r="L332" s="262"/>
      <c r="M332" s="262"/>
      <c r="N332" s="262"/>
      <c r="O332" s="262"/>
      <c r="P332" s="262"/>
      <c r="Q332" s="262"/>
      <c r="R332" s="262"/>
      <c r="S332" s="262"/>
      <c r="T332" s="363" t="s">
        <v>5128</v>
      </c>
      <c r="U332" s="264"/>
      <c r="V332" s="264"/>
      <c r="W332" s="264"/>
      <c r="X332" s="264"/>
      <c r="Y332" s="262"/>
      <c r="Z332" s="262"/>
      <c r="AA332" s="262"/>
      <c r="AB332" s="262"/>
      <c r="AC332" s="262"/>
      <c r="AD332" s="147"/>
      <c r="AE332" s="147"/>
      <c r="AF332" s="147"/>
      <c r="AG332" s="147"/>
      <c r="AH332" s="147"/>
      <c r="AI332" s="147"/>
      <c r="AJ332" s="147"/>
      <c r="AK332" s="147"/>
      <c r="AL332" s="147"/>
      <c r="AM332" s="147"/>
      <c r="AN332" s="147"/>
      <c r="AO332" s="102"/>
      <c r="AP332" s="102"/>
      <c r="AQ332" s="102"/>
      <c r="AR332" s="102"/>
      <c r="AS332" s="102"/>
      <c r="AT332" s="102"/>
    </row>
    <row r="333" ht="15.75" customHeight="1">
      <c r="A333" s="249" t="s">
        <v>2336</v>
      </c>
      <c r="B333" s="366" t="s">
        <v>5093</v>
      </c>
      <c r="C333" s="251"/>
      <c r="D333" s="251"/>
      <c r="E333" s="251"/>
      <c r="F333" s="252"/>
      <c r="G333" s="252"/>
      <c r="H333" s="252"/>
      <c r="I333" s="252"/>
      <c r="J333" s="252"/>
      <c r="K333" s="252"/>
      <c r="L333" s="252"/>
      <c r="M333" s="252"/>
      <c r="N333" s="252"/>
      <c r="O333" s="252"/>
      <c r="P333" s="252"/>
      <c r="Q333" s="252"/>
      <c r="R333" s="252"/>
      <c r="S333" s="252"/>
      <c r="T333" s="255"/>
      <c r="U333" s="255"/>
      <c r="V333" s="252"/>
      <c r="W333" s="252"/>
      <c r="X333" s="252"/>
      <c r="Y333" s="252"/>
      <c r="Z333" s="252"/>
      <c r="AA333" s="252"/>
      <c r="AB333" s="252"/>
      <c r="AC333" s="252"/>
      <c r="AD333" s="147"/>
      <c r="AE333" s="147"/>
      <c r="AF333" s="147"/>
      <c r="AG333" s="147"/>
      <c r="AH333" s="147"/>
      <c r="AI333" s="147"/>
      <c r="AJ333" s="147"/>
      <c r="AK333" s="147"/>
      <c r="AL333" s="147"/>
      <c r="AM333" s="147"/>
      <c r="AN333" s="147"/>
      <c r="AO333" s="102"/>
      <c r="AP333" s="102"/>
      <c r="AQ333" s="102"/>
      <c r="AR333" s="102"/>
      <c r="AS333" s="102"/>
      <c r="AT333" s="102"/>
    </row>
    <row r="334" ht="15.75" customHeight="1">
      <c r="A334" s="259" t="s">
        <v>116</v>
      </c>
      <c r="B334" s="362" t="s">
        <v>5133</v>
      </c>
      <c r="C334" s="261"/>
      <c r="D334" s="261"/>
      <c r="E334" s="261"/>
      <c r="F334" s="262"/>
      <c r="G334" s="262"/>
      <c r="H334" s="262"/>
      <c r="I334" s="262"/>
      <c r="J334" s="262"/>
      <c r="K334" s="262"/>
      <c r="L334" s="262"/>
      <c r="M334" s="262"/>
      <c r="N334" s="262"/>
      <c r="O334" s="262"/>
      <c r="P334" s="262"/>
      <c r="Q334" s="262"/>
      <c r="R334" s="262"/>
      <c r="S334" s="262"/>
      <c r="T334" s="363" t="s">
        <v>5136</v>
      </c>
      <c r="U334" s="264"/>
      <c r="V334" s="262"/>
      <c r="W334" s="262"/>
      <c r="X334" s="262"/>
      <c r="Y334" s="262"/>
      <c r="Z334" s="262"/>
      <c r="AA334" s="262"/>
      <c r="AB334" s="262"/>
      <c r="AC334" s="262"/>
      <c r="AD334" s="147"/>
      <c r="AE334" s="147"/>
      <c r="AF334" s="147"/>
      <c r="AG334" s="147"/>
      <c r="AH334" s="147"/>
      <c r="AI334" s="147"/>
      <c r="AJ334" s="147"/>
      <c r="AK334" s="147"/>
      <c r="AL334" s="147"/>
      <c r="AM334" s="147"/>
      <c r="AN334" s="147"/>
      <c r="AO334" s="102"/>
      <c r="AP334" s="102"/>
      <c r="AQ334" s="102"/>
      <c r="AR334" s="102"/>
      <c r="AS334" s="102"/>
      <c r="AT334" s="102"/>
    </row>
    <row r="335" ht="15.75" customHeight="1">
      <c r="A335" s="90" t="s">
        <v>183</v>
      </c>
      <c r="B335" s="239" t="s">
        <v>5138</v>
      </c>
      <c r="C335" s="93"/>
      <c r="D335" s="96"/>
      <c r="E335" s="96"/>
      <c r="F335" s="97"/>
      <c r="G335" s="97"/>
      <c r="H335" s="97"/>
      <c r="I335" s="97"/>
      <c r="J335" s="98"/>
      <c r="K335" s="97"/>
      <c r="L335" s="97"/>
      <c r="M335" s="98"/>
      <c r="N335" s="98"/>
      <c r="O335" s="99"/>
      <c r="P335" s="100"/>
      <c r="Q335" s="100"/>
      <c r="R335" s="100"/>
      <c r="S335" s="97"/>
      <c r="T335" s="101" t="s">
        <v>211</v>
      </c>
      <c r="U335" s="97"/>
      <c r="V335" s="97"/>
      <c r="W335" s="97"/>
      <c r="X335" s="97"/>
      <c r="Y335" s="97"/>
      <c r="Z335" s="97"/>
      <c r="AA335" s="97"/>
      <c r="AB335" s="97"/>
      <c r="AC335" s="97"/>
      <c r="AD335" s="102"/>
      <c r="AE335" s="102"/>
      <c r="AF335" s="102"/>
      <c r="AG335" s="102"/>
      <c r="AH335" s="102"/>
      <c r="AI335" s="102"/>
      <c r="AJ335" s="102"/>
      <c r="AK335" s="102"/>
      <c r="AL335" s="102"/>
      <c r="AM335" s="102"/>
      <c r="AN335" s="102"/>
      <c r="AO335" s="102"/>
      <c r="AP335" s="102"/>
      <c r="AQ335" s="102"/>
      <c r="AR335" s="102"/>
      <c r="AS335" s="102"/>
      <c r="AT335" s="102"/>
    </row>
    <row r="336" ht="15.75" customHeight="1">
      <c r="A336" s="269" t="s">
        <v>42</v>
      </c>
      <c r="B336" s="207" t="s">
        <v>1921</v>
      </c>
      <c r="C336" s="77" t="s">
        <v>1925</v>
      </c>
      <c r="D336" s="77" t="s">
        <v>1926</v>
      </c>
      <c r="E336" s="77" t="s">
        <v>1927</v>
      </c>
      <c r="F336" s="77"/>
      <c r="G336" s="77"/>
      <c r="H336" s="77"/>
      <c r="I336" s="211"/>
      <c r="J336" s="209"/>
      <c r="K336" s="211"/>
      <c r="L336" s="211"/>
      <c r="M336" s="211"/>
      <c r="N336" s="211"/>
      <c r="O336" s="211"/>
      <c r="P336" s="208"/>
      <c r="Q336" s="208"/>
      <c r="R336" s="208"/>
      <c r="S336" s="208"/>
      <c r="T336" s="211"/>
      <c r="U336" s="211"/>
      <c r="V336" s="208"/>
      <c r="W336" s="208"/>
      <c r="X336" s="208"/>
      <c r="Y336" s="208"/>
      <c r="Z336" s="208"/>
      <c r="AA336" s="208"/>
      <c r="AB336" s="208"/>
      <c r="AC336" s="208"/>
      <c r="AD336" s="170"/>
      <c r="AE336" s="170"/>
      <c r="AF336" s="170"/>
      <c r="AG336" s="170"/>
      <c r="AH336" s="170"/>
      <c r="AI336" s="170"/>
      <c r="AJ336" s="170"/>
      <c r="AK336" s="170"/>
      <c r="AL336" s="170"/>
      <c r="AM336" s="170"/>
      <c r="AN336" s="170"/>
      <c r="AO336" s="102"/>
      <c r="AP336" s="102"/>
      <c r="AQ336" s="102"/>
      <c r="AR336" s="102"/>
      <c r="AS336" s="102"/>
      <c r="AT336" s="102"/>
    </row>
    <row r="337" ht="15.75" customHeight="1">
      <c r="A337" s="206" t="s">
        <v>194</v>
      </c>
      <c r="B337" s="245" t="s">
        <v>1928</v>
      </c>
      <c r="C337" s="77" t="s">
        <v>5154</v>
      </c>
      <c r="D337" s="77" t="s">
        <v>5155</v>
      </c>
      <c r="E337" s="77" t="s">
        <v>5156</v>
      </c>
      <c r="F337" s="77"/>
      <c r="G337" s="77" t="s">
        <v>5158</v>
      </c>
      <c r="H337" s="77" t="s">
        <v>5159</v>
      </c>
      <c r="I337" s="211"/>
      <c r="J337" s="209"/>
      <c r="K337" s="211"/>
      <c r="L337" s="211"/>
      <c r="M337" s="211"/>
      <c r="N337" s="211"/>
      <c r="O337" s="211"/>
      <c r="P337" s="208"/>
      <c r="Q337" s="208" t="s">
        <v>268</v>
      </c>
      <c r="R337" s="208"/>
      <c r="S337" s="208"/>
      <c r="T337" s="208"/>
      <c r="U337" s="208"/>
      <c r="V337" s="208"/>
      <c r="W337" s="208"/>
      <c r="X337" s="208"/>
      <c r="Y337" s="208"/>
      <c r="Z337" s="208"/>
      <c r="AA337" s="208"/>
      <c r="AB337" s="208"/>
      <c r="AC337" s="208"/>
      <c r="AD337" s="170"/>
      <c r="AE337" s="170"/>
      <c r="AF337" s="170"/>
      <c r="AG337" s="170"/>
      <c r="AH337" s="170"/>
      <c r="AI337" s="170"/>
      <c r="AJ337" s="170"/>
      <c r="AK337" s="170"/>
      <c r="AL337" s="170"/>
      <c r="AM337" s="170"/>
      <c r="AN337" s="170"/>
      <c r="AO337" s="102"/>
      <c r="AP337" s="102"/>
      <c r="AQ337" s="102"/>
      <c r="AR337" s="102"/>
      <c r="AS337" s="102"/>
      <c r="AT337" s="102"/>
    </row>
    <row r="338" ht="15.75" customHeight="1">
      <c r="A338" s="265" t="s">
        <v>396</v>
      </c>
      <c r="B338" s="266" t="s">
        <v>1932</v>
      </c>
      <c r="C338" s="77" t="s">
        <v>1936</v>
      </c>
      <c r="D338" s="77" t="s">
        <v>1937</v>
      </c>
      <c r="E338" s="77" t="s">
        <v>1938</v>
      </c>
      <c r="F338" s="77"/>
      <c r="G338" s="77"/>
      <c r="H338" s="77"/>
      <c r="I338" s="293"/>
      <c r="J338" s="293"/>
      <c r="K338" s="268" t="s">
        <v>2786</v>
      </c>
      <c r="L338" s="367" t="s">
        <v>5164</v>
      </c>
      <c r="M338" s="267"/>
      <c r="N338" s="267"/>
      <c r="O338" s="293" t="s">
        <v>5168</v>
      </c>
      <c r="P338" s="267"/>
      <c r="Q338" s="267" t="s">
        <v>268</v>
      </c>
      <c r="R338" s="267"/>
      <c r="S338" s="267"/>
      <c r="T338" s="267"/>
      <c r="U338" s="267"/>
      <c r="V338" s="267"/>
      <c r="W338" s="267"/>
      <c r="X338" s="267"/>
      <c r="Y338" s="267"/>
      <c r="Z338" s="267"/>
      <c r="AA338" s="267"/>
      <c r="AB338" s="267"/>
      <c r="AC338" s="267"/>
      <c r="AD338" s="170"/>
      <c r="AE338" s="170"/>
      <c r="AF338" s="170"/>
      <c r="AG338" s="170"/>
      <c r="AH338" s="170"/>
      <c r="AI338" s="170"/>
      <c r="AJ338" s="170"/>
      <c r="AK338" s="170"/>
      <c r="AL338" s="170"/>
      <c r="AM338" s="170"/>
      <c r="AN338" s="170"/>
      <c r="AO338" s="102"/>
      <c r="AP338" s="102"/>
      <c r="AQ338" s="102"/>
      <c r="AR338" s="102"/>
      <c r="AS338" s="102"/>
      <c r="AT338" s="102"/>
    </row>
    <row r="339" ht="15.75" customHeight="1">
      <c r="A339" s="249" t="s">
        <v>2279</v>
      </c>
      <c r="B339" s="250" t="s">
        <v>5172</v>
      </c>
      <c r="C339" s="250" t="s">
        <v>5173</v>
      </c>
      <c r="D339" s="251"/>
      <c r="E339" s="251"/>
      <c r="F339" s="255"/>
      <c r="G339" s="255"/>
      <c r="H339" s="255"/>
      <c r="I339" s="255"/>
      <c r="J339" s="255"/>
      <c r="K339" s="252"/>
      <c r="L339" s="252"/>
      <c r="M339" s="253"/>
      <c r="N339" s="253"/>
      <c r="O339" s="254" t="s">
        <v>5168</v>
      </c>
      <c r="P339" s="252"/>
      <c r="Q339" s="252"/>
      <c r="R339" s="252"/>
      <c r="S339" s="252"/>
      <c r="T339" s="252"/>
      <c r="U339" s="371" t="s">
        <v>5176</v>
      </c>
      <c r="V339" s="252"/>
      <c r="W339" s="252"/>
      <c r="X339" s="252"/>
      <c r="Y339" s="252"/>
      <c r="Z339" s="252"/>
      <c r="AA339" s="252"/>
      <c r="AB339" s="252"/>
      <c r="AC339" s="252"/>
      <c r="AD339" s="170"/>
      <c r="AE339" s="170"/>
      <c r="AF339" s="170"/>
      <c r="AG339" s="170"/>
      <c r="AH339" s="170"/>
      <c r="AI339" s="170"/>
      <c r="AJ339" s="170"/>
      <c r="AK339" s="170"/>
      <c r="AL339" s="170"/>
      <c r="AM339" s="170"/>
      <c r="AN339" s="170"/>
      <c r="AO339" s="102"/>
      <c r="AP339" s="102"/>
      <c r="AQ339" s="102"/>
      <c r="AR339" s="102"/>
      <c r="AS339" s="102"/>
      <c r="AT339" s="102"/>
    </row>
    <row r="340" ht="15.75" customHeight="1">
      <c r="A340" s="259" t="s">
        <v>116</v>
      </c>
      <c r="B340" s="260" t="s">
        <v>5179</v>
      </c>
      <c r="C340" s="261" t="s">
        <v>5181</v>
      </c>
      <c r="D340" s="261"/>
      <c r="E340" s="261"/>
      <c r="F340" s="262"/>
      <c r="G340" s="262"/>
      <c r="H340" s="262"/>
      <c r="I340" s="262"/>
      <c r="J340" s="262"/>
      <c r="K340" s="262"/>
      <c r="L340" s="262"/>
      <c r="M340" s="262"/>
      <c r="N340" s="262"/>
      <c r="O340" s="262"/>
      <c r="P340" s="262"/>
      <c r="Q340" s="262"/>
      <c r="R340" s="262"/>
      <c r="S340" s="262"/>
      <c r="T340" s="263" t="s">
        <v>2778</v>
      </c>
      <c r="U340" s="262"/>
      <c r="V340" s="262"/>
      <c r="W340" s="262"/>
      <c r="X340" s="262"/>
      <c r="Y340" s="262"/>
      <c r="Z340" s="262"/>
      <c r="AA340" s="262"/>
      <c r="AB340" s="262"/>
      <c r="AC340" s="262"/>
      <c r="AD340" s="102"/>
      <c r="AE340" s="102"/>
      <c r="AF340" s="102"/>
      <c r="AG340" s="102"/>
      <c r="AH340" s="102"/>
      <c r="AI340" s="102"/>
      <c r="AJ340" s="102"/>
      <c r="AK340" s="102"/>
      <c r="AL340" s="170"/>
      <c r="AM340" s="170"/>
      <c r="AN340" s="170"/>
      <c r="AO340" s="102"/>
      <c r="AP340" s="102"/>
      <c r="AQ340" s="102"/>
      <c r="AR340" s="102"/>
      <c r="AS340" s="102"/>
      <c r="AT340" s="102"/>
    </row>
    <row r="341" ht="15.75" customHeight="1">
      <c r="A341" s="259" t="s">
        <v>116</v>
      </c>
      <c r="B341" s="260" t="s">
        <v>5186</v>
      </c>
      <c r="C341" s="261"/>
      <c r="D341" s="261"/>
      <c r="E341" s="261"/>
      <c r="F341" s="262"/>
      <c r="G341" s="262"/>
      <c r="H341" s="262"/>
      <c r="I341" s="262"/>
      <c r="J341" s="262"/>
      <c r="K341" s="262"/>
      <c r="L341" s="262"/>
      <c r="M341" s="262"/>
      <c r="N341" s="262"/>
      <c r="O341" s="262"/>
      <c r="P341" s="262"/>
      <c r="Q341" s="262"/>
      <c r="R341" s="262"/>
      <c r="S341" s="262"/>
      <c r="T341" s="363" t="s">
        <v>5190</v>
      </c>
      <c r="U341" s="264"/>
      <c r="V341" s="264"/>
      <c r="W341" s="262"/>
      <c r="X341" s="262"/>
      <c r="Y341" s="262"/>
      <c r="Z341" s="262"/>
      <c r="AA341" s="262"/>
      <c r="AB341" s="262"/>
      <c r="AC341" s="262"/>
      <c r="AD341" s="102"/>
      <c r="AE341" s="102"/>
      <c r="AF341" s="102"/>
      <c r="AG341" s="102"/>
      <c r="AH341" s="102"/>
      <c r="AI341" s="102"/>
      <c r="AJ341" s="102"/>
      <c r="AK341" s="102"/>
      <c r="AL341" s="170"/>
      <c r="AM341" s="170"/>
      <c r="AN341" s="170"/>
      <c r="AO341" s="102"/>
      <c r="AP341" s="102"/>
      <c r="AQ341" s="102"/>
      <c r="AR341" s="102"/>
      <c r="AS341" s="102"/>
      <c r="AT341" s="102"/>
    </row>
    <row r="342" ht="15.75" customHeight="1">
      <c r="A342" s="259" t="s">
        <v>116</v>
      </c>
      <c r="B342" s="260" t="s">
        <v>5191</v>
      </c>
      <c r="C342" s="261"/>
      <c r="D342" s="261"/>
      <c r="E342" s="261"/>
      <c r="F342" s="262"/>
      <c r="G342" s="262"/>
      <c r="H342" s="262"/>
      <c r="I342" s="262"/>
      <c r="J342" s="262"/>
      <c r="K342" s="262"/>
      <c r="L342" s="262"/>
      <c r="M342" s="262"/>
      <c r="N342" s="262"/>
      <c r="O342" s="262"/>
      <c r="P342" s="262"/>
      <c r="Q342" s="262"/>
      <c r="R342" s="262"/>
      <c r="S342" s="262"/>
      <c r="T342" s="363" t="s">
        <v>5192</v>
      </c>
      <c r="U342" s="264"/>
      <c r="V342" s="264"/>
      <c r="W342" s="262"/>
      <c r="X342" s="262"/>
      <c r="Y342" s="262"/>
      <c r="Z342" s="262"/>
      <c r="AA342" s="262"/>
      <c r="AB342" s="262"/>
      <c r="AC342" s="262"/>
      <c r="AD342" s="102"/>
      <c r="AE342" s="102"/>
      <c r="AF342" s="102"/>
      <c r="AG342" s="102"/>
      <c r="AH342" s="102"/>
      <c r="AI342" s="102"/>
      <c r="AJ342" s="102"/>
      <c r="AK342" s="102"/>
      <c r="AL342" s="170"/>
      <c r="AM342" s="170"/>
      <c r="AN342" s="170"/>
      <c r="AO342" s="102"/>
      <c r="AP342" s="102"/>
      <c r="AQ342" s="102"/>
      <c r="AR342" s="102"/>
      <c r="AS342" s="102"/>
      <c r="AT342" s="102"/>
    </row>
    <row r="343" ht="15.75" customHeight="1">
      <c r="A343" s="259" t="s">
        <v>116</v>
      </c>
      <c r="B343" s="260" t="s">
        <v>5193</v>
      </c>
      <c r="C343" s="261"/>
      <c r="D343" s="261"/>
      <c r="E343" s="261"/>
      <c r="F343" s="262"/>
      <c r="G343" s="262"/>
      <c r="H343" s="262"/>
      <c r="I343" s="262"/>
      <c r="J343" s="262"/>
      <c r="K343" s="262"/>
      <c r="L343" s="262"/>
      <c r="M343" s="262"/>
      <c r="N343" s="262"/>
      <c r="O343" s="262"/>
      <c r="P343" s="262"/>
      <c r="Q343" s="262"/>
      <c r="R343" s="262"/>
      <c r="S343" s="262"/>
      <c r="T343" s="363" t="s">
        <v>5194</v>
      </c>
      <c r="U343" s="264"/>
      <c r="V343" s="264"/>
      <c r="W343" s="262"/>
      <c r="X343" s="262"/>
      <c r="Y343" s="262"/>
      <c r="Z343" s="262"/>
      <c r="AA343" s="262"/>
      <c r="AB343" s="262"/>
      <c r="AC343" s="262"/>
      <c r="AD343" s="102"/>
      <c r="AE343" s="102"/>
      <c r="AF343" s="102"/>
      <c r="AG343" s="102"/>
      <c r="AH343" s="102"/>
      <c r="AI343" s="102"/>
      <c r="AJ343" s="102"/>
      <c r="AK343" s="102"/>
      <c r="AL343" s="170"/>
      <c r="AM343" s="170"/>
      <c r="AN343" s="170"/>
      <c r="AO343" s="102"/>
      <c r="AP343" s="102"/>
      <c r="AQ343" s="102"/>
      <c r="AR343" s="102"/>
      <c r="AS343" s="102"/>
      <c r="AT343" s="102"/>
    </row>
    <row r="344" ht="15.75" customHeight="1">
      <c r="A344" s="197" t="s">
        <v>227</v>
      </c>
      <c r="B344" s="93" t="s">
        <v>5195</v>
      </c>
      <c r="C344" s="93" t="s">
        <v>5196</v>
      </c>
      <c r="D344" s="96"/>
      <c r="E344" s="96"/>
      <c r="F344" s="97"/>
      <c r="G344" s="97"/>
      <c r="H344" s="97"/>
      <c r="I344" s="97"/>
      <c r="J344" s="98" t="s">
        <v>3246</v>
      </c>
      <c r="K344" s="97"/>
      <c r="L344" s="97"/>
      <c r="M344" s="98"/>
      <c r="N344" s="98"/>
      <c r="O344" s="98"/>
      <c r="P344" s="97"/>
      <c r="Q344" s="97"/>
      <c r="R344" s="97"/>
      <c r="S344" s="97"/>
      <c r="T344" s="97"/>
      <c r="U344" s="97"/>
      <c r="V344" s="97"/>
      <c r="W344" s="97"/>
      <c r="X344" s="97"/>
      <c r="Y344" s="97"/>
      <c r="Z344" s="97"/>
      <c r="AA344" s="97"/>
      <c r="AB344" s="97"/>
      <c r="AC344" s="97"/>
      <c r="AD344" s="102"/>
      <c r="AE344" s="102"/>
      <c r="AF344" s="102"/>
      <c r="AG344" s="102"/>
      <c r="AH344" s="102"/>
      <c r="AI344" s="102"/>
      <c r="AJ344" s="102"/>
      <c r="AK344" s="102"/>
      <c r="AL344" s="170"/>
      <c r="AM344" s="170"/>
      <c r="AN344" s="170"/>
      <c r="AO344" s="102"/>
      <c r="AP344" s="102"/>
      <c r="AQ344" s="102"/>
      <c r="AR344" s="102"/>
      <c r="AS344" s="102"/>
      <c r="AT344" s="102"/>
    </row>
    <row r="345" ht="15.75" customHeight="1">
      <c r="A345" s="214" t="s">
        <v>299</v>
      </c>
      <c r="B345" s="246" t="s">
        <v>1963</v>
      </c>
      <c r="C345" s="77" t="s">
        <v>1967</v>
      </c>
      <c r="D345" s="77" t="s">
        <v>1969</v>
      </c>
      <c r="E345" s="77" t="s">
        <v>1970</v>
      </c>
      <c r="F345" s="77"/>
      <c r="G345" s="77"/>
      <c r="H345" s="77"/>
      <c r="I345" s="216"/>
      <c r="J345" s="217"/>
      <c r="K345" s="216"/>
      <c r="L345" s="216"/>
      <c r="M345" s="216"/>
      <c r="N345" s="216"/>
      <c r="O345" s="216"/>
      <c r="P345" s="216"/>
      <c r="Q345" s="216" t="s">
        <v>268</v>
      </c>
      <c r="R345" s="216"/>
      <c r="S345" s="216"/>
      <c r="T345" s="216"/>
      <c r="U345" s="216"/>
      <c r="V345" s="216"/>
      <c r="W345" s="216"/>
      <c r="X345" s="216"/>
      <c r="Y345" s="216"/>
      <c r="Z345" s="216"/>
      <c r="AA345" s="216"/>
      <c r="AB345" s="216"/>
      <c r="AC345" s="216"/>
      <c r="AD345" s="102"/>
      <c r="AE345" s="102"/>
      <c r="AF345" s="102"/>
      <c r="AG345" s="102"/>
      <c r="AH345" s="102"/>
      <c r="AI345" s="102"/>
      <c r="AJ345" s="102"/>
      <c r="AK345" s="102"/>
      <c r="AL345" s="170"/>
      <c r="AM345" s="170"/>
      <c r="AN345" s="170"/>
      <c r="AO345" s="102"/>
      <c r="AP345" s="102"/>
      <c r="AQ345" s="102"/>
      <c r="AR345" s="102"/>
      <c r="AS345" s="102"/>
      <c r="AT345" s="102"/>
    </row>
    <row r="346" ht="15.75" customHeight="1">
      <c r="A346" s="214" t="s">
        <v>299</v>
      </c>
      <c r="B346" s="246" t="s">
        <v>1972</v>
      </c>
      <c r="C346" s="77" t="s">
        <v>1975</v>
      </c>
      <c r="D346" s="77" t="s">
        <v>1976</v>
      </c>
      <c r="E346" s="77" t="s">
        <v>1978</v>
      </c>
      <c r="F346" s="77"/>
      <c r="G346" s="77"/>
      <c r="H346" s="77"/>
      <c r="I346" s="216"/>
      <c r="J346" s="217"/>
      <c r="K346" s="216"/>
      <c r="L346" s="216"/>
      <c r="M346" s="216"/>
      <c r="N346" s="216"/>
      <c r="O346" s="216"/>
      <c r="P346" s="216"/>
      <c r="Q346" s="216" t="s">
        <v>268</v>
      </c>
      <c r="R346" s="216"/>
      <c r="S346" s="216"/>
      <c r="T346" s="216"/>
      <c r="U346" s="216"/>
      <c r="V346" s="216"/>
      <c r="W346" s="216"/>
      <c r="X346" s="216"/>
      <c r="Y346" s="216"/>
      <c r="Z346" s="216"/>
      <c r="AA346" s="216"/>
      <c r="AB346" s="216"/>
      <c r="AC346" s="216"/>
      <c r="AD346" s="102"/>
      <c r="AE346" s="102"/>
      <c r="AF346" s="102"/>
      <c r="AG346" s="102"/>
      <c r="AH346" s="102"/>
      <c r="AI346" s="102"/>
      <c r="AJ346" s="102"/>
      <c r="AK346" s="102"/>
      <c r="AL346" s="170"/>
      <c r="AM346" s="170"/>
      <c r="AN346" s="170"/>
      <c r="AO346" s="102"/>
      <c r="AP346" s="102"/>
      <c r="AQ346" s="102"/>
      <c r="AR346" s="102"/>
      <c r="AS346" s="102"/>
      <c r="AT346" s="102"/>
    </row>
    <row r="347" ht="15.75" customHeight="1">
      <c r="A347" s="197" t="s">
        <v>735</v>
      </c>
      <c r="B347" s="96" t="s">
        <v>5195</v>
      </c>
      <c r="C347" s="96"/>
      <c r="D347" s="96"/>
      <c r="E347" s="96"/>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102"/>
      <c r="AE347" s="102"/>
      <c r="AF347" s="102"/>
      <c r="AG347" s="102"/>
      <c r="AH347" s="102"/>
      <c r="AI347" s="102"/>
      <c r="AJ347" s="102"/>
      <c r="AK347" s="102"/>
      <c r="AL347" s="170"/>
      <c r="AM347" s="170"/>
      <c r="AN347" s="170"/>
      <c r="AO347" s="102"/>
      <c r="AP347" s="102"/>
      <c r="AQ347" s="102"/>
      <c r="AR347" s="102"/>
      <c r="AS347" s="102"/>
      <c r="AT347" s="102"/>
    </row>
    <row r="348" ht="15.75" customHeight="1">
      <c r="A348" s="259" t="s">
        <v>116</v>
      </c>
      <c r="B348" s="260" t="s">
        <v>5197</v>
      </c>
      <c r="C348" s="261"/>
      <c r="D348" s="261"/>
      <c r="E348" s="261"/>
      <c r="F348" s="262"/>
      <c r="G348" s="262"/>
      <c r="H348" s="262"/>
      <c r="I348" s="262"/>
      <c r="J348" s="262"/>
      <c r="K348" s="262"/>
      <c r="L348" s="262"/>
      <c r="M348" s="262"/>
      <c r="N348" s="262"/>
      <c r="O348" s="262"/>
      <c r="P348" s="262"/>
      <c r="Q348" s="262"/>
      <c r="R348" s="262"/>
      <c r="S348" s="262"/>
      <c r="T348" s="363" t="s">
        <v>5198</v>
      </c>
      <c r="U348" s="264"/>
      <c r="V348" s="264"/>
      <c r="W348" s="262"/>
      <c r="X348" s="262"/>
      <c r="Y348" s="262"/>
      <c r="Z348" s="262"/>
      <c r="AA348" s="262"/>
      <c r="AB348" s="262"/>
      <c r="AC348" s="262"/>
      <c r="AD348" s="102"/>
      <c r="AE348" s="102"/>
      <c r="AF348" s="102"/>
      <c r="AG348" s="102"/>
      <c r="AH348" s="102"/>
      <c r="AI348" s="102"/>
      <c r="AJ348" s="102"/>
      <c r="AK348" s="102"/>
      <c r="AL348" s="170"/>
      <c r="AM348" s="170"/>
      <c r="AN348" s="170"/>
      <c r="AO348" s="102"/>
      <c r="AP348" s="102"/>
      <c r="AQ348" s="102"/>
      <c r="AR348" s="102"/>
      <c r="AS348" s="102"/>
      <c r="AT348" s="102"/>
    </row>
    <row r="349" ht="15.75" customHeight="1">
      <c r="A349" s="206" t="s">
        <v>1987</v>
      </c>
      <c r="B349" s="245" t="s">
        <v>1988</v>
      </c>
      <c r="C349" s="77" t="s">
        <v>1991</v>
      </c>
      <c r="D349" s="77" t="s">
        <v>1992</v>
      </c>
      <c r="E349" s="77" t="s">
        <v>1993</v>
      </c>
      <c r="F349" s="77" t="s">
        <v>3110</v>
      </c>
      <c r="G349" s="77" t="s">
        <v>5199</v>
      </c>
      <c r="H349" s="77" t="s">
        <v>3114</v>
      </c>
      <c r="I349" s="211"/>
      <c r="J349" s="209"/>
      <c r="K349" s="208"/>
      <c r="L349" s="208"/>
      <c r="M349" s="208"/>
      <c r="N349" s="208"/>
      <c r="O349" s="208"/>
      <c r="P349" s="208"/>
      <c r="Q349" s="208" t="s">
        <v>268</v>
      </c>
      <c r="R349" s="208"/>
      <c r="S349" s="208"/>
      <c r="T349" s="208"/>
      <c r="U349" s="208"/>
      <c r="V349" s="208"/>
      <c r="W349" s="208"/>
      <c r="X349" s="208"/>
      <c r="Y349" s="208"/>
      <c r="Z349" s="208"/>
      <c r="AA349" s="208"/>
      <c r="AB349" s="208"/>
      <c r="AC349" s="208"/>
      <c r="AD349" s="102"/>
      <c r="AE349" s="102"/>
      <c r="AF349" s="102"/>
      <c r="AG349" s="102"/>
      <c r="AH349" s="102"/>
      <c r="AI349" s="102"/>
      <c r="AJ349" s="102"/>
      <c r="AK349" s="102"/>
      <c r="AL349" s="170"/>
      <c r="AM349" s="170"/>
      <c r="AN349" s="170"/>
      <c r="AO349" s="102"/>
      <c r="AP349" s="102"/>
      <c r="AQ349" s="102"/>
      <c r="AR349" s="102"/>
      <c r="AS349" s="102"/>
      <c r="AT349" s="102"/>
    </row>
    <row r="350" ht="15.75" customHeight="1">
      <c r="A350" s="206" t="s">
        <v>1994</v>
      </c>
      <c r="B350" s="245" t="s">
        <v>1995</v>
      </c>
      <c r="C350" s="77" t="s">
        <v>1996</v>
      </c>
      <c r="D350" s="77" t="s">
        <v>1997</v>
      </c>
      <c r="E350" s="77" t="s">
        <v>1998</v>
      </c>
      <c r="F350" s="77"/>
      <c r="G350" s="77"/>
      <c r="H350" s="77"/>
      <c r="I350" s="208"/>
      <c r="J350" s="212"/>
      <c r="K350" s="208"/>
      <c r="L350" s="208"/>
      <c r="M350" s="208"/>
      <c r="N350" s="208"/>
      <c r="O350" s="208"/>
      <c r="P350" s="208"/>
      <c r="Q350" s="208" t="s">
        <v>268</v>
      </c>
      <c r="R350" s="208"/>
      <c r="S350" s="208"/>
      <c r="T350" s="208"/>
      <c r="U350" s="208"/>
      <c r="V350" s="208"/>
      <c r="W350" s="208"/>
      <c r="X350" s="208"/>
      <c r="Y350" s="208"/>
      <c r="Z350" s="208"/>
      <c r="AA350" s="208"/>
      <c r="AB350" s="208"/>
      <c r="AC350" s="208"/>
      <c r="AD350" s="102"/>
      <c r="AE350" s="102"/>
      <c r="AF350" s="102"/>
      <c r="AG350" s="102"/>
      <c r="AH350" s="102"/>
      <c r="AI350" s="102"/>
      <c r="AJ350" s="102"/>
      <c r="AK350" s="102"/>
      <c r="AL350" s="170"/>
      <c r="AM350" s="170"/>
      <c r="AN350" s="170"/>
      <c r="AO350" s="102"/>
      <c r="AP350" s="102"/>
      <c r="AQ350" s="102"/>
      <c r="AR350" s="102"/>
      <c r="AS350" s="102"/>
      <c r="AT350" s="102"/>
    </row>
    <row r="351" ht="15.75" customHeight="1">
      <c r="A351" s="265" t="s">
        <v>396</v>
      </c>
      <c r="B351" s="266" t="s">
        <v>1999</v>
      </c>
      <c r="C351" s="77" t="s">
        <v>2001</v>
      </c>
      <c r="D351" s="77" t="s">
        <v>2003</v>
      </c>
      <c r="E351" s="77" t="s">
        <v>2004</v>
      </c>
      <c r="F351" s="77"/>
      <c r="G351" s="77"/>
      <c r="H351" s="77"/>
      <c r="I351" s="267"/>
      <c r="J351" s="267"/>
      <c r="K351" s="268" t="s">
        <v>5200</v>
      </c>
      <c r="L351" s="268"/>
      <c r="M351" s="267"/>
      <c r="N351" s="267"/>
      <c r="O351" s="267"/>
      <c r="P351" s="267"/>
      <c r="Q351" s="267" t="s">
        <v>268</v>
      </c>
      <c r="R351" s="267"/>
      <c r="S351" s="267"/>
      <c r="T351" s="267"/>
      <c r="U351" s="267"/>
      <c r="V351" s="267"/>
      <c r="W351" s="267"/>
      <c r="X351" s="267"/>
      <c r="Y351" s="267"/>
      <c r="Z351" s="267"/>
      <c r="AA351" s="267"/>
      <c r="AB351" s="267"/>
      <c r="AC351" s="267"/>
      <c r="AD351" s="102"/>
      <c r="AE351" s="102"/>
      <c r="AF351" s="102"/>
      <c r="AG351" s="102"/>
      <c r="AH351" s="102"/>
      <c r="AI351" s="102"/>
      <c r="AJ351" s="102"/>
      <c r="AK351" s="102"/>
      <c r="AL351" s="170"/>
      <c r="AM351" s="170"/>
      <c r="AN351" s="170"/>
      <c r="AO351" s="102"/>
      <c r="AP351" s="102"/>
      <c r="AQ351" s="102"/>
      <c r="AR351" s="102"/>
      <c r="AS351" s="102"/>
      <c r="AT351" s="102"/>
    </row>
    <row r="352" ht="15.75" customHeight="1">
      <c r="A352" s="249" t="s">
        <v>2336</v>
      </c>
      <c r="B352" s="251" t="s">
        <v>5172</v>
      </c>
      <c r="C352" s="251" t="s">
        <v>5173</v>
      </c>
      <c r="D352" s="251"/>
      <c r="E352" s="251"/>
      <c r="F352" s="255"/>
      <c r="G352" s="255"/>
      <c r="H352" s="255"/>
      <c r="I352" s="255"/>
      <c r="J352" s="255"/>
      <c r="K352" s="252"/>
      <c r="L352" s="252"/>
      <c r="M352" s="252"/>
      <c r="N352" s="252"/>
      <c r="O352" s="252"/>
      <c r="P352" s="252"/>
      <c r="Q352" s="252"/>
      <c r="R352" s="252"/>
      <c r="S352" s="252"/>
      <c r="T352" s="252"/>
      <c r="U352" s="252"/>
      <c r="V352" s="252"/>
      <c r="W352" s="252"/>
      <c r="X352" s="252"/>
      <c r="Y352" s="252"/>
      <c r="Z352" s="252"/>
      <c r="AA352" s="252"/>
      <c r="AB352" s="252"/>
      <c r="AC352" s="252"/>
      <c r="AD352" s="170"/>
      <c r="AE352" s="170"/>
      <c r="AF352" s="170"/>
      <c r="AG352" s="170"/>
      <c r="AH352" s="170"/>
      <c r="AI352" s="170"/>
      <c r="AJ352" s="170"/>
      <c r="AK352" s="170"/>
      <c r="AL352" s="170"/>
      <c r="AM352" s="170"/>
      <c r="AN352" s="170"/>
      <c r="AO352" s="102"/>
      <c r="AP352" s="102"/>
      <c r="AQ352" s="102"/>
      <c r="AR352" s="102"/>
      <c r="AS352" s="102"/>
      <c r="AT352" s="102"/>
    </row>
    <row r="353" ht="15.75" customHeight="1">
      <c r="A353" s="90" t="s">
        <v>183</v>
      </c>
      <c r="B353" s="239" t="s">
        <v>5201</v>
      </c>
      <c r="C353" s="93"/>
      <c r="D353" s="96"/>
      <c r="E353" s="96"/>
      <c r="F353" s="97"/>
      <c r="G353" s="97"/>
      <c r="H353" s="97"/>
      <c r="I353" s="97"/>
      <c r="J353" s="98"/>
      <c r="K353" s="97"/>
      <c r="L353" s="97"/>
      <c r="M353" s="98"/>
      <c r="N353" s="98"/>
      <c r="O353" s="99"/>
      <c r="P353" s="100"/>
      <c r="Q353" s="100"/>
      <c r="R353" s="100"/>
      <c r="S353" s="97"/>
      <c r="T353" s="101" t="s">
        <v>211</v>
      </c>
      <c r="U353" s="97"/>
      <c r="V353" s="97"/>
      <c r="W353" s="97"/>
      <c r="X353" s="97"/>
      <c r="Y353" s="97"/>
      <c r="Z353" s="97"/>
      <c r="AA353" s="97"/>
      <c r="AB353" s="97"/>
      <c r="AC353" s="97"/>
      <c r="AD353" s="102"/>
      <c r="AE353" s="102"/>
      <c r="AF353" s="102"/>
      <c r="AG353" s="102"/>
      <c r="AH353" s="102"/>
      <c r="AI353" s="102"/>
      <c r="AJ353" s="102"/>
      <c r="AK353" s="102"/>
      <c r="AL353" s="102"/>
      <c r="AM353" s="102"/>
      <c r="AN353" s="102"/>
      <c r="AO353" s="102"/>
      <c r="AP353" s="102"/>
      <c r="AQ353" s="102"/>
      <c r="AR353" s="102"/>
      <c r="AS353" s="102"/>
      <c r="AT353" s="102"/>
    </row>
    <row r="354" ht="15.75" customHeight="1">
      <c r="A354" s="90" t="s">
        <v>116</v>
      </c>
      <c r="B354" s="91" t="s">
        <v>5202</v>
      </c>
      <c r="C354" s="93"/>
      <c r="D354" s="96"/>
      <c r="E354" s="96"/>
      <c r="F354" s="97"/>
      <c r="G354" s="97"/>
      <c r="H354" s="97"/>
      <c r="I354" s="98"/>
      <c r="J354" s="98"/>
      <c r="K354" s="97"/>
      <c r="L354" s="98"/>
      <c r="M354" s="98"/>
      <c r="N354" s="98"/>
      <c r="O354" s="236"/>
      <c r="P354" s="100"/>
      <c r="Q354" s="100"/>
      <c r="R354" s="100"/>
      <c r="S354" s="97"/>
      <c r="T354" s="238" t="s">
        <v>5203</v>
      </c>
      <c r="U354" s="97"/>
      <c r="V354" s="97"/>
      <c r="W354" s="97"/>
      <c r="X354" s="97"/>
      <c r="Y354" s="97"/>
      <c r="Z354" s="97"/>
      <c r="AA354" s="97"/>
      <c r="AB354" s="97"/>
      <c r="AC354" s="97"/>
      <c r="AD354" s="102"/>
      <c r="AE354" s="102"/>
      <c r="AF354" s="102"/>
      <c r="AG354" s="102"/>
      <c r="AH354" s="102"/>
      <c r="AI354" s="102"/>
      <c r="AJ354" s="102"/>
      <c r="AK354" s="102"/>
      <c r="AL354" s="102"/>
      <c r="AM354" s="102"/>
      <c r="AN354" s="102"/>
      <c r="AO354" s="102"/>
      <c r="AP354" s="102"/>
      <c r="AQ354" s="102"/>
      <c r="AR354" s="102"/>
      <c r="AS354" s="102"/>
      <c r="AT354" s="102"/>
    </row>
    <row r="356" ht="15.75" customHeight="1">
      <c r="A356" s="259" t="s">
        <v>116</v>
      </c>
      <c r="B356" s="362" t="s">
        <v>5204</v>
      </c>
      <c r="C356" s="261"/>
      <c r="D356" s="261"/>
      <c r="E356" s="261"/>
      <c r="F356" s="262"/>
      <c r="G356" s="262"/>
      <c r="H356" s="262"/>
      <c r="I356" s="262"/>
      <c r="J356" s="262"/>
      <c r="K356" s="262"/>
      <c r="L356" s="262"/>
      <c r="M356" s="262"/>
      <c r="N356" s="262"/>
      <c r="O356" s="262"/>
      <c r="P356" s="262"/>
      <c r="Q356" s="262"/>
      <c r="R356" s="262"/>
      <c r="S356" s="262"/>
      <c r="T356" s="363" t="s">
        <v>5205</v>
      </c>
      <c r="U356" s="264"/>
      <c r="V356" s="264"/>
      <c r="W356" s="264"/>
      <c r="X356" s="264"/>
      <c r="Y356" s="262"/>
      <c r="Z356" s="262"/>
      <c r="AA356" s="262"/>
      <c r="AB356" s="262"/>
      <c r="AC356" s="262"/>
      <c r="AD356" s="288"/>
      <c r="AE356" s="288"/>
      <c r="AF356" s="288"/>
      <c r="AG356" s="288"/>
      <c r="AH356" s="288"/>
      <c r="AI356" s="288"/>
      <c r="AJ356" s="288"/>
      <c r="AK356" s="288"/>
      <c r="AL356" s="288"/>
      <c r="AM356" s="288"/>
      <c r="AN356" s="288"/>
      <c r="AO356" s="102"/>
      <c r="AP356" s="102"/>
      <c r="AQ356" s="102"/>
      <c r="AR356" s="102"/>
      <c r="AS356" s="102"/>
      <c r="AT356" s="102"/>
    </row>
    <row r="357" ht="15.75" customHeight="1">
      <c r="A357" s="198" t="s">
        <v>42</v>
      </c>
      <c r="B357" s="199" t="s">
        <v>2023</v>
      </c>
      <c r="C357" s="77" t="s">
        <v>2028</v>
      </c>
      <c r="D357" s="77" t="s">
        <v>2029</v>
      </c>
      <c r="E357" s="77" t="s">
        <v>2030</v>
      </c>
      <c r="F357" s="77"/>
      <c r="G357" s="77"/>
      <c r="H357" s="77"/>
      <c r="I357" s="200"/>
      <c r="J357" s="200"/>
      <c r="K357" s="200"/>
      <c r="L357" s="200"/>
      <c r="M357" s="200"/>
      <c r="N357" s="200"/>
      <c r="O357" s="200"/>
      <c r="P357" s="200"/>
      <c r="Q357" s="200"/>
      <c r="R357" s="200"/>
      <c r="S357" s="200"/>
      <c r="T357" s="200"/>
      <c r="U357" s="200"/>
      <c r="V357" s="200"/>
      <c r="W357" s="200"/>
      <c r="X357" s="200"/>
      <c r="Y357" s="200"/>
      <c r="Z357" s="200"/>
      <c r="AA357" s="200"/>
      <c r="AB357" s="200"/>
      <c r="AC357" s="200"/>
      <c r="AD357" s="288"/>
      <c r="AE357" s="288"/>
      <c r="AF357" s="288"/>
      <c r="AG357" s="288"/>
      <c r="AH357" s="288"/>
      <c r="AI357" s="288"/>
      <c r="AJ357" s="288"/>
      <c r="AK357" s="288"/>
      <c r="AL357" s="288"/>
      <c r="AM357" s="288"/>
      <c r="AN357" s="288"/>
      <c r="AO357" s="102"/>
      <c r="AP357" s="102"/>
      <c r="AQ357" s="102"/>
      <c r="AR357" s="102"/>
      <c r="AS357" s="102"/>
      <c r="AT357" s="102"/>
    </row>
    <row r="359" ht="15.75" customHeight="1">
      <c r="A359" s="249" t="s">
        <v>2279</v>
      </c>
      <c r="B359" s="250" t="s">
        <v>5206</v>
      </c>
      <c r="C359" s="250" t="s">
        <v>5207</v>
      </c>
      <c r="D359" s="251"/>
      <c r="E359" s="251"/>
      <c r="F359" s="252"/>
      <c r="G359" s="252"/>
      <c r="H359" s="252"/>
      <c r="I359" s="252"/>
      <c r="J359" s="252"/>
      <c r="K359" s="252"/>
      <c r="L359" s="252"/>
      <c r="M359" s="253"/>
      <c r="N359" s="253"/>
      <c r="O359" s="253"/>
      <c r="P359" s="252"/>
      <c r="Q359" s="252"/>
      <c r="R359" s="252"/>
      <c r="S359" s="252"/>
      <c r="T359" s="252"/>
      <c r="U359" s="254" t="s">
        <v>5208</v>
      </c>
      <c r="V359" s="252"/>
      <c r="W359" s="252"/>
      <c r="X359" s="252"/>
      <c r="Y359" s="252"/>
      <c r="Z359" s="252"/>
      <c r="AA359" s="252"/>
      <c r="AB359" s="252"/>
      <c r="AC359" s="252"/>
      <c r="AD359" s="343"/>
      <c r="AE359" s="343"/>
      <c r="AF359" s="343"/>
      <c r="AG359" s="343"/>
      <c r="AH359" s="343"/>
      <c r="AI359" s="343"/>
      <c r="AJ359" s="343"/>
      <c r="AK359" s="343"/>
      <c r="AL359" s="343"/>
      <c r="AM359" s="343"/>
      <c r="AN359" s="343"/>
      <c r="AO359" s="102"/>
      <c r="AP359" s="102"/>
      <c r="AQ359" s="102"/>
      <c r="AR359" s="102"/>
      <c r="AS359" s="102"/>
      <c r="AT359" s="102"/>
    </row>
    <row r="360" ht="15.75" customHeight="1">
      <c r="A360" s="90" t="s">
        <v>183</v>
      </c>
      <c r="B360" s="91" t="s">
        <v>5209</v>
      </c>
      <c r="C360" s="93"/>
      <c r="D360" s="96"/>
      <c r="E360" s="96"/>
      <c r="F360" s="97"/>
      <c r="G360" s="97"/>
      <c r="H360" s="97"/>
      <c r="I360" s="97"/>
      <c r="J360" s="98"/>
      <c r="K360" s="97"/>
      <c r="L360" s="97"/>
      <c r="M360" s="98"/>
      <c r="N360" s="98"/>
      <c r="O360" s="99"/>
      <c r="P360" s="100"/>
      <c r="Q360" s="100"/>
      <c r="R360" s="100"/>
      <c r="S360" s="97"/>
      <c r="T360" s="101" t="s">
        <v>211</v>
      </c>
      <c r="U360" s="97"/>
      <c r="V360" s="97"/>
      <c r="W360" s="97"/>
      <c r="X360" s="97"/>
      <c r="Y360" s="97"/>
      <c r="Z360" s="97"/>
      <c r="AA360" s="97"/>
      <c r="AB360" s="97"/>
      <c r="AC360" s="97"/>
      <c r="AD360" s="102"/>
      <c r="AE360" s="102"/>
      <c r="AF360" s="102"/>
      <c r="AG360" s="102"/>
      <c r="AH360" s="102"/>
      <c r="AI360" s="102"/>
      <c r="AJ360" s="102"/>
      <c r="AK360" s="102"/>
      <c r="AL360" s="102"/>
      <c r="AM360" s="102"/>
      <c r="AN360" s="102"/>
      <c r="AO360" s="102"/>
      <c r="AP360" s="102"/>
      <c r="AQ360" s="102"/>
      <c r="AR360" s="102"/>
      <c r="AS360" s="102"/>
      <c r="AT360" s="102"/>
    </row>
    <row r="361" ht="15.75" customHeight="1">
      <c r="A361" s="259" t="s">
        <v>116</v>
      </c>
      <c r="B361" s="260" t="s">
        <v>5210</v>
      </c>
      <c r="C361" s="261"/>
      <c r="D361" s="261"/>
      <c r="E361" s="261"/>
      <c r="F361" s="262"/>
      <c r="G361" s="262"/>
      <c r="H361" s="262"/>
      <c r="I361" s="262"/>
      <c r="J361" s="262"/>
      <c r="K361" s="262"/>
      <c r="L361" s="262"/>
      <c r="M361" s="262"/>
      <c r="N361" s="262"/>
      <c r="O361" s="262"/>
      <c r="P361" s="262"/>
      <c r="Q361" s="262"/>
      <c r="R361" s="262"/>
      <c r="S361" s="262"/>
      <c r="T361" s="263" t="s">
        <v>2778</v>
      </c>
      <c r="U361" s="262"/>
      <c r="V361" s="262"/>
      <c r="W361" s="262"/>
      <c r="X361" s="262"/>
      <c r="Y361" s="262"/>
      <c r="Z361" s="262"/>
      <c r="AA361" s="262"/>
      <c r="AB361" s="262"/>
      <c r="AC361" s="262"/>
      <c r="AD361" s="147"/>
      <c r="AE361" s="147"/>
      <c r="AF361" s="147"/>
      <c r="AG361" s="147"/>
      <c r="AH361" s="147"/>
      <c r="AI361" s="147"/>
      <c r="AJ361" s="147"/>
      <c r="AK361" s="147"/>
      <c r="AL361" s="147"/>
      <c r="AM361" s="147"/>
      <c r="AN361" s="147"/>
      <c r="AO361" s="102"/>
      <c r="AP361" s="102"/>
      <c r="AQ361" s="102"/>
      <c r="AR361" s="102"/>
      <c r="AS361" s="102"/>
      <c r="AT361" s="102"/>
    </row>
    <row r="362" ht="15.75" customHeight="1">
      <c r="A362" s="259" t="s">
        <v>116</v>
      </c>
      <c r="B362" s="260" t="s">
        <v>5211</v>
      </c>
      <c r="C362" s="261" t="s">
        <v>5212</v>
      </c>
      <c r="D362" s="261"/>
      <c r="E362" s="261"/>
      <c r="F362" s="262"/>
      <c r="G362" s="262"/>
      <c r="H362" s="262"/>
      <c r="I362" s="262"/>
      <c r="J362" s="262"/>
      <c r="K362" s="262"/>
      <c r="L362" s="262"/>
      <c r="M362" s="262"/>
      <c r="N362" s="262"/>
      <c r="O362" s="262"/>
      <c r="P362" s="262"/>
      <c r="Q362" s="262"/>
      <c r="R362" s="262"/>
      <c r="S362" s="262"/>
      <c r="T362" s="147" t="s">
        <v>5213</v>
      </c>
      <c r="U362" s="264"/>
      <c r="V362" s="264"/>
      <c r="W362" s="264"/>
      <c r="X362" s="262"/>
      <c r="Y362" s="262"/>
      <c r="Z362" s="262"/>
      <c r="AA362" s="262"/>
      <c r="AB362" s="262"/>
      <c r="AC362" s="262"/>
      <c r="AD362" s="147"/>
      <c r="AE362" s="147"/>
      <c r="AF362" s="147"/>
      <c r="AG362" s="147"/>
      <c r="AH362" s="147"/>
      <c r="AI362" s="147"/>
      <c r="AJ362" s="147"/>
      <c r="AK362" s="147"/>
      <c r="AL362" s="147"/>
      <c r="AM362" s="147"/>
      <c r="AN362" s="147"/>
      <c r="AO362" s="102"/>
      <c r="AP362" s="102"/>
      <c r="AQ362" s="102"/>
      <c r="AR362" s="102"/>
      <c r="AS362" s="102"/>
      <c r="AT362" s="102"/>
    </row>
    <row r="363" ht="15.75" customHeight="1">
      <c r="A363" s="259" t="s">
        <v>116</v>
      </c>
      <c r="B363" s="260" t="s">
        <v>5214</v>
      </c>
      <c r="C363" s="261" t="s">
        <v>5215</v>
      </c>
      <c r="D363" s="261"/>
      <c r="E363" s="261"/>
      <c r="F363" s="262"/>
      <c r="G363" s="262"/>
      <c r="H363" s="262"/>
      <c r="I363" s="262"/>
      <c r="J363" s="262"/>
      <c r="K363" s="262"/>
      <c r="L363" s="262"/>
      <c r="M363" s="262"/>
      <c r="N363" s="262"/>
      <c r="O363" s="262"/>
      <c r="P363" s="262"/>
      <c r="Q363" s="262"/>
      <c r="R363" s="262"/>
      <c r="S363" s="262"/>
      <c r="T363" s="363" t="s">
        <v>5216</v>
      </c>
      <c r="U363" s="264"/>
      <c r="V363" s="264"/>
      <c r="W363" s="264"/>
      <c r="X363" s="262"/>
      <c r="Y363" s="262"/>
      <c r="Z363" s="262"/>
      <c r="AA363" s="262"/>
      <c r="AB363" s="262"/>
      <c r="AC363" s="262"/>
      <c r="AD363" s="147"/>
      <c r="AE363" s="147"/>
      <c r="AF363" s="147"/>
      <c r="AG363" s="147"/>
      <c r="AH363" s="147"/>
      <c r="AI363" s="147"/>
      <c r="AJ363" s="147"/>
      <c r="AK363" s="147"/>
      <c r="AL363" s="147"/>
      <c r="AM363" s="147"/>
      <c r="AN363" s="147"/>
      <c r="AO363" s="102"/>
      <c r="AP363" s="102"/>
      <c r="AQ363" s="102"/>
      <c r="AR363" s="102"/>
      <c r="AS363" s="102"/>
      <c r="AT363" s="102"/>
    </row>
    <row r="364" ht="15.75" customHeight="1">
      <c r="A364" s="259" t="s">
        <v>116</v>
      </c>
      <c r="B364" s="260" t="s">
        <v>5217</v>
      </c>
      <c r="C364" s="261" t="s">
        <v>5218</v>
      </c>
      <c r="D364" s="261"/>
      <c r="E364" s="261"/>
      <c r="F364" s="262"/>
      <c r="G364" s="262"/>
      <c r="H364" s="262"/>
      <c r="I364" s="262"/>
      <c r="J364" s="262"/>
      <c r="K364" s="262"/>
      <c r="L364" s="363"/>
      <c r="M364" s="262"/>
      <c r="N364" s="262"/>
      <c r="O364" s="262"/>
      <c r="P364" s="262"/>
      <c r="Q364" s="262"/>
      <c r="R364" s="262"/>
      <c r="S364" s="262"/>
      <c r="T364" s="363" t="s">
        <v>5219</v>
      </c>
      <c r="U364" s="264"/>
      <c r="V364" s="264"/>
      <c r="W364" s="264"/>
      <c r="X364" s="262"/>
      <c r="Y364" s="262"/>
      <c r="Z364" s="262"/>
      <c r="AA364" s="262"/>
      <c r="AB364" s="262"/>
      <c r="AC364" s="262"/>
      <c r="AD364" s="147"/>
      <c r="AE364" s="147"/>
      <c r="AF364" s="147"/>
      <c r="AG364" s="147"/>
      <c r="AH364" s="147"/>
      <c r="AI364" s="147"/>
      <c r="AJ364" s="147"/>
      <c r="AK364" s="147"/>
      <c r="AL364" s="147"/>
      <c r="AM364" s="147"/>
      <c r="AN364" s="147"/>
      <c r="AO364" s="102"/>
      <c r="AP364" s="102"/>
      <c r="AQ364" s="102"/>
      <c r="AR364" s="102"/>
      <c r="AS364" s="102"/>
      <c r="AT364" s="102"/>
    </row>
    <row r="365" ht="15.75" customHeight="1">
      <c r="A365" s="259" t="s">
        <v>116</v>
      </c>
      <c r="B365" s="260" t="s">
        <v>5220</v>
      </c>
      <c r="C365" s="261"/>
      <c r="D365" s="261"/>
      <c r="E365" s="261"/>
      <c r="F365" s="262"/>
      <c r="G365" s="262"/>
      <c r="H365" s="262"/>
      <c r="I365" s="262"/>
      <c r="J365" s="262"/>
      <c r="K365" s="262"/>
      <c r="L365" s="262"/>
      <c r="M365" s="262"/>
      <c r="N365" s="262"/>
      <c r="O365" s="381" t="s">
        <v>5221</v>
      </c>
      <c r="P365" s="264"/>
      <c r="Q365" s="262"/>
      <c r="R365" s="262"/>
      <c r="S365" s="262"/>
      <c r="T365" s="363" t="s">
        <v>5222</v>
      </c>
      <c r="U365" s="264"/>
      <c r="V365" s="264"/>
      <c r="W365" s="264"/>
      <c r="X365" s="262"/>
      <c r="Y365" s="262"/>
      <c r="Z365" s="262"/>
      <c r="AA365" s="262"/>
      <c r="AB365" s="262"/>
      <c r="AC365" s="262"/>
      <c r="AD365" s="288"/>
      <c r="AE365" s="288"/>
      <c r="AF365" s="288"/>
      <c r="AG365" s="288"/>
      <c r="AH365" s="288"/>
      <c r="AI365" s="288"/>
      <c r="AJ365" s="288"/>
      <c r="AK365" s="288"/>
      <c r="AL365" s="288"/>
      <c r="AM365" s="288"/>
      <c r="AN365" s="288"/>
      <c r="AO365" s="102"/>
      <c r="AP365" s="102"/>
      <c r="AQ365" s="102"/>
      <c r="AR365" s="102"/>
      <c r="AS365" s="102"/>
      <c r="AT365" s="102"/>
    </row>
    <row r="366" ht="15.75" customHeight="1">
      <c r="A366" s="259" t="s">
        <v>116</v>
      </c>
      <c r="B366" s="260" t="s">
        <v>5223</v>
      </c>
      <c r="C366" s="261" t="s">
        <v>5224</v>
      </c>
      <c r="D366" s="261"/>
      <c r="E366" s="261"/>
      <c r="F366" s="262"/>
      <c r="G366" s="262"/>
      <c r="H366" s="262"/>
      <c r="I366" s="262"/>
      <c r="J366" s="262"/>
      <c r="K366" s="262"/>
      <c r="L366" s="262"/>
      <c r="M366" s="262"/>
      <c r="N366" s="262"/>
      <c r="O366" s="381" t="s">
        <v>5221</v>
      </c>
      <c r="P366" s="264"/>
      <c r="Q366" s="262"/>
      <c r="R366" s="262"/>
      <c r="S366" s="262"/>
      <c r="T366" s="363" t="s">
        <v>5225</v>
      </c>
      <c r="U366" s="264"/>
      <c r="V366" s="264"/>
      <c r="W366" s="264"/>
      <c r="X366" s="262"/>
      <c r="Y366" s="262"/>
      <c r="Z366" s="262"/>
      <c r="AA366" s="262"/>
      <c r="AB366" s="262"/>
      <c r="AC366" s="262"/>
      <c r="AD366" s="288"/>
      <c r="AE366" s="288"/>
      <c r="AF366" s="288"/>
      <c r="AG366" s="288"/>
      <c r="AH366" s="288"/>
      <c r="AI366" s="288"/>
      <c r="AJ366" s="288"/>
      <c r="AK366" s="288"/>
      <c r="AL366" s="288"/>
      <c r="AM366" s="288"/>
      <c r="AN366" s="288"/>
      <c r="AO366" s="102"/>
      <c r="AP366" s="102"/>
      <c r="AQ366" s="102"/>
      <c r="AR366" s="102"/>
      <c r="AS366" s="102"/>
      <c r="AT366" s="102"/>
    </row>
    <row r="367" ht="15.75" customHeight="1">
      <c r="A367" s="259" t="s">
        <v>116</v>
      </c>
      <c r="B367" s="260" t="s">
        <v>5226</v>
      </c>
      <c r="C367" s="261" t="s">
        <v>5227</v>
      </c>
      <c r="D367" s="261"/>
      <c r="E367" s="261"/>
      <c r="F367" s="262"/>
      <c r="G367" s="262"/>
      <c r="H367" s="262"/>
      <c r="I367" s="262"/>
      <c r="J367" s="262"/>
      <c r="K367" s="262"/>
      <c r="L367" s="262"/>
      <c r="M367" s="262"/>
      <c r="N367" s="262"/>
      <c r="O367" s="381" t="s">
        <v>5221</v>
      </c>
      <c r="P367" s="264"/>
      <c r="Q367" s="262"/>
      <c r="R367" s="262"/>
      <c r="S367" s="262"/>
      <c r="T367" s="171" t="s">
        <v>5228</v>
      </c>
      <c r="U367" s="264"/>
      <c r="V367" s="264"/>
      <c r="W367" s="264"/>
      <c r="X367" s="262"/>
      <c r="Y367" s="262"/>
      <c r="Z367" s="262"/>
      <c r="AA367" s="262"/>
      <c r="AB367" s="262"/>
      <c r="AC367" s="262"/>
      <c r="AD367" s="288"/>
      <c r="AE367" s="288"/>
      <c r="AF367" s="288"/>
      <c r="AG367" s="288"/>
      <c r="AH367" s="288"/>
      <c r="AI367" s="288"/>
      <c r="AJ367" s="288"/>
      <c r="AK367" s="288"/>
      <c r="AL367" s="288"/>
      <c r="AM367" s="288"/>
      <c r="AN367" s="288"/>
      <c r="AO367" s="102"/>
      <c r="AP367" s="102"/>
      <c r="AQ367" s="102"/>
      <c r="AR367" s="102"/>
      <c r="AS367" s="102"/>
      <c r="AT367" s="102"/>
    </row>
    <row r="368" ht="15.75" customHeight="1">
      <c r="A368" s="259" t="s">
        <v>116</v>
      </c>
      <c r="B368" s="260" t="s">
        <v>5229</v>
      </c>
      <c r="C368" s="261" t="s">
        <v>5230</v>
      </c>
      <c r="D368" s="261"/>
      <c r="E368" s="261"/>
      <c r="F368" s="262"/>
      <c r="G368" s="262"/>
      <c r="H368" s="262"/>
      <c r="I368" s="262"/>
      <c r="J368" s="262"/>
      <c r="K368" s="262"/>
      <c r="L368" s="262"/>
      <c r="M368" s="262"/>
      <c r="N368" s="262"/>
      <c r="O368" s="381" t="s">
        <v>5221</v>
      </c>
      <c r="P368" s="264"/>
      <c r="Q368" s="262"/>
      <c r="R368" s="262"/>
      <c r="S368" s="262"/>
      <c r="T368" s="171" t="s">
        <v>5231</v>
      </c>
      <c r="U368" s="264"/>
      <c r="V368" s="264"/>
      <c r="W368" s="264"/>
      <c r="X368" s="262"/>
      <c r="Y368" s="262"/>
      <c r="Z368" s="262"/>
      <c r="AA368" s="262"/>
      <c r="AB368" s="262"/>
      <c r="AC368" s="262"/>
      <c r="AD368" s="288"/>
      <c r="AE368" s="288"/>
      <c r="AF368" s="288"/>
      <c r="AG368" s="288"/>
      <c r="AH368" s="288"/>
      <c r="AI368" s="288"/>
      <c r="AJ368" s="288"/>
      <c r="AK368" s="288"/>
      <c r="AL368" s="288"/>
      <c r="AM368" s="288"/>
      <c r="AN368" s="288"/>
      <c r="AO368" s="102"/>
      <c r="AP368" s="102"/>
      <c r="AQ368" s="102"/>
      <c r="AR368" s="102"/>
      <c r="AS368" s="102"/>
      <c r="AT368" s="102"/>
    </row>
    <row r="369" ht="15.75" customHeight="1">
      <c r="A369" s="259" t="s">
        <v>116</v>
      </c>
      <c r="B369" s="260" t="s">
        <v>5232</v>
      </c>
      <c r="C369" s="261"/>
      <c r="D369" s="261"/>
      <c r="E369" s="261"/>
      <c r="F369" s="262"/>
      <c r="G369" s="262"/>
      <c r="H369" s="262"/>
      <c r="I369" s="262"/>
      <c r="J369" s="262"/>
      <c r="K369" s="262"/>
      <c r="L369" s="262"/>
      <c r="M369" s="262"/>
      <c r="N369" s="262"/>
      <c r="O369" s="262"/>
      <c r="P369" s="262"/>
      <c r="Q369" s="262"/>
      <c r="R369" s="262"/>
      <c r="S369" s="262"/>
      <c r="T369" s="363" t="s">
        <v>5233</v>
      </c>
      <c r="U369" s="264"/>
      <c r="V369" s="264"/>
      <c r="W369" s="264"/>
      <c r="X369" s="264"/>
      <c r="Y369" s="262"/>
      <c r="Z369" s="262"/>
      <c r="AA369" s="262"/>
      <c r="AB369" s="262"/>
      <c r="AC369" s="262"/>
      <c r="AD369" s="288"/>
      <c r="AE369" s="288"/>
      <c r="AF369" s="288"/>
      <c r="AG369" s="288"/>
      <c r="AH369" s="288"/>
      <c r="AI369" s="288"/>
      <c r="AJ369" s="288"/>
      <c r="AK369" s="288"/>
      <c r="AL369" s="288"/>
      <c r="AM369" s="288"/>
      <c r="AN369" s="288"/>
      <c r="AO369" s="102"/>
      <c r="AP369" s="102"/>
      <c r="AQ369" s="102"/>
      <c r="AR369" s="102"/>
      <c r="AS369" s="102"/>
      <c r="AT369" s="102"/>
    </row>
    <row r="370" ht="15.75" customHeight="1">
      <c r="A370" s="259" t="s">
        <v>116</v>
      </c>
      <c r="B370" s="260" t="s">
        <v>5234</v>
      </c>
      <c r="C370" s="261"/>
      <c r="D370" s="261"/>
      <c r="E370" s="261"/>
      <c r="F370" s="262"/>
      <c r="G370" s="262"/>
      <c r="H370" s="262"/>
      <c r="I370" s="262"/>
      <c r="J370" s="262"/>
      <c r="K370" s="262"/>
      <c r="L370" s="262"/>
      <c r="M370" s="262"/>
      <c r="N370" s="262"/>
      <c r="O370" s="262"/>
      <c r="P370" s="262"/>
      <c r="Q370" s="262"/>
      <c r="R370" s="262"/>
      <c r="S370" s="262"/>
      <c r="T370" s="363" t="s">
        <v>5235</v>
      </c>
      <c r="U370" s="264"/>
      <c r="V370" s="264"/>
      <c r="W370" s="264"/>
      <c r="X370" s="262"/>
      <c r="Y370" s="262"/>
      <c r="Z370" s="262"/>
      <c r="AA370" s="262"/>
      <c r="AB370" s="262"/>
      <c r="AC370" s="262"/>
      <c r="AD370" s="288"/>
      <c r="AE370" s="288"/>
      <c r="AF370" s="288"/>
      <c r="AG370" s="288"/>
      <c r="AH370" s="288"/>
      <c r="AI370" s="288"/>
      <c r="AJ370" s="288"/>
      <c r="AK370" s="288"/>
      <c r="AL370" s="288"/>
      <c r="AM370" s="288"/>
      <c r="AN370" s="288"/>
      <c r="AO370" s="102"/>
      <c r="AP370" s="102"/>
      <c r="AQ370" s="102"/>
      <c r="AR370" s="102"/>
      <c r="AS370" s="102"/>
      <c r="AT370" s="102"/>
    </row>
    <row r="371" ht="15.75" customHeight="1">
      <c r="A371" s="259" t="s">
        <v>116</v>
      </c>
      <c r="B371" s="260" t="s">
        <v>5236</v>
      </c>
      <c r="C371" s="261"/>
      <c r="D371" s="261"/>
      <c r="E371" s="261"/>
      <c r="F371" s="262"/>
      <c r="G371" s="262"/>
      <c r="H371" s="262"/>
      <c r="I371" s="262"/>
      <c r="J371" s="262"/>
      <c r="K371" s="262"/>
      <c r="L371" s="262"/>
      <c r="M371" s="262"/>
      <c r="N371" s="262"/>
      <c r="O371" s="262"/>
      <c r="P371" s="262"/>
      <c r="Q371" s="262"/>
      <c r="R371" s="262"/>
      <c r="S371" s="262"/>
      <c r="T371" s="363" t="s">
        <v>5237</v>
      </c>
      <c r="U371" s="264"/>
      <c r="V371" s="264"/>
      <c r="W371" s="264"/>
      <c r="X371" s="262"/>
      <c r="Y371" s="262"/>
      <c r="Z371" s="262"/>
      <c r="AA371" s="262"/>
      <c r="AB371" s="262"/>
      <c r="AC371" s="262"/>
      <c r="AD371" s="288"/>
      <c r="AE371" s="288"/>
      <c r="AF371" s="288"/>
      <c r="AG371" s="288"/>
      <c r="AH371" s="288"/>
      <c r="AI371" s="288"/>
      <c r="AJ371" s="288"/>
      <c r="AK371" s="288"/>
      <c r="AL371" s="288"/>
      <c r="AM371" s="288"/>
      <c r="AN371" s="288"/>
      <c r="AO371" s="102"/>
      <c r="AP371" s="102"/>
      <c r="AQ371" s="102"/>
      <c r="AR371" s="102"/>
      <c r="AS371" s="102"/>
      <c r="AT371" s="102"/>
    </row>
    <row r="372" ht="15.75" customHeight="1">
      <c r="A372" s="198" t="s">
        <v>42</v>
      </c>
      <c r="B372" s="199" t="s">
        <v>2066</v>
      </c>
      <c r="C372" s="77" t="s">
        <v>5238</v>
      </c>
      <c r="D372" s="77" t="s">
        <v>5238</v>
      </c>
      <c r="E372" s="77" t="s">
        <v>5238</v>
      </c>
      <c r="F372" s="77"/>
      <c r="G372" s="77"/>
      <c r="H372" s="77"/>
      <c r="I372" s="200"/>
      <c r="J372" s="200"/>
      <c r="K372" s="200"/>
      <c r="L372" s="200"/>
      <c r="M372" s="200"/>
      <c r="N372" s="200"/>
      <c r="O372" s="200"/>
      <c r="P372" s="200"/>
      <c r="Q372" s="200"/>
      <c r="R372" s="200"/>
      <c r="S372" s="200"/>
      <c r="T372" s="200"/>
      <c r="U372" s="200"/>
      <c r="V372" s="200"/>
      <c r="W372" s="200"/>
      <c r="X372" s="200"/>
      <c r="Y372" s="200"/>
      <c r="Z372" s="200"/>
      <c r="AA372" s="200"/>
      <c r="AB372" s="200"/>
      <c r="AC372" s="200"/>
      <c r="AD372" s="288"/>
      <c r="AE372" s="288"/>
      <c r="AF372" s="288"/>
      <c r="AG372" s="288"/>
      <c r="AH372" s="288"/>
      <c r="AI372" s="288"/>
      <c r="AJ372" s="288"/>
      <c r="AK372" s="288"/>
      <c r="AL372" s="288"/>
      <c r="AM372" s="288"/>
      <c r="AN372" s="288"/>
      <c r="AO372" s="102"/>
      <c r="AP372" s="102"/>
      <c r="AQ372" s="102"/>
      <c r="AR372" s="102"/>
      <c r="AS372" s="102"/>
      <c r="AT372" s="102"/>
    </row>
    <row r="373" ht="15.75" customHeight="1">
      <c r="A373" s="206" t="s">
        <v>277</v>
      </c>
      <c r="B373" s="245" t="s">
        <v>2069</v>
      </c>
      <c r="C373" s="77" t="s">
        <v>2071</v>
      </c>
      <c r="D373" s="77" t="s">
        <v>2072</v>
      </c>
      <c r="E373" s="77" t="s">
        <v>2074</v>
      </c>
      <c r="F373" s="77"/>
      <c r="G373" s="77"/>
      <c r="H373" s="77"/>
      <c r="I373" s="208"/>
      <c r="J373" s="212"/>
      <c r="K373" s="208"/>
      <c r="L373" s="208"/>
      <c r="M373" s="208"/>
      <c r="N373" s="208"/>
      <c r="O373" s="210" t="s">
        <v>5221</v>
      </c>
      <c r="P373" s="208"/>
      <c r="Q373" s="208" t="s">
        <v>268</v>
      </c>
      <c r="R373" s="208"/>
      <c r="S373" s="208"/>
      <c r="T373" s="208"/>
      <c r="U373" s="208"/>
      <c r="V373" s="208"/>
      <c r="W373" s="208"/>
      <c r="X373" s="208"/>
      <c r="Y373" s="208"/>
      <c r="Z373" s="208"/>
      <c r="AA373" s="208"/>
      <c r="AB373" s="208"/>
      <c r="AC373" s="208"/>
      <c r="AD373" s="102"/>
      <c r="AE373" s="102"/>
      <c r="AF373" s="102"/>
      <c r="AG373" s="102"/>
      <c r="AH373" s="102"/>
      <c r="AI373" s="102"/>
      <c r="AJ373" s="102"/>
      <c r="AK373" s="102"/>
      <c r="AL373" s="170"/>
      <c r="AM373" s="170"/>
      <c r="AN373" s="170"/>
      <c r="AO373" s="102"/>
      <c r="AP373" s="102"/>
      <c r="AQ373" s="102"/>
      <c r="AR373" s="102"/>
      <c r="AS373" s="102"/>
      <c r="AT373" s="102"/>
    </row>
    <row r="374" ht="15.75" customHeight="1">
      <c r="A374" s="269" t="s">
        <v>294</v>
      </c>
      <c r="B374" s="207" t="s">
        <v>2075</v>
      </c>
      <c r="C374" s="77" t="s">
        <v>2082</v>
      </c>
      <c r="D374" s="77" t="s">
        <v>2083</v>
      </c>
      <c r="E374" s="77" t="s">
        <v>2084</v>
      </c>
      <c r="F374" s="77"/>
      <c r="G374" s="77"/>
      <c r="H374" s="77"/>
      <c r="I374" s="211"/>
      <c r="J374" s="209"/>
      <c r="K374" s="211"/>
      <c r="L374" s="211"/>
      <c r="M374" s="211"/>
      <c r="N374" s="208"/>
      <c r="O374" s="382" t="s">
        <v>5239</v>
      </c>
      <c r="P374" s="208"/>
      <c r="Q374" s="382" t="s">
        <v>268</v>
      </c>
      <c r="R374" s="208"/>
      <c r="S374" s="208"/>
      <c r="T374" s="208"/>
      <c r="U374" s="208"/>
      <c r="V374" s="208"/>
      <c r="W374" s="208"/>
      <c r="X374" s="208"/>
      <c r="Y374" s="210" t="s">
        <v>5240</v>
      </c>
      <c r="Z374" s="208"/>
      <c r="AA374" s="208"/>
      <c r="AB374" s="208"/>
      <c r="AC374" s="208"/>
      <c r="AD374" s="125"/>
      <c r="AE374" s="125"/>
      <c r="AF374" s="125"/>
      <c r="AG374" s="125"/>
      <c r="AH374" s="125"/>
      <c r="AI374" s="125"/>
      <c r="AJ374" s="125"/>
      <c r="AK374" s="125"/>
      <c r="AL374" s="125"/>
      <c r="AM374" s="125"/>
      <c r="AN374" s="125"/>
      <c r="AO374" s="102"/>
      <c r="AP374" s="102"/>
      <c r="AQ374" s="102"/>
      <c r="AR374" s="102"/>
      <c r="AS374" s="102"/>
      <c r="AT374" s="102"/>
    </row>
    <row r="375" ht="15.75" customHeight="1">
      <c r="A375" s="269" t="s">
        <v>299</v>
      </c>
      <c r="B375" s="207" t="s">
        <v>2085</v>
      </c>
      <c r="C375" s="77" t="s">
        <v>2089</v>
      </c>
      <c r="D375" s="77" t="s">
        <v>2090</v>
      </c>
      <c r="E375" s="77" t="s">
        <v>2091</v>
      </c>
      <c r="F375" s="77"/>
      <c r="G375" s="77"/>
      <c r="H375" s="77"/>
      <c r="I375" s="211"/>
      <c r="J375" s="209"/>
      <c r="K375" s="211"/>
      <c r="L375" s="211"/>
      <c r="M375" s="211"/>
      <c r="N375" s="208"/>
      <c r="O375" s="382" t="s">
        <v>5241</v>
      </c>
      <c r="P375" s="208"/>
      <c r="Q375" s="382" t="s">
        <v>268</v>
      </c>
      <c r="R375" s="208"/>
      <c r="S375" s="208"/>
      <c r="T375" s="208"/>
      <c r="U375" s="208"/>
      <c r="V375" s="208"/>
      <c r="W375" s="208"/>
      <c r="X375" s="208"/>
      <c r="Y375" s="208"/>
      <c r="Z375" s="208"/>
      <c r="AA375" s="208"/>
      <c r="AB375" s="208"/>
      <c r="AC375" s="208"/>
      <c r="AD375" s="125"/>
      <c r="AE375" s="125"/>
      <c r="AF375" s="125"/>
      <c r="AG375" s="125"/>
      <c r="AH375" s="125"/>
      <c r="AI375" s="125"/>
      <c r="AJ375" s="125"/>
      <c r="AK375" s="125"/>
      <c r="AL375" s="125"/>
      <c r="AM375" s="125"/>
      <c r="AN375" s="125"/>
      <c r="AO375" s="102"/>
      <c r="AP375" s="102"/>
      <c r="AQ375" s="102"/>
      <c r="AR375" s="102"/>
      <c r="AS375" s="102"/>
      <c r="AT375" s="102"/>
    </row>
    <row r="376" ht="15.75" customHeight="1">
      <c r="A376" s="206" t="s">
        <v>194</v>
      </c>
      <c r="B376" s="245" t="s">
        <v>2092</v>
      </c>
      <c r="C376" s="77" t="s">
        <v>2095</v>
      </c>
      <c r="D376" s="77" t="s">
        <v>2096</v>
      </c>
      <c r="E376" s="77" t="s">
        <v>2097</v>
      </c>
      <c r="F376" s="77"/>
      <c r="G376" s="77" t="s">
        <v>5158</v>
      </c>
      <c r="H376" s="77" t="s">
        <v>5159</v>
      </c>
      <c r="I376" s="211"/>
      <c r="J376" s="209"/>
      <c r="K376" s="211"/>
      <c r="L376" s="211"/>
      <c r="M376" s="211"/>
      <c r="N376" s="208"/>
      <c r="O376" s="382" t="s">
        <v>5242</v>
      </c>
      <c r="P376" s="208"/>
      <c r="Q376" s="125" t="s">
        <v>268</v>
      </c>
      <c r="R376" s="208"/>
      <c r="S376" s="208"/>
      <c r="T376" s="208"/>
      <c r="U376" s="208"/>
      <c r="V376" s="208"/>
      <c r="W376" s="208"/>
      <c r="X376" s="208"/>
      <c r="Y376" s="208"/>
      <c r="Z376" s="208"/>
      <c r="AA376" s="208"/>
      <c r="AB376" s="208"/>
      <c r="AC376" s="208"/>
      <c r="AD376" s="125"/>
      <c r="AE376" s="125"/>
      <c r="AF376" s="125"/>
      <c r="AG376" s="125"/>
      <c r="AH376" s="125"/>
      <c r="AI376" s="125"/>
      <c r="AJ376" s="125"/>
      <c r="AK376" s="125"/>
      <c r="AL376" s="125"/>
      <c r="AM376" s="125"/>
      <c r="AN376" s="125"/>
      <c r="AO376" s="102"/>
      <c r="AP376" s="102"/>
      <c r="AQ376" s="102"/>
      <c r="AR376" s="102"/>
      <c r="AS376" s="102"/>
      <c r="AT376" s="102"/>
    </row>
    <row r="377" ht="15.75" customHeight="1">
      <c r="A377" s="206" t="s">
        <v>2098</v>
      </c>
      <c r="B377" s="245" t="s">
        <v>2099</v>
      </c>
      <c r="C377" s="77" t="s">
        <v>2100</v>
      </c>
      <c r="D377" s="77" t="s">
        <v>2101</v>
      </c>
      <c r="E377" s="77" t="s">
        <v>2102</v>
      </c>
      <c r="F377" s="77"/>
      <c r="G377" s="77"/>
      <c r="H377" s="77"/>
      <c r="I377" s="208"/>
      <c r="J377" s="212"/>
      <c r="K377" s="208"/>
      <c r="L377" s="208"/>
      <c r="M377" s="208"/>
      <c r="N377" s="208"/>
      <c r="O377" s="213" t="s">
        <v>5243</v>
      </c>
      <c r="P377" s="208"/>
      <c r="Q377" s="125" t="s">
        <v>268</v>
      </c>
      <c r="R377" s="208"/>
      <c r="S377" s="208"/>
      <c r="T377" s="208"/>
      <c r="U377" s="208"/>
      <c r="V377" s="208"/>
      <c r="W377" s="208"/>
      <c r="X377" s="208"/>
      <c r="Y377" s="208"/>
      <c r="Z377" s="208"/>
      <c r="AA377" s="208"/>
      <c r="AB377" s="208"/>
      <c r="AC377" s="208"/>
      <c r="AD377" s="125"/>
      <c r="AE377" s="125"/>
      <c r="AF377" s="125"/>
      <c r="AG377" s="125"/>
      <c r="AH377" s="125"/>
      <c r="AI377" s="125"/>
      <c r="AJ377" s="125"/>
      <c r="AK377" s="125"/>
      <c r="AL377" s="125"/>
      <c r="AM377" s="125"/>
      <c r="AN377" s="125"/>
      <c r="AO377" s="102"/>
      <c r="AP377" s="102"/>
      <c r="AQ377" s="102"/>
      <c r="AR377" s="102"/>
      <c r="AS377" s="102"/>
      <c r="AT377" s="102"/>
    </row>
    <row r="378" ht="15.75" customHeight="1">
      <c r="A378" s="214" t="s">
        <v>299</v>
      </c>
      <c r="B378" s="246" t="s">
        <v>2103</v>
      </c>
      <c r="C378" s="77" t="s">
        <v>2105</v>
      </c>
      <c r="D378" s="77" t="s">
        <v>2107</v>
      </c>
      <c r="E378" s="77" t="s">
        <v>2108</v>
      </c>
      <c r="F378" s="77"/>
      <c r="G378" s="77"/>
      <c r="H378" s="77"/>
      <c r="I378" s="216"/>
      <c r="J378" s="217"/>
      <c r="K378" s="216"/>
      <c r="L378" s="216"/>
      <c r="M378" s="216"/>
      <c r="N378" s="216"/>
      <c r="O378" s="229" t="s">
        <v>5244</v>
      </c>
      <c r="P378" s="216"/>
      <c r="Q378" s="219" t="s">
        <v>268</v>
      </c>
      <c r="R378" s="216"/>
      <c r="S378" s="216"/>
      <c r="T378" s="216"/>
      <c r="U378" s="216"/>
      <c r="V378" s="216"/>
      <c r="W378" s="216"/>
      <c r="X378" s="216"/>
      <c r="Y378" s="216"/>
      <c r="Z378" s="216"/>
      <c r="AA378" s="216"/>
      <c r="AB378" s="216"/>
      <c r="AC378" s="216"/>
      <c r="AD378" s="125"/>
      <c r="AE378" s="125"/>
      <c r="AF378" s="125"/>
      <c r="AG378" s="125"/>
      <c r="AH378" s="125"/>
      <c r="AI378" s="125"/>
      <c r="AJ378" s="125"/>
      <c r="AK378" s="125"/>
      <c r="AL378" s="125"/>
      <c r="AM378" s="125"/>
      <c r="AN378" s="125"/>
      <c r="AO378" s="102"/>
      <c r="AP378" s="102"/>
      <c r="AQ378" s="102"/>
      <c r="AR378" s="102"/>
      <c r="AS378" s="102"/>
      <c r="AT378" s="102"/>
    </row>
    <row r="379" ht="15.75" customHeight="1">
      <c r="A379" s="214" t="s">
        <v>299</v>
      </c>
      <c r="B379" s="246" t="s">
        <v>2110</v>
      </c>
      <c r="C379" s="77" t="s">
        <v>2113</v>
      </c>
      <c r="D379" s="77" t="s">
        <v>2114</v>
      </c>
      <c r="E379" s="77" t="s">
        <v>2114</v>
      </c>
      <c r="F379" s="77"/>
      <c r="G379" s="77"/>
      <c r="H379" s="77"/>
      <c r="I379" s="216"/>
      <c r="J379" s="217"/>
      <c r="K379" s="216"/>
      <c r="L379" s="216"/>
      <c r="M379" s="216"/>
      <c r="N379" s="216"/>
      <c r="O379" s="219" t="s">
        <v>5245</v>
      </c>
      <c r="P379" s="216"/>
      <c r="Q379" s="219" t="s">
        <v>268</v>
      </c>
      <c r="R379" s="216"/>
      <c r="S379" s="216"/>
      <c r="T379" s="216"/>
      <c r="U379" s="216"/>
      <c r="V379" s="216"/>
      <c r="W379" s="216"/>
      <c r="X379" s="216"/>
      <c r="Y379" s="216"/>
      <c r="Z379" s="216"/>
      <c r="AA379" s="216"/>
      <c r="AB379" s="216"/>
      <c r="AC379" s="216"/>
      <c r="AD379" s="125"/>
      <c r="AE379" s="125"/>
      <c r="AF379" s="125"/>
      <c r="AG379" s="125"/>
      <c r="AH379" s="125"/>
      <c r="AI379" s="125"/>
      <c r="AJ379" s="125"/>
      <c r="AK379" s="125"/>
      <c r="AL379" s="125"/>
      <c r="AM379" s="125"/>
      <c r="AN379" s="125"/>
      <c r="AO379" s="102"/>
      <c r="AP379" s="102"/>
      <c r="AQ379" s="102"/>
      <c r="AR379" s="102"/>
      <c r="AS379" s="102"/>
      <c r="AT379" s="102"/>
    </row>
    <row r="380" ht="15.75" customHeight="1">
      <c r="A380" s="206" t="s">
        <v>194</v>
      </c>
      <c r="B380" s="245" t="s">
        <v>2115</v>
      </c>
      <c r="C380" s="77" t="s">
        <v>2119</v>
      </c>
      <c r="D380" s="77" t="s">
        <v>2120</v>
      </c>
      <c r="E380" s="77" t="s">
        <v>2121</v>
      </c>
      <c r="F380" s="77"/>
      <c r="G380" s="77"/>
      <c r="H380" s="77"/>
      <c r="I380" s="208"/>
      <c r="J380" s="212"/>
      <c r="K380" s="208"/>
      <c r="L380" s="208"/>
      <c r="M380" s="208"/>
      <c r="N380" s="208"/>
      <c r="O380" s="210" t="s">
        <v>5246</v>
      </c>
      <c r="P380" s="208"/>
      <c r="Q380" s="208" t="s">
        <v>268</v>
      </c>
      <c r="R380" s="208"/>
      <c r="S380" s="208"/>
      <c r="T380" s="208"/>
      <c r="U380" s="208"/>
      <c r="V380" s="208"/>
      <c r="W380" s="208"/>
      <c r="X380" s="208"/>
      <c r="Y380" s="208"/>
      <c r="Z380" s="208"/>
      <c r="AA380" s="208"/>
      <c r="AB380" s="208"/>
      <c r="AC380" s="208"/>
      <c r="AD380" s="102"/>
      <c r="AE380" s="102"/>
      <c r="AF380" s="102"/>
      <c r="AG380" s="102"/>
      <c r="AH380" s="102"/>
      <c r="AI380" s="102"/>
      <c r="AJ380" s="102"/>
      <c r="AK380" s="102"/>
      <c r="AL380" s="170"/>
      <c r="AM380" s="170"/>
      <c r="AN380" s="170"/>
      <c r="AO380" s="102"/>
      <c r="AP380" s="102"/>
      <c r="AQ380" s="102"/>
      <c r="AR380" s="102"/>
      <c r="AS380" s="102"/>
      <c r="AT380" s="102"/>
    </row>
    <row r="381" ht="15.75" customHeight="1">
      <c r="A381" s="206" t="s">
        <v>277</v>
      </c>
      <c r="B381" s="245" t="s">
        <v>2122</v>
      </c>
      <c r="C381" s="77" t="s">
        <v>2127</v>
      </c>
      <c r="D381" s="77" t="s">
        <v>2128</v>
      </c>
      <c r="E381" s="77" t="s">
        <v>2129</v>
      </c>
      <c r="F381" s="77"/>
      <c r="G381" s="77"/>
      <c r="H381" s="77"/>
      <c r="I381" s="208"/>
      <c r="J381" s="212"/>
      <c r="K381" s="208"/>
      <c r="L381" s="208"/>
      <c r="M381" s="208"/>
      <c r="N381" s="208"/>
      <c r="O381" s="213" t="s">
        <v>5247</v>
      </c>
      <c r="P381" s="208"/>
      <c r="Q381" s="208" t="s">
        <v>268</v>
      </c>
      <c r="R381" s="208"/>
      <c r="S381" s="208"/>
      <c r="T381" s="208"/>
      <c r="U381" s="208"/>
      <c r="V381" s="208"/>
      <c r="W381" s="208"/>
      <c r="X381" s="208"/>
      <c r="Y381" s="208"/>
      <c r="Z381" s="208"/>
      <c r="AA381" s="208"/>
      <c r="AB381" s="208"/>
      <c r="AC381" s="208"/>
      <c r="AD381" s="102"/>
      <c r="AE381" s="102"/>
      <c r="AF381" s="102"/>
      <c r="AG381" s="102"/>
      <c r="AH381" s="102"/>
      <c r="AI381" s="102"/>
      <c r="AJ381" s="102"/>
      <c r="AK381" s="102"/>
      <c r="AL381" s="170"/>
      <c r="AM381" s="170"/>
      <c r="AN381" s="170"/>
      <c r="AO381" s="102"/>
      <c r="AP381" s="102"/>
      <c r="AQ381" s="102"/>
      <c r="AR381" s="102"/>
      <c r="AS381" s="102"/>
      <c r="AT381" s="102"/>
    </row>
    <row r="382" ht="15.75" customHeight="1">
      <c r="A382" s="206" t="s">
        <v>287</v>
      </c>
      <c r="B382" s="245" t="s">
        <v>2131</v>
      </c>
      <c r="C382" s="77" t="s">
        <v>2136</v>
      </c>
      <c r="D382" s="77" t="s">
        <v>2137</v>
      </c>
      <c r="E382" s="77" t="s">
        <v>2138</v>
      </c>
      <c r="F382" s="77"/>
      <c r="G382" s="77"/>
      <c r="H382" s="77"/>
      <c r="I382" s="208"/>
      <c r="J382" s="212"/>
      <c r="K382" s="208"/>
      <c r="L382" s="208"/>
      <c r="M382" s="208"/>
      <c r="N382" s="208"/>
      <c r="O382" s="208" t="s">
        <v>5248</v>
      </c>
      <c r="P382" s="208"/>
      <c r="Q382" s="208" t="s">
        <v>268</v>
      </c>
      <c r="R382" s="208"/>
      <c r="S382" s="208"/>
      <c r="T382" s="208"/>
      <c r="U382" s="208"/>
      <c r="V382" s="208"/>
      <c r="W382" s="208"/>
      <c r="X382" s="208"/>
      <c r="Y382" s="208"/>
      <c r="Z382" s="208"/>
      <c r="AA382" s="208"/>
      <c r="AB382" s="208"/>
      <c r="AC382" s="208"/>
      <c r="AD382" s="102"/>
      <c r="AE382" s="102"/>
      <c r="AF382" s="102"/>
      <c r="AG382" s="102"/>
      <c r="AH382" s="102"/>
      <c r="AI382" s="102"/>
      <c r="AJ382" s="102"/>
      <c r="AK382" s="102"/>
      <c r="AL382" s="170"/>
      <c r="AM382" s="170"/>
      <c r="AN382" s="170"/>
      <c r="AO382" s="102"/>
      <c r="AP382" s="102"/>
      <c r="AQ382" s="102"/>
      <c r="AR382" s="102"/>
      <c r="AS382" s="102"/>
      <c r="AT382" s="102"/>
    </row>
    <row r="383" ht="15.75" customHeight="1">
      <c r="A383" s="206" t="s">
        <v>2139</v>
      </c>
      <c r="B383" s="245" t="s">
        <v>2140</v>
      </c>
      <c r="C383" s="77" t="s">
        <v>2145</v>
      </c>
      <c r="D383" s="77" t="s">
        <v>2146</v>
      </c>
      <c r="E383" s="77" t="s">
        <v>2147</v>
      </c>
      <c r="F383" s="77" t="s">
        <v>3110</v>
      </c>
      <c r="G383" s="77" t="s">
        <v>5199</v>
      </c>
      <c r="H383" s="77" t="s">
        <v>3114</v>
      </c>
      <c r="I383" s="211"/>
      <c r="J383" s="209"/>
      <c r="K383" s="208"/>
      <c r="L383" s="208"/>
      <c r="M383" s="208"/>
      <c r="N383" s="208"/>
      <c r="O383" s="208" t="s">
        <v>5249</v>
      </c>
      <c r="P383" s="208"/>
      <c r="Q383" s="208" t="s">
        <v>268</v>
      </c>
      <c r="R383" s="208"/>
      <c r="S383" s="208"/>
      <c r="T383" s="208"/>
      <c r="U383" s="208"/>
      <c r="V383" s="208"/>
      <c r="W383" s="208"/>
      <c r="X383" s="208"/>
      <c r="Y383" s="210" t="s">
        <v>5250</v>
      </c>
      <c r="Z383" s="208"/>
      <c r="AA383" s="208"/>
      <c r="AB383" s="208"/>
      <c r="AC383" s="208"/>
      <c r="AD383" s="102"/>
      <c r="AE383" s="102"/>
      <c r="AF383" s="102"/>
      <c r="AG383" s="102"/>
      <c r="AH383" s="102"/>
      <c r="AI383" s="102"/>
      <c r="AJ383" s="102"/>
      <c r="AK383" s="102"/>
      <c r="AL383" s="170"/>
      <c r="AM383" s="170"/>
      <c r="AN383" s="170"/>
      <c r="AO383" s="102"/>
      <c r="AP383" s="102"/>
      <c r="AQ383" s="102"/>
      <c r="AR383" s="102"/>
      <c r="AS383" s="102"/>
      <c r="AT383" s="102"/>
    </row>
    <row r="384" ht="15.75" customHeight="1">
      <c r="A384" s="214" t="s">
        <v>299</v>
      </c>
      <c r="B384" s="246" t="s">
        <v>2148</v>
      </c>
      <c r="C384" s="77" t="s">
        <v>2155</v>
      </c>
      <c r="D384" s="77" t="s">
        <v>2156</v>
      </c>
      <c r="E384" s="77" t="s">
        <v>2157</v>
      </c>
      <c r="F384" s="77"/>
      <c r="G384" s="77"/>
      <c r="H384" s="77"/>
      <c r="I384" s="216"/>
      <c r="J384" s="217"/>
      <c r="K384" s="216"/>
      <c r="L384" s="216"/>
      <c r="M384" s="216"/>
      <c r="N384" s="216"/>
      <c r="O384" s="229" t="s">
        <v>5251</v>
      </c>
      <c r="P384" s="216"/>
      <c r="Q384" s="216" t="s">
        <v>268</v>
      </c>
      <c r="R384" s="216"/>
      <c r="S384" s="216"/>
      <c r="T384" s="216"/>
      <c r="U384" s="216"/>
      <c r="V384" s="216"/>
      <c r="W384" s="216"/>
      <c r="X384" s="216"/>
      <c r="Y384" s="216"/>
      <c r="Z384" s="216"/>
      <c r="AA384" s="216"/>
      <c r="AB384" s="216"/>
      <c r="AC384" s="216"/>
      <c r="AD384" s="102"/>
      <c r="AE384" s="102"/>
      <c r="AF384" s="102"/>
      <c r="AG384" s="102"/>
      <c r="AH384" s="102"/>
      <c r="AI384" s="102"/>
      <c r="AJ384" s="102"/>
      <c r="AK384" s="102"/>
      <c r="AL384" s="170"/>
      <c r="AM384" s="170"/>
      <c r="AN384" s="170"/>
      <c r="AO384" s="102"/>
      <c r="AP384" s="102"/>
      <c r="AQ384" s="102"/>
      <c r="AR384" s="102"/>
      <c r="AS384" s="102"/>
      <c r="AT384" s="102"/>
    </row>
    <row r="385" ht="15.75" customHeight="1">
      <c r="A385" s="206" t="s">
        <v>305</v>
      </c>
      <c r="B385" s="245" t="s">
        <v>2158</v>
      </c>
      <c r="C385" s="77" t="s">
        <v>2162</v>
      </c>
      <c r="D385" s="77" t="s">
        <v>2163</v>
      </c>
      <c r="E385" s="77" t="s">
        <v>2164</v>
      </c>
      <c r="F385" s="77"/>
      <c r="G385" s="77"/>
      <c r="H385" s="77"/>
      <c r="I385" s="208"/>
      <c r="J385" s="209" t="s">
        <v>5252</v>
      </c>
      <c r="K385" s="211"/>
      <c r="L385" s="208"/>
      <c r="M385" s="208"/>
      <c r="N385" s="208"/>
      <c r="O385" s="213" t="s">
        <v>5253</v>
      </c>
      <c r="P385" s="208"/>
      <c r="Q385" s="208" t="s">
        <v>268</v>
      </c>
      <c r="R385" s="208"/>
      <c r="S385" s="208"/>
      <c r="T385" s="208"/>
      <c r="U385" s="208"/>
      <c r="V385" s="208"/>
      <c r="W385" s="208"/>
      <c r="X385" s="208"/>
      <c r="Y385" s="208"/>
      <c r="Z385" s="208"/>
      <c r="AA385" s="208"/>
      <c r="AB385" s="208"/>
      <c r="AC385" s="208"/>
      <c r="AD385" s="125"/>
      <c r="AE385" s="125"/>
      <c r="AF385" s="125"/>
      <c r="AG385" s="125"/>
      <c r="AH385" s="125"/>
      <c r="AI385" s="125"/>
      <c r="AJ385" s="125"/>
      <c r="AK385" s="125"/>
      <c r="AL385" s="125"/>
      <c r="AM385" s="125"/>
      <c r="AN385" s="125"/>
      <c r="AO385" s="102"/>
      <c r="AP385" s="102"/>
      <c r="AQ385" s="102"/>
      <c r="AR385" s="102"/>
      <c r="AS385" s="102"/>
      <c r="AT385" s="102"/>
    </row>
    <row r="386" ht="15.75" customHeight="1">
      <c r="A386" s="90" t="s">
        <v>299</v>
      </c>
      <c r="B386" s="207" t="s">
        <v>2165</v>
      </c>
      <c r="C386" s="77" t="s">
        <v>2167</v>
      </c>
      <c r="D386" s="77" t="s">
        <v>2169</v>
      </c>
      <c r="E386" s="77" t="s">
        <v>2170</v>
      </c>
      <c r="F386" s="77"/>
      <c r="G386" s="77"/>
      <c r="H386" s="77"/>
      <c r="I386" s="97"/>
      <c r="J386" s="236"/>
      <c r="K386" s="100"/>
      <c r="L386" s="97"/>
      <c r="M386" s="98"/>
      <c r="N386" s="98"/>
      <c r="O386" s="99" t="s">
        <v>5254</v>
      </c>
      <c r="P386" s="97"/>
      <c r="Q386" s="238" t="s">
        <v>268</v>
      </c>
      <c r="R386" s="97"/>
      <c r="S386" s="97"/>
      <c r="T386" s="97"/>
      <c r="U386" s="97"/>
      <c r="V386" s="97"/>
      <c r="W386" s="97"/>
      <c r="X386" s="97"/>
      <c r="Y386" s="97"/>
      <c r="Z386" s="97"/>
      <c r="AA386" s="97"/>
      <c r="AB386" s="97"/>
      <c r="AC386" s="97"/>
      <c r="AD386" s="125"/>
      <c r="AE386" s="125"/>
      <c r="AF386" s="125"/>
      <c r="AG386" s="125"/>
      <c r="AH386" s="125"/>
      <c r="AI386" s="125"/>
      <c r="AJ386" s="125"/>
      <c r="AK386" s="125"/>
      <c r="AL386" s="125"/>
      <c r="AM386" s="125"/>
      <c r="AN386" s="125"/>
      <c r="AO386" s="102"/>
      <c r="AP386" s="102"/>
      <c r="AQ386" s="102"/>
      <c r="AR386" s="102"/>
      <c r="AS386" s="102"/>
      <c r="AT386" s="102"/>
    </row>
    <row r="387" ht="15.75" customHeight="1">
      <c r="A387" s="197" t="s">
        <v>227</v>
      </c>
      <c r="B387" s="93" t="s">
        <v>5255</v>
      </c>
      <c r="C387" s="93"/>
      <c r="D387" s="96"/>
      <c r="E387" s="96"/>
      <c r="F387" s="97"/>
      <c r="G387" s="97"/>
      <c r="H387" s="97"/>
      <c r="I387" s="97"/>
      <c r="J387" s="98"/>
      <c r="K387" s="97"/>
      <c r="L387" s="97"/>
      <c r="M387" s="98"/>
      <c r="N387" s="98"/>
      <c r="O387" s="99" t="s">
        <v>5256</v>
      </c>
      <c r="P387" s="97"/>
      <c r="Q387" s="170"/>
      <c r="R387" s="97"/>
      <c r="S387" s="97"/>
      <c r="T387" s="97"/>
      <c r="U387" s="97"/>
      <c r="V387" s="97"/>
      <c r="W387" s="97"/>
      <c r="X387" s="97"/>
      <c r="Y387" s="97"/>
      <c r="Z387" s="97"/>
      <c r="AA387" s="97"/>
      <c r="AB387" s="97"/>
      <c r="AC387" s="97"/>
      <c r="AD387" s="125"/>
      <c r="AE387" s="125"/>
      <c r="AF387" s="125"/>
      <c r="AG387" s="125"/>
      <c r="AH387" s="125"/>
      <c r="AI387" s="125"/>
      <c r="AJ387" s="125"/>
      <c r="AK387" s="125"/>
      <c r="AL387" s="125"/>
      <c r="AM387" s="125"/>
      <c r="AN387" s="125"/>
      <c r="AO387" s="102"/>
      <c r="AP387" s="102"/>
      <c r="AQ387" s="102"/>
      <c r="AR387" s="102"/>
      <c r="AS387" s="102"/>
      <c r="AT387" s="102"/>
    </row>
    <row r="388" ht="15.75" customHeight="1">
      <c r="A388" s="206" t="s">
        <v>194</v>
      </c>
      <c r="B388" s="245" t="s">
        <v>2177</v>
      </c>
      <c r="C388" s="77" t="s">
        <v>2181</v>
      </c>
      <c r="D388" s="77" t="s">
        <v>2182</v>
      </c>
      <c r="E388" s="77" t="s">
        <v>2183</v>
      </c>
      <c r="F388" s="77"/>
      <c r="G388" s="77"/>
      <c r="H388" s="77"/>
      <c r="I388" s="208"/>
      <c r="J388" s="212"/>
      <c r="K388" s="208"/>
      <c r="L388" s="208"/>
      <c r="M388" s="208"/>
      <c r="N388" s="208"/>
      <c r="O388" s="213" t="s">
        <v>5257</v>
      </c>
      <c r="P388" s="208"/>
      <c r="Q388" s="125" t="s">
        <v>268</v>
      </c>
      <c r="R388" s="208"/>
      <c r="S388" s="208"/>
      <c r="T388" s="208"/>
      <c r="U388" s="208"/>
      <c r="V388" s="208"/>
      <c r="W388" s="208"/>
      <c r="X388" s="208"/>
      <c r="Y388" s="208"/>
      <c r="Z388" s="208"/>
      <c r="AA388" s="208"/>
      <c r="AB388" s="208"/>
      <c r="AC388" s="208"/>
      <c r="AD388" s="125"/>
      <c r="AE388" s="125"/>
      <c r="AF388" s="125"/>
      <c r="AG388" s="125"/>
      <c r="AH388" s="125"/>
      <c r="AI388" s="125"/>
      <c r="AJ388" s="125"/>
      <c r="AK388" s="125"/>
      <c r="AL388" s="125"/>
      <c r="AM388" s="125"/>
      <c r="AN388" s="125"/>
      <c r="AO388" s="102"/>
      <c r="AP388" s="102"/>
      <c r="AQ388" s="102"/>
      <c r="AR388" s="102"/>
      <c r="AS388" s="102"/>
      <c r="AT388" s="102"/>
    </row>
    <row r="389" ht="15.75" customHeight="1">
      <c r="A389" s="269" t="s">
        <v>484</v>
      </c>
      <c r="B389" s="245" t="s">
        <v>2184</v>
      </c>
      <c r="C389" s="77" t="s">
        <v>2189</v>
      </c>
      <c r="D389" s="77" t="s">
        <v>2190</v>
      </c>
      <c r="E389" s="77" t="s">
        <v>2191</v>
      </c>
      <c r="F389" s="77"/>
      <c r="G389" s="77"/>
      <c r="H389" s="77"/>
      <c r="I389" s="208"/>
      <c r="J389" s="212"/>
      <c r="K389" s="208"/>
      <c r="L389" s="208"/>
      <c r="M389" s="208"/>
      <c r="N389" s="208"/>
      <c r="O389" s="208" t="s">
        <v>5258</v>
      </c>
      <c r="P389" s="208"/>
      <c r="Q389" s="208" t="s">
        <v>268</v>
      </c>
      <c r="R389" s="208"/>
      <c r="S389" s="208"/>
      <c r="T389" s="208"/>
      <c r="U389" s="208"/>
      <c r="V389" s="208"/>
      <c r="W389" s="208"/>
      <c r="X389" s="208"/>
      <c r="Y389" s="208"/>
      <c r="Z389" s="208"/>
      <c r="AA389" s="208"/>
      <c r="AB389" s="208"/>
      <c r="AC389" s="208"/>
      <c r="AD389" s="288"/>
      <c r="AE389" s="288"/>
      <c r="AF389" s="288"/>
      <c r="AG389" s="288"/>
      <c r="AH389" s="288"/>
      <c r="AI389" s="288"/>
      <c r="AJ389" s="288"/>
      <c r="AK389" s="288"/>
      <c r="AL389" s="288"/>
      <c r="AM389" s="288"/>
      <c r="AN389" s="288"/>
      <c r="AO389" s="102"/>
      <c r="AP389" s="102"/>
      <c r="AQ389" s="102"/>
      <c r="AR389" s="102"/>
      <c r="AS389" s="102"/>
      <c r="AT389" s="102"/>
    </row>
    <row r="390" ht="15.75" customHeight="1">
      <c r="A390" s="214" t="s">
        <v>299</v>
      </c>
      <c r="B390" s="246" t="s">
        <v>2193</v>
      </c>
      <c r="C390" s="77" t="s">
        <v>2199</v>
      </c>
      <c r="D390" s="77" t="s">
        <v>2200</v>
      </c>
      <c r="E390" s="77" t="s">
        <v>2201</v>
      </c>
      <c r="F390" s="77"/>
      <c r="G390" s="77"/>
      <c r="H390" s="77"/>
      <c r="I390" s="216"/>
      <c r="J390" s="217"/>
      <c r="K390" s="216"/>
      <c r="L390" s="216"/>
      <c r="M390" s="216"/>
      <c r="N390" s="216"/>
      <c r="O390" s="218" t="s">
        <v>5259</v>
      </c>
      <c r="P390" s="216"/>
      <c r="Q390" s="216"/>
      <c r="R390" s="216"/>
      <c r="S390" s="216"/>
      <c r="T390" s="216"/>
      <c r="U390" s="216"/>
      <c r="V390" s="216"/>
      <c r="W390" s="216"/>
      <c r="X390" s="216"/>
      <c r="Y390" s="216"/>
      <c r="Z390" s="216"/>
      <c r="AA390" s="216"/>
      <c r="AB390" s="216"/>
      <c r="AC390" s="216"/>
      <c r="AD390" s="288"/>
      <c r="AE390" s="288"/>
      <c r="AF390" s="288"/>
      <c r="AG390" s="288"/>
      <c r="AH390" s="288"/>
      <c r="AI390" s="288"/>
      <c r="AJ390" s="288"/>
      <c r="AK390" s="288"/>
      <c r="AL390" s="288"/>
      <c r="AM390" s="288"/>
      <c r="AN390" s="288"/>
      <c r="AO390" s="102"/>
      <c r="AP390" s="102"/>
      <c r="AQ390" s="102"/>
      <c r="AR390" s="102"/>
      <c r="AS390" s="102"/>
      <c r="AT390" s="102"/>
    </row>
    <row r="391" ht="15.75" customHeight="1">
      <c r="A391" s="206" t="s">
        <v>194</v>
      </c>
      <c r="B391" s="245" t="s">
        <v>2202</v>
      </c>
      <c r="C391" s="77" t="s">
        <v>2206</v>
      </c>
      <c r="D391" s="77" t="s">
        <v>2207</v>
      </c>
      <c r="E391" s="77" t="s">
        <v>2208</v>
      </c>
      <c r="F391" s="77"/>
      <c r="G391" s="77"/>
      <c r="H391" s="77"/>
      <c r="I391" s="208"/>
      <c r="J391" s="212"/>
      <c r="K391" s="208"/>
      <c r="L391" s="208"/>
      <c r="M391" s="125"/>
      <c r="N391" s="125"/>
      <c r="O391" s="125" t="s">
        <v>5260</v>
      </c>
      <c r="P391" s="208"/>
      <c r="Q391" s="208" t="s">
        <v>268</v>
      </c>
      <c r="R391" s="208"/>
      <c r="S391" s="208"/>
      <c r="T391" s="208"/>
      <c r="U391" s="208"/>
      <c r="V391" s="208"/>
      <c r="W391" s="208"/>
      <c r="X391" s="208"/>
      <c r="Y391" s="208"/>
      <c r="Z391" s="208"/>
      <c r="AA391" s="208"/>
      <c r="AB391" s="208"/>
      <c r="AC391" s="208"/>
      <c r="AD391" s="102"/>
      <c r="AE391" s="102"/>
      <c r="AF391" s="102"/>
      <c r="AG391" s="102"/>
      <c r="AH391" s="102"/>
      <c r="AI391" s="102"/>
      <c r="AJ391" s="102"/>
      <c r="AK391" s="102"/>
      <c r="AL391" s="170"/>
      <c r="AM391" s="170"/>
      <c r="AN391" s="170"/>
      <c r="AO391" s="102"/>
      <c r="AP391" s="102"/>
      <c r="AQ391" s="102"/>
      <c r="AR391" s="102"/>
      <c r="AS391" s="102"/>
      <c r="AT391" s="102"/>
    </row>
    <row r="392" ht="15.75" customHeight="1">
      <c r="A392" s="265" t="s">
        <v>396</v>
      </c>
      <c r="B392" s="266" t="s">
        <v>2209</v>
      </c>
      <c r="C392" s="77" t="s">
        <v>2214</v>
      </c>
      <c r="D392" s="77" t="s">
        <v>2215</v>
      </c>
      <c r="E392" s="77" t="s">
        <v>2216</v>
      </c>
      <c r="F392" s="77"/>
      <c r="G392" s="77"/>
      <c r="H392" s="77"/>
      <c r="I392" s="267"/>
      <c r="J392" s="267"/>
      <c r="K392" s="268" t="s">
        <v>4576</v>
      </c>
      <c r="L392" s="268"/>
      <c r="M392" s="294"/>
      <c r="N392" s="294"/>
      <c r="O392" s="294" t="s">
        <v>5261</v>
      </c>
      <c r="P392" s="267"/>
      <c r="Q392" s="267" t="s">
        <v>268</v>
      </c>
      <c r="R392" s="267"/>
      <c r="S392" s="267"/>
      <c r="T392" s="267"/>
      <c r="U392" s="267"/>
      <c r="V392" s="267"/>
      <c r="W392" s="267"/>
      <c r="X392" s="267"/>
      <c r="Y392" s="267"/>
      <c r="Z392" s="267"/>
      <c r="AA392" s="267"/>
      <c r="AB392" s="267"/>
      <c r="AC392" s="267"/>
      <c r="AD392" s="102"/>
      <c r="AE392" s="102"/>
      <c r="AF392" s="102"/>
      <c r="AG392" s="102"/>
      <c r="AH392" s="102"/>
      <c r="AI392" s="102"/>
      <c r="AJ392" s="102"/>
      <c r="AK392" s="102"/>
      <c r="AL392" s="170"/>
      <c r="AM392" s="170"/>
      <c r="AN392" s="170"/>
      <c r="AO392" s="102"/>
      <c r="AP392" s="102"/>
      <c r="AQ392" s="102"/>
      <c r="AR392" s="102"/>
      <c r="AS392" s="102"/>
      <c r="AT392" s="102"/>
    </row>
    <row r="393" ht="15.75" customHeight="1">
      <c r="A393" s="206" t="s">
        <v>2217</v>
      </c>
      <c r="B393" s="245" t="s">
        <v>2218</v>
      </c>
      <c r="C393" s="77" t="s">
        <v>2223</v>
      </c>
      <c r="D393" s="77" t="s">
        <v>2224</v>
      </c>
      <c r="E393" s="77" t="s">
        <v>2225</v>
      </c>
      <c r="F393" s="77" t="s">
        <v>3110</v>
      </c>
      <c r="G393" s="77" t="s">
        <v>5199</v>
      </c>
      <c r="H393" s="77" t="s">
        <v>3114</v>
      </c>
      <c r="I393" s="211"/>
      <c r="J393" s="209"/>
      <c r="K393" s="208"/>
      <c r="L393" s="208"/>
      <c r="M393" s="208"/>
      <c r="N393" s="208"/>
      <c r="O393" s="211" t="s">
        <v>5262</v>
      </c>
      <c r="P393" s="210" t="s">
        <v>268</v>
      </c>
      <c r="Q393" s="208" t="s">
        <v>268</v>
      </c>
      <c r="R393" s="208"/>
      <c r="S393" s="208"/>
      <c r="T393" s="208"/>
      <c r="U393" s="208"/>
      <c r="V393" s="208"/>
      <c r="W393" s="208"/>
      <c r="X393" s="208"/>
      <c r="Y393" s="208"/>
      <c r="Z393" s="208"/>
      <c r="AA393" s="208"/>
      <c r="AB393" s="208"/>
      <c r="AC393" s="208"/>
      <c r="AD393" s="102"/>
      <c r="AE393" s="102"/>
      <c r="AF393" s="102"/>
      <c r="AG393" s="102"/>
      <c r="AH393" s="102"/>
      <c r="AI393" s="102"/>
      <c r="AJ393" s="102"/>
      <c r="AK393" s="102"/>
      <c r="AL393" s="170"/>
      <c r="AM393" s="170"/>
      <c r="AN393" s="170"/>
      <c r="AO393" s="102"/>
      <c r="AP393" s="102"/>
      <c r="AQ393" s="102"/>
      <c r="AR393" s="102"/>
      <c r="AS393" s="102"/>
      <c r="AT393" s="102"/>
    </row>
    <row r="394" ht="15.75" customHeight="1">
      <c r="A394" s="206" t="s">
        <v>194</v>
      </c>
      <c r="B394" s="245" t="s">
        <v>2226</v>
      </c>
      <c r="C394" s="77" t="s">
        <v>2231</v>
      </c>
      <c r="D394" s="77" t="s">
        <v>2232</v>
      </c>
      <c r="E394" s="77" t="s">
        <v>2233</v>
      </c>
      <c r="F394" s="77"/>
      <c r="G394" s="77"/>
      <c r="H394" s="77"/>
      <c r="I394" s="208"/>
      <c r="J394" s="212"/>
      <c r="K394" s="208"/>
      <c r="L394" s="208"/>
      <c r="M394" s="208"/>
      <c r="N394" s="208"/>
      <c r="O394" s="213" t="s">
        <v>5263</v>
      </c>
      <c r="P394" s="208"/>
      <c r="Q394" s="125" t="s">
        <v>268</v>
      </c>
      <c r="R394" s="208"/>
      <c r="S394" s="208"/>
      <c r="T394" s="208"/>
      <c r="U394" s="208"/>
      <c r="V394" s="208"/>
      <c r="W394" s="208"/>
      <c r="X394" s="208"/>
      <c r="Y394" s="208"/>
      <c r="Z394" s="208"/>
      <c r="AA394" s="208"/>
      <c r="AB394" s="208"/>
      <c r="AC394" s="208"/>
      <c r="AD394" s="125"/>
      <c r="AE394" s="125"/>
      <c r="AF394" s="125"/>
      <c r="AG394" s="125"/>
      <c r="AH394" s="125"/>
      <c r="AI394" s="125"/>
      <c r="AJ394" s="125"/>
      <c r="AK394" s="125"/>
      <c r="AL394" s="125"/>
      <c r="AM394" s="125"/>
      <c r="AN394" s="125"/>
      <c r="AO394" s="102"/>
      <c r="AP394" s="102"/>
      <c r="AQ394" s="102"/>
      <c r="AR394" s="102"/>
      <c r="AS394" s="102"/>
      <c r="AT394" s="102"/>
    </row>
    <row r="395" ht="15.75" customHeight="1">
      <c r="A395" s="206" t="s">
        <v>2234</v>
      </c>
      <c r="B395" s="245" t="s">
        <v>2235</v>
      </c>
      <c r="C395" s="77" t="s">
        <v>2236</v>
      </c>
      <c r="D395" s="77" t="s">
        <v>2237</v>
      </c>
      <c r="E395" s="77" t="s">
        <v>2238</v>
      </c>
      <c r="F395" s="77"/>
      <c r="G395" s="77"/>
      <c r="H395" s="77"/>
      <c r="I395" s="208"/>
      <c r="J395" s="212"/>
      <c r="K395" s="208"/>
      <c r="L395" s="208"/>
      <c r="M395" s="208"/>
      <c r="N395" s="208"/>
      <c r="O395" s="211" t="s">
        <v>5264</v>
      </c>
      <c r="P395" s="208"/>
      <c r="Q395" s="211" t="s">
        <v>268</v>
      </c>
      <c r="R395" s="208"/>
      <c r="S395" s="208"/>
      <c r="T395" s="208"/>
      <c r="U395" s="208"/>
      <c r="V395" s="208"/>
      <c r="W395" s="208"/>
      <c r="X395" s="208"/>
      <c r="Y395" s="208"/>
      <c r="Z395" s="208"/>
      <c r="AA395" s="208"/>
      <c r="AB395" s="208"/>
      <c r="AC395" s="208"/>
      <c r="AD395" s="125"/>
      <c r="AE395" s="125"/>
      <c r="AF395" s="125"/>
      <c r="AG395" s="125"/>
      <c r="AH395" s="125"/>
      <c r="AI395" s="125"/>
      <c r="AJ395" s="125"/>
      <c r="AK395" s="125"/>
      <c r="AL395" s="125"/>
      <c r="AM395" s="125"/>
      <c r="AN395" s="125"/>
      <c r="AO395" s="102"/>
      <c r="AP395" s="102"/>
      <c r="AQ395" s="102"/>
      <c r="AR395" s="102"/>
      <c r="AS395" s="102"/>
      <c r="AT395" s="102"/>
    </row>
    <row r="396" ht="15.75" customHeight="1">
      <c r="A396" s="265" t="s">
        <v>396</v>
      </c>
      <c r="B396" s="266" t="s">
        <v>2239</v>
      </c>
      <c r="C396" s="77" t="s">
        <v>2243</v>
      </c>
      <c r="D396" s="77" t="s">
        <v>2244</v>
      </c>
      <c r="E396" s="77" t="s">
        <v>2245</v>
      </c>
      <c r="F396" s="77"/>
      <c r="G396" s="77"/>
      <c r="H396" s="77"/>
      <c r="I396" s="267"/>
      <c r="J396" s="267"/>
      <c r="K396" s="268" t="s">
        <v>5265</v>
      </c>
      <c r="L396" s="268"/>
      <c r="M396" s="294"/>
      <c r="N396" s="294"/>
      <c r="O396" s="294" t="s">
        <v>5266</v>
      </c>
      <c r="P396" s="267"/>
      <c r="Q396" s="267" t="s">
        <v>268</v>
      </c>
      <c r="R396" s="267"/>
      <c r="S396" s="267"/>
      <c r="T396" s="267"/>
      <c r="U396" s="267"/>
      <c r="V396" s="267"/>
      <c r="W396" s="267"/>
      <c r="X396" s="267"/>
      <c r="Y396" s="267"/>
      <c r="Z396" s="267"/>
      <c r="AA396" s="267"/>
      <c r="AB396" s="267"/>
      <c r="AC396" s="267"/>
      <c r="AD396" s="102"/>
      <c r="AE396" s="102"/>
      <c r="AF396" s="102"/>
      <c r="AG396" s="102"/>
      <c r="AH396" s="102"/>
      <c r="AI396" s="102"/>
      <c r="AJ396" s="102"/>
      <c r="AK396" s="102"/>
      <c r="AL396" s="294"/>
      <c r="AM396" s="294"/>
      <c r="AN396" s="294"/>
      <c r="AO396" s="102"/>
      <c r="AP396" s="102"/>
      <c r="AQ396" s="102"/>
      <c r="AR396" s="102"/>
      <c r="AS396" s="102"/>
      <c r="AT396" s="102"/>
    </row>
    <row r="397" ht="15.75" customHeight="1">
      <c r="A397" s="265" t="s">
        <v>396</v>
      </c>
      <c r="B397" s="266" t="s">
        <v>2246</v>
      </c>
      <c r="C397" s="77" t="s">
        <v>2250</v>
      </c>
      <c r="D397" s="77" t="s">
        <v>2251</v>
      </c>
      <c r="E397" s="77" t="s">
        <v>2252</v>
      </c>
      <c r="F397" s="77"/>
      <c r="G397" s="77"/>
      <c r="H397" s="77"/>
      <c r="I397" s="267"/>
      <c r="J397" s="267"/>
      <c r="K397" s="268" t="s">
        <v>5267</v>
      </c>
      <c r="L397" s="367" t="s">
        <v>5268</v>
      </c>
      <c r="M397" s="267"/>
      <c r="N397" s="267"/>
      <c r="O397" s="293" t="s">
        <v>5264</v>
      </c>
      <c r="P397" s="267"/>
      <c r="Q397" s="294" t="s">
        <v>268</v>
      </c>
      <c r="R397" s="267"/>
      <c r="S397" s="267"/>
      <c r="T397" s="267"/>
      <c r="U397" s="267"/>
      <c r="V397" s="267"/>
      <c r="W397" s="267"/>
      <c r="X397" s="267"/>
      <c r="Y397" s="267"/>
      <c r="Z397" s="267"/>
      <c r="AA397" s="267"/>
      <c r="AB397" s="267"/>
      <c r="AC397" s="267"/>
      <c r="AD397" s="294"/>
      <c r="AE397" s="294"/>
      <c r="AF397" s="294"/>
      <c r="AG397" s="294"/>
      <c r="AH397" s="294"/>
      <c r="AI397" s="294"/>
      <c r="AJ397" s="294"/>
      <c r="AK397" s="294"/>
      <c r="AL397" s="294"/>
      <c r="AM397" s="294"/>
      <c r="AN397" s="294"/>
      <c r="AO397" s="102"/>
      <c r="AP397" s="102"/>
      <c r="AQ397" s="102"/>
      <c r="AR397" s="102"/>
      <c r="AS397" s="102"/>
      <c r="AT397" s="102"/>
    </row>
    <row r="398" ht="15.75" customHeight="1">
      <c r="A398" s="265" t="s">
        <v>396</v>
      </c>
      <c r="B398" s="266" t="s">
        <v>2253</v>
      </c>
      <c r="C398" s="77" t="s">
        <v>2258</v>
      </c>
      <c r="D398" s="77" t="s">
        <v>2259</v>
      </c>
      <c r="E398" s="77" t="s">
        <v>2260</v>
      </c>
      <c r="F398" s="77"/>
      <c r="G398" s="77"/>
      <c r="H398" s="77"/>
      <c r="I398" s="267"/>
      <c r="J398" s="267"/>
      <c r="K398" s="268" t="s">
        <v>5267</v>
      </c>
      <c r="L398" s="367" t="s">
        <v>5268</v>
      </c>
      <c r="M398" s="267"/>
      <c r="N398" s="267"/>
      <c r="O398" s="293" t="s">
        <v>5264</v>
      </c>
      <c r="P398" s="267"/>
      <c r="Q398" s="294" t="s">
        <v>268</v>
      </c>
      <c r="R398" s="267"/>
      <c r="S398" s="267"/>
      <c r="T398" s="267"/>
      <c r="U398" s="267"/>
      <c r="V398" s="267"/>
      <c r="W398" s="267"/>
      <c r="X398" s="267"/>
      <c r="Y398" s="267"/>
      <c r="Z398" s="267"/>
      <c r="AA398" s="267"/>
      <c r="AB398" s="267"/>
      <c r="AC398" s="267"/>
      <c r="AD398" s="294"/>
      <c r="AE398" s="294"/>
      <c r="AF398" s="294"/>
      <c r="AG398" s="294"/>
      <c r="AH398" s="294"/>
      <c r="AI398" s="294"/>
      <c r="AJ398" s="294"/>
      <c r="AK398" s="294"/>
      <c r="AL398" s="294"/>
      <c r="AM398" s="294"/>
      <c r="AN398" s="294"/>
      <c r="AO398" s="102"/>
      <c r="AP398" s="102"/>
      <c r="AQ398" s="102"/>
      <c r="AR398" s="102"/>
      <c r="AS398" s="102"/>
      <c r="AT398" s="102"/>
    </row>
    <row r="399" ht="15.75" customHeight="1">
      <c r="A399" s="206" t="s">
        <v>277</v>
      </c>
      <c r="B399" s="245" t="s">
        <v>2261</v>
      </c>
      <c r="C399" s="77" t="s">
        <v>2265</v>
      </c>
      <c r="D399" s="77" t="s">
        <v>2267</v>
      </c>
      <c r="E399" s="77" t="s">
        <v>2268</v>
      </c>
      <c r="F399" s="77"/>
      <c r="G399" s="77"/>
      <c r="H399" s="77"/>
      <c r="I399" s="208"/>
      <c r="J399" s="212"/>
      <c r="K399" s="208"/>
      <c r="L399" s="208"/>
      <c r="M399" s="208"/>
      <c r="N399" s="208"/>
      <c r="O399" s="211" t="s">
        <v>5269</v>
      </c>
      <c r="P399" s="208"/>
      <c r="Q399" s="208" t="s">
        <v>268</v>
      </c>
      <c r="R399" s="208"/>
      <c r="S399" s="208"/>
      <c r="T399" s="208"/>
      <c r="U399" s="208"/>
      <c r="V399" s="208"/>
      <c r="W399" s="208"/>
      <c r="X399" s="208"/>
      <c r="Y399" s="208"/>
      <c r="Z399" s="208"/>
      <c r="AA399" s="208"/>
      <c r="AB399" s="208"/>
      <c r="AC399" s="208"/>
      <c r="AD399" s="102"/>
      <c r="AE399" s="102"/>
      <c r="AF399" s="102"/>
      <c r="AG399" s="102"/>
      <c r="AH399" s="102"/>
      <c r="AI399" s="102"/>
      <c r="AJ399" s="102"/>
      <c r="AK399" s="102"/>
      <c r="AL399" s="170"/>
      <c r="AM399" s="170"/>
      <c r="AN399" s="170"/>
      <c r="AO399" s="102"/>
      <c r="AP399" s="102"/>
      <c r="AQ399" s="102"/>
      <c r="AR399" s="102"/>
      <c r="AS399" s="102"/>
      <c r="AT399" s="102"/>
    </row>
    <row r="400" ht="15.75" customHeight="1">
      <c r="A400" s="265" t="s">
        <v>396</v>
      </c>
      <c r="B400" s="266" t="s">
        <v>2269</v>
      </c>
      <c r="C400" s="77" t="s">
        <v>2276</v>
      </c>
      <c r="D400" s="77" t="s">
        <v>2277</v>
      </c>
      <c r="E400" s="77" t="s">
        <v>2278</v>
      </c>
      <c r="F400" s="77"/>
      <c r="G400" s="77"/>
      <c r="H400" s="77"/>
      <c r="I400" s="267"/>
      <c r="J400" s="267"/>
      <c r="K400" s="268" t="s">
        <v>5270</v>
      </c>
      <c r="L400" s="268"/>
      <c r="M400" s="267"/>
      <c r="N400" s="267"/>
      <c r="O400" s="293" t="s">
        <v>5271</v>
      </c>
      <c r="P400" s="267"/>
      <c r="Q400" s="267" t="s">
        <v>268</v>
      </c>
      <c r="R400" s="267"/>
      <c r="S400" s="267"/>
      <c r="T400" s="267"/>
      <c r="U400" s="267"/>
      <c r="V400" s="267"/>
      <c r="W400" s="267"/>
      <c r="X400" s="267"/>
      <c r="Y400" s="267"/>
      <c r="Z400" s="267"/>
      <c r="AA400" s="267"/>
      <c r="AB400" s="267"/>
      <c r="AC400" s="267"/>
      <c r="AD400" s="102"/>
      <c r="AE400" s="102"/>
      <c r="AF400" s="102"/>
      <c r="AG400" s="102"/>
      <c r="AH400" s="102"/>
      <c r="AI400" s="102"/>
      <c r="AJ400" s="102"/>
      <c r="AK400" s="102"/>
      <c r="AL400" s="170"/>
      <c r="AM400" s="170"/>
      <c r="AN400" s="170"/>
      <c r="AO400" s="102"/>
      <c r="AP400" s="102"/>
      <c r="AQ400" s="102"/>
      <c r="AR400" s="102"/>
      <c r="AS400" s="102"/>
      <c r="AT400" s="102"/>
    </row>
    <row r="401" ht="15.75" customHeight="1">
      <c r="A401" s="383" t="s">
        <v>735</v>
      </c>
      <c r="B401" s="93" t="s">
        <v>5255</v>
      </c>
      <c r="C401" s="384"/>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c r="AA401" s="170"/>
      <c r="AB401" s="170"/>
      <c r="AC401" s="170"/>
      <c r="AD401" s="102"/>
      <c r="AE401" s="102"/>
      <c r="AF401" s="102"/>
      <c r="AG401" s="102"/>
      <c r="AH401" s="102"/>
      <c r="AI401" s="102"/>
      <c r="AJ401" s="102"/>
      <c r="AK401" s="102"/>
      <c r="AL401" s="102"/>
      <c r="AM401" s="102"/>
      <c r="AN401" s="102"/>
      <c r="AO401" s="102"/>
      <c r="AP401" s="102"/>
      <c r="AQ401" s="102"/>
      <c r="AR401" s="102"/>
      <c r="AS401" s="102"/>
      <c r="AT401" s="102"/>
    </row>
    <row r="402" ht="15.75" customHeight="1">
      <c r="A402" s="385"/>
      <c r="B402" s="386"/>
      <c r="C402" s="387"/>
      <c r="D402" s="387"/>
      <c r="E402" s="387"/>
      <c r="F402" s="102"/>
      <c r="G402" s="102"/>
      <c r="H402" s="102"/>
      <c r="I402" s="102"/>
      <c r="J402" s="102"/>
      <c r="K402" s="102"/>
      <c r="L402" s="102"/>
      <c r="M402" s="102"/>
      <c r="N402" s="102"/>
      <c r="O402" s="102"/>
      <c r="P402" s="102"/>
      <c r="Q402" s="102"/>
      <c r="R402" s="102"/>
      <c r="S402" s="102"/>
      <c r="T402" s="102"/>
      <c r="U402" s="385"/>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row>
    <row r="403" ht="15.75" customHeight="1">
      <c r="A403" s="388" t="s">
        <v>227</v>
      </c>
      <c r="B403" s="389" t="s">
        <v>5272</v>
      </c>
      <c r="C403" s="390" t="s">
        <v>5273</v>
      </c>
      <c r="D403" s="390"/>
      <c r="E403" s="390"/>
      <c r="F403" s="391"/>
      <c r="G403" s="391"/>
      <c r="H403" s="391"/>
      <c r="I403" s="391"/>
      <c r="J403" s="391"/>
      <c r="K403" s="391"/>
      <c r="L403" s="391"/>
      <c r="M403" s="392"/>
      <c r="N403" s="392"/>
      <c r="O403" s="393" t="s">
        <v>5274</v>
      </c>
      <c r="P403" s="391"/>
      <c r="Q403" s="391"/>
      <c r="R403" s="391"/>
      <c r="S403" s="391"/>
      <c r="T403" s="391"/>
      <c r="U403" s="393"/>
      <c r="V403" s="394"/>
      <c r="W403" s="391"/>
      <c r="X403" s="391"/>
      <c r="Y403" s="391"/>
      <c r="Z403" s="391"/>
      <c r="AA403" s="391"/>
      <c r="AB403" s="391"/>
      <c r="AC403" s="391"/>
      <c r="AD403" s="102"/>
      <c r="AE403" s="102"/>
      <c r="AF403" s="102"/>
      <c r="AG403" s="102"/>
      <c r="AH403" s="102"/>
      <c r="AI403" s="102"/>
      <c r="AJ403" s="102"/>
      <c r="AK403" s="102"/>
      <c r="AL403" s="102"/>
      <c r="AM403" s="102"/>
      <c r="AN403" s="102"/>
      <c r="AO403" s="102"/>
      <c r="AP403" s="102"/>
      <c r="AQ403" s="102"/>
      <c r="AR403" s="102"/>
      <c r="AS403" s="102"/>
      <c r="AT403" s="102"/>
    </row>
    <row r="404" ht="15.75" customHeight="1">
      <c r="A404" s="395" t="s">
        <v>42</v>
      </c>
      <c r="B404" s="396" t="s">
        <v>2293</v>
      </c>
      <c r="C404" s="77" t="s">
        <v>2300</v>
      </c>
      <c r="D404" s="77" t="s">
        <v>2301</v>
      </c>
      <c r="E404" s="77" t="s">
        <v>2302</v>
      </c>
      <c r="F404" s="77"/>
      <c r="G404" s="77"/>
      <c r="H404" s="77"/>
      <c r="I404" s="267"/>
      <c r="J404" s="267"/>
      <c r="K404" s="268"/>
      <c r="L404" s="268"/>
      <c r="M404" s="267"/>
      <c r="N404" s="267"/>
      <c r="O404" s="267"/>
      <c r="P404" s="267"/>
      <c r="Q404" s="267"/>
      <c r="R404" s="267"/>
      <c r="S404" s="267"/>
      <c r="T404" s="267"/>
      <c r="U404" s="293"/>
      <c r="V404" s="293"/>
      <c r="W404" s="267"/>
      <c r="X404" s="267"/>
      <c r="Y404" s="267"/>
      <c r="Z404" s="267"/>
      <c r="AA404" s="267"/>
      <c r="AB404" s="267"/>
      <c r="AC404" s="267"/>
      <c r="AD404" s="102"/>
      <c r="AE404" s="102"/>
      <c r="AF404" s="102"/>
      <c r="AG404" s="102"/>
      <c r="AH404" s="102"/>
      <c r="AI404" s="102"/>
      <c r="AJ404" s="102"/>
      <c r="AK404" s="102"/>
      <c r="AL404" s="102"/>
      <c r="AM404" s="102"/>
      <c r="AN404" s="102"/>
      <c r="AO404" s="102"/>
      <c r="AP404" s="102"/>
      <c r="AQ404" s="102"/>
      <c r="AR404" s="102"/>
      <c r="AS404" s="102"/>
      <c r="AT404" s="102"/>
    </row>
    <row r="405" ht="15.75" customHeight="1">
      <c r="A405" s="395" t="s">
        <v>277</v>
      </c>
      <c r="B405" s="396" t="s">
        <v>2303</v>
      </c>
      <c r="C405" s="77" t="s">
        <v>5275</v>
      </c>
      <c r="D405" s="77" t="s">
        <v>5276</v>
      </c>
      <c r="E405" s="77" t="s">
        <v>5277</v>
      </c>
      <c r="F405" s="77" t="s">
        <v>5278</v>
      </c>
      <c r="G405" s="77" t="s">
        <v>5279</v>
      </c>
      <c r="H405" s="77"/>
      <c r="I405" s="267"/>
      <c r="J405" s="267"/>
      <c r="K405" s="268"/>
      <c r="L405" s="268"/>
      <c r="M405" s="267"/>
      <c r="N405" s="267"/>
      <c r="O405" s="267"/>
      <c r="P405" s="267"/>
      <c r="Q405" s="267" t="s">
        <v>268</v>
      </c>
      <c r="R405" s="267"/>
      <c r="S405" s="267"/>
      <c r="T405" s="267"/>
      <c r="U405" s="267"/>
      <c r="V405" s="267"/>
      <c r="W405" s="267"/>
      <c r="X405" s="267"/>
      <c r="Y405" s="267"/>
      <c r="Z405" s="267"/>
      <c r="AA405" s="267"/>
      <c r="AB405" s="267"/>
      <c r="AC405" s="267"/>
      <c r="AD405" s="102"/>
      <c r="AE405" s="102"/>
      <c r="AF405" s="102"/>
      <c r="AG405" s="102"/>
      <c r="AH405" s="102"/>
      <c r="AI405" s="102"/>
      <c r="AJ405" s="102"/>
      <c r="AK405" s="102"/>
      <c r="AL405" s="102"/>
      <c r="AM405" s="102"/>
      <c r="AN405" s="102"/>
      <c r="AO405" s="102"/>
      <c r="AP405" s="102"/>
      <c r="AQ405" s="102"/>
      <c r="AR405" s="102"/>
      <c r="AS405" s="102"/>
      <c r="AT405" s="102"/>
    </row>
    <row r="406" ht="15.75" customHeight="1">
      <c r="A406" s="206" t="s">
        <v>2310</v>
      </c>
      <c r="B406" s="137" t="s">
        <v>2311</v>
      </c>
      <c r="C406" s="77" t="s">
        <v>5280</v>
      </c>
      <c r="D406" s="77" t="s">
        <v>5281</v>
      </c>
      <c r="E406" s="77" t="s">
        <v>5282</v>
      </c>
      <c r="F406" s="77" t="s">
        <v>3110</v>
      </c>
      <c r="G406" s="77" t="s">
        <v>5199</v>
      </c>
      <c r="H406" s="77" t="s">
        <v>3114</v>
      </c>
      <c r="I406" s="211"/>
      <c r="J406" s="212"/>
      <c r="K406" s="211" t="s">
        <v>5283</v>
      </c>
      <c r="L406" s="208"/>
      <c r="M406" s="208"/>
      <c r="N406" s="208"/>
      <c r="O406" s="210" t="s">
        <v>5284</v>
      </c>
      <c r="P406" s="208"/>
      <c r="Q406" s="208" t="s">
        <v>268</v>
      </c>
      <c r="R406" s="208"/>
      <c r="S406" s="208"/>
      <c r="T406" s="208"/>
      <c r="U406" s="208"/>
      <c r="V406" s="208"/>
      <c r="W406" s="208"/>
      <c r="X406" s="208"/>
      <c r="Y406" s="210" t="s">
        <v>5285</v>
      </c>
      <c r="Z406" s="208"/>
      <c r="AA406" s="208"/>
      <c r="AB406" s="208"/>
      <c r="AC406" s="208"/>
      <c r="AD406" s="102"/>
      <c r="AE406" s="102"/>
      <c r="AF406" s="102"/>
      <c r="AG406" s="102"/>
      <c r="AH406" s="102"/>
      <c r="AI406" s="102"/>
      <c r="AJ406" s="102"/>
      <c r="AK406" s="102"/>
      <c r="AL406" s="102"/>
      <c r="AM406" s="102"/>
      <c r="AN406" s="102"/>
      <c r="AO406" s="102"/>
      <c r="AP406" s="102"/>
      <c r="AQ406" s="102"/>
      <c r="AR406" s="102"/>
      <c r="AS406" s="102"/>
      <c r="AT406" s="102"/>
    </row>
    <row r="407" ht="15.75" customHeight="1">
      <c r="A407" s="214" t="s">
        <v>299</v>
      </c>
      <c r="B407" s="397" t="s">
        <v>2321</v>
      </c>
      <c r="C407" s="77" t="s">
        <v>2325</v>
      </c>
      <c r="D407" s="77" t="s">
        <v>2326</v>
      </c>
      <c r="E407" s="77" t="s">
        <v>2327</v>
      </c>
      <c r="F407" s="77"/>
      <c r="G407" s="77"/>
      <c r="H407" s="77"/>
      <c r="I407" s="216"/>
      <c r="J407" s="217"/>
      <c r="K407" s="216"/>
      <c r="L407" s="216"/>
      <c r="M407" s="216"/>
      <c r="N407" s="216"/>
      <c r="O407" s="218" t="s">
        <v>5286</v>
      </c>
      <c r="P407" s="216"/>
      <c r="Q407" s="216" t="s">
        <v>268</v>
      </c>
      <c r="R407" s="216"/>
      <c r="S407" s="216"/>
      <c r="T407" s="216"/>
      <c r="U407" s="216"/>
      <c r="V407" s="216"/>
      <c r="W407" s="216"/>
      <c r="X407" s="216"/>
      <c r="Y407" s="216"/>
      <c r="Z407" s="216"/>
      <c r="AA407" s="216"/>
      <c r="AB407" s="216"/>
      <c r="AC407" s="216"/>
      <c r="AD407" s="102"/>
      <c r="AE407" s="102"/>
      <c r="AF407" s="102"/>
      <c r="AG407" s="102"/>
      <c r="AH407" s="102"/>
      <c r="AI407" s="102"/>
      <c r="AJ407" s="102"/>
      <c r="AK407" s="102"/>
      <c r="AL407" s="102"/>
      <c r="AM407" s="102"/>
      <c r="AN407" s="102"/>
      <c r="AO407" s="102"/>
      <c r="AP407" s="102"/>
      <c r="AQ407" s="102"/>
      <c r="AR407" s="102"/>
      <c r="AS407" s="102"/>
      <c r="AT407" s="102"/>
    </row>
    <row r="408" ht="15.75" customHeight="1">
      <c r="A408" s="398" t="s">
        <v>116</v>
      </c>
      <c r="B408" s="399" t="s">
        <v>5287</v>
      </c>
      <c r="C408" s="250"/>
      <c r="D408" s="250"/>
      <c r="E408" s="250"/>
      <c r="F408" s="252"/>
      <c r="G408" s="252"/>
      <c r="H408" s="252"/>
      <c r="I408" s="252"/>
      <c r="J408" s="252"/>
      <c r="K408" s="252"/>
      <c r="L408" s="252"/>
      <c r="M408" s="253"/>
      <c r="N408" s="253"/>
      <c r="O408" s="254"/>
      <c r="P408" s="252"/>
      <c r="Q408" s="252"/>
      <c r="R408" s="252"/>
      <c r="S408" s="252"/>
      <c r="T408" s="400" t="s">
        <v>5288</v>
      </c>
      <c r="U408" s="342"/>
      <c r="V408" s="252"/>
      <c r="W408" s="252"/>
      <c r="X408" s="252"/>
      <c r="Y408" s="252"/>
      <c r="Z408" s="252"/>
      <c r="AA408" s="252"/>
      <c r="AB408" s="252"/>
      <c r="AC408" s="252"/>
      <c r="AD408" s="102"/>
      <c r="AE408" s="102"/>
      <c r="AF408" s="102"/>
      <c r="AG408" s="102"/>
      <c r="AH408" s="102"/>
      <c r="AI408" s="102"/>
      <c r="AJ408" s="102"/>
      <c r="AK408" s="102"/>
      <c r="AL408" s="102"/>
      <c r="AM408" s="102"/>
      <c r="AN408" s="102"/>
      <c r="AO408" s="102"/>
      <c r="AP408" s="102"/>
      <c r="AQ408" s="102"/>
      <c r="AR408" s="102"/>
      <c r="AS408" s="102"/>
      <c r="AT408" s="102"/>
    </row>
    <row r="409" ht="15.75" customHeight="1">
      <c r="A409" s="398" t="s">
        <v>116</v>
      </c>
      <c r="B409" s="399" t="s">
        <v>5289</v>
      </c>
      <c r="C409" s="250"/>
      <c r="D409" s="250"/>
      <c r="E409" s="250"/>
      <c r="F409" s="252"/>
      <c r="G409" s="252"/>
      <c r="H409" s="252"/>
      <c r="I409" s="252"/>
      <c r="J409" s="252"/>
      <c r="K409" s="252"/>
      <c r="L409" s="252"/>
      <c r="M409" s="253"/>
      <c r="N409" s="253"/>
      <c r="O409" s="254"/>
      <c r="P409" s="252"/>
      <c r="Q409" s="252"/>
      <c r="R409" s="252"/>
      <c r="S409" s="252"/>
      <c r="T409" s="400" t="s">
        <v>5290</v>
      </c>
      <c r="U409" s="342"/>
      <c r="V409" s="252"/>
      <c r="W409" s="252"/>
      <c r="X409" s="252"/>
      <c r="Y409" s="252"/>
      <c r="Z409" s="252"/>
      <c r="AA409" s="252"/>
      <c r="AB409" s="252"/>
      <c r="AC409" s="252"/>
      <c r="AD409" s="102"/>
      <c r="AE409" s="102"/>
      <c r="AF409" s="102"/>
      <c r="AG409" s="102"/>
      <c r="AH409" s="102"/>
      <c r="AI409" s="102"/>
      <c r="AJ409" s="102"/>
      <c r="AK409" s="102"/>
      <c r="AL409" s="102"/>
      <c r="AM409" s="102"/>
      <c r="AN409" s="102"/>
      <c r="AO409" s="102"/>
      <c r="AP409" s="102"/>
      <c r="AQ409" s="102"/>
      <c r="AR409" s="102"/>
      <c r="AS409" s="102"/>
      <c r="AT409" s="102"/>
    </row>
    <row r="410" ht="15.75" customHeight="1">
      <c r="A410" s="398" t="s">
        <v>116</v>
      </c>
      <c r="B410" s="399" t="s">
        <v>5291</v>
      </c>
      <c r="C410" s="401" t="s">
        <v>5292</v>
      </c>
      <c r="D410" s="250"/>
      <c r="E410" s="250"/>
      <c r="F410" s="252"/>
      <c r="G410" s="252"/>
      <c r="H410" s="252"/>
      <c r="I410" s="252"/>
      <c r="J410" s="252"/>
      <c r="K410" s="252"/>
      <c r="L410" s="252"/>
      <c r="M410" s="253"/>
      <c r="N410" s="253"/>
      <c r="O410" s="254"/>
      <c r="P410" s="252"/>
      <c r="Q410" s="252"/>
      <c r="R410" s="252"/>
      <c r="S410" s="252"/>
      <c r="T410" s="400" t="s">
        <v>5293</v>
      </c>
      <c r="U410" s="342"/>
      <c r="V410" s="252"/>
      <c r="W410" s="252"/>
      <c r="X410" s="252"/>
      <c r="Y410" s="252"/>
      <c r="Z410" s="252"/>
      <c r="AA410" s="252"/>
      <c r="AB410" s="252"/>
      <c r="AC410" s="252"/>
      <c r="AD410" s="102"/>
      <c r="AE410" s="102"/>
      <c r="AF410" s="102"/>
      <c r="AG410" s="102"/>
      <c r="AH410" s="102"/>
      <c r="AI410" s="102"/>
      <c r="AJ410" s="102"/>
      <c r="AK410" s="102"/>
      <c r="AL410" s="102"/>
      <c r="AM410" s="102"/>
      <c r="AN410" s="102"/>
      <c r="AO410" s="102"/>
      <c r="AP410" s="102"/>
      <c r="AQ410" s="102"/>
      <c r="AR410" s="102"/>
      <c r="AS410" s="102"/>
      <c r="AT410" s="102"/>
    </row>
    <row r="411" ht="15.75" customHeight="1">
      <c r="A411" s="398" t="s">
        <v>116</v>
      </c>
      <c r="B411" s="399" t="s">
        <v>5294</v>
      </c>
      <c r="C411" s="401"/>
      <c r="D411" s="250"/>
      <c r="E411" s="250"/>
      <c r="F411" s="252"/>
      <c r="G411" s="252"/>
      <c r="H411" s="252"/>
      <c r="I411" s="252"/>
      <c r="J411" s="252"/>
      <c r="K411" s="252"/>
      <c r="L411" s="252"/>
      <c r="M411" s="253"/>
      <c r="N411" s="253"/>
      <c r="O411" s="254"/>
      <c r="P411" s="252"/>
      <c r="Q411" s="252"/>
      <c r="R411" s="252"/>
      <c r="S411" s="252"/>
      <c r="T411" s="342" t="s">
        <v>5295</v>
      </c>
      <c r="U411" s="342"/>
      <c r="V411" s="252"/>
      <c r="W411" s="252"/>
      <c r="X411" s="252"/>
      <c r="Y411" s="252"/>
      <c r="Z411" s="252"/>
      <c r="AA411" s="252"/>
      <c r="AB411" s="252"/>
      <c r="AC411" s="252"/>
      <c r="AD411" s="102"/>
      <c r="AE411" s="102"/>
      <c r="AF411" s="102"/>
      <c r="AG411" s="102"/>
      <c r="AH411" s="102"/>
      <c r="AI411" s="102"/>
      <c r="AJ411" s="102"/>
      <c r="AK411" s="102"/>
      <c r="AL411" s="102"/>
      <c r="AM411" s="102"/>
      <c r="AN411" s="102"/>
      <c r="AO411" s="102"/>
      <c r="AP411" s="102"/>
      <c r="AQ411" s="102"/>
      <c r="AR411" s="102"/>
      <c r="AS411" s="102"/>
      <c r="AT411" s="102"/>
    </row>
    <row r="412" ht="15.75" customHeight="1">
      <c r="A412" s="142" t="s">
        <v>183</v>
      </c>
      <c r="B412" s="239" t="s">
        <v>5296</v>
      </c>
      <c r="C412" s="144"/>
      <c r="D412" s="144"/>
      <c r="E412" s="144"/>
      <c r="F412" s="145"/>
      <c r="G412" s="145"/>
      <c r="H412" s="145"/>
      <c r="I412" s="145"/>
      <c r="J412" s="145"/>
      <c r="K412" s="145"/>
      <c r="L412" s="145"/>
      <c r="M412" s="145"/>
      <c r="N412" s="145"/>
      <c r="O412" s="146"/>
      <c r="P412" s="146"/>
      <c r="Q412" s="146"/>
      <c r="R412" s="146"/>
      <c r="S412" s="145"/>
      <c r="T412" s="402" t="s">
        <v>211</v>
      </c>
      <c r="U412" s="146"/>
      <c r="V412" s="145"/>
      <c r="W412" s="145"/>
      <c r="X412" s="145"/>
      <c r="Y412" s="145"/>
      <c r="Z412" s="145"/>
      <c r="AA412" s="145"/>
      <c r="AB412" s="145"/>
      <c r="AC412" s="145"/>
      <c r="AD412" s="102"/>
      <c r="AE412" s="102"/>
      <c r="AF412" s="102"/>
      <c r="AG412" s="102"/>
      <c r="AH412" s="102"/>
      <c r="AI412" s="102"/>
      <c r="AJ412" s="102"/>
      <c r="AK412" s="102"/>
      <c r="AL412" s="102"/>
      <c r="AM412" s="102"/>
      <c r="AN412" s="102"/>
      <c r="AO412" s="102"/>
      <c r="AP412" s="102"/>
      <c r="AQ412" s="102"/>
      <c r="AR412" s="102"/>
      <c r="AS412" s="102"/>
      <c r="AT412" s="102"/>
    </row>
    <row r="413" ht="15.75" customHeight="1">
      <c r="A413" s="249" t="s">
        <v>2279</v>
      </c>
      <c r="B413" s="399" t="s">
        <v>5297</v>
      </c>
      <c r="C413" s="401" t="s">
        <v>5298</v>
      </c>
      <c r="D413" s="250"/>
      <c r="E413" s="250"/>
      <c r="F413" s="252"/>
      <c r="G413" s="252"/>
      <c r="H413" s="252"/>
      <c r="I413" s="252"/>
      <c r="J413" s="252"/>
      <c r="K413" s="252"/>
      <c r="L413" s="252"/>
      <c r="M413" s="253"/>
      <c r="N413" s="253"/>
      <c r="O413" s="399" t="s">
        <v>5299</v>
      </c>
      <c r="P413" s="252"/>
      <c r="Q413" s="252"/>
      <c r="R413" s="252"/>
      <c r="S413" s="252"/>
      <c r="T413" s="252"/>
      <c r="U413" s="342" t="s">
        <v>5300</v>
      </c>
      <c r="V413" s="252"/>
      <c r="W413" s="252"/>
      <c r="X413" s="252"/>
      <c r="Y413" s="252"/>
      <c r="Z413" s="252"/>
      <c r="AA413" s="252"/>
      <c r="AB413" s="252"/>
      <c r="AC413" s="252"/>
      <c r="AD413" s="102"/>
      <c r="AE413" s="102"/>
      <c r="AF413" s="102"/>
      <c r="AG413" s="102"/>
      <c r="AH413" s="102"/>
      <c r="AI413" s="102"/>
      <c r="AJ413" s="102"/>
      <c r="AK413" s="102"/>
      <c r="AL413" s="102"/>
      <c r="AM413" s="102"/>
      <c r="AN413" s="102"/>
      <c r="AO413" s="102"/>
      <c r="AP413" s="102"/>
      <c r="AQ413" s="102"/>
      <c r="AR413" s="102"/>
      <c r="AS413" s="102"/>
      <c r="AT413" s="102"/>
    </row>
    <row r="414" ht="15.75" customHeight="1">
      <c r="A414" s="259" t="s">
        <v>116</v>
      </c>
      <c r="B414" s="403" t="s">
        <v>5301</v>
      </c>
      <c r="C414" s="261" t="s">
        <v>5302</v>
      </c>
      <c r="D414" s="261"/>
      <c r="E414" s="261"/>
      <c r="F414" s="262"/>
      <c r="G414" s="262"/>
      <c r="H414" s="262"/>
      <c r="I414" s="262"/>
      <c r="J414" s="262"/>
      <c r="K414" s="262"/>
      <c r="L414" s="262"/>
      <c r="M414" s="262"/>
      <c r="N414" s="262"/>
      <c r="O414" s="262"/>
      <c r="P414" s="262"/>
      <c r="Q414" s="262"/>
      <c r="R414" s="262"/>
      <c r="S414" s="262"/>
      <c r="T414" s="263" t="s">
        <v>2778</v>
      </c>
      <c r="U414" s="262"/>
      <c r="V414" s="262"/>
      <c r="W414" s="262"/>
      <c r="X414" s="262"/>
      <c r="Y414" s="262"/>
      <c r="Z414" s="262"/>
      <c r="AA414" s="262"/>
      <c r="AB414" s="262"/>
      <c r="AC414" s="262"/>
      <c r="AD414" s="102"/>
      <c r="AE414" s="102"/>
      <c r="AF414" s="102"/>
      <c r="AG414" s="102"/>
      <c r="AH414" s="102"/>
      <c r="AI414" s="102"/>
      <c r="AJ414" s="102"/>
      <c r="AK414" s="102"/>
      <c r="AL414" s="102"/>
      <c r="AM414" s="102"/>
      <c r="AN414" s="102"/>
      <c r="AO414" s="102"/>
      <c r="AP414" s="102"/>
      <c r="AQ414" s="102"/>
      <c r="AR414" s="102"/>
      <c r="AS414" s="102"/>
      <c r="AT414" s="102"/>
    </row>
    <row r="415" ht="15.75" customHeight="1">
      <c r="A415" s="259" t="s">
        <v>116</v>
      </c>
      <c r="B415" s="403" t="s">
        <v>5303</v>
      </c>
      <c r="C415" s="261" t="s">
        <v>5304</v>
      </c>
      <c r="D415" s="261"/>
      <c r="E415" s="261"/>
      <c r="F415" s="262"/>
      <c r="G415" s="262"/>
      <c r="H415" s="262"/>
      <c r="I415" s="262"/>
      <c r="J415" s="262"/>
      <c r="K415" s="262"/>
      <c r="L415" s="262"/>
      <c r="M415" s="262"/>
      <c r="N415" s="262"/>
      <c r="O415" s="262"/>
      <c r="P415" s="262"/>
      <c r="Q415" s="262"/>
      <c r="R415" s="262"/>
      <c r="S415" s="262"/>
      <c r="T415" s="171" t="s">
        <v>5305</v>
      </c>
      <c r="U415" s="264"/>
      <c r="V415" s="262"/>
      <c r="W415" s="262"/>
      <c r="X415" s="262"/>
      <c r="Y415" s="262"/>
      <c r="Z415" s="262"/>
      <c r="AA415" s="262"/>
      <c r="AB415" s="262"/>
      <c r="AC415" s="262"/>
      <c r="AD415" s="102"/>
      <c r="AE415" s="102"/>
      <c r="AF415" s="102"/>
      <c r="AG415" s="102"/>
      <c r="AH415" s="102"/>
      <c r="AI415" s="102"/>
      <c r="AJ415" s="102"/>
      <c r="AK415" s="102"/>
      <c r="AL415" s="102"/>
      <c r="AM415" s="102"/>
      <c r="AN415" s="102"/>
      <c r="AO415" s="102"/>
      <c r="AP415" s="102"/>
      <c r="AQ415" s="102"/>
      <c r="AR415" s="102"/>
      <c r="AS415" s="102"/>
      <c r="AT415" s="102"/>
    </row>
    <row r="416" ht="15.75" customHeight="1">
      <c r="A416" s="259" t="s">
        <v>116</v>
      </c>
      <c r="B416" s="403" t="s">
        <v>5306</v>
      </c>
      <c r="C416" s="261" t="s">
        <v>5307</v>
      </c>
      <c r="D416" s="261"/>
      <c r="E416" s="261"/>
      <c r="F416" s="262"/>
      <c r="G416" s="262"/>
      <c r="H416" s="262"/>
      <c r="I416" s="262"/>
      <c r="J416" s="262"/>
      <c r="K416" s="262"/>
      <c r="L416" s="262"/>
      <c r="M416" s="262"/>
      <c r="N416" s="262"/>
      <c r="O416" s="262"/>
      <c r="P416" s="262"/>
      <c r="Q416" s="262"/>
      <c r="R416" s="262"/>
      <c r="S416" s="262"/>
      <c r="T416" s="171" t="s">
        <v>5308</v>
      </c>
      <c r="U416" s="264"/>
      <c r="V416" s="264"/>
      <c r="W416" s="264"/>
      <c r="X416" s="262"/>
      <c r="Y416" s="262"/>
      <c r="Z416" s="262"/>
      <c r="AA416" s="262"/>
      <c r="AB416" s="262"/>
      <c r="AC416" s="262"/>
      <c r="AD416" s="102"/>
      <c r="AE416" s="102"/>
      <c r="AF416" s="102"/>
      <c r="AG416" s="102"/>
      <c r="AH416" s="102"/>
      <c r="AI416" s="102"/>
      <c r="AJ416" s="102"/>
      <c r="AK416" s="102"/>
      <c r="AL416" s="102"/>
      <c r="AM416" s="102"/>
      <c r="AN416" s="102"/>
      <c r="AO416" s="102"/>
      <c r="AP416" s="102"/>
      <c r="AQ416" s="102"/>
      <c r="AR416" s="102"/>
      <c r="AS416" s="102"/>
      <c r="AT416" s="102"/>
    </row>
    <row r="417" ht="15.75" customHeight="1">
      <c r="A417" s="269" t="s">
        <v>2345</v>
      </c>
      <c r="B417" s="137" t="s">
        <v>2346</v>
      </c>
      <c r="C417" s="77" t="s">
        <v>2347</v>
      </c>
      <c r="D417" s="77" t="s">
        <v>2348</v>
      </c>
      <c r="E417" s="77" t="s">
        <v>2349</v>
      </c>
      <c r="F417" s="77"/>
      <c r="G417" s="77"/>
      <c r="H417" s="77"/>
      <c r="I417" s="208"/>
      <c r="J417" s="220" t="s">
        <v>5309</v>
      </c>
      <c r="K417" s="211"/>
      <c r="L417" s="208"/>
      <c r="M417" s="208"/>
      <c r="N417" s="208"/>
      <c r="O417" s="210" t="s">
        <v>5310</v>
      </c>
      <c r="P417" s="208"/>
      <c r="Q417" s="208" t="s">
        <v>268</v>
      </c>
      <c r="R417" s="208"/>
      <c r="S417" s="208"/>
      <c r="T417" s="208"/>
      <c r="U417" s="208"/>
      <c r="V417" s="208"/>
      <c r="W417" s="208"/>
      <c r="X417" s="208"/>
      <c r="Y417" s="208"/>
      <c r="Z417" s="208"/>
      <c r="AA417" s="208"/>
      <c r="AB417" s="208"/>
      <c r="AC417" s="208"/>
      <c r="AD417" s="102"/>
      <c r="AE417" s="102"/>
      <c r="AF417" s="102"/>
      <c r="AG417" s="102"/>
      <c r="AH417" s="102"/>
      <c r="AI417" s="102"/>
      <c r="AJ417" s="102"/>
      <c r="AK417" s="102"/>
      <c r="AL417" s="102"/>
      <c r="AM417" s="102"/>
      <c r="AN417" s="102"/>
      <c r="AO417" s="102"/>
      <c r="AP417" s="102"/>
      <c r="AQ417" s="102"/>
      <c r="AR417" s="102"/>
      <c r="AS417" s="102"/>
      <c r="AT417" s="102"/>
    </row>
    <row r="418" ht="15.75" customHeight="1">
      <c r="A418" s="214" t="s">
        <v>299</v>
      </c>
      <c r="B418" s="397" t="s">
        <v>2351</v>
      </c>
      <c r="C418" s="77" t="s">
        <v>2337</v>
      </c>
      <c r="D418" s="77" t="s">
        <v>2338</v>
      </c>
      <c r="E418" s="77" t="s">
        <v>2339</v>
      </c>
      <c r="F418" s="77"/>
      <c r="G418" s="77"/>
      <c r="H418" s="77"/>
      <c r="I418" s="216"/>
      <c r="J418" s="217"/>
      <c r="K418" s="216"/>
      <c r="L418" s="216"/>
      <c r="M418" s="216"/>
      <c r="N418" s="216"/>
      <c r="O418" s="292" t="s">
        <v>5311</v>
      </c>
      <c r="P418" s="216"/>
      <c r="Q418" s="336" t="s">
        <v>268</v>
      </c>
      <c r="R418" s="216"/>
      <c r="S418" s="216"/>
      <c r="T418" s="216"/>
      <c r="U418" s="216"/>
      <c r="V418" s="216"/>
      <c r="W418" s="216"/>
      <c r="X418" s="216"/>
      <c r="Y418" s="216"/>
      <c r="Z418" s="216"/>
      <c r="AA418" s="216"/>
      <c r="AB418" s="216"/>
      <c r="AC418" s="216"/>
      <c r="AD418" s="102"/>
      <c r="AE418" s="102"/>
      <c r="AF418" s="102"/>
      <c r="AG418" s="102"/>
      <c r="AH418" s="102"/>
      <c r="AI418" s="102"/>
      <c r="AJ418" s="102"/>
      <c r="AK418" s="102"/>
      <c r="AL418" s="102"/>
      <c r="AM418" s="102"/>
      <c r="AN418" s="102"/>
      <c r="AO418" s="102"/>
      <c r="AP418" s="102"/>
      <c r="AQ418" s="102"/>
      <c r="AR418" s="102"/>
      <c r="AS418" s="102"/>
      <c r="AT418" s="102"/>
    </row>
    <row r="419" ht="15.75" customHeight="1">
      <c r="A419" s="269" t="s">
        <v>2353</v>
      </c>
      <c r="B419" s="396" t="s">
        <v>2354</v>
      </c>
      <c r="C419" s="77" t="s">
        <v>5312</v>
      </c>
      <c r="D419" s="77" t="s">
        <v>5313</v>
      </c>
      <c r="E419" s="77" t="s">
        <v>5314</v>
      </c>
      <c r="F419" s="77"/>
      <c r="G419" s="77"/>
      <c r="H419" s="77"/>
      <c r="I419" s="267"/>
      <c r="J419" s="267"/>
      <c r="K419" s="268"/>
      <c r="L419" s="268"/>
      <c r="M419" s="267"/>
      <c r="N419" s="267"/>
      <c r="O419" s="336" t="s">
        <v>5315</v>
      </c>
      <c r="P419" s="267"/>
      <c r="Q419" s="216" t="s">
        <v>268</v>
      </c>
      <c r="R419" s="267"/>
      <c r="S419" s="267"/>
      <c r="T419" s="267"/>
      <c r="U419" s="267"/>
      <c r="V419" s="267"/>
      <c r="W419" s="267"/>
      <c r="X419" s="267"/>
      <c r="Y419" s="267"/>
      <c r="Z419" s="267"/>
      <c r="AA419" s="267"/>
      <c r="AB419" s="267"/>
      <c r="AC419" s="267"/>
      <c r="AD419" s="102"/>
      <c r="AE419" s="102"/>
      <c r="AF419" s="102"/>
      <c r="AG419" s="102"/>
      <c r="AH419" s="102"/>
      <c r="AI419" s="102"/>
      <c r="AJ419" s="102"/>
      <c r="AK419" s="102"/>
      <c r="AL419" s="102"/>
      <c r="AM419" s="102"/>
      <c r="AN419" s="102"/>
      <c r="AO419" s="102"/>
      <c r="AP419" s="102"/>
      <c r="AQ419" s="102"/>
      <c r="AR419" s="102"/>
      <c r="AS419" s="102"/>
      <c r="AT419" s="102"/>
    </row>
    <row r="420" ht="15.75" customHeight="1">
      <c r="A420" s="395" t="s">
        <v>299</v>
      </c>
      <c r="B420" s="396" t="s">
        <v>2362</v>
      </c>
      <c r="C420" s="77" t="s">
        <v>2365</v>
      </c>
      <c r="D420" s="77" t="s">
        <v>2366</v>
      </c>
      <c r="E420" s="77" t="s">
        <v>2367</v>
      </c>
      <c r="F420" s="77"/>
      <c r="G420" s="77"/>
      <c r="H420" s="77"/>
      <c r="I420" s="267"/>
      <c r="J420" s="267"/>
      <c r="K420" s="268"/>
      <c r="L420" s="268"/>
      <c r="M420" s="267"/>
      <c r="N420" s="267"/>
      <c r="O420" s="336" t="s">
        <v>5316</v>
      </c>
      <c r="P420" s="267"/>
      <c r="Q420" s="336" t="s">
        <v>268</v>
      </c>
      <c r="R420" s="267"/>
      <c r="S420" s="267"/>
      <c r="T420" s="267"/>
      <c r="U420" s="267"/>
      <c r="V420" s="267"/>
      <c r="W420" s="267"/>
      <c r="X420" s="267"/>
      <c r="Y420" s="267"/>
      <c r="Z420" s="267"/>
      <c r="AA420" s="267"/>
      <c r="AB420" s="267"/>
      <c r="AC420" s="267"/>
      <c r="AD420" s="102"/>
      <c r="AE420" s="102"/>
      <c r="AF420" s="102"/>
      <c r="AG420" s="102"/>
      <c r="AH420" s="102"/>
      <c r="AI420" s="102"/>
      <c r="AJ420" s="102"/>
      <c r="AK420" s="102"/>
      <c r="AL420" s="102"/>
      <c r="AM420" s="102"/>
      <c r="AN420" s="102"/>
      <c r="AO420" s="102"/>
      <c r="AP420" s="102"/>
      <c r="AQ420" s="102"/>
      <c r="AR420" s="102"/>
      <c r="AS420" s="102"/>
      <c r="AT420" s="102"/>
    </row>
    <row r="421" ht="15.75" customHeight="1">
      <c r="A421" s="265" t="s">
        <v>396</v>
      </c>
      <c r="B421" s="396" t="s">
        <v>2368</v>
      </c>
      <c r="C421" s="77" t="s">
        <v>2371</v>
      </c>
      <c r="D421" s="77" t="s">
        <v>2372</v>
      </c>
      <c r="E421" s="77" t="s">
        <v>2373</v>
      </c>
      <c r="F421" s="77"/>
      <c r="G421" s="77"/>
      <c r="H421" s="77"/>
      <c r="I421" s="267"/>
      <c r="J421" s="267"/>
      <c r="K421" s="268"/>
      <c r="L421" s="268"/>
      <c r="M421" s="267"/>
      <c r="N421" s="267"/>
      <c r="O421" s="292" t="s">
        <v>5317</v>
      </c>
      <c r="P421" s="267"/>
      <c r="Q421" s="267" t="s">
        <v>268</v>
      </c>
      <c r="R421" s="267"/>
      <c r="S421" s="267"/>
      <c r="T421" s="267"/>
      <c r="U421" s="267"/>
      <c r="V421" s="267"/>
      <c r="W421" s="267"/>
      <c r="X421" s="267"/>
      <c r="Y421" s="267"/>
      <c r="Z421" s="267"/>
      <c r="AA421" s="267"/>
      <c r="AB421" s="267"/>
      <c r="AC421" s="267"/>
      <c r="AD421" s="102"/>
      <c r="AE421" s="102"/>
      <c r="AF421" s="102"/>
      <c r="AG421" s="102"/>
      <c r="AH421" s="102"/>
      <c r="AI421" s="102"/>
      <c r="AJ421" s="102"/>
      <c r="AK421" s="102"/>
      <c r="AL421" s="102"/>
      <c r="AM421" s="102"/>
      <c r="AN421" s="102"/>
      <c r="AO421" s="102"/>
      <c r="AP421" s="102"/>
      <c r="AQ421" s="102"/>
      <c r="AR421" s="102"/>
      <c r="AS421" s="102"/>
      <c r="AT421" s="102"/>
    </row>
    <row r="422" ht="15.75" customHeight="1">
      <c r="A422" s="249" t="s">
        <v>2336</v>
      </c>
      <c r="B422" s="400" t="s">
        <v>5297</v>
      </c>
      <c r="C422" s="251" t="s">
        <v>5318</v>
      </c>
      <c r="D422" s="251"/>
      <c r="E422" s="251"/>
      <c r="F422" s="252"/>
      <c r="G422" s="252"/>
      <c r="H422" s="252"/>
      <c r="I422" s="252"/>
      <c r="J422" s="252"/>
      <c r="K422" s="252"/>
      <c r="L422" s="252"/>
      <c r="M422" s="252"/>
      <c r="N422" s="252"/>
      <c r="O422" s="252"/>
      <c r="P422" s="252"/>
      <c r="Q422" s="252"/>
      <c r="R422" s="252"/>
      <c r="S422" s="252"/>
      <c r="T422" s="252"/>
      <c r="U422" s="252"/>
      <c r="V422" s="252"/>
      <c r="W422" s="252"/>
      <c r="X422" s="252"/>
      <c r="Y422" s="252"/>
      <c r="Z422" s="252"/>
      <c r="AA422" s="252"/>
      <c r="AB422" s="252"/>
      <c r="AC422" s="252"/>
      <c r="AD422" s="102"/>
      <c r="AE422" s="102"/>
      <c r="AF422" s="102"/>
      <c r="AG422" s="102"/>
      <c r="AH422" s="102"/>
      <c r="AI422" s="102"/>
      <c r="AJ422" s="102"/>
      <c r="AK422" s="102"/>
      <c r="AL422" s="102"/>
      <c r="AM422" s="102"/>
      <c r="AN422" s="102"/>
      <c r="AO422" s="102"/>
      <c r="AP422" s="102"/>
      <c r="AQ422" s="102"/>
      <c r="AR422" s="102"/>
      <c r="AS422" s="102"/>
      <c r="AT422" s="102"/>
    </row>
    <row r="423" ht="15.75" customHeight="1">
      <c r="A423" s="142" t="s">
        <v>183</v>
      </c>
      <c r="B423" s="239" t="s">
        <v>5319</v>
      </c>
      <c r="C423" s="144"/>
      <c r="D423" s="144"/>
      <c r="E423" s="144"/>
      <c r="F423" s="145"/>
      <c r="G423" s="145"/>
      <c r="H423" s="145"/>
      <c r="I423" s="145"/>
      <c r="J423" s="145"/>
      <c r="K423" s="145"/>
      <c r="L423" s="145"/>
      <c r="M423" s="145"/>
      <c r="N423" s="145"/>
      <c r="O423" s="146"/>
      <c r="P423" s="146"/>
      <c r="Q423" s="146"/>
      <c r="R423" s="146"/>
      <c r="S423" s="145"/>
      <c r="T423" s="402" t="s">
        <v>211</v>
      </c>
      <c r="U423" s="146"/>
      <c r="V423" s="145"/>
      <c r="W423" s="145"/>
      <c r="X423" s="145"/>
      <c r="Y423" s="145"/>
      <c r="Z423" s="145"/>
      <c r="AA423" s="145"/>
      <c r="AB423" s="145"/>
      <c r="AC423" s="145"/>
      <c r="AD423" s="102"/>
      <c r="AE423" s="102"/>
      <c r="AF423" s="102"/>
      <c r="AG423" s="102"/>
      <c r="AH423" s="102"/>
      <c r="AI423" s="102"/>
      <c r="AJ423" s="102"/>
      <c r="AK423" s="102"/>
      <c r="AL423" s="102"/>
      <c r="AM423" s="102"/>
      <c r="AN423" s="102"/>
      <c r="AO423" s="102"/>
      <c r="AP423" s="102"/>
      <c r="AQ423" s="102"/>
      <c r="AR423" s="102"/>
      <c r="AS423" s="102"/>
      <c r="AT423" s="102"/>
    </row>
    <row r="424" ht="15.75" customHeight="1">
      <c r="A424" s="90" t="s">
        <v>116</v>
      </c>
      <c r="B424" s="91" t="s">
        <v>5320</v>
      </c>
      <c r="C424" s="93"/>
      <c r="D424" s="96"/>
      <c r="E424" s="96"/>
      <c r="F424" s="97"/>
      <c r="G424" s="97"/>
      <c r="H424" s="97"/>
      <c r="I424" s="98"/>
      <c r="J424" s="98"/>
      <c r="K424" s="97"/>
      <c r="L424" s="98"/>
      <c r="M424" s="98"/>
      <c r="N424" s="98"/>
      <c r="O424" s="236"/>
      <c r="P424" s="100"/>
      <c r="Q424" s="100"/>
      <c r="R424" s="100"/>
      <c r="S424" s="97"/>
      <c r="T424" s="238" t="s">
        <v>5321</v>
      </c>
      <c r="U424" s="97"/>
      <c r="V424" s="97"/>
      <c r="W424" s="97"/>
      <c r="X424" s="97"/>
      <c r="Y424" s="97"/>
      <c r="Z424" s="97"/>
      <c r="AA424" s="97"/>
      <c r="AB424" s="97"/>
      <c r="AC424" s="97"/>
      <c r="AD424" s="102"/>
      <c r="AE424" s="102"/>
      <c r="AF424" s="102"/>
      <c r="AG424" s="102"/>
      <c r="AH424" s="102"/>
      <c r="AI424" s="102"/>
      <c r="AJ424" s="102"/>
      <c r="AK424" s="102"/>
      <c r="AL424" s="102"/>
      <c r="AM424" s="102"/>
      <c r="AN424" s="102"/>
      <c r="AO424" s="102"/>
      <c r="AP424" s="102"/>
      <c r="AQ424" s="102"/>
      <c r="AR424" s="102"/>
      <c r="AS424" s="102"/>
      <c r="AT424" s="102"/>
    </row>
    <row r="425" ht="15.75" customHeight="1">
      <c r="A425" s="206" t="s">
        <v>277</v>
      </c>
      <c r="B425" s="245" t="s">
        <v>2380</v>
      </c>
      <c r="C425" s="77" t="s">
        <v>5322</v>
      </c>
      <c r="D425" s="77" t="s">
        <v>5323</v>
      </c>
      <c r="E425" s="77" t="s">
        <v>5324</v>
      </c>
      <c r="F425" s="77"/>
      <c r="G425" s="77"/>
      <c r="H425" s="77"/>
      <c r="I425" s="208"/>
      <c r="J425" s="212"/>
      <c r="K425" s="208"/>
      <c r="L425" s="208"/>
      <c r="M425" s="208"/>
      <c r="N425" s="208"/>
      <c r="O425" s="393" t="s">
        <v>5274</v>
      </c>
      <c r="P425" s="208"/>
      <c r="Q425" s="208" t="s">
        <v>268</v>
      </c>
      <c r="R425" s="208"/>
      <c r="S425" s="208"/>
      <c r="T425" s="208"/>
      <c r="U425" s="208"/>
      <c r="V425" s="208"/>
      <c r="W425" s="208"/>
      <c r="X425" s="208"/>
      <c r="Y425" s="208"/>
      <c r="Z425" s="208"/>
      <c r="AA425" s="208"/>
      <c r="AB425" s="208"/>
      <c r="AC425" s="208"/>
      <c r="AD425" s="102"/>
      <c r="AE425" s="102"/>
      <c r="AF425" s="102"/>
      <c r="AG425" s="102"/>
      <c r="AH425" s="102"/>
      <c r="AI425" s="102"/>
      <c r="AJ425" s="102"/>
      <c r="AK425" s="102"/>
      <c r="AL425" s="102"/>
      <c r="AM425" s="102"/>
      <c r="AN425" s="102"/>
      <c r="AO425" s="102"/>
      <c r="AP425" s="102"/>
      <c r="AQ425" s="102"/>
      <c r="AR425" s="102"/>
      <c r="AS425" s="102"/>
      <c r="AT425" s="102"/>
    </row>
    <row r="426" ht="15.75" customHeight="1">
      <c r="A426" s="404" t="s">
        <v>2310</v>
      </c>
      <c r="B426" s="215" t="s">
        <v>2387</v>
      </c>
      <c r="C426" s="77" t="s">
        <v>2391</v>
      </c>
      <c r="D426" s="77" t="s">
        <v>2392</v>
      </c>
      <c r="E426" s="77" t="s">
        <v>2394</v>
      </c>
      <c r="F426" s="77"/>
      <c r="G426" s="77"/>
      <c r="H426" s="77"/>
      <c r="I426" s="208"/>
      <c r="J426" s="212"/>
      <c r="K426" s="211" t="s">
        <v>5283</v>
      </c>
      <c r="L426" s="211"/>
      <c r="M426" s="208"/>
      <c r="N426" s="208"/>
      <c r="O426" s="210" t="s">
        <v>5325</v>
      </c>
      <c r="P426" s="208"/>
      <c r="Q426" s="210" t="s">
        <v>268</v>
      </c>
      <c r="R426" s="208"/>
      <c r="S426" s="208"/>
      <c r="T426" s="208"/>
      <c r="U426" s="208"/>
      <c r="V426" s="208"/>
      <c r="W426" s="208"/>
      <c r="X426" s="208"/>
      <c r="Y426" s="210" t="s">
        <v>5285</v>
      </c>
      <c r="Z426" s="208"/>
      <c r="AA426" s="208"/>
      <c r="AB426" s="208"/>
      <c r="AC426" s="208"/>
      <c r="AD426" s="102"/>
      <c r="AE426" s="102"/>
      <c r="AF426" s="102"/>
      <c r="AG426" s="102"/>
      <c r="AH426" s="102"/>
      <c r="AI426" s="102"/>
      <c r="AJ426" s="102"/>
      <c r="AK426" s="102"/>
      <c r="AL426" s="102"/>
      <c r="AM426" s="102"/>
      <c r="AN426" s="102"/>
      <c r="AO426" s="102"/>
      <c r="AP426" s="102"/>
      <c r="AQ426" s="102"/>
      <c r="AR426" s="102"/>
      <c r="AS426" s="102"/>
      <c r="AT426" s="102"/>
    </row>
    <row r="427" ht="15.75" customHeight="1">
      <c r="A427" s="269" t="s">
        <v>299</v>
      </c>
      <c r="B427" s="215" t="s">
        <v>2396</v>
      </c>
      <c r="C427" s="77" t="s">
        <v>2401</v>
      </c>
      <c r="D427" s="77" t="s">
        <v>2402</v>
      </c>
      <c r="E427" s="77" t="s">
        <v>2403</v>
      </c>
      <c r="F427" s="77"/>
      <c r="G427" s="77"/>
      <c r="H427" s="77"/>
      <c r="I427" s="208"/>
      <c r="J427" s="212"/>
      <c r="K427" s="211"/>
      <c r="L427" s="211"/>
      <c r="M427" s="208"/>
      <c r="N427" s="208"/>
      <c r="O427" s="336" t="s">
        <v>5326</v>
      </c>
      <c r="P427" s="208"/>
      <c r="Q427" s="210" t="s">
        <v>268</v>
      </c>
      <c r="R427" s="208"/>
      <c r="S427" s="208"/>
      <c r="T427" s="208"/>
      <c r="U427" s="210"/>
      <c r="V427" s="208"/>
      <c r="W427" s="208"/>
      <c r="X427" s="208"/>
      <c r="Y427" s="208"/>
      <c r="Z427" s="208"/>
      <c r="AA427" s="208"/>
      <c r="AB427" s="208"/>
      <c r="AC427" s="208"/>
      <c r="AD427" s="102"/>
      <c r="AE427" s="102"/>
      <c r="AF427" s="102"/>
      <c r="AG427" s="102"/>
      <c r="AH427" s="102"/>
      <c r="AI427" s="102"/>
      <c r="AJ427" s="102"/>
      <c r="AK427" s="102"/>
      <c r="AL427" s="102"/>
      <c r="AM427" s="102"/>
      <c r="AN427" s="102"/>
      <c r="AO427" s="102"/>
      <c r="AP427" s="102"/>
      <c r="AQ427" s="102"/>
      <c r="AR427" s="102"/>
      <c r="AS427" s="102"/>
      <c r="AT427" s="102"/>
    </row>
    <row r="428" ht="15.75" customHeight="1">
      <c r="A428" s="269" t="s">
        <v>2279</v>
      </c>
      <c r="B428" s="207" t="s">
        <v>5327</v>
      </c>
      <c r="C428" s="77" t="s">
        <v>5328</v>
      </c>
      <c r="D428" s="77"/>
      <c r="E428" s="77"/>
      <c r="F428" s="208"/>
      <c r="G428" s="208"/>
      <c r="H428" s="208"/>
      <c r="I428" s="208"/>
      <c r="J428" s="212"/>
      <c r="K428" s="211"/>
      <c r="L428" s="211"/>
      <c r="M428" s="208"/>
      <c r="N428" s="208"/>
      <c r="O428" s="210" t="s">
        <v>5325</v>
      </c>
      <c r="P428" s="208"/>
      <c r="Q428" s="208"/>
      <c r="R428" s="208"/>
      <c r="S428" s="208"/>
      <c r="T428" s="208"/>
      <c r="U428" s="210" t="s">
        <v>5329</v>
      </c>
      <c r="V428" s="208"/>
      <c r="W428" s="208"/>
      <c r="X428" s="208"/>
      <c r="Y428" s="208"/>
      <c r="Z428" s="208"/>
      <c r="AA428" s="208"/>
      <c r="AB428" s="208"/>
      <c r="AC428" s="208"/>
      <c r="AD428" s="102"/>
      <c r="AE428" s="102"/>
      <c r="AF428" s="102"/>
      <c r="AG428" s="102"/>
      <c r="AH428" s="102"/>
      <c r="AI428" s="102"/>
      <c r="AJ428" s="102"/>
      <c r="AK428" s="102"/>
      <c r="AL428" s="102"/>
      <c r="AM428" s="102"/>
      <c r="AN428" s="102"/>
      <c r="AO428" s="102"/>
      <c r="AP428" s="102"/>
      <c r="AQ428" s="102"/>
      <c r="AR428" s="102"/>
      <c r="AS428" s="102"/>
      <c r="AT428" s="102"/>
    </row>
    <row r="429" ht="15.75" customHeight="1">
      <c r="A429" s="269" t="s">
        <v>116</v>
      </c>
      <c r="B429" s="207" t="s">
        <v>5330</v>
      </c>
      <c r="C429" s="77"/>
      <c r="D429" s="77"/>
      <c r="E429" s="77"/>
      <c r="F429" s="208"/>
      <c r="G429" s="208"/>
      <c r="H429" s="208"/>
      <c r="I429" s="208"/>
      <c r="J429" s="212"/>
      <c r="K429" s="211"/>
      <c r="L429" s="211"/>
      <c r="M429" s="208"/>
      <c r="N429" s="208"/>
      <c r="O429" s="210"/>
      <c r="P429" s="208"/>
      <c r="Q429" s="208"/>
      <c r="R429" s="208"/>
      <c r="S429" s="208"/>
      <c r="T429" s="171" t="s">
        <v>2778</v>
      </c>
      <c r="U429" s="208"/>
      <c r="V429" s="208"/>
      <c r="W429" s="208"/>
      <c r="X429" s="208"/>
      <c r="Y429" s="208"/>
      <c r="Z429" s="208"/>
      <c r="AA429" s="208"/>
      <c r="AB429" s="208"/>
      <c r="AC429" s="208"/>
      <c r="AD429" s="102"/>
      <c r="AE429" s="102"/>
      <c r="AF429" s="102"/>
      <c r="AG429" s="102"/>
      <c r="AH429" s="102"/>
      <c r="AI429" s="102"/>
      <c r="AJ429" s="102"/>
      <c r="AK429" s="102"/>
      <c r="AL429" s="102"/>
      <c r="AM429" s="102"/>
      <c r="AN429" s="102"/>
      <c r="AO429" s="102"/>
      <c r="AP429" s="102"/>
      <c r="AQ429" s="102"/>
      <c r="AR429" s="102"/>
      <c r="AS429" s="102"/>
      <c r="AT429" s="102"/>
    </row>
    <row r="430" ht="15.75" customHeight="1">
      <c r="A430" s="269" t="s">
        <v>116</v>
      </c>
      <c r="B430" s="207" t="s">
        <v>5331</v>
      </c>
      <c r="C430" s="77"/>
      <c r="D430" s="77"/>
      <c r="E430" s="77"/>
      <c r="F430" s="208"/>
      <c r="G430" s="208"/>
      <c r="H430" s="208"/>
      <c r="I430" s="208"/>
      <c r="J430" s="212"/>
      <c r="K430" s="211"/>
      <c r="L430" s="211"/>
      <c r="M430" s="208"/>
      <c r="N430" s="208"/>
      <c r="O430" s="210"/>
      <c r="P430" s="208"/>
      <c r="Q430" s="208"/>
      <c r="R430" s="208"/>
      <c r="S430" s="208"/>
      <c r="T430" s="171" t="s">
        <v>5332</v>
      </c>
      <c r="U430" s="208"/>
      <c r="V430" s="208"/>
      <c r="W430" s="208"/>
      <c r="X430" s="208"/>
      <c r="Y430" s="208"/>
      <c r="Z430" s="208"/>
      <c r="AA430" s="208"/>
      <c r="AB430" s="208"/>
      <c r="AC430" s="208"/>
      <c r="AD430" s="102"/>
      <c r="AE430" s="102"/>
      <c r="AF430" s="102"/>
      <c r="AG430" s="102"/>
      <c r="AH430" s="102"/>
      <c r="AI430" s="102"/>
      <c r="AJ430" s="102"/>
      <c r="AK430" s="102"/>
      <c r="AL430" s="102"/>
      <c r="AM430" s="102"/>
      <c r="AN430" s="102"/>
      <c r="AO430" s="102"/>
      <c r="AP430" s="102"/>
      <c r="AQ430" s="102"/>
      <c r="AR430" s="102"/>
      <c r="AS430" s="102"/>
      <c r="AT430" s="102"/>
    </row>
    <row r="431" ht="15.75" customHeight="1">
      <c r="A431" s="259" t="s">
        <v>116</v>
      </c>
      <c r="B431" s="403" t="s">
        <v>5333</v>
      </c>
      <c r="C431" s="261" t="s">
        <v>5307</v>
      </c>
      <c r="D431" s="261"/>
      <c r="E431" s="261"/>
      <c r="F431" s="262"/>
      <c r="G431" s="262"/>
      <c r="H431" s="262"/>
      <c r="I431" s="262"/>
      <c r="J431" s="262"/>
      <c r="K431" s="262"/>
      <c r="L431" s="262"/>
      <c r="M431" s="262"/>
      <c r="N431" s="262"/>
      <c r="O431" s="262"/>
      <c r="P431" s="262"/>
      <c r="Q431" s="262"/>
      <c r="R431" s="262"/>
      <c r="S431" s="262"/>
      <c r="T431" s="171" t="s">
        <v>5334</v>
      </c>
      <c r="U431" s="264"/>
      <c r="V431" s="264"/>
      <c r="W431" s="264"/>
      <c r="X431" s="262"/>
      <c r="Y431" s="262"/>
      <c r="Z431" s="262"/>
      <c r="AA431" s="262"/>
      <c r="AB431" s="262"/>
      <c r="AC431" s="262"/>
      <c r="AD431" s="102"/>
      <c r="AE431" s="102"/>
      <c r="AF431" s="102"/>
      <c r="AG431" s="102"/>
      <c r="AH431" s="102"/>
      <c r="AI431" s="102"/>
      <c r="AJ431" s="102"/>
      <c r="AK431" s="102"/>
      <c r="AL431" s="102"/>
      <c r="AM431" s="102"/>
      <c r="AN431" s="102"/>
      <c r="AO431" s="102"/>
      <c r="AP431" s="102"/>
      <c r="AQ431" s="102"/>
      <c r="AR431" s="102"/>
      <c r="AS431" s="102"/>
      <c r="AT431" s="102"/>
    </row>
    <row r="432" ht="15.75" customHeight="1">
      <c r="A432" s="269" t="s">
        <v>2345</v>
      </c>
      <c r="B432" s="137" t="s">
        <v>2416</v>
      </c>
      <c r="C432" s="77" t="s">
        <v>2420</v>
      </c>
      <c r="D432" s="77" t="s">
        <v>2421</v>
      </c>
      <c r="E432" s="77" t="s">
        <v>2423</v>
      </c>
      <c r="F432" s="77"/>
      <c r="G432" s="77"/>
      <c r="H432" s="77"/>
      <c r="I432" s="208"/>
      <c r="J432" s="220" t="s">
        <v>5335</v>
      </c>
      <c r="K432" s="211"/>
      <c r="L432" s="208"/>
      <c r="M432" s="208"/>
      <c r="N432" s="208"/>
      <c r="O432" s="210" t="s">
        <v>5336</v>
      </c>
      <c r="P432" s="208"/>
      <c r="Q432" s="208" t="s">
        <v>268</v>
      </c>
      <c r="R432" s="208"/>
      <c r="S432" s="208"/>
      <c r="T432" s="208"/>
      <c r="U432" s="208"/>
      <c r="V432" s="208"/>
      <c r="W432" s="208"/>
      <c r="X432" s="208"/>
      <c r="Y432" s="208"/>
      <c r="Z432" s="208"/>
      <c r="AA432" s="208"/>
      <c r="AB432" s="208"/>
      <c r="AC432" s="208"/>
      <c r="AD432" s="102"/>
      <c r="AE432" s="102"/>
      <c r="AF432" s="102"/>
      <c r="AG432" s="102"/>
      <c r="AH432" s="102"/>
      <c r="AI432" s="102"/>
      <c r="AJ432" s="102"/>
      <c r="AK432" s="102"/>
      <c r="AL432" s="102"/>
      <c r="AM432" s="102"/>
      <c r="AN432" s="102"/>
      <c r="AO432" s="102"/>
      <c r="AP432" s="102"/>
      <c r="AQ432" s="102"/>
      <c r="AR432" s="102"/>
      <c r="AS432" s="102"/>
      <c r="AT432" s="102"/>
    </row>
    <row r="433" ht="15.75" customHeight="1">
      <c r="A433" s="214" t="s">
        <v>299</v>
      </c>
      <c r="B433" s="397" t="s">
        <v>2426</v>
      </c>
      <c r="C433" s="77" t="s">
        <v>2428</v>
      </c>
      <c r="D433" s="77" t="s">
        <v>2429</v>
      </c>
      <c r="E433" s="77" t="s">
        <v>2430</v>
      </c>
      <c r="F433" s="77"/>
      <c r="G433" s="77"/>
      <c r="H433" s="77"/>
      <c r="I433" s="216"/>
      <c r="J433" s="217"/>
      <c r="K433" s="216"/>
      <c r="L433" s="216"/>
      <c r="M433" s="216"/>
      <c r="N433" s="216"/>
      <c r="O433" s="292" t="s">
        <v>5337</v>
      </c>
      <c r="P433" s="216"/>
      <c r="Q433" s="405" t="s">
        <v>268</v>
      </c>
      <c r="R433" s="216"/>
      <c r="S433" s="216"/>
      <c r="T433" s="216"/>
      <c r="U433" s="216"/>
      <c r="V433" s="216"/>
      <c r="W433" s="216"/>
      <c r="X433" s="216"/>
      <c r="Y433" s="216"/>
      <c r="Z433" s="216"/>
      <c r="AA433" s="216"/>
      <c r="AB433" s="216"/>
      <c r="AC433" s="216"/>
      <c r="AD433" s="102"/>
      <c r="AE433" s="102"/>
      <c r="AF433" s="102"/>
      <c r="AG433" s="102"/>
      <c r="AH433" s="102"/>
      <c r="AI433" s="102"/>
      <c r="AJ433" s="102"/>
      <c r="AK433" s="102"/>
      <c r="AL433" s="102"/>
      <c r="AM433" s="102"/>
      <c r="AN433" s="102"/>
      <c r="AO433" s="102"/>
      <c r="AP433" s="102"/>
      <c r="AQ433" s="102"/>
      <c r="AR433" s="102"/>
      <c r="AS433" s="102"/>
      <c r="AT433" s="102"/>
    </row>
    <row r="434" ht="15.75" customHeight="1">
      <c r="A434" s="269" t="s">
        <v>2353</v>
      </c>
      <c r="B434" s="396" t="s">
        <v>2431</v>
      </c>
      <c r="C434" s="77" t="e">
        <v>#N/A</v>
      </c>
      <c r="D434" s="77" t="e">
        <v>#N/A</v>
      </c>
      <c r="E434" s="77" t="e">
        <v>#N/A</v>
      </c>
      <c r="F434" s="77" t="e">
        <v>#N/A</v>
      </c>
      <c r="G434" s="77" t="e">
        <v>#N/A</v>
      </c>
      <c r="H434" s="77" t="e">
        <v>#N/A</v>
      </c>
      <c r="I434" s="267"/>
      <c r="J434" s="267"/>
      <c r="K434" s="268"/>
      <c r="L434" s="268"/>
      <c r="M434" s="267"/>
      <c r="N434" s="267"/>
      <c r="O434" s="336" t="s">
        <v>5338</v>
      </c>
      <c r="P434" s="267"/>
      <c r="Q434" s="216" t="s">
        <v>268</v>
      </c>
      <c r="R434" s="267"/>
      <c r="S434" s="267"/>
      <c r="T434" s="267"/>
      <c r="U434" s="267"/>
      <c r="V434" s="267"/>
      <c r="W434" s="267"/>
      <c r="X434" s="267"/>
      <c r="Y434" s="267"/>
      <c r="Z434" s="267"/>
      <c r="AA434" s="267"/>
      <c r="AB434" s="267"/>
      <c r="AC434" s="267"/>
      <c r="AD434" s="102"/>
      <c r="AE434" s="102"/>
      <c r="AF434" s="102"/>
      <c r="AG434" s="102"/>
      <c r="AH434" s="102"/>
      <c r="AI434" s="102"/>
      <c r="AJ434" s="102"/>
      <c r="AK434" s="102"/>
      <c r="AL434" s="102"/>
      <c r="AM434" s="102"/>
      <c r="AN434" s="102"/>
      <c r="AO434" s="102"/>
      <c r="AP434" s="102"/>
      <c r="AQ434" s="102"/>
      <c r="AR434" s="102"/>
      <c r="AS434" s="102"/>
      <c r="AT434" s="102"/>
    </row>
    <row r="435" ht="15.75" customHeight="1">
      <c r="A435" s="395" t="s">
        <v>299</v>
      </c>
      <c r="B435" s="396" t="s">
        <v>2440</v>
      </c>
      <c r="C435" s="77" t="s">
        <v>2442</v>
      </c>
      <c r="D435" s="77" t="s">
        <v>2443</v>
      </c>
      <c r="E435" s="77" t="s">
        <v>2444</v>
      </c>
      <c r="F435" s="77"/>
      <c r="G435" s="77"/>
      <c r="H435" s="77"/>
      <c r="I435" s="267"/>
      <c r="J435" s="267"/>
      <c r="K435" s="268"/>
      <c r="L435" s="268"/>
      <c r="M435" s="267"/>
      <c r="N435" s="267"/>
      <c r="O435" s="336" t="s">
        <v>5339</v>
      </c>
      <c r="P435" s="267"/>
      <c r="Q435" s="405" t="s">
        <v>268</v>
      </c>
      <c r="R435" s="267"/>
      <c r="S435" s="267"/>
      <c r="T435" s="267"/>
      <c r="U435" s="267"/>
      <c r="V435" s="267"/>
      <c r="W435" s="267"/>
      <c r="X435" s="267"/>
      <c r="Y435" s="267"/>
      <c r="Z435" s="267"/>
      <c r="AA435" s="267"/>
      <c r="AB435" s="267"/>
      <c r="AC435" s="267"/>
      <c r="AD435" s="102"/>
      <c r="AE435" s="102"/>
      <c r="AF435" s="102"/>
      <c r="AG435" s="102"/>
      <c r="AH435" s="102"/>
      <c r="AI435" s="102"/>
      <c r="AJ435" s="102"/>
      <c r="AK435" s="102"/>
      <c r="AL435" s="102"/>
      <c r="AM435" s="102"/>
      <c r="AN435" s="102"/>
      <c r="AO435" s="102"/>
      <c r="AP435" s="102"/>
      <c r="AQ435" s="102"/>
      <c r="AR435" s="102"/>
      <c r="AS435" s="102"/>
      <c r="AT435" s="102"/>
    </row>
    <row r="436" ht="15.75" customHeight="1">
      <c r="A436" s="265" t="s">
        <v>396</v>
      </c>
      <c r="B436" s="266" t="s">
        <v>2445</v>
      </c>
      <c r="C436" s="77" t="s">
        <v>2448</v>
      </c>
      <c r="D436" s="77" t="s">
        <v>2449</v>
      </c>
      <c r="E436" s="77" t="s">
        <v>2450</v>
      </c>
      <c r="F436" s="77"/>
      <c r="G436" s="77"/>
      <c r="H436" s="77"/>
      <c r="I436" s="267"/>
      <c r="J436" s="267"/>
      <c r="K436" s="268" t="s">
        <v>2786</v>
      </c>
      <c r="L436" s="268"/>
      <c r="M436" s="267"/>
      <c r="N436" s="267"/>
      <c r="O436" s="336" t="s">
        <v>5340</v>
      </c>
      <c r="P436" s="267"/>
      <c r="Q436" s="267" t="s">
        <v>268</v>
      </c>
      <c r="R436" s="267"/>
      <c r="S436" s="267"/>
      <c r="T436" s="267"/>
      <c r="U436" s="267"/>
      <c r="V436" s="267"/>
      <c r="W436" s="267"/>
      <c r="X436" s="267"/>
      <c r="Y436" s="267"/>
      <c r="Z436" s="267"/>
      <c r="AA436" s="267"/>
      <c r="AB436" s="267"/>
      <c r="AC436" s="267"/>
      <c r="AD436" s="102"/>
      <c r="AE436" s="102"/>
      <c r="AF436" s="102"/>
      <c r="AG436" s="102"/>
      <c r="AH436" s="102"/>
      <c r="AI436" s="102"/>
      <c r="AJ436" s="102"/>
      <c r="AK436" s="102"/>
      <c r="AL436" s="102"/>
      <c r="AM436" s="102"/>
      <c r="AN436" s="102"/>
      <c r="AO436" s="102"/>
      <c r="AP436" s="102"/>
      <c r="AQ436" s="102"/>
      <c r="AR436" s="102"/>
      <c r="AS436" s="102"/>
      <c r="AT436" s="102"/>
    </row>
    <row r="437" ht="15.75" customHeight="1">
      <c r="A437" s="206" t="s">
        <v>2451</v>
      </c>
      <c r="B437" s="245" t="s">
        <v>2452</v>
      </c>
      <c r="C437" s="77" t="s">
        <v>2458</v>
      </c>
      <c r="D437" s="77" t="s">
        <v>2460</v>
      </c>
      <c r="E437" s="77" t="s">
        <v>2461</v>
      </c>
      <c r="F437" s="77"/>
      <c r="G437" s="77"/>
      <c r="H437" s="77"/>
      <c r="I437" s="208"/>
      <c r="J437" s="212"/>
      <c r="K437" s="211" t="s">
        <v>5283</v>
      </c>
      <c r="L437" s="211"/>
      <c r="M437" s="208"/>
      <c r="N437" s="208"/>
      <c r="O437" s="336" t="s">
        <v>5340</v>
      </c>
      <c r="P437" s="208"/>
      <c r="Q437" s="208" t="s">
        <v>268</v>
      </c>
      <c r="R437" s="208"/>
      <c r="S437" s="208"/>
      <c r="T437" s="208"/>
      <c r="U437" s="208"/>
      <c r="V437" s="208"/>
      <c r="W437" s="208"/>
      <c r="X437" s="208"/>
      <c r="Y437" s="208"/>
      <c r="Z437" s="208"/>
      <c r="AA437" s="208"/>
      <c r="AB437" s="208"/>
      <c r="AC437" s="208"/>
      <c r="AD437" s="102"/>
      <c r="AE437" s="102"/>
      <c r="AF437" s="102"/>
      <c r="AG437" s="102"/>
      <c r="AH437" s="102"/>
      <c r="AI437" s="102"/>
      <c r="AJ437" s="102"/>
      <c r="AK437" s="102"/>
      <c r="AL437" s="102"/>
      <c r="AM437" s="102"/>
      <c r="AN437" s="102"/>
      <c r="AO437" s="102"/>
      <c r="AP437" s="102"/>
      <c r="AQ437" s="102"/>
      <c r="AR437" s="102"/>
      <c r="AS437" s="102"/>
      <c r="AT437" s="102"/>
    </row>
    <row r="438" ht="15.75" customHeight="1">
      <c r="A438" s="214" t="s">
        <v>299</v>
      </c>
      <c r="B438" s="246" t="s">
        <v>2462</v>
      </c>
      <c r="C438" s="77" t="s">
        <v>2463</v>
      </c>
      <c r="D438" s="77" t="s">
        <v>2464</v>
      </c>
      <c r="E438" s="77" t="s">
        <v>2465</v>
      </c>
      <c r="F438" s="77"/>
      <c r="G438" s="77"/>
      <c r="H438" s="77"/>
      <c r="I438" s="216"/>
      <c r="J438" s="217"/>
      <c r="K438" s="216"/>
      <c r="L438" s="216"/>
      <c r="M438" s="216"/>
      <c r="N438" s="216"/>
      <c r="O438" s="218" t="s">
        <v>5341</v>
      </c>
      <c r="P438" s="216"/>
      <c r="Q438" s="216" t="s">
        <v>268</v>
      </c>
      <c r="R438" s="216"/>
      <c r="S438" s="216"/>
      <c r="T438" s="216"/>
      <c r="U438" s="216"/>
      <c r="V438" s="216"/>
      <c r="W438" s="216"/>
      <c r="X438" s="216"/>
      <c r="Y438" s="216"/>
      <c r="Z438" s="216"/>
      <c r="AA438" s="216"/>
      <c r="AB438" s="216"/>
      <c r="AC438" s="216"/>
      <c r="AD438" s="102"/>
      <c r="AE438" s="102"/>
      <c r="AF438" s="102"/>
      <c r="AG438" s="102"/>
      <c r="AH438" s="102"/>
      <c r="AI438" s="102"/>
      <c r="AJ438" s="102"/>
      <c r="AK438" s="102"/>
      <c r="AL438" s="102"/>
      <c r="AM438" s="102"/>
      <c r="AN438" s="102"/>
      <c r="AO438" s="102"/>
      <c r="AP438" s="102"/>
      <c r="AQ438" s="102"/>
      <c r="AR438" s="102"/>
      <c r="AS438" s="102"/>
      <c r="AT438" s="102"/>
    </row>
    <row r="439" ht="15.75" customHeight="1">
      <c r="A439" s="269" t="s">
        <v>2336</v>
      </c>
      <c r="B439" s="207" t="s">
        <v>5327</v>
      </c>
      <c r="C439" s="77"/>
      <c r="D439" s="77"/>
      <c r="E439" s="77"/>
      <c r="F439" s="208"/>
      <c r="G439" s="208"/>
      <c r="H439" s="208"/>
      <c r="I439" s="208"/>
      <c r="J439" s="212"/>
      <c r="K439" s="211"/>
      <c r="L439" s="211"/>
      <c r="M439" s="208"/>
      <c r="N439" s="208"/>
      <c r="O439" s="210"/>
      <c r="P439" s="208"/>
      <c r="Q439" s="208"/>
      <c r="R439" s="208"/>
      <c r="S439" s="208"/>
      <c r="T439" s="211"/>
      <c r="U439" s="208"/>
      <c r="V439" s="208"/>
      <c r="W439" s="208"/>
      <c r="X439" s="208"/>
      <c r="Y439" s="208"/>
      <c r="Z439" s="208"/>
      <c r="AA439" s="208"/>
      <c r="AB439" s="208"/>
      <c r="AC439" s="208"/>
      <c r="AD439" s="102"/>
      <c r="AE439" s="102"/>
      <c r="AF439" s="102"/>
      <c r="AG439" s="102"/>
      <c r="AH439" s="102"/>
      <c r="AI439" s="102"/>
      <c r="AJ439" s="102"/>
      <c r="AK439" s="102"/>
      <c r="AL439" s="102"/>
      <c r="AM439" s="102"/>
      <c r="AN439" s="102"/>
      <c r="AO439" s="102"/>
      <c r="AP439" s="102"/>
      <c r="AQ439" s="102"/>
      <c r="AR439" s="102"/>
      <c r="AS439" s="102"/>
      <c r="AT439" s="102"/>
    </row>
    <row r="440" ht="15.75" customHeight="1">
      <c r="A440" s="398" t="s">
        <v>735</v>
      </c>
      <c r="B440" s="251" t="s">
        <v>5272</v>
      </c>
      <c r="C440" s="251" t="s">
        <v>5273</v>
      </c>
      <c r="D440" s="251"/>
      <c r="E440" s="251"/>
      <c r="F440" s="252"/>
      <c r="G440" s="252"/>
      <c r="H440" s="252"/>
      <c r="I440" s="252"/>
      <c r="J440" s="252"/>
      <c r="K440" s="252"/>
      <c r="L440" s="252"/>
      <c r="M440" s="252"/>
      <c r="N440" s="252"/>
      <c r="O440" s="252"/>
      <c r="P440" s="252"/>
      <c r="Q440" s="252"/>
      <c r="R440" s="252"/>
      <c r="S440" s="252"/>
      <c r="T440" s="252"/>
      <c r="U440" s="252"/>
      <c r="V440" s="252"/>
      <c r="W440" s="252"/>
      <c r="X440" s="252"/>
      <c r="Y440" s="252"/>
      <c r="Z440" s="252"/>
      <c r="AA440" s="252"/>
      <c r="AB440" s="252"/>
      <c r="AC440" s="252"/>
      <c r="AD440" s="102"/>
      <c r="AE440" s="102"/>
      <c r="AF440" s="102"/>
      <c r="AG440" s="102"/>
      <c r="AH440" s="102"/>
      <c r="AI440" s="102"/>
      <c r="AJ440" s="102"/>
      <c r="AK440" s="102"/>
      <c r="AL440" s="102"/>
      <c r="AM440" s="102"/>
      <c r="AN440" s="102"/>
      <c r="AO440" s="102"/>
      <c r="AP440" s="102"/>
      <c r="AQ440" s="102"/>
      <c r="AR440" s="102"/>
      <c r="AS440" s="102"/>
      <c r="AT440" s="102"/>
    </row>
    <row r="441" ht="15.75" customHeight="1">
      <c r="A441" s="90" t="s">
        <v>183</v>
      </c>
      <c r="B441" s="91" t="s">
        <v>5342</v>
      </c>
      <c r="C441" s="93"/>
      <c r="D441" s="96"/>
      <c r="E441" s="96"/>
      <c r="F441" s="97"/>
      <c r="G441" s="97"/>
      <c r="H441" s="97"/>
      <c r="I441" s="97"/>
      <c r="J441" s="98"/>
      <c r="K441" s="97"/>
      <c r="L441" s="97"/>
      <c r="M441" s="98"/>
      <c r="N441" s="98"/>
      <c r="O441" s="99"/>
      <c r="P441" s="100"/>
      <c r="Q441" s="100"/>
      <c r="R441" s="100"/>
      <c r="S441" s="97"/>
      <c r="T441" s="101" t="s">
        <v>211</v>
      </c>
      <c r="U441" s="97"/>
      <c r="V441" s="97"/>
      <c r="W441" s="97"/>
      <c r="X441" s="97"/>
      <c r="Y441" s="97"/>
      <c r="Z441" s="97"/>
      <c r="AA441" s="97"/>
      <c r="AB441" s="97"/>
      <c r="AC441" s="97"/>
      <c r="AD441" s="102"/>
      <c r="AE441" s="102"/>
      <c r="AF441" s="102"/>
      <c r="AG441" s="102"/>
      <c r="AH441" s="102"/>
      <c r="AI441" s="102"/>
      <c r="AJ441" s="102"/>
      <c r="AK441" s="102"/>
      <c r="AL441" s="102"/>
      <c r="AM441" s="102"/>
      <c r="AN441" s="102"/>
      <c r="AO441" s="102"/>
      <c r="AP441" s="102"/>
      <c r="AQ441" s="102"/>
      <c r="AR441" s="102"/>
      <c r="AS441" s="102"/>
      <c r="AT441" s="102"/>
    </row>
    <row r="442" ht="15.75" customHeight="1">
      <c r="A442" s="90" t="s">
        <v>116</v>
      </c>
      <c r="B442" s="91" t="s">
        <v>5343</v>
      </c>
      <c r="C442" s="93"/>
      <c r="D442" s="96"/>
      <c r="E442" s="96"/>
      <c r="F442" s="97"/>
      <c r="G442" s="97"/>
      <c r="H442" s="97"/>
      <c r="I442" s="98"/>
      <c r="J442" s="98"/>
      <c r="K442" s="97"/>
      <c r="L442" s="98"/>
      <c r="M442" s="98"/>
      <c r="N442" s="98"/>
      <c r="O442" s="236"/>
      <c r="P442" s="100"/>
      <c r="Q442" s="100"/>
      <c r="R442" s="100"/>
      <c r="S442" s="97"/>
      <c r="T442" s="238" t="s">
        <v>5344</v>
      </c>
      <c r="U442" s="97"/>
      <c r="V442" s="97"/>
      <c r="W442" s="97"/>
      <c r="X442" s="97"/>
      <c r="Y442" s="97"/>
      <c r="Z442" s="97"/>
      <c r="AA442" s="97"/>
      <c r="AB442" s="97"/>
      <c r="AC442" s="97"/>
      <c r="AD442" s="102"/>
      <c r="AE442" s="102"/>
      <c r="AF442" s="102"/>
      <c r="AG442" s="102"/>
      <c r="AH442" s="102"/>
      <c r="AI442" s="102"/>
      <c r="AJ442" s="102"/>
      <c r="AK442" s="102"/>
      <c r="AL442" s="102"/>
      <c r="AM442" s="102"/>
      <c r="AN442" s="102"/>
      <c r="AO442" s="102"/>
      <c r="AP442" s="102"/>
      <c r="AQ442" s="102"/>
      <c r="AR442" s="102"/>
      <c r="AS442" s="102"/>
      <c r="AT442" s="102"/>
    </row>
    <row r="443" ht="15.75" customHeight="1">
      <c r="A443" s="249" t="s">
        <v>2336</v>
      </c>
      <c r="B443" s="251" t="s">
        <v>5206</v>
      </c>
      <c r="C443" s="251" t="s">
        <v>5207</v>
      </c>
      <c r="D443" s="251"/>
      <c r="E443" s="251"/>
      <c r="F443" s="252"/>
      <c r="G443" s="252"/>
      <c r="H443" s="252"/>
      <c r="I443" s="252"/>
      <c r="J443" s="255"/>
      <c r="K443" s="255"/>
      <c r="L443" s="252"/>
      <c r="M443" s="252"/>
      <c r="N443" s="252"/>
      <c r="O443" s="252"/>
      <c r="P443" s="252"/>
      <c r="Q443" s="252"/>
      <c r="R443" s="252"/>
      <c r="S443" s="252"/>
      <c r="T443" s="252"/>
      <c r="U443" s="252"/>
      <c r="V443" s="252"/>
      <c r="W443" s="252"/>
      <c r="X443" s="252"/>
      <c r="Y443" s="252"/>
      <c r="Z443" s="252"/>
      <c r="AA443" s="252"/>
      <c r="AB443" s="252"/>
      <c r="AC443" s="252"/>
      <c r="AD443" s="343"/>
      <c r="AE443" s="343"/>
      <c r="AF443" s="343"/>
      <c r="AG443" s="343"/>
      <c r="AH443" s="343"/>
      <c r="AI443" s="343"/>
      <c r="AJ443" s="343"/>
      <c r="AK443" s="343"/>
      <c r="AL443" s="343"/>
      <c r="AM443" s="343"/>
      <c r="AN443" s="343"/>
      <c r="AO443" s="102"/>
      <c r="AP443" s="102"/>
      <c r="AQ443" s="102"/>
      <c r="AR443" s="102"/>
      <c r="AS443" s="102"/>
      <c r="AT443" s="102"/>
    </row>
    <row r="445" ht="15.75" customHeight="1">
      <c r="A445" s="259" t="s">
        <v>116</v>
      </c>
      <c r="B445" s="362" t="s">
        <v>5345</v>
      </c>
      <c r="C445" s="261" t="s">
        <v>5346</v>
      </c>
      <c r="D445" s="261" t="s">
        <v>5347</v>
      </c>
      <c r="E445" s="261" t="s">
        <v>5348</v>
      </c>
      <c r="F445" s="262"/>
      <c r="G445" s="262"/>
      <c r="H445" s="262"/>
      <c r="I445" s="262"/>
      <c r="J445" s="262"/>
      <c r="K445" s="262"/>
      <c r="L445" s="262"/>
      <c r="M445" s="262"/>
      <c r="N445" s="262"/>
      <c r="O445" s="262"/>
      <c r="P445" s="262"/>
      <c r="Q445" s="262"/>
      <c r="R445" s="262"/>
      <c r="S445" s="262"/>
      <c r="T445" s="363" t="s">
        <v>5349</v>
      </c>
      <c r="U445" s="264"/>
      <c r="V445" s="262"/>
      <c r="W445" s="262"/>
      <c r="X445" s="262"/>
      <c r="Y445" s="262"/>
      <c r="Z445" s="262"/>
      <c r="AA445" s="262"/>
      <c r="AB445" s="262"/>
      <c r="AC445" s="262"/>
      <c r="AD445" s="102"/>
      <c r="AE445" s="102"/>
      <c r="AF445" s="102"/>
      <c r="AG445" s="102"/>
      <c r="AH445" s="102"/>
      <c r="AI445" s="102"/>
      <c r="AJ445" s="102"/>
      <c r="AK445" s="102"/>
      <c r="AL445" s="102"/>
      <c r="AM445" s="102"/>
      <c r="AN445" s="102"/>
      <c r="AO445" s="102"/>
      <c r="AP445" s="102"/>
      <c r="AQ445" s="102"/>
      <c r="AR445" s="102"/>
      <c r="AS445" s="102"/>
      <c r="AT445" s="102"/>
    </row>
    <row r="446" ht="15.75" customHeight="1">
      <c r="A446" s="259" t="s">
        <v>116</v>
      </c>
      <c r="B446" s="406" t="s">
        <v>5350</v>
      </c>
      <c r="C446" s="261" t="s">
        <v>5351</v>
      </c>
      <c r="D446" s="261"/>
      <c r="E446" s="261"/>
      <c r="F446" s="262"/>
      <c r="G446" s="262"/>
      <c r="H446" s="262"/>
      <c r="I446" s="262"/>
      <c r="J446" s="262"/>
      <c r="K446" s="262"/>
      <c r="L446" s="262"/>
      <c r="M446" s="262"/>
      <c r="N446" s="262"/>
      <c r="O446" s="262"/>
      <c r="P446" s="262"/>
      <c r="Q446" s="262"/>
      <c r="R446" s="262"/>
      <c r="S446" s="262"/>
      <c r="T446" s="363" t="s">
        <v>5352</v>
      </c>
      <c r="U446" s="264"/>
      <c r="V446" s="262"/>
      <c r="W446" s="262"/>
      <c r="X446" s="262"/>
      <c r="Y446" s="262"/>
      <c r="Z446" s="262"/>
      <c r="AA446" s="262"/>
      <c r="AB446" s="262"/>
      <c r="AC446" s="262"/>
      <c r="AD446" s="102"/>
      <c r="AE446" s="102"/>
      <c r="AF446" s="102"/>
      <c r="AG446" s="102"/>
      <c r="AH446" s="102"/>
      <c r="AI446" s="102"/>
      <c r="AJ446" s="102"/>
      <c r="AK446" s="102"/>
      <c r="AL446" s="102"/>
      <c r="AM446" s="102"/>
      <c r="AN446" s="102"/>
      <c r="AO446" s="102"/>
      <c r="AP446" s="102"/>
      <c r="AQ446" s="102"/>
      <c r="AR446" s="102"/>
      <c r="AS446" s="102"/>
      <c r="AT446" s="102"/>
    </row>
    <row r="447" ht="15.75" customHeight="1">
      <c r="A447" s="259" t="s">
        <v>116</v>
      </c>
      <c r="B447" s="406" t="s">
        <v>5353</v>
      </c>
      <c r="C447" s="338"/>
      <c r="D447" s="339"/>
      <c r="E447" s="339"/>
      <c r="F447" s="339"/>
      <c r="G447" s="339"/>
      <c r="H447" s="339"/>
      <c r="I447" s="339"/>
      <c r="J447" s="339"/>
      <c r="K447" s="339"/>
      <c r="L447" s="339"/>
      <c r="M447" s="339"/>
      <c r="N447" s="339"/>
      <c r="O447" s="339"/>
      <c r="P447" s="339"/>
      <c r="Q447" s="339"/>
      <c r="R447" s="339"/>
      <c r="S447" s="339"/>
      <c r="T447" s="171" t="s">
        <v>5354</v>
      </c>
      <c r="U447" s="340"/>
      <c r="V447" s="339"/>
      <c r="W447" s="339"/>
      <c r="X447" s="339"/>
      <c r="Y447" s="339"/>
      <c r="Z447" s="339"/>
      <c r="AA447" s="339"/>
      <c r="AB447" s="339"/>
      <c r="AC447" s="339"/>
      <c r="AD447" s="102"/>
      <c r="AE447" s="102"/>
      <c r="AF447" s="102"/>
      <c r="AG447" s="102"/>
      <c r="AH447" s="102"/>
      <c r="AI447" s="102"/>
      <c r="AJ447" s="102"/>
      <c r="AK447" s="102"/>
      <c r="AL447" s="102"/>
      <c r="AM447" s="102"/>
      <c r="AN447" s="102"/>
      <c r="AO447" s="102"/>
      <c r="AP447" s="102"/>
      <c r="AQ447" s="102"/>
      <c r="AR447" s="102"/>
      <c r="AS447" s="102"/>
      <c r="AT447" s="102"/>
    </row>
    <row r="448" ht="15.75" customHeight="1">
      <c r="A448" s="398" t="s">
        <v>116</v>
      </c>
      <c r="B448" s="399" t="s">
        <v>5355</v>
      </c>
      <c r="C448" s="338"/>
      <c r="D448" s="339"/>
      <c r="E448" s="339"/>
      <c r="F448" s="339"/>
      <c r="G448" s="339"/>
      <c r="H448" s="339"/>
      <c r="I448" s="339"/>
      <c r="J448" s="339"/>
      <c r="K448" s="339"/>
      <c r="L448" s="339"/>
      <c r="M448" s="339"/>
      <c r="N448" s="339"/>
      <c r="O448" s="339"/>
      <c r="P448" s="339"/>
      <c r="Q448" s="339"/>
      <c r="R448" s="339"/>
      <c r="S448" s="339"/>
      <c r="T448" s="407" t="s">
        <v>5356</v>
      </c>
      <c r="U448" s="340"/>
      <c r="V448" s="339"/>
      <c r="W448" s="339"/>
      <c r="X448" s="339"/>
      <c r="Y448" s="339"/>
      <c r="Z448" s="339"/>
      <c r="AA448" s="339"/>
      <c r="AB448" s="339"/>
      <c r="AC448" s="339"/>
      <c r="AD448" s="102"/>
      <c r="AE448" s="102"/>
      <c r="AF448" s="102"/>
      <c r="AG448" s="102"/>
      <c r="AH448" s="102"/>
      <c r="AI448" s="102"/>
      <c r="AJ448" s="102"/>
      <c r="AK448" s="102"/>
      <c r="AL448" s="102"/>
      <c r="AM448" s="102"/>
      <c r="AN448" s="102"/>
      <c r="AO448" s="102"/>
      <c r="AP448" s="102"/>
      <c r="AQ448" s="102"/>
      <c r="AR448" s="102"/>
      <c r="AS448" s="102"/>
      <c r="AT448" s="102"/>
    </row>
    <row r="449" ht="15.75" customHeight="1">
      <c r="A449" s="398" t="s">
        <v>116</v>
      </c>
      <c r="B449" s="399" t="s">
        <v>5357</v>
      </c>
      <c r="C449" s="338"/>
      <c r="D449" s="339"/>
      <c r="E449" s="339"/>
      <c r="F449" s="339"/>
      <c r="G449" s="339"/>
      <c r="H449" s="339"/>
      <c r="I449" s="339"/>
      <c r="J449" s="339"/>
      <c r="K449" s="339"/>
      <c r="L449" s="339"/>
      <c r="M449" s="339"/>
      <c r="N449" s="339"/>
      <c r="O449" s="339"/>
      <c r="P449" s="339"/>
      <c r="Q449" s="339"/>
      <c r="R449" s="339"/>
      <c r="S449" s="339"/>
      <c r="T449" s="407" t="s">
        <v>5358</v>
      </c>
      <c r="U449" s="340"/>
      <c r="V449" s="339"/>
      <c r="W449" s="339"/>
      <c r="X449" s="339"/>
      <c r="Y449" s="339"/>
      <c r="Z449" s="339"/>
      <c r="AA449" s="339"/>
      <c r="AB449" s="339"/>
      <c r="AC449" s="339"/>
      <c r="AD449" s="102"/>
      <c r="AE449" s="102"/>
      <c r="AF449" s="102"/>
      <c r="AG449" s="102"/>
      <c r="AH449" s="102"/>
      <c r="AI449" s="102"/>
      <c r="AJ449" s="102"/>
      <c r="AK449" s="102"/>
      <c r="AL449" s="102"/>
      <c r="AM449" s="102"/>
      <c r="AN449" s="102"/>
      <c r="AO449" s="102"/>
      <c r="AP449" s="102"/>
      <c r="AQ449" s="102"/>
      <c r="AR449" s="102"/>
      <c r="AS449" s="102"/>
      <c r="AT449" s="102"/>
    </row>
    <row r="450" ht="15.75" customHeight="1">
      <c r="A450" s="398" t="s">
        <v>116</v>
      </c>
      <c r="B450" s="399" t="s">
        <v>5359</v>
      </c>
      <c r="C450" s="338"/>
      <c r="D450" s="339"/>
      <c r="E450" s="339"/>
      <c r="F450" s="339"/>
      <c r="G450" s="339"/>
      <c r="H450" s="339"/>
      <c r="I450" s="339"/>
      <c r="J450" s="339"/>
      <c r="K450" s="339"/>
      <c r="L450" s="339"/>
      <c r="M450" s="339"/>
      <c r="N450" s="339"/>
      <c r="O450" s="339"/>
      <c r="P450" s="339"/>
      <c r="Q450" s="339"/>
      <c r="R450" s="339"/>
      <c r="S450" s="339"/>
      <c r="T450" s="407" t="s">
        <v>5360</v>
      </c>
      <c r="U450" s="340"/>
      <c r="V450" s="339"/>
      <c r="W450" s="339"/>
      <c r="X450" s="339"/>
      <c r="Y450" s="339"/>
      <c r="Z450" s="339"/>
      <c r="AA450" s="339"/>
      <c r="AB450" s="339"/>
      <c r="AC450" s="339"/>
      <c r="AD450" s="102"/>
      <c r="AE450" s="102"/>
      <c r="AF450" s="102"/>
      <c r="AG450" s="102"/>
      <c r="AH450" s="102"/>
      <c r="AI450" s="102"/>
      <c r="AJ450" s="102"/>
      <c r="AK450" s="102"/>
      <c r="AL450" s="102"/>
      <c r="AM450" s="102"/>
      <c r="AN450" s="102"/>
      <c r="AO450" s="102"/>
      <c r="AP450" s="102"/>
      <c r="AQ450" s="102"/>
      <c r="AR450" s="102"/>
      <c r="AS450" s="102"/>
      <c r="AT450" s="102"/>
    </row>
    <row r="451" ht="15.75" customHeight="1">
      <c r="A451" s="398" t="s">
        <v>116</v>
      </c>
      <c r="B451" s="399" t="s">
        <v>5361</v>
      </c>
      <c r="C451" s="338"/>
      <c r="D451" s="339"/>
      <c r="E451" s="339"/>
      <c r="F451" s="339"/>
      <c r="G451" s="339"/>
      <c r="H451" s="339"/>
      <c r="I451" s="339"/>
      <c r="J451" s="339"/>
      <c r="K451" s="339"/>
      <c r="L451" s="339"/>
      <c r="M451" s="339"/>
      <c r="N451" s="339"/>
      <c r="O451" s="339"/>
      <c r="P451" s="339"/>
      <c r="Q451" s="339"/>
      <c r="R451" s="339"/>
      <c r="S451" s="339"/>
      <c r="T451" s="407" t="s">
        <v>5362</v>
      </c>
      <c r="U451" s="340"/>
      <c r="V451" s="339"/>
      <c r="W451" s="339"/>
      <c r="X451" s="339"/>
      <c r="Y451" s="339"/>
      <c r="Z451" s="339"/>
      <c r="AA451" s="339"/>
      <c r="AB451" s="339"/>
      <c r="AC451" s="339"/>
      <c r="AD451" s="102"/>
      <c r="AE451" s="102"/>
      <c r="AF451" s="102"/>
      <c r="AG451" s="102"/>
      <c r="AH451" s="102"/>
      <c r="AI451" s="102"/>
      <c r="AJ451" s="102"/>
      <c r="AK451" s="102"/>
      <c r="AL451" s="102"/>
      <c r="AM451" s="102"/>
      <c r="AN451" s="102"/>
      <c r="AO451" s="102"/>
      <c r="AP451" s="102"/>
      <c r="AQ451" s="102"/>
      <c r="AR451" s="102"/>
      <c r="AS451" s="102"/>
      <c r="AT451" s="102"/>
    </row>
    <row r="452" ht="15.75" customHeight="1">
      <c r="A452" s="337"/>
      <c r="B452" s="408"/>
      <c r="C452" s="338"/>
      <c r="D452" s="339"/>
      <c r="E452" s="339"/>
      <c r="F452" s="339"/>
      <c r="G452" s="339"/>
      <c r="H452" s="339"/>
      <c r="I452" s="339"/>
      <c r="J452" s="339"/>
      <c r="K452" s="339"/>
      <c r="L452" s="339"/>
      <c r="M452" s="339"/>
      <c r="N452" s="339"/>
      <c r="O452" s="339"/>
      <c r="P452" s="339"/>
      <c r="Q452" s="339"/>
      <c r="R452" s="339"/>
      <c r="S452" s="339"/>
      <c r="T452" s="339"/>
      <c r="U452" s="339"/>
      <c r="V452" s="339"/>
      <c r="W452" s="339"/>
      <c r="X452" s="339"/>
      <c r="Y452" s="339"/>
      <c r="Z452" s="339"/>
      <c r="AA452" s="339"/>
      <c r="AB452" s="339"/>
      <c r="AC452" s="339"/>
      <c r="AD452" s="102"/>
      <c r="AE452" s="102"/>
      <c r="AF452" s="102"/>
      <c r="AG452" s="102"/>
      <c r="AH452" s="102"/>
      <c r="AI452" s="102"/>
      <c r="AJ452" s="102"/>
      <c r="AK452" s="102"/>
      <c r="AL452" s="102"/>
      <c r="AM452" s="102"/>
      <c r="AN452" s="102"/>
      <c r="AO452" s="102"/>
      <c r="AP452" s="102"/>
      <c r="AQ452" s="102"/>
      <c r="AR452" s="102"/>
      <c r="AS452" s="102"/>
      <c r="AT452" s="102"/>
    </row>
    <row r="453" ht="15.75" customHeight="1">
      <c r="A453" s="197" t="s">
        <v>227</v>
      </c>
      <c r="B453" s="93" t="s">
        <v>5363</v>
      </c>
      <c r="C453" s="93" t="s">
        <v>5364</v>
      </c>
      <c r="D453" s="96"/>
      <c r="E453" s="96"/>
      <c r="F453" s="97"/>
      <c r="G453" s="97"/>
      <c r="H453" s="97"/>
      <c r="I453" s="97"/>
      <c r="J453" s="98"/>
      <c r="K453" s="97"/>
      <c r="L453" s="97"/>
      <c r="M453" s="98"/>
      <c r="N453" s="98"/>
      <c r="O453" s="98"/>
      <c r="P453" s="97"/>
      <c r="Q453" s="97"/>
      <c r="R453" s="97"/>
      <c r="S453" s="97"/>
      <c r="T453" s="97"/>
      <c r="U453" s="97"/>
      <c r="V453" s="97"/>
      <c r="W453" s="97"/>
      <c r="X453" s="97"/>
      <c r="Y453" s="97"/>
      <c r="Z453" s="97"/>
      <c r="AA453" s="97"/>
      <c r="AB453" s="97"/>
      <c r="AC453" s="97"/>
      <c r="AD453" s="102"/>
      <c r="AE453" s="102"/>
      <c r="AF453" s="102"/>
      <c r="AG453" s="102"/>
      <c r="AH453" s="102"/>
      <c r="AI453" s="102"/>
      <c r="AJ453" s="102"/>
      <c r="AK453" s="102"/>
      <c r="AL453" s="102"/>
      <c r="AM453" s="102"/>
      <c r="AN453" s="102"/>
      <c r="AO453" s="102"/>
      <c r="AP453" s="102"/>
      <c r="AQ453" s="102"/>
      <c r="AR453" s="102"/>
      <c r="AS453" s="102"/>
      <c r="AT453" s="102"/>
    </row>
    <row r="454" ht="15.75" customHeight="1">
      <c r="A454" s="198" t="s">
        <v>42</v>
      </c>
      <c r="B454" s="199" t="s">
        <v>2512</v>
      </c>
      <c r="C454" s="77" t="s">
        <v>2515</v>
      </c>
      <c r="D454" s="77" t="s">
        <v>2517</v>
      </c>
      <c r="E454" s="77" t="s">
        <v>2518</v>
      </c>
      <c r="F454" s="77"/>
      <c r="G454" s="77"/>
      <c r="H454" s="77"/>
      <c r="I454" s="200"/>
      <c r="J454" s="200"/>
      <c r="K454" s="200"/>
      <c r="L454" s="200"/>
      <c r="M454" s="200"/>
      <c r="N454" s="200"/>
      <c r="O454" s="200"/>
      <c r="P454" s="200"/>
      <c r="Q454" s="200"/>
      <c r="R454" s="200"/>
      <c r="S454" s="200"/>
      <c r="T454" s="200"/>
      <c r="U454" s="200"/>
      <c r="V454" s="200"/>
      <c r="W454" s="200"/>
      <c r="X454" s="200"/>
      <c r="Y454" s="200"/>
      <c r="Z454" s="200"/>
      <c r="AA454" s="200"/>
      <c r="AB454" s="200"/>
      <c r="AC454" s="200"/>
      <c r="AD454" s="102"/>
      <c r="AE454" s="102"/>
      <c r="AF454" s="102"/>
      <c r="AG454" s="102"/>
      <c r="AH454" s="102"/>
      <c r="AI454" s="102"/>
      <c r="AJ454" s="102"/>
      <c r="AK454" s="102"/>
      <c r="AL454" s="102"/>
      <c r="AM454" s="102"/>
      <c r="AN454" s="102"/>
      <c r="AO454" s="102"/>
      <c r="AP454" s="102"/>
      <c r="AQ454" s="102"/>
      <c r="AR454" s="102"/>
      <c r="AS454" s="102"/>
      <c r="AT454" s="102"/>
    </row>
    <row r="455" ht="15.75" customHeight="1">
      <c r="A455" s="206" t="s">
        <v>277</v>
      </c>
      <c r="B455" s="245" t="s">
        <v>2519</v>
      </c>
      <c r="C455" s="77" t="s">
        <v>2523</v>
      </c>
      <c r="D455" s="77" t="s">
        <v>2524</v>
      </c>
      <c r="E455" s="77" t="s">
        <v>2525</v>
      </c>
      <c r="F455" s="77"/>
      <c r="G455" s="77"/>
      <c r="H455" s="77"/>
      <c r="I455" s="208"/>
      <c r="J455" s="212"/>
      <c r="K455" s="208"/>
      <c r="L455" s="208"/>
      <c r="M455" s="208"/>
      <c r="N455" s="208"/>
      <c r="O455" s="208"/>
      <c r="P455" s="208"/>
      <c r="Q455" s="208" t="s">
        <v>268</v>
      </c>
      <c r="R455" s="208"/>
      <c r="S455" s="208"/>
      <c r="T455" s="208"/>
      <c r="U455" s="208"/>
      <c r="V455" s="208"/>
      <c r="W455" s="208"/>
      <c r="X455" s="208"/>
      <c r="Y455" s="208"/>
      <c r="Z455" s="208"/>
      <c r="AA455" s="208"/>
      <c r="AB455" s="208"/>
      <c r="AC455" s="208"/>
      <c r="AD455" s="102"/>
      <c r="AE455" s="102"/>
      <c r="AF455" s="102"/>
      <c r="AG455" s="102"/>
      <c r="AH455" s="102"/>
      <c r="AI455" s="102"/>
      <c r="AJ455" s="102"/>
      <c r="AK455" s="102"/>
      <c r="AL455" s="102"/>
      <c r="AM455" s="102"/>
      <c r="AN455" s="102"/>
      <c r="AO455" s="102"/>
      <c r="AP455" s="102"/>
      <c r="AQ455" s="102"/>
      <c r="AR455" s="102"/>
      <c r="AS455" s="102"/>
      <c r="AT455" s="102"/>
    </row>
    <row r="456" ht="15.75" customHeight="1">
      <c r="A456" s="265" t="s">
        <v>396</v>
      </c>
      <c r="B456" s="266" t="s">
        <v>2526</v>
      </c>
      <c r="C456" s="77" t="s">
        <v>2528</v>
      </c>
      <c r="D456" s="77" t="s">
        <v>2529</v>
      </c>
      <c r="E456" s="77" t="s">
        <v>2530</v>
      </c>
      <c r="F456" s="77"/>
      <c r="G456" s="77"/>
      <c r="H456" s="77"/>
      <c r="I456" s="267"/>
      <c r="J456" s="267"/>
      <c r="K456" s="268"/>
      <c r="L456" s="268"/>
      <c r="M456" s="267"/>
      <c r="N456" s="267"/>
      <c r="O456" s="267" t="s">
        <v>5365</v>
      </c>
      <c r="P456" s="267"/>
      <c r="Q456" s="267" t="s">
        <v>268</v>
      </c>
      <c r="R456" s="267"/>
      <c r="S456" s="267"/>
      <c r="T456" s="267"/>
      <c r="U456" s="267"/>
      <c r="V456" s="267"/>
      <c r="W456" s="267"/>
      <c r="X456" s="267"/>
      <c r="Y456" s="267"/>
      <c r="Z456" s="267"/>
      <c r="AA456" s="267"/>
      <c r="AB456" s="267"/>
      <c r="AC456" s="267"/>
      <c r="AD456" s="102"/>
      <c r="AE456" s="102"/>
      <c r="AF456" s="102"/>
      <c r="AG456" s="102"/>
      <c r="AH456" s="102"/>
      <c r="AI456" s="102"/>
      <c r="AJ456" s="102"/>
      <c r="AK456" s="102"/>
      <c r="AL456" s="102"/>
      <c r="AM456" s="102"/>
      <c r="AN456" s="102"/>
      <c r="AO456" s="102"/>
      <c r="AP456" s="102"/>
      <c r="AQ456" s="102"/>
      <c r="AR456" s="102"/>
      <c r="AS456" s="102"/>
      <c r="AT456" s="102"/>
    </row>
    <row r="457" ht="15.75" customHeight="1">
      <c r="A457" s="206" t="s">
        <v>2531</v>
      </c>
      <c r="B457" s="245" t="s">
        <v>2532</v>
      </c>
      <c r="C457" s="77" t="s">
        <v>2533</v>
      </c>
      <c r="D457" s="77" t="s">
        <v>2534</v>
      </c>
      <c r="E457" s="77" t="s">
        <v>2535</v>
      </c>
      <c r="F457" s="77"/>
      <c r="G457" s="77"/>
      <c r="H457" s="77"/>
      <c r="I457" s="208"/>
      <c r="J457" s="212"/>
      <c r="K457" s="211" t="s">
        <v>4619</v>
      </c>
      <c r="L457" s="208"/>
      <c r="M457" s="211"/>
      <c r="N457" s="211"/>
      <c r="O457" s="208"/>
      <c r="P457" s="208"/>
      <c r="Q457" s="208" t="s">
        <v>268</v>
      </c>
      <c r="R457" s="208"/>
      <c r="S457" s="208"/>
      <c r="T457" s="208"/>
      <c r="U457" s="208"/>
      <c r="V457" s="208"/>
      <c r="W457" s="208"/>
      <c r="X457" s="208"/>
      <c r="Y457" s="208"/>
      <c r="Z457" s="208"/>
      <c r="AA457" s="208"/>
      <c r="AB457" s="208"/>
      <c r="AC457" s="208"/>
      <c r="AD457" s="102"/>
      <c r="AE457" s="102"/>
      <c r="AF457" s="102"/>
      <c r="AG457" s="102"/>
      <c r="AH457" s="102"/>
      <c r="AI457" s="102"/>
      <c r="AJ457" s="102"/>
      <c r="AK457" s="102"/>
      <c r="AL457" s="102"/>
      <c r="AM457" s="102"/>
      <c r="AN457" s="102"/>
      <c r="AO457" s="102"/>
      <c r="AP457" s="102"/>
      <c r="AQ457" s="102"/>
      <c r="AR457" s="102"/>
      <c r="AS457" s="102"/>
      <c r="AT457" s="102"/>
    </row>
    <row r="458" ht="15.75" customHeight="1">
      <c r="A458" s="206" t="s">
        <v>2536</v>
      </c>
      <c r="B458" s="245" t="s">
        <v>2537</v>
      </c>
      <c r="C458" s="77" t="s">
        <v>2542</v>
      </c>
      <c r="D458" s="77" t="s">
        <v>2543</v>
      </c>
      <c r="E458" s="77" t="s">
        <v>2544</v>
      </c>
      <c r="F458" s="77"/>
      <c r="G458" s="77"/>
      <c r="H458" s="77"/>
      <c r="I458" s="208"/>
      <c r="J458" s="212"/>
      <c r="K458" s="211" t="s">
        <v>4619</v>
      </c>
      <c r="L458" s="208"/>
      <c r="M458" s="208"/>
      <c r="N458" s="208"/>
      <c r="O458" s="208"/>
      <c r="P458" s="208"/>
      <c r="Q458" s="208" t="s">
        <v>268</v>
      </c>
      <c r="R458" s="208"/>
      <c r="S458" s="208"/>
      <c r="T458" s="208"/>
      <c r="U458" s="208"/>
      <c r="V458" s="208"/>
      <c r="W458" s="208"/>
      <c r="X458" s="208"/>
      <c r="Y458" s="208"/>
      <c r="Z458" s="208"/>
      <c r="AA458" s="208"/>
      <c r="AB458" s="208"/>
      <c r="AC458" s="208"/>
      <c r="AD458" s="102"/>
      <c r="AE458" s="102"/>
      <c r="AF458" s="102"/>
      <c r="AG458" s="102"/>
      <c r="AH458" s="102"/>
      <c r="AI458" s="102"/>
      <c r="AJ458" s="102"/>
      <c r="AK458" s="102"/>
      <c r="AL458" s="102"/>
      <c r="AM458" s="102"/>
      <c r="AN458" s="102"/>
      <c r="AO458" s="102"/>
      <c r="AP458" s="102"/>
      <c r="AQ458" s="102"/>
      <c r="AR458" s="102"/>
      <c r="AS458" s="102"/>
      <c r="AT458" s="102"/>
    </row>
    <row r="459" ht="15.75" customHeight="1">
      <c r="A459" s="142" t="s">
        <v>183</v>
      </c>
      <c r="B459" s="239" t="s">
        <v>5366</v>
      </c>
      <c r="C459" s="144"/>
      <c r="D459" s="144"/>
      <c r="E459" s="144"/>
      <c r="F459" s="145"/>
      <c r="G459" s="145"/>
      <c r="H459" s="145"/>
      <c r="I459" s="145"/>
      <c r="J459" s="145"/>
      <c r="K459" s="145"/>
      <c r="L459" s="145"/>
      <c r="M459" s="145"/>
      <c r="N459" s="145"/>
      <c r="O459" s="146"/>
      <c r="P459" s="146"/>
      <c r="Q459" s="146"/>
      <c r="R459" s="146"/>
      <c r="S459" s="145"/>
      <c r="T459" s="402" t="s">
        <v>211</v>
      </c>
      <c r="U459" s="146"/>
      <c r="V459" s="145"/>
      <c r="W459" s="145"/>
      <c r="X459" s="145"/>
      <c r="Y459" s="145"/>
      <c r="Z459" s="145"/>
      <c r="AA459" s="145"/>
      <c r="AB459" s="145"/>
      <c r="AC459" s="145"/>
      <c r="AD459" s="102"/>
      <c r="AE459" s="102"/>
      <c r="AF459" s="102"/>
      <c r="AG459" s="102"/>
      <c r="AH459" s="102"/>
      <c r="AI459" s="102"/>
      <c r="AJ459" s="102"/>
      <c r="AK459" s="102"/>
      <c r="AL459" s="102"/>
      <c r="AM459" s="102"/>
      <c r="AN459" s="102"/>
      <c r="AO459" s="102"/>
      <c r="AP459" s="102"/>
      <c r="AQ459" s="102"/>
      <c r="AR459" s="102"/>
      <c r="AS459" s="102"/>
      <c r="AT459" s="102"/>
    </row>
    <row r="460" ht="15.75" customHeight="1">
      <c r="A460" s="249" t="s">
        <v>2279</v>
      </c>
      <c r="B460" s="250" t="s">
        <v>5367</v>
      </c>
      <c r="C460" s="250" t="s">
        <v>5368</v>
      </c>
      <c r="D460" s="251" t="s">
        <v>5369</v>
      </c>
      <c r="E460" s="251" t="s">
        <v>5370</v>
      </c>
      <c r="F460" s="252"/>
      <c r="G460" s="252"/>
      <c r="H460" s="252"/>
      <c r="I460" s="252"/>
      <c r="J460" s="252"/>
      <c r="K460" s="252"/>
      <c r="L460" s="252"/>
      <c r="M460" s="253"/>
      <c r="N460" s="253"/>
      <c r="O460" s="254" t="s">
        <v>5371</v>
      </c>
      <c r="P460" s="255"/>
      <c r="Q460" s="252"/>
      <c r="R460" s="252"/>
      <c r="S460" s="252"/>
      <c r="T460" s="252"/>
      <c r="U460" s="254" t="s">
        <v>5372</v>
      </c>
      <c r="V460" s="255"/>
      <c r="W460" s="252"/>
      <c r="X460" s="252"/>
      <c r="Y460" s="252"/>
      <c r="Z460" s="252"/>
      <c r="AA460" s="252"/>
      <c r="AB460" s="252"/>
      <c r="AC460" s="252"/>
      <c r="AD460" s="102"/>
      <c r="AE460" s="102"/>
      <c r="AF460" s="102"/>
      <c r="AG460" s="102"/>
      <c r="AH460" s="102"/>
      <c r="AI460" s="102"/>
      <c r="AJ460" s="102"/>
      <c r="AK460" s="102"/>
      <c r="AL460" s="102"/>
      <c r="AM460" s="102"/>
      <c r="AN460" s="102"/>
      <c r="AO460" s="102"/>
      <c r="AP460" s="102"/>
      <c r="AQ460" s="102"/>
      <c r="AR460" s="102"/>
      <c r="AS460" s="102"/>
      <c r="AT460" s="102"/>
    </row>
    <row r="461" ht="15.75" customHeight="1">
      <c r="A461" s="259" t="s">
        <v>116</v>
      </c>
      <c r="B461" s="260" t="s">
        <v>5373</v>
      </c>
      <c r="C461" s="261" t="s">
        <v>5374</v>
      </c>
      <c r="D461" s="261" t="s">
        <v>5375</v>
      </c>
      <c r="E461" s="261" t="s">
        <v>5376</v>
      </c>
      <c r="F461" s="262"/>
      <c r="G461" s="262"/>
      <c r="H461" s="262"/>
      <c r="I461" s="262"/>
      <c r="J461" s="262"/>
      <c r="K461" s="262"/>
      <c r="L461" s="262"/>
      <c r="M461" s="262"/>
      <c r="N461" s="262"/>
      <c r="O461" s="262"/>
      <c r="P461" s="262"/>
      <c r="Q461" s="262"/>
      <c r="R461" s="262"/>
      <c r="S461" s="262"/>
      <c r="T461" s="363" t="s">
        <v>5377</v>
      </c>
      <c r="U461" s="264"/>
      <c r="V461" s="264"/>
      <c r="W461" s="264"/>
      <c r="X461" s="262"/>
      <c r="Y461" s="262"/>
      <c r="Z461" s="262"/>
      <c r="AA461" s="262"/>
      <c r="AB461" s="262"/>
      <c r="AC461" s="262"/>
      <c r="AD461" s="102"/>
      <c r="AE461" s="102"/>
      <c r="AF461" s="102"/>
      <c r="AG461" s="102"/>
      <c r="AH461" s="102"/>
      <c r="AI461" s="102"/>
      <c r="AJ461" s="102"/>
      <c r="AK461" s="102"/>
      <c r="AL461" s="102"/>
      <c r="AM461" s="102"/>
      <c r="AN461" s="102"/>
      <c r="AO461" s="102"/>
      <c r="AP461" s="102"/>
      <c r="AQ461" s="102"/>
      <c r="AR461" s="102"/>
      <c r="AS461" s="102"/>
      <c r="AT461" s="102"/>
    </row>
    <row r="462" ht="15.75" customHeight="1">
      <c r="A462" s="265" t="s">
        <v>396</v>
      </c>
      <c r="B462" s="266" t="s">
        <v>2558</v>
      </c>
      <c r="C462" s="77" t="s">
        <v>2563</v>
      </c>
      <c r="D462" s="77" t="s">
        <v>2564</v>
      </c>
      <c r="E462" s="77" t="s">
        <v>2565</v>
      </c>
      <c r="F462" s="77"/>
      <c r="G462" s="77"/>
      <c r="H462" s="77"/>
      <c r="I462" s="267"/>
      <c r="J462" s="267"/>
      <c r="K462" s="268" t="s">
        <v>5378</v>
      </c>
      <c r="L462" s="268"/>
      <c r="M462" s="267"/>
      <c r="N462" s="267"/>
      <c r="O462" s="267"/>
      <c r="P462" s="267"/>
      <c r="Q462" s="267" t="s">
        <v>268</v>
      </c>
      <c r="R462" s="267"/>
      <c r="S462" s="267"/>
      <c r="T462" s="267"/>
      <c r="U462" s="267"/>
      <c r="V462" s="267"/>
      <c r="W462" s="267"/>
      <c r="X462" s="267"/>
      <c r="Y462" s="267"/>
      <c r="Z462" s="267"/>
      <c r="AA462" s="267"/>
      <c r="AB462" s="267"/>
      <c r="AC462" s="267"/>
      <c r="AD462" s="102"/>
      <c r="AE462" s="102"/>
      <c r="AF462" s="102"/>
      <c r="AG462" s="102"/>
      <c r="AH462" s="102"/>
      <c r="AI462" s="102"/>
      <c r="AJ462" s="102"/>
      <c r="AK462" s="102"/>
      <c r="AL462" s="102"/>
      <c r="AM462" s="102"/>
      <c r="AN462" s="102"/>
      <c r="AO462" s="102"/>
      <c r="AP462" s="102"/>
      <c r="AQ462" s="102"/>
      <c r="AR462" s="102"/>
      <c r="AS462" s="102"/>
      <c r="AT462" s="102"/>
    </row>
    <row r="463" ht="15.75" customHeight="1">
      <c r="A463" s="265" t="s">
        <v>396</v>
      </c>
      <c r="B463" s="266" t="s">
        <v>2566</v>
      </c>
      <c r="C463" s="77" t="s">
        <v>2573</v>
      </c>
      <c r="D463" s="77" t="s">
        <v>2575</v>
      </c>
      <c r="E463" s="77" t="s">
        <v>2576</v>
      </c>
      <c r="F463" s="77"/>
      <c r="G463" s="77"/>
      <c r="H463" s="77"/>
      <c r="I463" s="267"/>
      <c r="J463" s="267"/>
      <c r="K463" s="268"/>
      <c r="L463" s="268"/>
      <c r="M463" s="267"/>
      <c r="N463" s="267"/>
      <c r="O463" s="267"/>
      <c r="P463" s="267"/>
      <c r="Q463" s="267" t="s">
        <v>268</v>
      </c>
      <c r="R463" s="267"/>
      <c r="S463" s="267"/>
      <c r="T463" s="267"/>
      <c r="U463" s="267"/>
      <c r="V463" s="267"/>
      <c r="W463" s="267"/>
      <c r="X463" s="267"/>
      <c r="Y463" s="267"/>
      <c r="Z463" s="267"/>
      <c r="AA463" s="267"/>
      <c r="AB463" s="267"/>
      <c r="AC463" s="267"/>
      <c r="AD463" s="102"/>
      <c r="AE463" s="102"/>
      <c r="AF463" s="102"/>
      <c r="AG463" s="102"/>
      <c r="AH463" s="102"/>
      <c r="AI463" s="102"/>
      <c r="AJ463" s="102"/>
      <c r="AK463" s="102"/>
      <c r="AL463" s="102"/>
      <c r="AM463" s="102"/>
      <c r="AN463" s="102"/>
      <c r="AO463" s="102"/>
      <c r="AP463" s="102"/>
      <c r="AQ463" s="102"/>
      <c r="AR463" s="102"/>
      <c r="AS463" s="102"/>
      <c r="AT463" s="102"/>
    </row>
    <row r="464" ht="15.75" customHeight="1">
      <c r="A464" s="249" t="s">
        <v>2336</v>
      </c>
      <c r="B464" s="251" t="s">
        <v>5367</v>
      </c>
      <c r="C464" s="251" t="s">
        <v>5368</v>
      </c>
      <c r="D464" s="251" t="s">
        <v>5369</v>
      </c>
      <c r="E464" s="251" t="s">
        <v>5370</v>
      </c>
      <c r="F464" s="252"/>
      <c r="G464" s="252"/>
      <c r="H464" s="252"/>
      <c r="I464" s="252"/>
      <c r="J464" s="252"/>
      <c r="K464" s="252"/>
      <c r="L464" s="252"/>
      <c r="M464" s="252"/>
      <c r="N464" s="252"/>
      <c r="O464" s="252"/>
      <c r="P464" s="252"/>
      <c r="Q464" s="252"/>
      <c r="R464" s="252"/>
      <c r="S464" s="252"/>
      <c r="T464" s="252"/>
      <c r="U464" s="252"/>
      <c r="V464" s="252"/>
      <c r="W464" s="252"/>
      <c r="X464" s="252"/>
      <c r="Y464" s="252"/>
      <c r="Z464" s="252"/>
      <c r="AA464" s="252"/>
      <c r="AB464" s="252"/>
      <c r="AC464" s="252"/>
      <c r="AD464" s="102"/>
      <c r="AE464" s="102"/>
      <c r="AF464" s="102"/>
      <c r="AG464" s="102"/>
      <c r="AH464" s="102"/>
      <c r="AI464" s="102"/>
      <c r="AJ464" s="102"/>
      <c r="AK464" s="102"/>
      <c r="AL464" s="102"/>
      <c r="AM464" s="102"/>
      <c r="AN464" s="102"/>
      <c r="AO464" s="102"/>
      <c r="AP464" s="102"/>
      <c r="AQ464" s="102"/>
      <c r="AR464" s="102"/>
      <c r="AS464" s="102"/>
      <c r="AT464" s="102"/>
    </row>
    <row r="465" ht="15.75" customHeight="1">
      <c r="A465" s="142" t="s">
        <v>183</v>
      </c>
      <c r="B465" s="239" t="s">
        <v>5379</v>
      </c>
      <c r="C465" s="144"/>
      <c r="D465" s="144"/>
      <c r="E465" s="144"/>
      <c r="F465" s="145"/>
      <c r="G465" s="145"/>
      <c r="H465" s="145"/>
      <c r="I465" s="145"/>
      <c r="J465" s="145"/>
      <c r="K465" s="145"/>
      <c r="L465" s="145"/>
      <c r="M465" s="145"/>
      <c r="N465" s="145"/>
      <c r="O465" s="146"/>
      <c r="P465" s="146"/>
      <c r="Q465" s="146"/>
      <c r="R465" s="146"/>
      <c r="S465" s="145"/>
      <c r="T465" s="402" t="s">
        <v>211</v>
      </c>
      <c r="U465" s="146"/>
      <c r="V465" s="145"/>
      <c r="W465" s="145"/>
      <c r="X465" s="145"/>
      <c r="Y465" s="145"/>
      <c r="Z465" s="145"/>
      <c r="AA465" s="145"/>
      <c r="AB465" s="145"/>
      <c r="AC465" s="145"/>
      <c r="AD465" s="102"/>
      <c r="AE465" s="102"/>
      <c r="AF465" s="102"/>
      <c r="AG465" s="102"/>
      <c r="AH465" s="102"/>
      <c r="AI465" s="102"/>
      <c r="AJ465" s="102"/>
      <c r="AK465" s="102"/>
      <c r="AL465" s="102"/>
      <c r="AM465" s="102"/>
      <c r="AN465" s="102"/>
      <c r="AO465" s="102"/>
      <c r="AP465" s="102"/>
      <c r="AQ465" s="102"/>
      <c r="AR465" s="102"/>
      <c r="AS465" s="102"/>
      <c r="AT465" s="102"/>
    </row>
    <row r="466" ht="15.75" customHeight="1">
      <c r="A466" s="90" t="s">
        <v>116</v>
      </c>
      <c r="B466" s="91" t="s">
        <v>5380</v>
      </c>
      <c r="C466" s="93"/>
      <c r="D466" s="96"/>
      <c r="E466" s="96"/>
      <c r="F466" s="97"/>
      <c r="G466" s="97"/>
      <c r="H466" s="97"/>
      <c r="I466" s="98"/>
      <c r="J466" s="98"/>
      <c r="K466" s="97"/>
      <c r="L466" s="98"/>
      <c r="M466" s="98"/>
      <c r="N466" s="98"/>
      <c r="O466" s="236"/>
      <c r="P466" s="100"/>
      <c r="Q466" s="100"/>
      <c r="R466" s="100"/>
      <c r="S466" s="97"/>
      <c r="T466" s="238" t="s">
        <v>5381</v>
      </c>
      <c r="U466" s="97"/>
      <c r="V466" s="97"/>
      <c r="W466" s="97"/>
      <c r="X466" s="97"/>
      <c r="Y466" s="97"/>
      <c r="Z466" s="97"/>
      <c r="AA466" s="97"/>
      <c r="AB466" s="97"/>
      <c r="AC466" s="97"/>
      <c r="AD466" s="102"/>
      <c r="AE466" s="102"/>
      <c r="AF466" s="102"/>
      <c r="AG466" s="102"/>
      <c r="AH466" s="102"/>
      <c r="AI466" s="102"/>
      <c r="AJ466" s="102"/>
      <c r="AK466" s="102"/>
      <c r="AL466" s="102"/>
      <c r="AM466" s="102"/>
      <c r="AN466" s="102"/>
      <c r="AO466" s="102"/>
      <c r="AP466" s="102"/>
      <c r="AQ466" s="102"/>
      <c r="AR466" s="102"/>
      <c r="AS466" s="102"/>
      <c r="AT466" s="102"/>
    </row>
    <row r="467" ht="15.75" customHeight="1">
      <c r="A467" s="142" t="s">
        <v>183</v>
      </c>
      <c r="B467" s="239" t="s">
        <v>5382</v>
      </c>
      <c r="C467" s="144"/>
      <c r="D467" s="144"/>
      <c r="E467" s="144"/>
      <c r="F467" s="145"/>
      <c r="G467" s="145"/>
      <c r="H467" s="145"/>
      <c r="I467" s="145"/>
      <c r="J467" s="145"/>
      <c r="K467" s="145"/>
      <c r="L467" s="145"/>
      <c r="M467" s="145"/>
      <c r="N467" s="145"/>
      <c r="O467" s="146"/>
      <c r="P467" s="146"/>
      <c r="Q467" s="146"/>
      <c r="R467" s="146"/>
      <c r="S467" s="145"/>
      <c r="T467" s="402" t="s">
        <v>211</v>
      </c>
      <c r="U467" s="146"/>
      <c r="V467" s="145"/>
      <c r="W467" s="145"/>
      <c r="X467" s="145"/>
      <c r="Y467" s="145"/>
      <c r="Z467" s="145"/>
      <c r="AA467" s="145"/>
      <c r="AB467" s="145"/>
      <c r="AC467" s="145"/>
      <c r="AD467" s="102"/>
      <c r="AE467" s="102"/>
      <c r="AF467" s="102"/>
      <c r="AG467" s="102"/>
      <c r="AH467" s="102"/>
      <c r="AI467" s="102"/>
      <c r="AJ467" s="102"/>
      <c r="AK467" s="102"/>
      <c r="AL467" s="102"/>
      <c r="AM467" s="102"/>
      <c r="AN467" s="102"/>
      <c r="AO467" s="102"/>
      <c r="AP467" s="102"/>
      <c r="AQ467" s="102"/>
      <c r="AR467" s="102"/>
      <c r="AS467" s="102"/>
      <c r="AT467" s="102"/>
    </row>
    <row r="468" ht="15.75" customHeight="1">
      <c r="A468" s="198" t="s">
        <v>42</v>
      </c>
      <c r="B468" s="199" t="s">
        <v>2593</v>
      </c>
      <c r="C468" s="77" t="s">
        <v>5383</v>
      </c>
      <c r="D468" s="77" t="s">
        <v>5384</v>
      </c>
      <c r="E468" s="77" t="s">
        <v>2599</v>
      </c>
      <c r="F468" s="77"/>
      <c r="G468" s="77"/>
      <c r="H468" s="77"/>
      <c r="I468" s="200"/>
      <c r="J468" s="200"/>
      <c r="K468" s="200"/>
      <c r="L468" s="200"/>
      <c r="M468" s="200"/>
      <c r="N468" s="200"/>
      <c r="O468" s="200"/>
      <c r="P468" s="200"/>
      <c r="Q468" s="200"/>
      <c r="R468" s="200"/>
      <c r="S468" s="200"/>
      <c r="T468" s="200"/>
      <c r="U468" s="200"/>
      <c r="V468" s="200"/>
      <c r="W468" s="200"/>
      <c r="X468" s="200"/>
      <c r="Y468" s="200"/>
      <c r="Z468" s="200"/>
      <c r="AA468" s="200"/>
      <c r="AB468" s="200"/>
      <c r="AC468" s="200"/>
      <c r="AD468" s="102"/>
      <c r="AE468" s="102"/>
      <c r="AF468" s="102"/>
      <c r="AG468" s="102"/>
      <c r="AH468" s="102"/>
      <c r="AI468" s="102"/>
      <c r="AJ468" s="102"/>
      <c r="AK468" s="102"/>
      <c r="AL468" s="102"/>
      <c r="AM468" s="102"/>
      <c r="AN468" s="102"/>
      <c r="AO468" s="102"/>
      <c r="AP468" s="102"/>
      <c r="AQ468" s="102"/>
      <c r="AR468" s="102"/>
      <c r="AS468" s="102"/>
      <c r="AT468" s="102"/>
    </row>
    <row r="469" ht="15.75" customHeight="1">
      <c r="A469" s="409" t="s">
        <v>446</v>
      </c>
      <c r="B469" s="410" t="s">
        <v>2601</v>
      </c>
      <c r="C469" s="77" t="s">
        <v>2606</v>
      </c>
      <c r="D469" s="77" t="s">
        <v>2607</v>
      </c>
      <c r="E469" s="77" t="s">
        <v>2608</v>
      </c>
      <c r="F469" s="77"/>
      <c r="G469" s="77"/>
      <c r="H469" s="77"/>
      <c r="I469" s="411"/>
      <c r="J469" s="411"/>
      <c r="K469" s="412"/>
      <c r="L469" s="412"/>
      <c r="M469" s="411"/>
      <c r="N469" s="411"/>
      <c r="O469" s="411"/>
      <c r="P469" s="411"/>
      <c r="Q469" s="411" t="s">
        <v>268</v>
      </c>
      <c r="R469" s="411"/>
      <c r="S469" s="411"/>
      <c r="T469" s="411"/>
      <c r="U469" s="411"/>
      <c r="V469" s="411"/>
      <c r="W469" s="411"/>
      <c r="X469" s="411"/>
      <c r="Y469" s="411"/>
      <c r="Z469" s="411"/>
      <c r="AA469" s="411"/>
      <c r="AB469" s="411"/>
      <c r="AC469" s="411"/>
      <c r="AD469" s="102"/>
      <c r="AE469" s="102"/>
      <c r="AF469" s="102"/>
      <c r="AG469" s="102"/>
      <c r="AH469" s="102"/>
      <c r="AI469" s="102"/>
      <c r="AJ469" s="102"/>
      <c r="AK469" s="102"/>
      <c r="AL469" s="102"/>
      <c r="AM469" s="102"/>
      <c r="AN469" s="102"/>
      <c r="AO469" s="102"/>
      <c r="AP469" s="102"/>
      <c r="AQ469" s="102"/>
      <c r="AR469" s="102"/>
      <c r="AS469" s="102"/>
      <c r="AT469" s="102"/>
    </row>
    <row r="470" ht="15.75" customHeight="1">
      <c r="A470" s="409" t="s">
        <v>446</v>
      </c>
      <c r="B470" s="410" t="s">
        <v>2609</v>
      </c>
      <c r="C470" s="77" t="s">
        <v>2613</v>
      </c>
      <c r="D470" s="77" t="s">
        <v>2614</v>
      </c>
      <c r="E470" s="77" t="s">
        <v>2615</v>
      </c>
      <c r="F470" s="77"/>
      <c r="G470" s="77"/>
      <c r="H470" s="77"/>
      <c r="I470" s="411"/>
      <c r="J470" s="411"/>
      <c r="K470" s="413" t="s">
        <v>5385</v>
      </c>
      <c r="L470" s="412"/>
      <c r="M470" s="411"/>
      <c r="N470" s="411"/>
      <c r="O470" s="411"/>
      <c r="P470" s="411"/>
      <c r="Q470" s="411" t="s">
        <v>268</v>
      </c>
      <c r="R470" s="411"/>
      <c r="S470" s="411"/>
      <c r="T470" s="411"/>
      <c r="U470" s="411"/>
      <c r="V470" s="411"/>
      <c r="W470" s="411"/>
      <c r="X470" s="411"/>
      <c r="Y470" s="411"/>
      <c r="Z470" s="411"/>
      <c r="AA470" s="411"/>
      <c r="AB470" s="411"/>
      <c r="AC470" s="411"/>
      <c r="AD470" s="102"/>
      <c r="AE470" s="102"/>
      <c r="AF470" s="102"/>
      <c r="AG470" s="102"/>
      <c r="AH470" s="102"/>
      <c r="AI470" s="102"/>
      <c r="AJ470" s="102"/>
      <c r="AK470" s="102"/>
      <c r="AL470" s="102"/>
      <c r="AM470" s="102"/>
      <c r="AN470" s="102"/>
      <c r="AO470" s="102"/>
      <c r="AP470" s="102"/>
      <c r="AQ470" s="102"/>
      <c r="AR470" s="102"/>
      <c r="AS470" s="102"/>
      <c r="AT470" s="102"/>
    </row>
    <row r="471" ht="15.75" customHeight="1">
      <c r="A471" s="409" t="s">
        <v>446</v>
      </c>
      <c r="B471" s="410" t="s">
        <v>2617</v>
      </c>
      <c r="C471" s="77" t="s">
        <v>2625</v>
      </c>
      <c r="D471" s="77" t="s">
        <v>2626</v>
      </c>
      <c r="E471" s="77" t="s">
        <v>2628</v>
      </c>
      <c r="F471" s="77"/>
      <c r="G471" s="77"/>
      <c r="H471" s="77"/>
      <c r="I471" s="411"/>
      <c r="J471" s="411"/>
      <c r="K471" s="413" t="s">
        <v>5385</v>
      </c>
      <c r="L471" s="412"/>
      <c r="M471" s="411"/>
      <c r="N471" s="411"/>
      <c r="O471" s="411"/>
      <c r="P471" s="411"/>
      <c r="Q471" s="411" t="s">
        <v>268</v>
      </c>
      <c r="R471" s="411"/>
      <c r="S471" s="411"/>
      <c r="T471" s="411"/>
      <c r="U471" s="411"/>
      <c r="V471" s="411"/>
      <c r="W471" s="411"/>
      <c r="X471" s="411"/>
      <c r="Y471" s="411"/>
      <c r="Z471" s="411"/>
      <c r="AA471" s="411"/>
      <c r="AB471" s="411"/>
      <c r="AC471" s="411"/>
      <c r="AD471" s="102"/>
      <c r="AE471" s="102"/>
      <c r="AF471" s="102"/>
      <c r="AG471" s="102"/>
      <c r="AH471" s="102"/>
      <c r="AI471" s="102"/>
      <c r="AJ471" s="102"/>
      <c r="AK471" s="102"/>
      <c r="AL471" s="102"/>
      <c r="AM471" s="102"/>
      <c r="AN471" s="102"/>
      <c r="AO471" s="102"/>
      <c r="AP471" s="102"/>
      <c r="AQ471" s="102"/>
      <c r="AR471" s="102"/>
      <c r="AS471" s="102"/>
      <c r="AT471" s="102"/>
    </row>
    <row r="472" ht="15.75" customHeight="1">
      <c r="A472" s="409" t="s">
        <v>446</v>
      </c>
      <c r="B472" s="410" t="s">
        <v>2629</v>
      </c>
      <c r="C472" s="77" t="s">
        <v>2640</v>
      </c>
      <c r="D472" s="77" t="s">
        <v>2641</v>
      </c>
      <c r="E472" s="77" t="s">
        <v>2642</v>
      </c>
      <c r="F472" s="77"/>
      <c r="G472" s="77"/>
      <c r="H472" s="77"/>
      <c r="I472" s="411"/>
      <c r="J472" s="411"/>
      <c r="K472" s="413" t="s">
        <v>5385</v>
      </c>
      <c r="L472" s="412"/>
      <c r="M472" s="411"/>
      <c r="N472" s="411"/>
      <c r="O472" s="411"/>
      <c r="P472" s="411"/>
      <c r="Q472" s="411" t="s">
        <v>268</v>
      </c>
      <c r="R472" s="411"/>
      <c r="S472" s="411"/>
      <c r="T472" s="411"/>
      <c r="U472" s="411"/>
      <c r="V472" s="411"/>
      <c r="W472" s="411"/>
      <c r="X472" s="411"/>
      <c r="Y472" s="411"/>
      <c r="Z472" s="411"/>
      <c r="AA472" s="411"/>
      <c r="AB472" s="411"/>
      <c r="AC472" s="411"/>
      <c r="AD472" s="102"/>
      <c r="AE472" s="102"/>
      <c r="AF472" s="102"/>
      <c r="AG472" s="102"/>
      <c r="AH472" s="102"/>
      <c r="AI472" s="102"/>
      <c r="AJ472" s="102"/>
      <c r="AK472" s="102"/>
      <c r="AL472" s="102"/>
      <c r="AM472" s="102"/>
      <c r="AN472" s="102"/>
      <c r="AO472" s="102"/>
      <c r="AP472" s="102"/>
      <c r="AQ472" s="102"/>
      <c r="AR472" s="102"/>
      <c r="AS472" s="102"/>
      <c r="AT472" s="102"/>
    </row>
    <row r="473" ht="15.75" customHeight="1">
      <c r="A473" s="409" t="s">
        <v>446</v>
      </c>
      <c r="B473" s="410" t="s">
        <v>2644</v>
      </c>
      <c r="C473" s="77" t="s">
        <v>2649</v>
      </c>
      <c r="D473" s="77" t="s">
        <v>2650</v>
      </c>
      <c r="E473" s="77" t="s">
        <v>2651</v>
      </c>
      <c r="F473" s="77"/>
      <c r="G473" s="77"/>
      <c r="H473" s="77"/>
      <c r="I473" s="411"/>
      <c r="J473" s="411"/>
      <c r="K473" s="413" t="s">
        <v>5385</v>
      </c>
      <c r="L473" s="412"/>
      <c r="M473" s="411"/>
      <c r="N473" s="411"/>
      <c r="O473" s="411"/>
      <c r="P473" s="411"/>
      <c r="Q473" s="411" t="s">
        <v>268</v>
      </c>
      <c r="R473" s="411"/>
      <c r="S473" s="411"/>
      <c r="T473" s="411"/>
      <c r="U473" s="411"/>
      <c r="V473" s="411"/>
      <c r="W473" s="411"/>
      <c r="X473" s="411"/>
      <c r="Y473" s="411"/>
      <c r="Z473" s="411"/>
      <c r="AA473" s="411"/>
      <c r="AB473" s="411"/>
      <c r="AC473" s="411"/>
      <c r="AD473" s="102"/>
      <c r="AE473" s="102"/>
      <c r="AF473" s="102"/>
      <c r="AG473" s="102"/>
      <c r="AH473" s="102"/>
      <c r="AI473" s="102"/>
      <c r="AJ473" s="102"/>
      <c r="AK473" s="102"/>
      <c r="AL473" s="102"/>
      <c r="AM473" s="102"/>
      <c r="AN473" s="102"/>
      <c r="AO473" s="102"/>
      <c r="AP473" s="102"/>
      <c r="AQ473" s="102"/>
      <c r="AR473" s="102"/>
      <c r="AS473" s="102"/>
      <c r="AT473" s="102"/>
    </row>
    <row r="474" ht="15.75" customHeight="1">
      <c r="A474" s="265" t="s">
        <v>396</v>
      </c>
      <c r="B474" s="266" t="s">
        <v>2654</v>
      </c>
      <c r="C474" s="77" t="s">
        <v>2659</v>
      </c>
      <c r="D474" s="77" t="s">
        <v>2660</v>
      </c>
      <c r="E474" s="77" t="s">
        <v>2661</v>
      </c>
      <c r="F474" s="77" t="s">
        <v>5386</v>
      </c>
      <c r="G474" s="77" t="s">
        <v>5387</v>
      </c>
      <c r="H474" s="77" t="s">
        <v>5388</v>
      </c>
      <c r="I474" s="267"/>
      <c r="J474" s="267"/>
      <c r="K474" s="268"/>
      <c r="L474" s="268"/>
      <c r="M474" s="267"/>
      <c r="N474" s="267"/>
      <c r="O474" s="267" t="s">
        <v>5389</v>
      </c>
      <c r="P474" s="267"/>
      <c r="Q474" s="267" t="s">
        <v>268</v>
      </c>
      <c r="R474" s="267"/>
      <c r="S474" s="267"/>
      <c r="T474" s="267"/>
      <c r="U474" s="267"/>
      <c r="V474" s="267"/>
      <c r="W474" s="267"/>
      <c r="X474" s="267"/>
      <c r="Y474" s="267"/>
      <c r="Z474" s="267"/>
      <c r="AA474" s="267"/>
      <c r="AB474" s="267"/>
      <c r="AC474" s="267"/>
      <c r="AD474" s="102"/>
      <c r="AE474" s="102"/>
      <c r="AF474" s="102"/>
      <c r="AG474" s="102"/>
      <c r="AH474" s="102"/>
      <c r="AI474" s="102"/>
      <c r="AJ474" s="102"/>
      <c r="AK474" s="102"/>
      <c r="AL474" s="102"/>
      <c r="AM474" s="102"/>
      <c r="AN474" s="102"/>
      <c r="AO474" s="102"/>
      <c r="AP474" s="102"/>
      <c r="AQ474" s="102"/>
      <c r="AR474" s="102"/>
      <c r="AS474" s="102"/>
      <c r="AT474" s="102"/>
    </row>
    <row r="475" ht="15.75" customHeight="1">
      <c r="A475" s="142" t="s">
        <v>183</v>
      </c>
      <c r="B475" s="239" t="s">
        <v>5390</v>
      </c>
      <c r="C475" s="144"/>
      <c r="D475" s="144"/>
      <c r="E475" s="144"/>
      <c r="F475" s="145"/>
      <c r="G475" s="145"/>
      <c r="H475" s="145"/>
      <c r="I475" s="145"/>
      <c r="J475" s="145"/>
      <c r="K475" s="145"/>
      <c r="L475" s="145"/>
      <c r="M475" s="145"/>
      <c r="N475" s="145"/>
      <c r="O475" s="146"/>
      <c r="P475" s="146"/>
      <c r="Q475" s="146"/>
      <c r="R475" s="146"/>
      <c r="S475" s="145"/>
      <c r="T475" s="402" t="s">
        <v>211</v>
      </c>
      <c r="U475" s="146"/>
      <c r="V475" s="145"/>
      <c r="W475" s="145"/>
      <c r="X475" s="145"/>
      <c r="Y475" s="145"/>
      <c r="Z475" s="145"/>
      <c r="AA475" s="145"/>
      <c r="AB475" s="145"/>
      <c r="AC475" s="145"/>
      <c r="AD475" s="102"/>
      <c r="AE475" s="102"/>
      <c r="AF475" s="102"/>
      <c r="AG475" s="102"/>
      <c r="AH475" s="102"/>
      <c r="AI475" s="102"/>
      <c r="AJ475" s="102"/>
      <c r="AK475" s="102"/>
      <c r="AL475" s="102"/>
      <c r="AM475" s="102"/>
      <c r="AN475" s="102"/>
      <c r="AO475" s="102"/>
      <c r="AP475" s="102"/>
      <c r="AQ475" s="102"/>
      <c r="AR475" s="102"/>
      <c r="AS475" s="102"/>
      <c r="AT475" s="102"/>
    </row>
    <row r="476" ht="15.75" customHeight="1">
      <c r="A476" s="90" t="s">
        <v>116</v>
      </c>
      <c r="B476" s="91" t="s">
        <v>5391</v>
      </c>
      <c r="C476" s="93"/>
      <c r="D476" s="96"/>
      <c r="E476" s="96"/>
      <c r="F476" s="97"/>
      <c r="G476" s="97"/>
      <c r="H476" s="97"/>
      <c r="I476" s="98"/>
      <c r="J476" s="98"/>
      <c r="K476" s="97"/>
      <c r="L476" s="98"/>
      <c r="M476" s="98"/>
      <c r="N476" s="98"/>
      <c r="O476" s="236"/>
      <c r="P476" s="100"/>
      <c r="Q476" s="100"/>
      <c r="R476" s="100"/>
      <c r="S476" s="97"/>
      <c r="T476" s="238" t="s">
        <v>5392</v>
      </c>
      <c r="U476" s="97"/>
      <c r="V476" s="97"/>
      <c r="W476" s="97"/>
      <c r="X476" s="97"/>
      <c r="Y476" s="97"/>
      <c r="Z476" s="97"/>
      <c r="AA476" s="97"/>
      <c r="AB476" s="97"/>
      <c r="AC476" s="97"/>
      <c r="AD476" s="102"/>
      <c r="AE476" s="102"/>
      <c r="AF476" s="102"/>
      <c r="AG476" s="102"/>
      <c r="AH476" s="102"/>
      <c r="AI476" s="102"/>
      <c r="AJ476" s="102"/>
      <c r="AK476" s="102"/>
      <c r="AL476" s="102"/>
      <c r="AM476" s="102"/>
      <c r="AN476" s="102"/>
      <c r="AO476" s="102"/>
      <c r="AP476" s="102"/>
      <c r="AQ476" s="102"/>
      <c r="AR476" s="102"/>
      <c r="AS476" s="102"/>
      <c r="AT476" s="102"/>
    </row>
    <row r="477" ht="15.75" customHeight="1">
      <c r="A477" s="198" t="s">
        <v>42</v>
      </c>
      <c r="B477" s="199" t="s">
        <v>2679</v>
      </c>
      <c r="C477" s="77" t="s">
        <v>2686</v>
      </c>
      <c r="D477" s="77" t="s">
        <v>2687</v>
      </c>
      <c r="E477" s="77" t="s">
        <v>2689</v>
      </c>
      <c r="F477" s="77"/>
      <c r="G477" s="77"/>
      <c r="H477" s="77"/>
      <c r="I477" s="200"/>
      <c r="J477" s="200"/>
      <c r="K477" s="200"/>
      <c r="L477" s="200"/>
      <c r="M477" s="200"/>
      <c r="N477" s="200"/>
      <c r="O477" s="200"/>
      <c r="P477" s="200"/>
      <c r="Q477" s="200"/>
      <c r="R477" s="200"/>
      <c r="S477" s="200"/>
      <c r="T477" s="200"/>
      <c r="U477" s="200"/>
      <c r="V477" s="200"/>
      <c r="W477" s="200"/>
      <c r="X477" s="200"/>
      <c r="Y477" s="200"/>
      <c r="Z477" s="200"/>
      <c r="AA477" s="200"/>
      <c r="AB477" s="200"/>
      <c r="AC477" s="200"/>
      <c r="AD477" s="102"/>
      <c r="AE477" s="102"/>
      <c r="AF477" s="102"/>
      <c r="AG477" s="102"/>
      <c r="AH477" s="102"/>
      <c r="AI477" s="102"/>
      <c r="AJ477" s="102"/>
      <c r="AK477" s="102"/>
      <c r="AL477" s="102"/>
      <c r="AM477" s="102"/>
      <c r="AN477" s="102"/>
      <c r="AO477" s="102"/>
      <c r="AP477" s="102"/>
      <c r="AQ477" s="102"/>
      <c r="AR477" s="102"/>
      <c r="AS477" s="102"/>
      <c r="AT477" s="102"/>
    </row>
    <row r="478" ht="15.75" customHeight="1">
      <c r="A478" s="206" t="s">
        <v>2691</v>
      </c>
      <c r="B478" s="245" t="s">
        <v>2692</v>
      </c>
      <c r="C478" s="77" t="s">
        <v>2695</v>
      </c>
      <c r="D478" s="77" t="s">
        <v>2696</v>
      </c>
      <c r="E478" s="77" t="s">
        <v>2697</v>
      </c>
      <c r="F478" s="77"/>
      <c r="G478" s="77"/>
      <c r="H478" s="77"/>
      <c r="I478" s="208"/>
      <c r="J478" s="212"/>
      <c r="K478" s="211" t="s">
        <v>5393</v>
      </c>
      <c r="L478" s="208"/>
      <c r="M478" s="208"/>
      <c r="N478" s="208"/>
      <c r="O478" s="208"/>
      <c r="P478" s="208"/>
      <c r="Q478" s="208" t="s">
        <v>268</v>
      </c>
      <c r="R478" s="208"/>
      <c r="S478" s="208"/>
      <c r="T478" s="208"/>
      <c r="U478" s="208"/>
      <c r="V478" s="208"/>
      <c r="W478" s="208"/>
      <c r="X478" s="208"/>
      <c r="Y478" s="208"/>
      <c r="Z478" s="208"/>
      <c r="AA478" s="208"/>
      <c r="AB478" s="208"/>
      <c r="AC478" s="208"/>
      <c r="AD478" s="102"/>
      <c r="AE478" s="102"/>
      <c r="AF478" s="102"/>
      <c r="AG478" s="102"/>
      <c r="AH478" s="102"/>
      <c r="AI478" s="102"/>
      <c r="AJ478" s="102"/>
      <c r="AK478" s="102"/>
      <c r="AL478" s="102"/>
      <c r="AM478" s="102"/>
      <c r="AN478" s="102"/>
      <c r="AO478" s="102"/>
      <c r="AP478" s="102"/>
      <c r="AQ478" s="102"/>
      <c r="AR478" s="102"/>
      <c r="AS478" s="102"/>
      <c r="AT478" s="102"/>
    </row>
    <row r="479" ht="15.75" customHeight="1">
      <c r="A479" s="214" t="s">
        <v>299</v>
      </c>
      <c r="B479" s="246" t="s">
        <v>2698</v>
      </c>
      <c r="C479" s="77" t="s">
        <v>2703</v>
      </c>
      <c r="D479" s="77" t="s">
        <v>2704</v>
      </c>
      <c r="E479" s="77" t="s">
        <v>2705</v>
      </c>
      <c r="F479" s="77"/>
      <c r="G479" s="77"/>
      <c r="H479" s="77"/>
      <c r="I479" s="216"/>
      <c r="J479" s="217"/>
      <c r="K479" s="216"/>
      <c r="L479" s="216"/>
      <c r="M479" s="216"/>
      <c r="N479" s="216"/>
      <c r="O479" s="229" t="s">
        <v>5394</v>
      </c>
      <c r="P479" s="216"/>
      <c r="Q479" s="216" t="s">
        <v>268</v>
      </c>
      <c r="R479" s="216"/>
      <c r="S479" s="216"/>
      <c r="T479" s="216"/>
      <c r="U479" s="216"/>
      <c r="V479" s="216"/>
      <c r="W479" s="216"/>
      <c r="X479" s="216"/>
      <c r="Y479" s="216"/>
      <c r="Z479" s="216"/>
      <c r="AA479" s="216"/>
      <c r="AB479" s="216"/>
      <c r="AC479" s="216"/>
      <c r="AD479" s="102"/>
      <c r="AE479" s="102"/>
      <c r="AF479" s="102"/>
      <c r="AG479" s="102"/>
      <c r="AH479" s="102"/>
      <c r="AI479" s="102"/>
      <c r="AJ479" s="102"/>
      <c r="AK479" s="102"/>
      <c r="AL479" s="102"/>
      <c r="AM479" s="102"/>
      <c r="AN479" s="102"/>
      <c r="AO479" s="102"/>
      <c r="AP479" s="102"/>
      <c r="AQ479" s="102"/>
      <c r="AR479" s="102"/>
      <c r="AS479" s="102"/>
      <c r="AT479" s="102"/>
    </row>
    <row r="480" ht="15.75" customHeight="1">
      <c r="A480" s="142" t="s">
        <v>183</v>
      </c>
      <c r="B480" s="239" t="s">
        <v>5395</v>
      </c>
      <c r="C480" s="144"/>
      <c r="D480" s="144"/>
      <c r="E480" s="144"/>
      <c r="F480" s="145"/>
      <c r="G480" s="145"/>
      <c r="H480" s="145"/>
      <c r="I480" s="145"/>
      <c r="J480" s="145"/>
      <c r="K480" s="145"/>
      <c r="L480" s="145"/>
      <c r="M480" s="145"/>
      <c r="N480" s="145"/>
      <c r="O480" s="146"/>
      <c r="P480" s="146"/>
      <c r="Q480" s="146"/>
      <c r="R480" s="146"/>
      <c r="S480" s="145"/>
      <c r="T480" s="402" t="s">
        <v>211</v>
      </c>
      <c r="U480" s="146"/>
      <c r="V480" s="145"/>
      <c r="W480" s="145"/>
      <c r="X480" s="145"/>
      <c r="Y480" s="145"/>
      <c r="Z480" s="145"/>
      <c r="AA480" s="145"/>
      <c r="AB480" s="145"/>
      <c r="AC480" s="145"/>
      <c r="AD480" s="102"/>
      <c r="AE480" s="102"/>
      <c r="AF480" s="102"/>
      <c r="AG480" s="102"/>
      <c r="AH480" s="102"/>
      <c r="AI480" s="102"/>
      <c r="AJ480" s="102"/>
      <c r="AK480" s="102"/>
      <c r="AL480" s="102"/>
      <c r="AM480" s="102"/>
      <c r="AN480" s="102"/>
      <c r="AO480" s="102"/>
      <c r="AP480" s="102"/>
      <c r="AQ480" s="102"/>
      <c r="AR480" s="102"/>
      <c r="AS480" s="102"/>
      <c r="AT480" s="102"/>
    </row>
    <row r="481" ht="15.75" customHeight="1">
      <c r="A481" s="249" t="s">
        <v>2279</v>
      </c>
      <c r="B481" s="250" t="s">
        <v>5396</v>
      </c>
      <c r="C481" s="250" t="s">
        <v>5397</v>
      </c>
      <c r="D481" s="251" t="s">
        <v>5398</v>
      </c>
      <c r="E481" s="251" t="s">
        <v>5399</v>
      </c>
      <c r="F481" s="252"/>
      <c r="G481" s="252"/>
      <c r="H481" s="252"/>
      <c r="I481" s="252"/>
      <c r="J481" s="252"/>
      <c r="K481" s="252"/>
      <c r="L481" s="252"/>
      <c r="M481" s="253"/>
      <c r="N481" s="253"/>
      <c r="O481" s="253" t="s">
        <v>5400</v>
      </c>
      <c r="P481" s="252"/>
      <c r="Q481" s="252"/>
      <c r="R481" s="252"/>
      <c r="S481" s="252"/>
      <c r="T481" s="252"/>
      <c r="U481" s="254" t="s">
        <v>5401</v>
      </c>
      <c r="V481" s="252"/>
      <c r="W481" s="252"/>
      <c r="X481" s="252"/>
      <c r="Y481" s="252"/>
      <c r="Z481" s="252"/>
      <c r="AA481" s="252"/>
      <c r="AB481" s="252"/>
      <c r="AC481" s="252"/>
      <c r="AD481" s="102"/>
      <c r="AE481" s="102"/>
      <c r="AF481" s="102"/>
      <c r="AG481" s="102"/>
      <c r="AH481" s="102"/>
      <c r="AI481" s="102"/>
      <c r="AJ481" s="102"/>
      <c r="AK481" s="102"/>
      <c r="AL481" s="102"/>
      <c r="AM481" s="102"/>
      <c r="AN481" s="102"/>
      <c r="AO481" s="102"/>
      <c r="AP481" s="102"/>
      <c r="AQ481" s="102"/>
      <c r="AR481" s="102"/>
      <c r="AS481" s="102"/>
      <c r="AT481" s="102"/>
    </row>
    <row r="482" ht="15.75" customHeight="1">
      <c r="A482" s="259" t="s">
        <v>116</v>
      </c>
      <c r="B482" s="260" t="s">
        <v>5402</v>
      </c>
      <c r="C482" s="261" t="s">
        <v>5403</v>
      </c>
      <c r="D482" s="261" t="s">
        <v>5404</v>
      </c>
      <c r="E482" s="261" t="s">
        <v>5405</v>
      </c>
      <c r="F482" s="262"/>
      <c r="G482" s="262"/>
      <c r="H482" s="262"/>
      <c r="I482" s="262"/>
      <c r="J482" s="262"/>
      <c r="K482" s="262"/>
      <c r="L482" s="262"/>
      <c r="M482" s="262"/>
      <c r="N482" s="262"/>
      <c r="O482" s="262"/>
      <c r="P482" s="262"/>
      <c r="Q482" s="262"/>
      <c r="R482" s="262"/>
      <c r="S482" s="262"/>
      <c r="T482" s="363" t="s">
        <v>5406</v>
      </c>
      <c r="U482" s="264"/>
      <c r="V482" s="264"/>
      <c r="W482" s="264"/>
      <c r="X482" s="264"/>
      <c r="Y482" s="264"/>
      <c r="Z482" s="262"/>
      <c r="AA482" s="262"/>
      <c r="AB482" s="262"/>
      <c r="AC482" s="262"/>
      <c r="AD482" s="102"/>
      <c r="AE482" s="102"/>
      <c r="AF482" s="102"/>
      <c r="AG482" s="102"/>
      <c r="AH482" s="102"/>
      <c r="AI482" s="102"/>
      <c r="AJ482" s="102"/>
      <c r="AK482" s="102"/>
      <c r="AL482" s="102"/>
      <c r="AM482" s="102"/>
      <c r="AN482" s="102"/>
      <c r="AO482" s="102"/>
      <c r="AP482" s="102"/>
      <c r="AQ482" s="102"/>
      <c r="AR482" s="102"/>
      <c r="AS482" s="102"/>
      <c r="AT482" s="102"/>
    </row>
    <row r="483" ht="15.75" customHeight="1">
      <c r="A483" s="197" t="s">
        <v>227</v>
      </c>
      <c r="B483" s="93" t="s">
        <v>5407</v>
      </c>
      <c r="C483" s="93"/>
      <c r="D483" s="96"/>
      <c r="E483" s="96"/>
      <c r="F483" s="97"/>
      <c r="G483" s="97"/>
      <c r="H483" s="97"/>
      <c r="I483" s="97"/>
      <c r="J483" s="98" t="s">
        <v>3246</v>
      </c>
      <c r="K483" s="97"/>
      <c r="L483" s="97"/>
      <c r="M483" s="98"/>
      <c r="N483" s="98"/>
      <c r="O483" s="98"/>
      <c r="P483" s="97"/>
      <c r="Q483" s="97"/>
      <c r="R483" s="97"/>
      <c r="S483" s="97"/>
      <c r="T483" s="97"/>
      <c r="U483" s="97"/>
      <c r="V483" s="97"/>
      <c r="W483" s="97"/>
      <c r="X483" s="97"/>
      <c r="Y483" s="97"/>
      <c r="Z483" s="97"/>
      <c r="AA483" s="97"/>
      <c r="AB483" s="97"/>
      <c r="AC483" s="97"/>
      <c r="AD483" s="102"/>
      <c r="AE483" s="102"/>
      <c r="AF483" s="102"/>
      <c r="AG483" s="102"/>
      <c r="AH483" s="102"/>
      <c r="AI483" s="102"/>
      <c r="AJ483" s="102"/>
      <c r="AK483" s="102"/>
      <c r="AL483" s="102"/>
      <c r="AM483" s="102"/>
      <c r="AN483" s="102"/>
      <c r="AO483" s="102"/>
      <c r="AP483" s="102"/>
      <c r="AQ483" s="102"/>
      <c r="AR483" s="102"/>
      <c r="AS483" s="102"/>
      <c r="AT483" s="102"/>
    </row>
    <row r="484" ht="15.75" customHeight="1">
      <c r="A484" s="409" t="s">
        <v>446</v>
      </c>
      <c r="B484" s="410" t="s">
        <v>2731</v>
      </c>
      <c r="C484" s="77" t="s">
        <v>2740</v>
      </c>
      <c r="D484" s="77" t="s">
        <v>2741</v>
      </c>
      <c r="E484" s="77" t="s">
        <v>2744</v>
      </c>
      <c r="F484" s="77"/>
      <c r="G484" s="77"/>
      <c r="H484" s="77"/>
      <c r="I484" s="411"/>
      <c r="J484" s="411"/>
      <c r="K484" s="412"/>
      <c r="L484" s="412"/>
      <c r="M484" s="411"/>
      <c r="N484" s="411"/>
      <c r="O484" s="411"/>
      <c r="P484" s="411"/>
      <c r="Q484" s="411" t="s">
        <v>268</v>
      </c>
      <c r="R484" s="411"/>
      <c r="S484" s="411"/>
      <c r="T484" s="411"/>
      <c r="U484" s="411"/>
      <c r="V484" s="411"/>
      <c r="W484" s="411"/>
      <c r="X484" s="411"/>
      <c r="Y484" s="411"/>
      <c r="Z484" s="411"/>
      <c r="AA484" s="411"/>
      <c r="AB484" s="411"/>
      <c r="AC484" s="411"/>
      <c r="AD484" s="102"/>
      <c r="AE484" s="102"/>
      <c r="AF484" s="102"/>
      <c r="AG484" s="102"/>
      <c r="AH484" s="102"/>
      <c r="AI484" s="102"/>
      <c r="AJ484" s="102"/>
      <c r="AK484" s="102"/>
      <c r="AL484" s="102"/>
      <c r="AM484" s="102"/>
      <c r="AN484" s="102"/>
      <c r="AO484" s="102"/>
      <c r="AP484" s="102"/>
      <c r="AQ484" s="102"/>
      <c r="AR484" s="102"/>
      <c r="AS484" s="102"/>
      <c r="AT484" s="102"/>
    </row>
    <row r="485" ht="15.75" customHeight="1">
      <c r="A485" s="206" t="s">
        <v>2746</v>
      </c>
      <c r="B485" s="245" t="s">
        <v>2747</v>
      </c>
      <c r="C485" s="77" t="s">
        <v>2753</v>
      </c>
      <c r="D485" s="77" t="s">
        <v>2754</v>
      </c>
      <c r="E485" s="77" t="s">
        <v>2755</v>
      </c>
      <c r="F485" s="77"/>
      <c r="G485" s="77"/>
      <c r="H485" s="77"/>
      <c r="I485" s="208"/>
      <c r="J485" s="212"/>
      <c r="K485" s="208"/>
      <c r="L485" s="208"/>
      <c r="M485" s="208"/>
      <c r="N485" s="208"/>
      <c r="O485" s="208"/>
      <c r="P485" s="208"/>
      <c r="Q485" s="208" t="s">
        <v>268</v>
      </c>
      <c r="R485" s="208"/>
      <c r="S485" s="208"/>
      <c r="T485" s="208"/>
      <c r="U485" s="208"/>
      <c r="V485" s="208"/>
      <c r="W485" s="208"/>
      <c r="X485" s="208"/>
      <c r="Y485" s="208"/>
      <c r="Z485" s="208"/>
      <c r="AA485" s="208"/>
      <c r="AB485" s="208"/>
      <c r="AC485" s="208"/>
      <c r="AD485" s="102"/>
      <c r="AE485" s="102"/>
      <c r="AF485" s="102"/>
      <c r="AG485" s="102"/>
      <c r="AH485" s="102"/>
      <c r="AI485" s="102"/>
      <c r="AJ485" s="102"/>
      <c r="AK485" s="102"/>
      <c r="AL485" s="102"/>
      <c r="AM485" s="102"/>
      <c r="AN485" s="102"/>
      <c r="AO485" s="102"/>
      <c r="AP485" s="102"/>
      <c r="AQ485" s="102"/>
      <c r="AR485" s="102"/>
      <c r="AS485" s="102"/>
      <c r="AT485" s="102"/>
    </row>
    <row r="486" ht="15.75" customHeight="1">
      <c r="A486" s="197" t="s">
        <v>735</v>
      </c>
      <c r="B486" s="96" t="s">
        <v>5407</v>
      </c>
      <c r="C486" s="96"/>
      <c r="D486" s="96"/>
      <c r="E486" s="96"/>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102"/>
      <c r="AE486" s="102"/>
      <c r="AF486" s="102"/>
      <c r="AG486" s="102"/>
      <c r="AH486" s="102"/>
      <c r="AI486" s="102"/>
      <c r="AJ486" s="102"/>
      <c r="AK486" s="102"/>
      <c r="AL486" s="102"/>
      <c r="AM486" s="102"/>
      <c r="AN486" s="102"/>
      <c r="AO486" s="102"/>
      <c r="AP486" s="102"/>
      <c r="AQ486" s="102"/>
      <c r="AR486" s="102"/>
      <c r="AS486" s="102"/>
      <c r="AT486" s="102"/>
    </row>
    <row r="487" ht="15.75" customHeight="1">
      <c r="A487" s="214" t="s">
        <v>299</v>
      </c>
      <c r="B487" s="246" t="s">
        <v>2765</v>
      </c>
      <c r="C487" s="77" t="s">
        <v>2768</v>
      </c>
      <c r="D487" s="77" t="s">
        <v>2769</v>
      </c>
      <c r="E487" s="77" t="s">
        <v>2770</v>
      </c>
      <c r="F487" s="77"/>
      <c r="G487" s="77"/>
      <c r="H487" s="77"/>
      <c r="I487" s="216"/>
      <c r="J487" s="217"/>
      <c r="K487" s="216"/>
      <c r="L487" s="216"/>
      <c r="M487" s="216"/>
      <c r="N487" s="216"/>
      <c r="O487" s="229" t="s">
        <v>5408</v>
      </c>
      <c r="P487" s="216"/>
      <c r="Q487" s="216" t="s">
        <v>268</v>
      </c>
      <c r="R487" s="216"/>
      <c r="S487" s="216"/>
      <c r="T487" s="216"/>
      <c r="U487" s="216"/>
      <c r="V487" s="216"/>
      <c r="W487" s="216"/>
      <c r="X487" s="216"/>
      <c r="Y487" s="216"/>
      <c r="Z487" s="216"/>
      <c r="AA487" s="216"/>
      <c r="AB487" s="216"/>
      <c r="AC487" s="216"/>
      <c r="AD487" s="102"/>
      <c r="AE487" s="102"/>
      <c r="AF487" s="102"/>
      <c r="AG487" s="102"/>
      <c r="AH487" s="102"/>
      <c r="AI487" s="102"/>
      <c r="AJ487" s="102"/>
      <c r="AK487" s="102"/>
      <c r="AL487" s="102"/>
      <c r="AM487" s="102"/>
      <c r="AN487" s="102"/>
      <c r="AO487" s="102"/>
      <c r="AP487" s="102"/>
      <c r="AQ487" s="102"/>
      <c r="AR487" s="102"/>
      <c r="AS487" s="102"/>
      <c r="AT487" s="102"/>
    </row>
    <row r="488" ht="15.75" customHeight="1">
      <c r="A488" s="259" t="s">
        <v>116</v>
      </c>
      <c r="B488" s="260" t="s">
        <v>5409</v>
      </c>
      <c r="C488" s="261" t="s">
        <v>5410</v>
      </c>
      <c r="D488" s="261"/>
      <c r="E488" s="261"/>
      <c r="F488" s="262"/>
      <c r="G488" s="262"/>
      <c r="H488" s="262"/>
      <c r="I488" s="262"/>
      <c r="J488" s="262"/>
      <c r="K488" s="262"/>
      <c r="L488" s="262"/>
      <c r="M488" s="262"/>
      <c r="N488" s="262"/>
      <c r="O488" s="262"/>
      <c r="P488" s="262"/>
      <c r="Q488" s="262" t="s">
        <v>268</v>
      </c>
      <c r="R488" s="262"/>
      <c r="S488" s="262"/>
      <c r="T488" s="363" t="s">
        <v>5411</v>
      </c>
      <c r="U488" s="264"/>
      <c r="V488" s="264"/>
      <c r="W488" s="264"/>
      <c r="X488" s="264"/>
      <c r="Y488" s="262"/>
      <c r="Z488" s="262"/>
      <c r="AA488" s="262"/>
      <c r="AB488" s="262"/>
      <c r="AC488" s="262"/>
      <c r="AD488" s="102"/>
      <c r="AE488" s="102"/>
      <c r="AF488" s="102"/>
      <c r="AG488" s="102"/>
      <c r="AH488" s="102"/>
      <c r="AI488" s="102"/>
      <c r="AJ488" s="102"/>
      <c r="AK488" s="102"/>
      <c r="AL488" s="102"/>
      <c r="AM488" s="102"/>
      <c r="AN488" s="102"/>
      <c r="AO488" s="102"/>
      <c r="AP488" s="102"/>
      <c r="AQ488" s="102"/>
      <c r="AR488" s="102"/>
      <c r="AS488" s="102"/>
      <c r="AT488" s="102"/>
    </row>
    <row r="489" ht="15.75" customHeight="1">
      <c r="A489" s="409" t="s">
        <v>446</v>
      </c>
      <c r="B489" s="410" t="s">
        <v>2774</v>
      </c>
      <c r="C489" s="77" t="s">
        <v>2780</v>
      </c>
      <c r="D489" s="77" t="s">
        <v>2781</v>
      </c>
      <c r="E489" s="77" t="s">
        <v>2783</v>
      </c>
      <c r="F489" s="77"/>
      <c r="G489" s="77"/>
      <c r="H489" s="77"/>
      <c r="I489" s="411"/>
      <c r="J489" s="411"/>
      <c r="K489" s="413" t="s">
        <v>5412</v>
      </c>
      <c r="L489" s="412"/>
      <c r="M489" s="411"/>
      <c r="N489" s="411"/>
      <c r="O489" s="411"/>
      <c r="P489" s="411"/>
      <c r="Q489" s="411" t="s">
        <v>268</v>
      </c>
      <c r="R489" s="411"/>
      <c r="S489" s="411"/>
      <c r="T489" s="411"/>
      <c r="U489" s="411"/>
      <c r="V489" s="411"/>
      <c r="W489" s="411"/>
      <c r="X489" s="411"/>
      <c r="Y489" s="411"/>
      <c r="Z489" s="411"/>
      <c r="AA489" s="411"/>
      <c r="AB489" s="411"/>
      <c r="AC489" s="411"/>
      <c r="AD489" s="102"/>
      <c r="AE489" s="102"/>
      <c r="AF489" s="102"/>
      <c r="AG489" s="102"/>
      <c r="AH489" s="102"/>
      <c r="AI489" s="102"/>
      <c r="AJ489" s="102"/>
      <c r="AK489" s="102"/>
      <c r="AL489" s="102"/>
      <c r="AM489" s="102"/>
      <c r="AN489" s="102"/>
      <c r="AO489" s="102"/>
      <c r="AP489" s="102"/>
      <c r="AQ489" s="102"/>
      <c r="AR489" s="102"/>
      <c r="AS489" s="102"/>
      <c r="AT489" s="102"/>
    </row>
    <row r="490" ht="15.75" customHeight="1">
      <c r="A490" s="265" t="s">
        <v>396</v>
      </c>
      <c r="B490" s="266" t="s">
        <v>2788</v>
      </c>
      <c r="C490" s="77" t="s">
        <v>2795</v>
      </c>
      <c r="D490" s="77" t="s">
        <v>2796</v>
      </c>
      <c r="E490" s="77" t="s">
        <v>2797</v>
      </c>
      <c r="F490" s="77"/>
      <c r="G490" s="77"/>
      <c r="H490" s="77"/>
      <c r="I490" s="267"/>
      <c r="J490" s="267"/>
      <c r="K490" s="268"/>
      <c r="L490" s="268"/>
      <c r="M490" s="267"/>
      <c r="N490" s="267"/>
      <c r="O490" s="267" t="s">
        <v>5413</v>
      </c>
      <c r="P490" s="267"/>
      <c r="Q490" s="267" t="s">
        <v>268</v>
      </c>
      <c r="R490" s="267"/>
      <c r="S490" s="267"/>
      <c r="T490" s="267"/>
      <c r="U490" s="267"/>
      <c r="V490" s="267"/>
      <c r="W490" s="267"/>
      <c r="X490" s="267"/>
      <c r="Y490" s="267"/>
      <c r="Z490" s="267"/>
      <c r="AA490" s="267"/>
      <c r="AB490" s="267"/>
      <c r="AC490" s="267"/>
      <c r="AD490" s="102"/>
      <c r="AE490" s="102"/>
      <c r="AF490" s="102"/>
      <c r="AG490" s="102"/>
      <c r="AH490" s="102"/>
      <c r="AI490" s="102"/>
      <c r="AJ490" s="102"/>
      <c r="AK490" s="102"/>
      <c r="AL490" s="102"/>
      <c r="AM490" s="102"/>
      <c r="AN490" s="102"/>
      <c r="AO490" s="102"/>
      <c r="AP490" s="102"/>
      <c r="AQ490" s="102"/>
      <c r="AR490" s="102"/>
      <c r="AS490" s="102"/>
      <c r="AT490" s="102"/>
    </row>
    <row r="491" ht="15.75" customHeight="1">
      <c r="A491" s="409" t="s">
        <v>446</v>
      </c>
      <c r="B491" s="410" t="s">
        <v>2799</v>
      </c>
      <c r="C491" s="77" t="s">
        <v>2804</v>
      </c>
      <c r="D491" s="77" t="s">
        <v>2806</v>
      </c>
      <c r="E491" s="77" t="s">
        <v>2807</v>
      </c>
      <c r="F491" s="77"/>
      <c r="G491" s="77"/>
      <c r="H491" s="77"/>
      <c r="I491" s="411"/>
      <c r="J491" s="411"/>
      <c r="K491" s="413" t="s">
        <v>5412</v>
      </c>
      <c r="L491" s="412"/>
      <c r="M491" s="411"/>
      <c r="N491" s="411"/>
      <c r="O491" s="411"/>
      <c r="P491" s="411"/>
      <c r="Q491" s="411" t="s">
        <v>268</v>
      </c>
      <c r="R491" s="411"/>
      <c r="S491" s="411"/>
      <c r="T491" s="411"/>
      <c r="U491" s="411"/>
      <c r="V491" s="411"/>
      <c r="W491" s="411"/>
      <c r="X491" s="411"/>
      <c r="Y491" s="411"/>
      <c r="Z491" s="411"/>
      <c r="AA491" s="411"/>
      <c r="AB491" s="411"/>
      <c r="AC491" s="411"/>
      <c r="AD491" s="102"/>
      <c r="AE491" s="102"/>
      <c r="AF491" s="102"/>
      <c r="AG491" s="102"/>
      <c r="AH491" s="102"/>
      <c r="AI491" s="102"/>
      <c r="AJ491" s="102"/>
      <c r="AK491" s="102"/>
      <c r="AL491" s="102"/>
      <c r="AM491" s="102"/>
      <c r="AN491" s="102"/>
      <c r="AO491" s="102"/>
      <c r="AP491" s="102"/>
      <c r="AQ491" s="102"/>
      <c r="AR491" s="102"/>
      <c r="AS491" s="102"/>
      <c r="AT491" s="102"/>
    </row>
    <row r="492" ht="15.75" customHeight="1">
      <c r="A492" s="414" t="s">
        <v>116</v>
      </c>
      <c r="B492" s="410" t="s">
        <v>5414</v>
      </c>
      <c r="C492" s="261"/>
      <c r="D492" s="261"/>
      <c r="E492" s="261"/>
      <c r="F492" s="262"/>
      <c r="G492" s="262"/>
      <c r="H492" s="262"/>
      <c r="I492" s="262"/>
      <c r="J492" s="262"/>
      <c r="K492" s="264"/>
      <c r="L492" s="262"/>
      <c r="M492" s="262"/>
      <c r="N492" s="262"/>
      <c r="O492" s="262"/>
      <c r="P492" s="262"/>
      <c r="Q492" s="262"/>
      <c r="R492" s="262"/>
      <c r="S492" s="262"/>
      <c r="T492" s="171" t="s">
        <v>5415</v>
      </c>
      <c r="U492" s="262"/>
      <c r="V492" s="262"/>
      <c r="W492" s="262"/>
      <c r="X492" s="262"/>
      <c r="Y492" s="262"/>
      <c r="Z492" s="262"/>
      <c r="AA492" s="262"/>
      <c r="AB492" s="262"/>
      <c r="AC492" s="262"/>
      <c r="AD492" s="102"/>
      <c r="AE492" s="102"/>
      <c r="AF492" s="102"/>
      <c r="AG492" s="102"/>
      <c r="AH492" s="102"/>
      <c r="AI492" s="102"/>
      <c r="AJ492" s="102"/>
      <c r="AK492" s="102"/>
      <c r="AL492" s="102"/>
      <c r="AM492" s="102"/>
      <c r="AN492" s="102"/>
      <c r="AO492" s="102"/>
      <c r="AP492" s="102"/>
      <c r="AQ492" s="102"/>
      <c r="AR492" s="102"/>
      <c r="AS492" s="102"/>
      <c r="AT492" s="102"/>
    </row>
    <row r="493" ht="15.75" customHeight="1">
      <c r="A493" s="414" t="s">
        <v>42</v>
      </c>
      <c r="B493" s="415" t="s">
        <v>2814</v>
      </c>
      <c r="C493" s="77" t="s">
        <v>2819</v>
      </c>
      <c r="D493" s="77" t="s">
        <v>2820</v>
      </c>
      <c r="E493" s="77" t="s">
        <v>2821</v>
      </c>
      <c r="F493" s="77"/>
      <c r="G493" s="77"/>
      <c r="H493" s="77"/>
      <c r="I493" s="262"/>
      <c r="J493" s="262"/>
      <c r="K493" s="264"/>
      <c r="L493" s="262"/>
      <c r="M493" s="262"/>
      <c r="N493" s="262"/>
      <c r="O493" s="416" t="s">
        <v>5416</v>
      </c>
      <c r="P493" s="262"/>
      <c r="Q493" s="416" t="s">
        <v>268</v>
      </c>
      <c r="R493" s="262"/>
      <c r="S493" s="262"/>
      <c r="T493" s="363"/>
      <c r="U493" s="262"/>
      <c r="V493" s="262"/>
      <c r="W493" s="262"/>
      <c r="X493" s="262"/>
      <c r="Y493" s="262"/>
      <c r="Z493" s="262"/>
      <c r="AA493" s="262"/>
      <c r="AB493" s="262"/>
      <c r="AC493" s="262"/>
      <c r="AD493" s="102"/>
      <c r="AE493" s="102"/>
      <c r="AF493" s="102"/>
      <c r="AG493" s="102"/>
      <c r="AH493" s="102"/>
      <c r="AI493" s="102"/>
      <c r="AJ493" s="102"/>
      <c r="AK493" s="102"/>
      <c r="AL493" s="102"/>
      <c r="AM493" s="102"/>
      <c r="AN493" s="102"/>
      <c r="AO493" s="102"/>
      <c r="AP493" s="102"/>
      <c r="AQ493" s="102"/>
      <c r="AR493" s="102"/>
      <c r="AS493" s="102"/>
      <c r="AT493" s="102"/>
    </row>
    <row r="494" ht="15.75" customHeight="1">
      <c r="A494" s="414" t="s">
        <v>277</v>
      </c>
      <c r="B494" s="415" t="s">
        <v>2823</v>
      </c>
      <c r="C494" s="77" t="s">
        <v>2829</v>
      </c>
      <c r="D494" s="77" t="s">
        <v>2830</v>
      </c>
      <c r="E494" s="77" t="s">
        <v>2832</v>
      </c>
      <c r="F494" s="77"/>
      <c r="G494" s="77"/>
      <c r="H494" s="77"/>
      <c r="I494" s="262"/>
      <c r="J494" s="262"/>
      <c r="K494" s="264"/>
      <c r="L494" s="262"/>
      <c r="M494" s="262"/>
      <c r="N494" s="262"/>
      <c r="O494" s="416" t="s">
        <v>5417</v>
      </c>
      <c r="P494" s="262"/>
      <c r="Q494" s="416" t="s">
        <v>268</v>
      </c>
      <c r="R494" s="262"/>
      <c r="S494" s="262"/>
      <c r="T494" s="363"/>
      <c r="U494" s="262"/>
      <c r="V494" s="262"/>
      <c r="W494" s="262"/>
      <c r="X494" s="262"/>
      <c r="Y494" s="262"/>
      <c r="Z494" s="262"/>
      <c r="AA494" s="262"/>
      <c r="AB494" s="262"/>
      <c r="AC494" s="262"/>
      <c r="AD494" s="102"/>
      <c r="AE494" s="102"/>
      <c r="AF494" s="102"/>
      <c r="AG494" s="102"/>
      <c r="AH494" s="102"/>
      <c r="AI494" s="102"/>
      <c r="AJ494" s="102"/>
      <c r="AK494" s="102"/>
      <c r="AL494" s="102"/>
      <c r="AM494" s="102"/>
      <c r="AN494" s="102"/>
      <c r="AO494" s="102"/>
      <c r="AP494" s="102"/>
      <c r="AQ494" s="102"/>
      <c r="AR494" s="102"/>
      <c r="AS494" s="102"/>
      <c r="AT494" s="102"/>
    </row>
    <row r="495" ht="15.75" customHeight="1">
      <c r="A495" s="259" t="s">
        <v>116</v>
      </c>
      <c r="B495" s="260" t="s">
        <v>5418</v>
      </c>
      <c r="C495" s="261"/>
      <c r="D495" s="261"/>
      <c r="E495" s="261"/>
      <c r="F495" s="262"/>
      <c r="G495" s="262"/>
      <c r="H495" s="262"/>
      <c r="I495" s="262"/>
      <c r="J495" s="262"/>
      <c r="K495" s="262"/>
      <c r="L495" s="262"/>
      <c r="M495" s="262"/>
      <c r="N495" s="262"/>
      <c r="O495" s="262"/>
      <c r="P495" s="262"/>
      <c r="Q495" s="262"/>
      <c r="R495" s="262"/>
      <c r="S495" s="262"/>
      <c r="T495" s="363" t="s">
        <v>5419</v>
      </c>
      <c r="U495" s="262"/>
      <c r="V495" s="262"/>
      <c r="W495" s="262"/>
      <c r="X495" s="262"/>
      <c r="Y495" s="262"/>
      <c r="Z495" s="262"/>
      <c r="AA495" s="262"/>
      <c r="AB495" s="262"/>
      <c r="AC495" s="262"/>
      <c r="AD495" s="102"/>
      <c r="AE495" s="102"/>
      <c r="AF495" s="102"/>
      <c r="AG495" s="102"/>
      <c r="AH495" s="102"/>
      <c r="AI495" s="102"/>
      <c r="AJ495" s="102"/>
      <c r="AK495" s="102"/>
      <c r="AL495" s="102"/>
      <c r="AM495" s="102"/>
      <c r="AN495" s="102"/>
      <c r="AO495" s="102"/>
      <c r="AP495" s="102"/>
      <c r="AQ495" s="102"/>
      <c r="AR495" s="102"/>
      <c r="AS495" s="102"/>
      <c r="AT495" s="102"/>
    </row>
    <row r="496" ht="15.75" customHeight="1">
      <c r="A496" s="249" t="s">
        <v>2336</v>
      </c>
      <c r="B496" s="251" t="s">
        <v>5396</v>
      </c>
      <c r="C496" s="251" t="s">
        <v>5420</v>
      </c>
      <c r="D496" s="251" t="s">
        <v>5421</v>
      </c>
      <c r="E496" s="251" t="s">
        <v>5422</v>
      </c>
      <c r="F496" s="252"/>
      <c r="G496" s="252"/>
      <c r="H496" s="252"/>
      <c r="I496" s="252"/>
      <c r="J496" s="252"/>
      <c r="K496" s="252"/>
      <c r="L496" s="252"/>
      <c r="M496" s="252"/>
      <c r="N496" s="252"/>
      <c r="O496" s="252"/>
      <c r="P496" s="252"/>
      <c r="Q496" s="252"/>
      <c r="R496" s="252"/>
      <c r="S496" s="252"/>
      <c r="T496" s="252"/>
      <c r="U496" s="252"/>
      <c r="V496" s="252"/>
      <c r="W496" s="252"/>
      <c r="X496" s="252"/>
      <c r="Y496" s="252"/>
      <c r="Z496" s="252"/>
      <c r="AA496" s="252"/>
      <c r="AB496" s="252"/>
      <c r="AC496" s="252"/>
      <c r="AD496" s="102"/>
      <c r="AE496" s="102"/>
      <c r="AF496" s="102"/>
      <c r="AG496" s="102"/>
      <c r="AH496" s="102"/>
      <c r="AI496" s="102"/>
      <c r="AJ496" s="102"/>
      <c r="AK496" s="102"/>
      <c r="AL496" s="102"/>
      <c r="AM496" s="102"/>
      <c r="AN496" s="102"/>
      <c r="AO496" s="102"/>
      <c r="AP496" s="102"/>
      <c r="AQ496" s="102"/>
      <c r="AR496" s="102"/>
      <c r="AS496" s="102"/>
      <c r="AT496" s="102"/>
    </row>
    <row r="497">
      <c r="A497" s="417"/>
      <c r="B497" s="417"/>
      <c r="C497" s="417"/>
      <c r="D497" s="417"/>
      <c r="E497" s="417"/>
      <c r="F497" s="417"/>
      <c r="G497" s="417"/>
      <c r="H497" s="417"/>
      <c r="I497" s="417"/>
      <c r="J497" s="417"/>
      <c r="K497" s="417"/>
      <c r="L497" s="417"/>
      <c r="M497" s="417"/>
      <c r="N497" s="417"/>
      <c r="O497" s="417"/>
      <c r="P497" s="417"/>
      <c r="Q497" s="417"/>
      <c r="R497" s="417"/>
      <c r="S497" s="417"/>
      <c r="T497" s="417"/>
      <c r="U497" s="417"/>
      <c r="V497" s="417"/>
      <c r="W497" s="417"/>
      <c r="X497" s="417"/>
      <c r="Y497" s="417"/>
      <c r="Z497" s="417"/>
      <c r="AA497" s="417"/>
      <c r="AB497" s="417"/>
      <c r="AC497" s="417"/>
      <c r="AD497" s="417"/>
      <c r="AE497" s="417"/>
      <c r="AF497" s="417"/>
      <c r="AG497" s="417"/>
      <c r="AH497" s="417"/>
      <c r="AI497" s="417"/>
      <c r="AJ497" s="417"/>
      <c r="AK497" s="417"/>
      <c r="AL497" s="417"/>
      <c r="AM497" s="417"/>
      <c r="AN497" s="417"/>
      <c r="AO497" s="417"/>
      <c r="AP497" s="417"/>
      <c r="AQ497" s="417"/>
      <c r="AR497" s="417"/>
      <c r="AS497" s="417"/>
      <c r="AT497" s="417"/>
    </row>
    <row r="498" ht="15.75" customHeight="1">
      <c r="A498" s="197" t="s">
        <v>227</v>
      </c>
      <c r="B498" s="418" t="s">
        <v>5423</v>
      </c>
      <c r="C498" s="93" t="s">
        <v>5424</v>
      </c>
      <c r="D498" s="96" t="s">
        <v>5425</v>
      </c>
      <c r="E498" s="96" t="s">
        <v>5426</v>
      </c>
      <c r="F498" s="97"/>
      <c r="G498" s="97"/>
      <c r="H498" s="97"/>
      <c r="I498" s="97"/>
      <c r="J498" s="98" t="s">
        <v>3246</v>
      </c>
      <c r="K498" s="97"/>
      <c r="L498" s="97"/>
      <c r="M498" s="98"/>
      <c r="N498" s="98"/>
      <c r="O498" s="98"/>
      <c r="P498" s="97"/>
      <c r="Q498" s="97"/>
      <c r="R498" s="97"/>
      <c r="S498" s="97"/>
      <c r="T498" s="97"/>
      <c r="U498" s="97"/>
      <c r="V498" s="97"/>
      <c r="W498" s="97"/>
      <c r="X498" s="97"/>
      <c r="Y498" s="97"/>
      <c r="Z498" s="97"/>
      <c r="AA498" s="97"/>
      <c r="AB498" s="97"/>
      <c r="AC498" s="170"/>
      <c r="AD498" s="102"/>
      <c r="AE498" s="102"/>
      <c r="AF498" s="102"/>
      <c r="AG498" s="102"/>
      <c r="AH498" s="102"/>
      <c r="AI498" s="102"/>
      <c r="AJ498" s="102"/>
      <c r="AK498" s="102"/>
      <c r="AL498" s="102"/>
      <c r="AM498" s="102"/>
      <c r="AN498" s="102"/>
      <c r="AO498" s="102"/>
      <c r="AP498" s="102"/>
      <c r="AQ498" s="102"/>
      <c r="AR498" s="102"/>
      <c r="AS498" s="102"/>
      <c r="AT498" s="102"/>
    </row>
    <row r="499" ht="15.75" customHeight="1">
      <c r="A499" s="198" t="s">
        <v>42</v>
      </c>
      <c r="B499" s="419" t="s">
        <v>2850</v>
      </c>
      <c r="C499" s="77" t="s">
        <v>2858</v>
      </c>
      <c r="D499" s="77" t="s">
        <v>2860</v>
      </c>
      <c r="E499" s="77" t="s">
        <v>2861</v>
      </c>
      <c r="F499" s="77"/>
      <c r="G499" s="77"/>
      <c r="H499" s="77"/>
      <c r="I499" s="200"/>
      <c r="J499" s="200" t="s">
        <v>10</v>
      </c>
      <c r="K499" s="200"/>
      <c r="L499" s="200"/>
      <c r="M499" s="200"/>
      <c r="N499" s="200"/>
      <c r="O499" s="200"/>
      <c r="P499" s="200"/>
      <c r="Q499" s="200"/>
      <c r="R499" s="200"/>
      <c r="S499" s="200"/>
      <c r="T499" s="200"/>
      <c r="U499" s="200"/>
      <c r="V499" s="200"/>
      <c r="W499" s="200"/>
      <c r="X499" s="200"/>
      <c r="Y499" s="200"/>
      <c r="Z499" s="200"/>
      <c r="AA499" s="200"/>
      <c r="AB499" s="200"/>
      <c r="AC499" s="288"/>
      <c r="AD499" s="102"/>
      <c r="AE499" s="102"/>
      <c r="AF499" s="102"/>
      <c r="AG499" s="102"/>
      <c r="AH499" s="102"/>
      <c r="AI499" s="102"/>
      <c r="AJ499" s="102"/>
      <c r="AK499" s="102"/>
      <c r="AL499" s="102"/>
      <c r="AM499" s="102"/>
      <c r="AN499" s="102"/>
      <c r="AO499" s="102"/>
      <c r="AP499" s="102"/>
      <c r="AQ499" s="102"/>
      <c r="AR499" s="102"/>
      <c r="AS499" s="102"/>
      <c r="AT499" s="102"/>
    </row>
    <row r="500" ht="15.75" customHeight="1">
      <c r="A500" s="265" t="s">
        <v>396</v>
      </c>
      <c r="B500" s="420" t="s">
        <v>2863</v>
      </c>
      <c r="C500" s="77" t="s">
        <v>2870</v>
      </c>
      <c r="D500" s="77" t="s">
        <v>2871</v>
      </c>
      <c r="E500" s="77" t="s">
        <v>2872</v>
      </c>
      <c r="F500" s="77"/>
      <c r="G500" s="77"/>
      <c r="H500" s="77"/>
      <c r="I500" s="267"/>
      <c r="J500" s="267" t="s">
        <v>3286</v>
      </c>
      <c r="K500" s="268"/>
      <c r="L500" s="268"/>
      <c r="M500" s="267"/>
      <c r="N500" s="267"/>
      <c r="O500" s="267"/>
      <c r="P500" s="294"/>
      <c r="Q500" s="267" t="s">
        <v>268</v>
      </c>
      <c r="R500" s="267"/>
      <c r="S500" s="267"/>
      <c r="T500" s="267"/>
      <c r="U500" s="267"/>
      <c r="V500" s="267"/>
      <c r="W500" s="267"/>
      <c r="X500" s="267"/>
      <c r="Y500" s="267"/>
      <c r="Z500" s="267"/>
      <c r="AA500" s="267"/>
      <c r="AB500" s="267"/>
      <c r="AC500" s="294"/>
      <c r="AD500" s="102"/>
      <c r="AE500" s="102"/>
      <c r="AF500" s="102"/>
      <c r="AG500" s="102"/>
      <c r="AH500" s="102"/>
      <c r="AI500" s="102"/>
      <c r="AJ500" s="102"/>
      <c r="AK500" s="102"/>
      <c r="AL500" s="102"/>
      <c r="AM500" s="102"/>
      <c r="AN500" s="102"/>
      <c r="AO500" s="102"/>
      <c r="AP500" s="102"/>
      <c r="AQ500" s="102"/>
      <c r="AR500" s="102"/>
      <c r="AS500" s="102"/>
      <c r="AT500" s="102"/>
    </row>
    <row r="501" ht="15.75" customHeight="1">
      <c r="A501" s="265" t="s">
        <v>396</v>
      </c>
      <c r="B501" s="420" t="s">
        <v>2874</v>
      </c>
      <c r="C501" s="77" t="s">
        <v>2876</v>
      </c>
      <c r="D501" s="77" t="s">
        <v>2877</v>
      </c>
      <c r="E501" s="77" t="s">
        <v>2880</v>
      </c>
      <c r="F501" s="77"/>
      <c r="G501" s="77"/>
      <c r="H501" s="77"/>
      <c r="I501" s="267"/>
      <c r="J501" s="267" t="s">
        <v>3286</v>
      </c>
      <c r="K501" s="268"/>
      <c r="L501" s="268"/>
      <c r="M501" s="267"/>
      <c r="N501" s="267"/>
      <c r="O501" s="267"/>
      <c r="P501" s="294"/>
      <c r="Q501" s="267" t="s">
        <v>268</v>
      </c>
      <c r="R501" s="267"/>
      <c r="S501" s="267"/>
      <c r="T501" s="267"/>
      <c r="U501" s="267"/>
      <c r="V501" s="267"/>
      <c r="W501" s="267"/>
      <c r="X501" s="267"/>
      <c r="Y501" s="267"/>
      <c r="Z501" s="267"/>
      <c r="AA501" s="267"/>
      <c r="AB501" s="267"/>
      <c r="AC501" s="294"/>
      <c r="AD501" s="102"/>
      <c r="AE501" s="102"/>
      <c r="AF501" s="102"/>
      <c r="AG501" s="102"/>
      <c r="AH501" s="102"/>
      <c r="AI501" s="102"/>
      <c r="AJ501" s="102"/>
      <c r="AK501" s="102"/>
      <c r="AL501" s="102"/>
      <c r="AM501" s="102"/>
      <c r="AN501" s="102"/>
      <c r="AO501" s="102"/>
      <c r="AP501" s="102"/>
      <c r="AQ501" s="102"/>
      <c r="AR501" s="102"/>
      <c r="AS501" s="102"/>
      <c r="AT501" s="102"/>
    </row>
    <row r="502" ht="15.75" customHeight="1">
      <c r="A502" s="265" t="s">
        <v>396</v>
      </c>
      <c r="B502" s="420" t="s">
        <v>2881</v>
      </c>
      <c r="C502" s="77" t="s">
        <v>2886</v>
      </c>
      <c r="D502" s="77" t="s">
        <v>2887</v>
      </c>
      <c r="E502" s="77" t="s">
        <v>2888</v>
      </c>
      <c r="F502" s="77"/>
      <c r="G502" s="77"/>
      <c r="H502" s="77"/>
      <c r="I502" s="267"/>
      <c r="J502" s="267" t="s">
        <v>3286</v>
      </c>
      <c r="K502" s="268"/>
      <c r="L502" s="268"/>
      <c r="M502" s="267"/>
      <c r="N502" s="267"/>
      <c r="O502" s="267"/>
      <c r="P502" s="294"/>
      <c r="Q502" s="267" t="s">
        <v>268</v>
      </c>
      <c r="R502" s="267"/>
      <c r="S502" s="267"/>
      <c r="T502" s="267"/>
      <c r="U502" s="267"/>
      <c r="V502" s="267"/>
      <c r="W502" s="267"/>
      <c r="X502" s="267"/>
      <c r="Y502" s="267"/>
      <c r="Z502" s="267"/>
      <c r="AA502" s="267"/>
      <c r="AB502" s="267"/>
      <c r="AC502" s="294"/>
      <c r="AD502" s="102"/>
      <c r="AE502" s="102"/>
      <c r="AF502" s="102"/>
      <c r="AG502" s="102"/>
      <c r="AH502" s="102"/>
      <c r="AI502" s="102"/>
      <c r="AJ502" s="102"/>
      <c r="AK502" s="102"/>
      <c r="AL502" s="102"/>
      <c r="AM502" s="102"/>
      <c r="AN502" s="102"/>
      <c r="AO502" s="102"/>
      <c r="AP502" s="102"/>
      <c r="AQ502" s="102"/>
      <c r="AR502" s="102"/>
      <c r="AS502" s="102"/>
      <c r="AT502" s="102"/>
    </row>
    <row r="503" ht="15.75" customHeight="1">
      <c r="A503" s="265" t="s">
        <v>396</v>
      </c>
      <c r="B503" s="420" t="s">
        <v>2889</v>
      </c>
      <c r="C503" s="77" t="s">
        <v>2895</v>
      </c>
      <c r="D503" s="77" t="s">
        <v>2896</v>
      </c>
      <c r="E503" s="77" t="s">
        <v>2897</v>
      </c>
      <c r="F503" s="77"/>
      <c r="G503" s="77"/>
      <c r="H503" s="77"/>
      <c r="I503" s="267"/>
      <c r="J503" s="267" t="s">
        <v>3286</v>
      </c>
      <c r="K503" s="268"/>
      <c r="L503" s="268"/>
      <c r="M503" s="267"/>
      <c r="N503" s="267"/>
      <c r="O503" s="267"/>
      <c r="P503" s="294"/>
      <c r="Q503" s="267" t="s">
        <v>268</v>
      </c>
      <c r="R503" s="267"/>
      <c r="S503" s="267"/>
      <c r="T503" s="267"/>
      <c r="U503" s="267"/>
      <c r="V503" s="267"/>
      <c r="W503" s="267"/>
      <c r="X503" s="267"/>
      <c r="Y503" s="267"/>
      <c r="Z503" s="267"/>
      <c r="AA503" s="267"/>
      <c r="AB503" s="267"/>
      <c r="AC503" s="294"/>
      <c r="AD503" s="102"/>
      <c r="AE503" s="102"/>
      <c r="AF503" s="102"/>
      <c r="AG503" s="102"/>
      <c r="AH503" s="102"/>
      <c r="AI503" s="102"/>
      <c r="AJ503" s="102"/>
      <c r="AK503" s="102"/>
      <c r="AL503" s="102"/>
      <c r="AM503" s="102"/>
      <c r="AN503" s="102"/>
      <c r="AO503" s="102"/>
      <c r="AP503" s="102"/>
      <c r="AQ503" s="102"/>
      <c r="AR503" s="102"/>
      <c r="AS503" s="102"/>
      <c r="AT503" s="102"/>
    </row>
    <row r="504" ht="15.75" customHeight="1">
      <c r="A504" s="197" t="s">
        <v>735</v>
      </c>
      <c r="B504" s="168" t="s">
        <v>5423</v>
      </c>
      <c r="C504" s="96" t="s">
        <v>5424</v>
      </c>
      <c r="D504" s="96" t="s">
        <v>5427</v>
      </c>
      <c r="E504" s="96" t="s">
        <v>5428</v>
      </c>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170"/>
      <c r="AD504" s="102"/>
      <c r="AE504" s="102"/>
      <c r="AF504" s="102"/>
      <c r="AG504" s="102"/>
      <c r="AH504" s="102"/>
      <c r="AI504" s="102"/>
      <c r="AJ504" s="102"/>
      <c r="AK504" s="102"/>
      <c r="AL504" s="102"/>
      <c r="AM504" s="102"/>
      <c r="AN504" s="102"/>
      <c r="AO504" s="102"/>
      <c r="AP504" s="102"/>
      <c r="AQ504" s="102"/>
      <c r="AR504" s="102"/>
      <c r="AS504" s="102"/>
      <c r="AT504" s="102"/>
    </row>
    <row r="505" ht="15.75" customHeight="1">
      <c r="A505" s="142" t="s">
        <v>183</v>
      </c>
      <c r="B505" s="239" t="s">
        <v>5429</v>
      </c>
      <c r="C505" s="144"/>
      <c r="D505" s="144"/>
      <c r="E505" s="144"/>
      <c r="F505" s="145"/>
      <c r="G505" s="145"/>
      <c r="H505" s="145"/>
      <c r="I505" s="145"/>
      <c r="J505" s="145"/>
      <c r="K505" s="145"/>
      <c r="L505" s="145"/>
      <c r="M505" s="145"/>
      <c r="N505" s="145"/>
      <c r="O505" s="146"/>
      <c r="P505" s="146"/>
      <c r="Q505" s="146"/>
      <c r="R505" s="146"/>
      <c r="S505" s="145"/>
      <c r="T505" s="402" t="s">
        <v>211</v>
      </c>
      <c r="U505" s="146"/>
      <c r="V505" s="145"/>
      <c r="W505" s="145"/>
      <c r="X505" s="145"/>
      <c r="Y505" s="145"/>
      <c r="Z505" s="145"/>
      <c r="AA505" s="145"/>
      <c r="AB505" s="145"/>
      <c r="AC505" s="145"/>
      <c r="AD505" s="102"/>
      <c r="AE505" s="102"/>
      <c r="AF505" s="102"/>
      <c r="AG505" s="102"/>
      <c r="AH505" s="102"/>
      <c r="AI505" s="102"/>
      <c r="AJ505" s="102"/>
      <c r="AK505" s="102"/>
      <c r="AL505" s="102"/>
      <c r="AM505" s="102"/>
      <c r="AN505" s="102"/>
      <c r="AO505" s="102"/>
      <c r="AP505" s="102"/>
      <c r="AQ505" s="102"/>
      <c r="AR505" s="102"/>
      <c r="AS505" s="102"/>
      <c r="AT505" s="102"/>
    </row>
    <row r="506" ht="15.75" customHeight="1">
      <c r="A506" s="90" t="s">
        <v>116</v>
      </c>
      <c r="B506" s="91" t="s">
        <v>5430</v>
      </c>
      <c r="C506" s="93"/>
      <c r="D506" s="96"/>
      <c r="E506" s="96"/>
      <c r="F506" s="97"/>
      <c r="G506" s="97"/>
      <c r="H506" s="97"/>
      <c r="I506" s="98"/>
      <c r="J506" s="98"/>
      <c r="K506" s="97"/>
      <c r="L506" s="98"/>
      <c r="M506" s="98"/>
      <c r="N506" s="98"/>
      <c r="O506" s="236"/>
      <c r="P506" s="100"/>
      <c r="Q506" s="100"/>
      <c r="R506" s="100"/>
      <c r="S506" s="97"/>
      <c r="T506" s="238" t="s">
        <v>5431</v>
      </c>
      <c r="U506" s="97"/>
      <c r="V506" s="97"/>
      <c r="W506" s="97"/>
      <c r="X506" s="97"/>
      <c r="Y506" s="97"/>
      <c r="Z506" s="97"/>
      <c r="AA506" s="97"/>
      <c r="AB506" s="97"/>
      <c r="AC506" s="97"/>
      <c r="AD506" s="102"/>
      <c r="AE506" s="102"/>
      <c r="AF506" s="102"/>
      <c r="AG506" s="102"/>
      <c r="AH506" s="102"/>
      <c r="AI506" s="102"/>
      <c r="AJ506" s="102"/>
      <c r="AK506" s="102"/>
      <c r="AL506" s="102"/>
      <c r="AM506" s="102"/>
      <c r="AN506" s="102"/>
      <c r="AO506" s="102"/>
      <c r="AP506" s="102"/>
      <c r="AQ506" s="102"/>
      <c r="AR506" s="102"/>
      <c r="AS506" s="102"/>
      <c r="AT506" s="102"/>
    </row>
    <row r="507" ht="15.75" customHeight="1">
      <c r="A507" s="337"/>
      <c r="B507" s="408"/>
      <c r="C507" s="338"/>
      <c r="D507" s="339"/>
      <c r="E507" s="339"/>
      <c r="F507" s="339"/>
      <c r="G507" s="339"/>
      <c r="H507" s="339"/>
      <c r="I507" s="339"/>
      <c r="J507" s="339"/>
      <c r="K507" s="339"/>
      <c r="L507" s="339"/>
      <c r="M507" s="339"/>
      <c r="N507" s="339"/>
      <c r="O507" s="339"/>
      <c r="P507" s="339"/>
      <c r="Q507" s="339"/>
      <c r="R507" s="339"/>
      <c r="S507" s="339"/>
      <c r="T507" s="339"/>
      <c r="U507" s="339"/>
      <c r="V507" s="339"/>
      <c r="W507" s="339"/>
      <c r="X507" s="339"/>
      <c r="Y507" s="339"/>
      <c r="Z507" s="339"/>
      <c r="AA507" s="339"/>
      <c r="AB507" s="339"/>
      <c r="AC507" s="340"/>
      <c r="AD507" s="102"/>
      <c r="AE507" s="102"/>
      <c r="AF507" s="102"/>
      <c r="AG507" s="102"/>
      <c r="AH507" s="102"/>
      <c r="AI507" s="102"/>
      <c r="AJ507" s="102"/>
      <c r="AK507" s="102"/>
      <c r="AL507" s="102"/>
      <c r="AM507" s="102"/>
      <c r="AN507" s="102"/>
      <c r="AO507" s="102"/>
      <c r="AP507" s="102"/>
      <c r="AQ507" s="102"/>
      <c r="AR507" s="102"/>
      <c r="AS507" s="102"/>
      <c r="AT507" s="102"/>
    </row>
    <row r="508" ht="15.75" customHeight="1">
      <c r="A508" s="142" t="s">
        <v>183</v>
      </c>
      <c r="B508" s="239" t="s">
        <v>5432</v>
      </c>
      <c r="C508" s="144"/>
      <c r="D508" s="144"/>
      <c r="E508" s="144"/>
      <c r="F508" s="145"/>
      <c r="G508" s="145"/>
      <c r="H508" s="145"/>
      <c r="I508" s="145"/>
      <c r="J508" s="145"/>
      <c r="K508" s="145"/>
      <c r="L508" s="145"/>
      <c r="M508" s="145"/>
      <c r="N508" s="145"/>
      <c r="O508" s="146"/>
      <c r="P508" s="146"/>
      <c r="Q508" s="146"/>
      <c r="R508" s="146"/>
      <c r="S508" s="145"/>
      <c r="T508" s="402" t="s">
        <v>211</v>
      </c>
      <c r="U508" s="146"/>
      <c r="V508" s="145"/>
      <c r="W508" s="145"/>
      <c r="X508" s="145"/>
      <c r="Y508" s="145"/>
      <c r="Z508" s="145"/>
      <c r="AA508" s="145"/>
      <c r="AB508" s="145"/>
      <c r="AC508" s="145"/>
      <c r="AD508" s="102"/>
      <c r="AE508" s="102"/>
      <c r="AF508" s="102"/>
      <c r="AG508" s="102"/>
      <c r="AH508" s="102"/>
      <c r="AI508" s="102"/>
      <c r="AJ508" s="102"/>
      <c r="AK508" s="102"/>
      <c r="AL508" s="102"/>
      <c r="AM508" s="102"/>
      <c r="AN508" s="102"/>
      <c r="AO508" s="102"/>
      <c r="AP508" s="102"/>
      <c r="AQ508" s="102"/>
      <c r="AR508" s="102"/>
      <c r="AS508" s="102"/>
      <c r="AT508" s="102"/>
    </row>
    <row r="509" ht="15.75" customHeight="1">
      <c r="A509" s="198" t="s">
        <v>42</v>
      </c>
      <c r="B509" s="419" t="s">
        <v>2912</v>
      </c>
      <c r="C509" s="77" t="s">
        <v>2913</v>
      </c>
      <c r="D509" s="77" t="s">
        <v>2914</v>
      </c>
      <c r="E509" s="77" t="s">
        <v>2915</v>
      </c>
      <c r="F509" s="77"/>
      <c r="G509" s="77"/>
      <c r="H509" s="77"/>
      <c r="I509" s="200"/>
      <c r="J509" s="200"/>
      <c r="K509" s="200"/>
      <c r="L509" s="200"/>
      <c r="M509" s="200"/>
      <c r="N509" s="200"/>
      <c r="O509" s="200"/>
      <c r="P509" s="200"/>
      <c r="Q509" s="200"/>
      <c r="R509" s="200"/>
      <c r="S509" s="200"/>
      <c r="T509" s="200"/>
      <c r="U509" s="200"/>
      <c r="V509" s="200"/>
      <c r="W509" s="200"/>
      <c r="X509" s="200"/>
      <c r="Y509" s="200"/>
      <c r="Z509" s="200"/>
      <c r="AA509" s="200"/>
      <c r="AB509" s="200"/>
      <c r="AC509" s="200"/>
      <c r="AD509" s="102"/>
      <c r="AE509" s="102"/>
      <c r="AF509" s="102"/>
      <c r="AG509" s="102"/>
      <c r="AH509" s="102"/>
      <c r="AI509" s="102"/>
      <c r="AJ509" s="102"/>
      <c r="AK509" s="102"/>
      <c r="AL509" s="102"/>
      <c r="AM509" s="102"/>
      <c r="AN509" s="102"/>
      <c r="AO509" s="102"/>
      <c r="AP509" s="102"/>
      <c r="AQ509" s="102"/>
      <c r="AR509" s="102"/>
      <c r="AS509" s="102"/>
      <c r="AT509" s="102"/>
    </row>
    <row r="510" ht="15.75" customHeight="1">
      <c r="A510" s="265" t="s">
        <v>396</v>
      </c>
      <c r="B510" s="420" t="s">
        <v>2917</v>
      </c>
      <c r="C510" s="77" t="s">
        <v>2920</v>
      </c>
      <c r="D510" s="77" t="s">
        <v>2921</v>
      </c>
      <c r="E510" s="77" t="s">
        <v>2922</v>
      </c>
      <c r="F510" s="77"/>
      <c r="G510" s="77"/>
      <c r="H510" s="77"/>
      <c r="I510" s="267"/>
      <c r="J510" s="267"/>
      <c r="K510" s="396" t="s">
        <v>5433</v>
      </c>
      <c r="L510" s="268"/>
      <c r="M510" s="267"/>
      <c r="N510" s="267"/>
      <c r="O510" s="267"/>
      <c r="P510" s="267"/>
      <c r="Q510" s="267"/>
      <c r="R510" s="267"/>
      <c r="S510" s="267"/>
      <c r="T510" s="267"/>
      <c r="U510" s="267"/>
      <c r="V510" s="267"/>
      <c r="W510" s="267"/>
      <c r="X510" s="267"/>
      <c r="Y510" s="267"/>
      <c r="Z510" s="267"/>
      <c r="AA510" s="267"/>
      <c r="AB510" s="267"/>
      <c r="AC510" s="267"/>
      <c r="AD510" s="102"/>
      <c r="AE510" s="102"/>
      <c r="AF510" s="102"/>
      <c r="AG510" s="102"/>
      <c r="AH510" s="102"/>
      <c r="AI510" s="102"/>
      <c r="AJ510" s="102"/>
      <c r="AK510" s="102"/>
      <c r="AL510" s="102"/>
      <c r="AM510" s="102"/>
      <c r="AN510" s="102"/>
      <c r="AO510" s="102"/>
      <c r="AP510" s="102"/>
      <c r="AQ510" s="102"/>
      <c r="AR510" s="102"/>
      <c r="AS510" s="102"/>
      <c r="AT510" s="102"/>
    </row>
    <row r="511" ht="15.75" customHeight="1">
      <c r="A511" s="265" t="s">
        <v>396</v>
      </c>
      <c r="B511" s="420" t="s">
        <v>2923</v>
      </c>
      <c r="C511" s="77" t="s">
        <v>2930</v>
      </c>
      <c r="D511" s="77" t="s">
        <v>2931</v>
      </c>
      <c r="E511" s="77" t="s">
        <v>2932</v>
      </c>
      <c r="F511" s="77"/>
      <c r="G511" s="77"/>
      <c r="H511" s="77"/>
      <c r="I511" s="267"/>
      <c r="J511" s="267"/>
      <c r="K511" s="268" t="s">
        <v>4363</v>
      </c>
      <c r="L511" s="268"/>
      <c r="M511" s="267"/>
      <c r="N511" s="267"/>
      <c r="O511" s="267"/>
      <c r="P511" s="267"/>
      <c r="Q511" s="267" t="s">
        <v>268</v>
      </c>
      <c r="R511" s="267"/>
      <c r="S511" s="267"/>
      <c r="T511" s="267"/>
      <c r="U511" s="267"/>
      <c r="V511" s="267"/>
      <c r="W511" s="267"/>
      <c r="X511" s="267"/>
      <c r="Y511" s="267"/>
      <c r="Z511" s="267"/>
      <c r="AA511" s="267"/>
      <c r="AB511" s="267"/>
      <c r="AC511" s="267"/>
      <c r="AD511" s="102"/>
      <c r="AE511" s="102"/>
      <c r="AF511" s="102"/>
      <c r="AG511" s="102"/>
      <c r="AH511" s="102"/>
      <c r="AI511" s="102"/>
      <c r="AJ511" s="102"/>
      <c r="AK511" s="102"/>
      <c r="AL511" s="102"/>
      <c r="AM511" s="102"/>
      <c r="AN511" s="102"/>
      <c r="AO511" s="102"/>
      <c r="AP511" s="102"/>
      <c r="AQ511" s="102"/>
      <c r="AR511" s="102"/>
      <c r="AS511" s="102"/>
      <c r="AT511" s="102"/>
    </row>
    <row r="512">
      <c r="A512" s="417"/>
      <c r="B512" s="417"/>
      <c r="C512" s="417"/>
      <c r="D512" s="417"/>
      <c r="E512" s="417"/>
      <c r="F512" s="417"/>
      <c r="G512" s="417"/>
      <c r="H512" s="417"/>
      <c r="I512" s="417"/>
      <c r="J512" s="417"/>
      <c r="K512" s="417"/>
      <c r="L512" s="417"/>
      <c r="M512" s="417"/>
      <c r="N512" s="417"/>
      <c r="O512" s="417"/>
      <c r="P512" s="417"/>
      <c r="Q512" s="417"/>
      <c r="R512" s="417"/>
      <c r="S512" s="417"/>
      <c r="T512" s="417"/>
      <c r="U512" s="417"/>
      <c r="V512" s="417"/>
      <c r="W512" s="417"/>
      <c r="X512" s="417"/>
      <c r="Y512" s="417"/>
      <c r="Z512" s="417"/>
      <c r="AA512" s="417"/>
      <c r="AB512" s="417"/>
      <c r="AC512" s="417"/>
      <c r="AD512" s="417"/>
      <c r="AE512" s="417"/>
      <c r="AF512" s="417"/>
      <c r="AG512" s="417"/>
      <c r="AH512" s="417"/>
      <c r="AI512" s="417"/>
      <c r="AJ512" s="417"/>
      <c r="AK512" s="417"/>
      <c r="AL512" s="417"/>
      <c r="AM512" s="417"/>
      <c r="AN512" s="417"/>
      <c r="AO512" s="417"/>
      <c r="AP512" s="417"/>
      <c r="AQ512" s="417"/>
      <c r="AR512" s="417"/>
      <c r="AS512" s="417"/>
      <c r="AT512" s="417"/>
    </row>
    <row r="513" ht="15.75" customHeight="1">
      <c r="A513" s="249" t="s">
        <v>2279</v>
      </c>
      <c r="B513" s="250" t="s">
        <v>5434</v>
      </c>
      <c r="C513" s="250" t="s">
        <v>5435</v>
      </c>
      <c r="D513" s="251" t="s">
        <v>5436</v>
      </c>
      <c r="E513" s="251" t="s">
        <v>5437</v>
      </c>
      <c r="F513" s="252"/>
      <c r="G513" s="252"/>
      <c r="H513" s="252"/>
      <c r="I513" s="252"/>
      <c r="J513" s="252"/>
      <c r="K513" s="252"/>
      <c r="L513" s="252"/>
      <c r="M513" s="253"/>
      <c r="N513" s="253"/>
      <c r="O513" s="253"/>
      <c r="P513" s="252"/>
      <c r="Q513" s="252"/>
      <c r="R513" s="252"/>
      <c r="S513" s="252"/>
      <c r="T513" s="252"/>
      <c r="U513" s="254" t="s">
        <v>5438</v>
      </c>
      <c r="V513" s="255"/>
      <c r="W513" s="252"/>
      <c r="X513" s="252"/>
      <c r="Y513" s="252"/>
      <c r="Z513" s="252"/>
      <c r="AA513" s="252"/>
      <c r="AB513" s="252"/>
      <c r="AC513" s="252"/>
      <c r="AD513" s="102"/>
      <c r="AE513" s="102"/>
      <c r="AF513" s="102"/>
      <c r="AG513" s="102"/>
      <c r="AH513" s="102"/>
      <c r="AI513" s="102"/>
      <c r="AJ513" s="102"/>
      <c r="AK513" s="102"/>
      <c r="AL513" s="102"/>
      <c r="AM513" s="102"/>
      <c r="AN513" s="102"/>
      <c r="AO513" s="102"/>
      <c r="AP513" s="102"/>
      <c r="AQ513" s="102"/>
      <c r="AR513" s="102"/>
      <c r="AS513" s="102"/>
      <c r="AT513" s="102"/>
    </row>
    <row r="514" ht="15.75" customHeight="1">
      <c r="A514" s="259" t="s">
        <v>116</v>
      </c>
      <c r="B514" s="260" t="s">
        <v>5439</v>
      </c>
      <c r="C514" s="261"/>
      <c r="D514" s="261"/>
      <c r="E514" s="261"/>
      <c r="F514" s="262"/>
      <c r="G514" s="262"/>
      <c r="H514" s="262"/>
      <c r="I514" s="262"/>
      <c r="J514" s="262"/>
      <c r="K514" s="262"/>
      <c r="L514" s="262"/>
      <c r="M514" s="262"/>
      <c r="N514" s="262"/>
      <c r="O514" s="262"/>
      <c r="P514" s="262"/>
      <c r="Q514" s="262"/>
      <c r="R514" s="262"/>
      <c r="S514" s="262"/>
      <c r="T514" s="363" t="s">
        <v>5440</v>
      </c>
      <c r="U514" s="264"/>
      <c r="V514" s="262"/>
      <c r="W514" s="262"/>
      <c r="X514" s="262"/>
      <c r="Y514" s="262"/>
      <c r="Z514" s="262"/>
      <c r="AA514" s="262"/>
      <c r="AB514" s="262"/>
      <c r="AC514" s="262"/>
      <c r="AD514" s="102"/>
      <c r="AE514" s="102"/>
      <c r="AF514" s="102"/>
      <c r="AG514" s="102"/>
      <c r="AH514" s="102"/>
      <c r="AI514" s="102"/>
      <c r="AJ514" s="102"/>
      <c r="AK514" s="102"/>
      <c r="AL514" s="102"/>
      <c r="AM514" s="102"/>
      <c r="AN514" s="102"/>
      <c r="AO514" s="102"/>
      <c r="AP514" s="102"/>
      <c r="AQ514" s="102"/>
      <c r="AR514" s="102"/>
      <c r="AS514" s="102"/>
      <c r="AT514" s="102"/>
    </row>
    <row r="515" ht="15.75" customHeight="1">
      <c r="A515" s="259" t="s">
        <v>116</v>
      </c>
      <c r="B515" s="260" t="s">
        <v>5441</v>
      </c>
      <c r="C515" s="261" t="s">
        <v>5442</v>
      </c>
      <c r="D515" s="261" t="s">
        <v>5443</v>
      </c>
      <c r="E515" s="261" t="s">
        <v>5444</v>
      </c>
      <c r="F515" s="262"/>
      <c r="G515" s="262"/>
      <c r="H515" s="262"/>
      <c r="I515" s="262"/>
      <c r="J515" s="262"/>
      <c r="K515" s="262"/>
      <c r="L515" s="262"/>
      <c r="M515" s="262"/>
      <c r="N515" s="262"/>
      <c r="O515" s="262"/>
      <c r="P515" s="262"/>
      <c r="Q515" s="262"/>
      <c r="R515" s="262"/>
      <c r="S515" s="262"/>
      <c r="T515" s="363" t="s">
        <v>5445</v>
      </c>
      <c r="U515" s="264"/>
      <c r="V515" s="264"/>
      <c r="W515" s="262"/>
      <c r="X515" s="262"/>
      <c r="Y515" s="262"/>
      <c r="Z515" s="262"/>
      <c r="AA515" s="262"/>
      <c r="AB515" s="262"/>
      <c r="AC515" s="262"/>
      <c r="AD515" s="102"/>
      <c r="AE515" s="102"/>
      <c r="AF515" s="102"/>
      <c r="AG515" s="102"/>
      <c r="AH515" s="102"/>
      <c r="AI515" s="102"/>
      <c r="AJ515" s="102"/>
      <c r="AK515" s="102"/>
      <c r="AL515" s="102"/>
      <c r="AM515" s="102"/>
      <c r="AN515" s="102"/>
      <c r="AO515" s="102"/>
      <c r="AP515" s="102"/>
      <c r="AQ515" s="102"/>
      <c r="AR515" s="102"/>
      <c r="AS515" s="102"/>
      <c r="AT515" s="102"/>
    </row>
    <row r="516" ht="15.75" customHeight="1">
      <c r="A516" s="265" t="s">
        <v>396</v>
      </c>
      <c r="B516" s="266" t="s">
        <v>2946</v>
      </c>
      <c r="C516" s="77" t="s">
        <v>2952</v>
      </c>
      <c r="D516" s="77" t="s">
        <v>2953</v>
      </c>
      <c r="E516" s="77" t="s">
        <v>2954</v>
      </c>
      <c r="F516" s="77"/>
      <c r="G516" s="77"/>
      <c r="H516" s="77"/>
      <c r="I516" s="267"/>
      <c r="J516" s="267"/>
      <c r="K516" s="268" t="s">
        <v>5446</v>
      </c>
      <c r="L516" s="268"/>
      <c r="M516" s="267"/>
      <c r="N516" s="267"/>
      <c r="O516" s="267"/>
      <c r="P516" s="267"/>
      <c r="Q516" s="267" t="s">
        <v>268</v>
      </c>
      <c r="R516" s="267"/>
      <c r="S516" s="267"/>
      <c r="T516" s="267"/>
      <c r="U516" s="267"/>
      <c r="V516" s="267"/>
      <c r="W516" s="267"/>
      <c r="X516" s="267"/>
      <c r="Y516" s="267"/>
      <c r="Z516" s="267"/>
      <c r="AA516" s="267"/>
      <c r="AB516" s="267"/>
      <c r="AC516" s="267"/>
      <c r="AD516" s="102"/>
      <c r="AE516" s="102"/>
      <c r="AF516" s="102"/>
      <c r="AG516" s="102"/>
      <c r="AH516" s="102"/>
      <c r="AI516" s="102"/>
      <c r="AJ516" s="102"/>
      <c r="AK516" s="102"/>
      <c r="AL516" s="102"/>
      <c r="AM516" s="102"/>
      <c r="AN516" s="102"/>
      <c r="AO516" s="102"/>
      <c r="AP516" s="102"/>
      <c r="AQ516" s="102"/>
      <c r="AR516" s="102"/>
      <c r="AS516" s="102"/>
      <c r="AT516" s="102"/>
    </row>
    <row r="517" ht="15.75" customHeight="1">
      <c r="A517" s="249" t="s">
        <v>2336</v>
      </c>
      <c r="B517" s="251" t="s">
        <v>5434</v>
      </c>
      <c r="C517" s="251" t="s">
        <v>5435</v>
      </c>
      <c r="D517" s="251" t="s">
        <v>5436</v>
      </c>
      <c r="E517" s="251" t="s">
        <v>5437</v>
      </c>
      <c r="F517" s="252"/>
      <c r="G517" s="252"/>
      <c r="H517" s="252"/>
      <c r="I517" s="252"/>
      <c r="J517" s="252"/>
      <c r="K517" s="252"/>
      <c r="L517" s="252"/>
      <c r="M517" s="252"/>
      <c r="N517" s="252"/>
      <c r="O517" s="252"/>
      <c r="P517" s="252"/>
      <c r="Q517" s="252"/>
      <c r="R517" s="252"/>
      <c r="S517" s="252"/>
      <c r="T517" s="252"/>
      <c r="U517" s="252"/>
      <c r="V517" s="252"/>
      <c r="W517" s="252"/>
      <c r="X517" s="252"/>
      <c r="Y517" s="252"/>
      <c r="Z517" s="252"/>
      <c r="AA517" s="252"/>
      <c r="AB517" s="252"/>
      <c r="AC517" s="252"/>
      <c r="AD517" s="102"/>
      <c r="AE517" s="102"/>
      <c r="AF517" s="102"/>
      <c r="AG517" s="102"/>
      <c r="AH517" s="102"/>
      <c r="AI517" s="102"/>
      <c r="AJ517" s="102"/>
      <c r="AK517" s="102"/>
      <c r="AL517" s="102"/>
      <c r="AM517" s="102"/>
      <c r="AN517" s="102"/>
      <c r="AO517" s="102"/>
      <c r="AP517" s="102"/>
      <c r="AQ517" s="102"/>
      <c r="AR517" s="102"/>
      <c r="AS517" s="102"/>
      <c r="AT517" s="102"/>
    </row>
    <row r="518" ht="15.75" customHeight="1">
      <c r="A518" s="269" t="s">
        <v>42</v>
      </c>
      <c r="B518" s="207" t="s">
        <v>2961</v>
      </c>
      <c r="C518" s="77" t="s">
        <v>2964</v>
      </c>
      <c r="D518" s="77" t="s">
        <v>5447</v>
      </c>
      <c r="E518" s="77" t="s">
        <v>5448</v>
      </c>
      <c r="F518" s="77"/>
      <c r="G518" s="77"/>
      <c r="H518" s="77"/>
      <c r="I518" s="208"/>
      <c r="J518" s="212"/>
      <c r="K518" s="208"/>
      <c r="L518" s="208"/>
      <c r="M518" s="208"/>
      <c r="N518" s="125"/>
      <c r="O518" s="211"/>
      <c r="P518" s="211"/>
      <c r="Q518" s="211"/>
      <c r="R518" s="211"/>
      <c r="S518" s="208"/>
      <c r="T518" s="125"/>
      <c r="U518" s="208"/>
      <c r="V518" s="208"/>
      <c r="W518" s="208"/>
      <c r="X518" s="208"/>
      <c r="Y518" s="208"/>
      <c r="Z518" s="208"/>
      <c r="AA518" s="208"/>
      <c r="AB518" s="208"/>
      <c r="AC518" s="125"/>
      <c r="AD518" s="102"/>
      <c r="AE518" s="102"/>
      <c r="AF518" s="102"/>
      <c r="AG518" s="102"/>
      <c r="AH518" s="102"/>
      <c r="AI518" s="102"/>
      <c r="AJ518" s="102"/>
      <c r="AK518" s="102"/>
      <c r="AL518" s="102"/>
      <c r="AM518" s="102"/>
      <c r="AN518" s="102"/>
      <c r="AO518" s="102"/>
      <c r="AP518" s="102"/>
      <c r="AQ518" s="102"/>
      <c r="AR518" s="102"/>
      <c r="AS518" s="102"/>
      <c r="AT518" s="102"/>
    </row>
    <row r="519" ht="15.75" customHeight="1">
      <c r="A519" s="206" t="s">
        <v>194</v>
      </c>
      <c r="B519" s="245" t="s">
        <v>2966</v>
      </c>
      <c r="C519" s="77" t="s">
        <v>2974</v>
      </c>
      <c r="D519" s="77" t="s">
        <v>2975</v>
      </c>
      <c r="E519" s="77" t="s">
        <v>2976</v>
      </c>
      <c r="F519" s="77"/>
      <c r="G519" s="77"/>
      <c r="H519" s="77"/>
      <c r="I519" s="208"/>
      <c r="J519" s="212"/>
      <c r="K519" s="208"/>
      <c r="L519" s="208"/>
      <c r="M519" s="208"/>
      <c r="N519" s="125"/>
      <c r="O519" s="208" t="s">
        <v>5449</v>
      </c>
      <c r="P519" s="208"/>
      <c r="Q519" s="208" t="s">
        <v>268</v>
      </c>
      <c r="R519" s="208"/>
      <c r="S519" s="208"/>
      <c r="T519" s="208"/>
      <c r="U519" s="208"/>
      <c r="V519" s="208"/>
      <c r="W519" s="208"/>
      <c r="X519" s="208"/>
      <c r="Y519" s="208"/>
      <c r="Z519" s="208"/>
      <c r="AA519" s="208"/>
      <c r="AB519" s="208"/>
      <c r="AC519" s="125"/>
      <c r="AD519" s="102"/>
      <c r="AE519" s="102"/>
      <c r="AF519" s="102"/>
      <c r="AG519" s="102"/>
      <c r="AH519" s="102"/>
      <c r="AI519" s="102"/>
      <c r="AJ519" s="102"/>
      <c r="AK519" s="102"/>
      <c r="AL519" s="102"/>
      <c r="AM519" s="102"/>
      <c r="AN519" s="102"/>
      <c r="AO519" s="102"/>
      <c r="AP519" s="102"/>
      <c r="AQ519" s="102"/>
      <c r="AR519" s="102"/>
      <c r="AS519" s="102"/>
      <c r="AT519" s="102"/>
    </row>
    <row r="520" ht="15.75" customHeight="1">
      <c r="A520" s="265" t="s">
        <v>396</v>
      </c>
      <c r="B520" s="266" t="s">
        <v>2977</v>
      </c>
      <c r="C520" s="77" t="s">
        <v>2981</v>
      </c>
      <c r="D520" s="77" t="s">
        <v>2982</v>
      </c>
      <c r="E520" s="77" t="s">
        <v>2983</v>
      </c>
      <c r="F520" s="77"/>
      <c r="G520" s="77"/>
      <c r="H520" s="77"/>
      <c r="I520" s="267"/>
      <c r="J520" s="267"/>
      <c r="K520" s="268"/>
      <c r="L520" s="268"/>
      <c r="M520" s="267"/>
      <c r="N520" s="294"/>
      <c r="O520" s="267" t="s">
        <v>5450</v>
      </c>
      <c r="P520" s="267"/>
      <c r="Q520" s="267" t="s">
        <v>268</v>
      </c>
      <c r="R520" s="267"/>
      <c r="S520" s="267"/>
      <c r="T520" s="267"/>
      <c r="U520" s="267"/>
      <c r="V520" s="267"/>
      <c r="W520" s="267"/>
      <c r="X520" s="267"/>
      <c r="Y520" s="267"/>
      <c r="Z520" s="267"/>
      <c r="AA520" s="267"/>
      <c r="AB520" s="267"/>
      <c r="AC520" s="294"/>
      <c r="AD520" s="102"/>
      <c r="AE520" s="102"/>
      <c r="AF520" s="102"/>
      <c r="AG520" s="102"/>
      <c r="AH520" s="102"/>
      <c r="AI520" s="102"/>
      <c r="AJ520" s="102"/>
      <c r="AK520" s="102"/>
      <c r="AL520" s="102"/>
      <c r="AM520" s="102"/>
      <c r="AN520" s="102"/>
      <c r="AO520" s="102"/>
      <c r="AP520" s="102"/>
      <c r="AQ520" s="102"/>
      <c r="AR520" s="102"/>
      <c r="AS520" s="102"/>
      <c r="AT520" s="102"/>
    </row>
    <row r="521" ht="15.75" customHeight="1">
      <c r="A521" s="265" t="s">
        <v>396</v>
      </c>
      <c r="B521" s="266" t="s">
        <v>2984</v>
      </c>
      <c r="C521" s="77" t="s">
        <v>2988</v>
      </c>
      <c r="D521" s="77" t="s">
        <v>2989</v>
      </c>
      <c r="E521" s="77" t="s">
        <v>2990</v>
      </c>
      <c r="F521" s="77"/>
      <c r="G521" s="77"/>
      <c r="H521" s="77"/>
      <c r="I521" s="267"/>
      <c r="J521" s="267"/>
      <c r="K521" s="268" t="s">
        <v>5446</v>
      </c>
      <c r="L521" s="268"/>
      <c r="M521" s="267"/>
      <c r="N521" s="294"/>
      <c r="O521" s="267" t="s">
        <v>5450</v>
      </c>
      <c r="P521" s="267"/>
      <c r="Q521" s="267" t="s">
        <v>268</v>
      </c>
      <c r="R521" s="267"/>
      <c r="S521" s="267"/>
      <c r="T521" s="267"/>
      <c r="U521" s="267"/>
      <c r="V521" s="267"/>
      <c r="W521" s="267"/>
      <c r="X521" s="267"/>
      <c r="Y521" s="267"/>
      <c r="Z521" s="267"/>
      <c r="AA521" s="267"/>
      <c r="AB521" s="267"/>
      <c r="AC521" s="294"/>
      <c r="AD521" s="102"/>
      <c r="AE521" s="102"/>
      <c r="AF521" s="102"/>
      <c r="AG521" s="102"/>
      <c r="AH521" s="102"/>
      <c r="AI521" s="102"/>
      <c r="AJ521" s="102"/>
      <c r="AK521" s="102"/>
      <c r="AL521" s="102"/>
      <c r="AM521" s="102"/>
      <c r="AN521" s="102"/>
      <c r="AO521" s="102"/>
      <c r="AP521" s="102"/>
      <c r="AQ521" s="102"/>
      <c r="AR521" s="102"/>
      <c r="AS521" s="102"/>
      <c r="AT521" s="102"/>
    </row>
    <row r="522" ht="15.75" customHeight="1">
      <c r="A522" s="265" t="s">
        <v>396</v>
      </c>
      <c r="B522" s="266" t="s">
        <v>2991</v>
      </c>
      <c r="C522" s="77" t="s">
        <v>2992</v>
      </c>
      <c r="D522" s="77" t="s">
        <v>2993</v>
      </c>
      <c r="E522" s="77" t="s">
        <v>2994</v>
      </c>
      <c r="F522" s="77"/>
      <c r="G522" s="77"/>
      <c r="H522" s="77"/>
      <c r="I522" s="267"/>
      <c r="J522" s="267"/>
      <c r="K522" s="268"/>
      <c r="L522" s="268"/>
      <c r="M522" s="267"/>
      <c r="N522" s="294"/>
      <c r="O522" s="267" t="s">
        <v>5450</v>
      </c>
      <c r="P522" s="267"/>
      <c r="Q522" s="267" t="s">
        <v>268</v>
      </c>
      <c r="R522" s="267"/>
      <c r="S522" s="267"/>
      <c r="T522" s="267"/>
      <c r="U522" s="267"/>
      <c r="V522" s="267"/>
      <c r="W522" s="267"/>
      <c r="X522" s="267"/>
      <c r="Y522" s="267"/>
      <c r="Z522" s="267"/>
      <c r="AA522" s="267"/>
      <c r="AB522" s="267"/>
      <c r="AC522" s="294"/>
      <c r="AD522" s="102"/>
      <c r="AE522" s="102"/>
      <c r="AF522" s="102"/>
      <c r="AG522" s="102"/>
      <c r="AH522" s="102"/>
      <c r="AI522" s="102"/>
      <c r="AJ522" s="102"/>
      <c r="AK522" s="102"/>
      <c r="AL522" s="102"/>
      <c r="AM522" s="102"/>
      <c r="AN522" s="102"/>
      <c r="AO522" s="102"/>
      <c r="AP522" s="102"/>
      <c r="AQ522" s="102"/>
      <c r="AR522" s="102"/>
      <c r="AS522" s="102"/>
      <c r="AT522" s="102"/>
    </row>
    <row r="523" ht="15.75" customHeight="1">
      <c r="A523" s="259" t="s">
        <v>116</v>
      </c>
      <c r="B523" s="260" t="s">
        <v>5451</v>
      </c>
      <c r="C523" s="261" t="s">
        <v>5452</v>
      </c>
      <c r="D523" s="261" t="s">
        <v>5453</v>
      </c>
      <c r="E523" s="261" t="s">
        <v>5454</v>
      </c>
      <c r="F523" s="262"/>
      <c r="G523" s="262"/>
      <c r="H523" s="262"/>
      <c r="I523" s="262"/>
      <c r="J523" s="262"/>
      <c r="K523" s="262"/>
      <c r="L523" s="262"/>
      <c r="M523" s="262"/>
      <c r="N523" s="147"/>
      <c r="O523" s="262"/>
      <c r="P523" s="262"/>
      <c r="Q523" s="262"/>
      <c r="R523" s="262"/>
      <c r="S523" s="147"/>
      <c r="T523" s="264" t="s">
        <v>5455</v>
      </c>
      <c r="U523" s="264"/>
      <c r="V523" s="264"/>
      <c r="W523" s="264"/>
      <c r="X523" s="264"/>
      <c r="Y523" s="262"/>
      <c r="Z523" s="262"/>
      <c r="AA523" s="262"/>
      <c r="AB523" s="262"/>
      <c r="AC523" s="147"/>
      <c r="AD523" s="102"/>
      <c r="AE523" s="102"/>
      <c r="AF523" s="102"/>
      <c r="AG523" s="102"/>
      <c r="AH523" s="102"/>
      <c r="AI523" s="102"/>
      <c r="AJ523" s="102"/>
      <c r="AK523" s="102"/>
      <c r="AL523" s="102"/>
      <c r="AM523" s="102"/>
      <c r="AN523" s="102"/>
      <c r="AO523" s="102"/>
      <c r="AP523" s="102"/>
      <c r="AQ523" s="102"/>
      <c r="AR523" s="102"/>
      <c r="AS523" s="102"/>
      <c r="AT523" s="102"/>
    </row>
    <row r="524" ht="15.75" customHeight="1">
      <c r="A524" s="206" t="s">
        <v>194</v>
      </c>
      <c r="B524" s="245" t="s">
        <v>3001</v>
      </c>
      <c r="C524" s="77" t="s">
        <v>3002</v>
      </c>
      <c r="D524" s="77" t="s">
        <v>3003</v>
      </c>
      <c r="E524" s="77" t="s">
        <v>3004</v>
      </c>
      <c r="F524" s="77"/>
      <c r="G524" s="77"/>
      <c r="H524" s="77"/>
      <c r="I524" s="208"/>
      <c r="J524" s="212"/>
      <c r="K524" s="208" t="s">
        <v>5456</v>
      </c>
      <c r="L524" s="208" t="s">
        <v>5457</v>
      </c>
      <c r="M524" s="208"/>
      <c r="N524" s="125"/>
      <c r="O524" s="208"/>
      <c r="P524" s="208"/>
      <c r="Q524" s="208" t="s">
        <v>268</v>
      </c>
      <c r="R524" s="208"/>
      <c r="S524" s="208"/>
      <c r="T524" s="208"/>
      <c r="U524" s="208"/>
      <c r="V524" s="208"/>
      <c r="W524" s="208"/>
      <c r="X524" s="208"/>
      <c r="Y524" s="208"/>
      <c r="Z524" s="208"/>
      <c r="AA524" s="208"/>
      <c r="AB524" s="208"/>
      <c r="AC524" s="125"/>
      <c r="AD524" s="102"/>
      <c r="AE524" s="102"/>
      <c r="AF524" s="102"/>
      <c r="AG524" s="102"/>
      <c r="AH524" s="102"/>
      <c r="AI524" s="102"/>
      <c r="AJ524" s="102"/>
      <c r="AK524" s="102"/>
      <c r="AL524" s="102"/>
      <c r="AM524" s="102"/>
      <c r="AN524" s="102"/>
      <c r="AO524" s="102"/>
      <c r="AP524" s="102"/>
      <c r="AQ524" s="102"/>
      <c r="AR524" s="102"/>
      <c r="AS524" s="102"/>
      <c r="AT524" s="102"/>
    </row>
    <row r="525" ht="15.75" customHeight="1">
      <c r="A525" s="198" t="s">
        <v>42</v>
      </c>
      <c r="B525" s="199" t="s">
        <v>3005</v>
      </c>
      <c r="C525" s="77" t="s">
        <v>3010</v>
      </c>
      <c r="D525" s="77" t="s">
        <v>3012</v>
      </c>
      <c r="E525" s="77" t="s">
        <v>3013</v>
      </c>
      <c r="F525" s="77"/>
      <c r="G525" s="77"/>
      <c r="H525" s="77"/>
      <c r="I525" s="200"/>
      <c r="J525" s="200"/>
      <c r="K525" s="200"/>
      <c r="L525" s="200"/>
      <c r="M525" s="200"/>
      <c r="N525" s="200"/>
      <c r="O525" s="200"/>
      <c r="P525" s="200"/>
      <c r="Q525" s="200"/>
      <c r="R525" s="200"/>
      <c r="S525" s="200"/>
      <c r="T525" s="200"/>
      <c r="U525" s="200"/>
      <c r="V525" s="200"/>
      <c r="W525" s="200"/>
      <c r="X525" s="200"/>
      <c r="Y525" s="200"/>
      <c r="Z525" s="200"/>
      <c r="AA525" s="200"/>
      <c r="AB525" s="200"/>
      <c r="AC525" s="287"/>
      <c r="AD525" s="102"/>
      <c r="AE525" s="102"/>
      <c r="AF525" s="102"/>
      <c r="AG525" s="102"/>
      <c r="AH525" s="102"/>
      <c r="AI525" s="102"/>
      <c r="AJ525" s="102"/>
      <c r="AK525" s="102"/>
      <c r="AL525" s="102"/>
      <c r="AM525" s="102"/>
      <c r="AN525" s="102"/>
      <c r="AO525" s="102"/>
      <c r="AP525" s="102"/>
      <c r="AQ525" s="102"/>
      <c r="AR525" s="102"/>
      <c r="AS525" s="102"/>
      <c r="AT525" s="102"/>
    </row>
    <row r="526" ht="52.5" customHeight="1">
      <c r="A526" s="206" t="s">
        <v>194</v>
      </c>
      <c r="B526" s="245" t="s">
        <v>3014</v>
      </c>
      <c r="C526" s="77" t="s">
        <v>3015</v>
      </c>
      <c r="D526" s="77" t="s">
        <v>5458</v>
      </c>
      <c r="E526" s="77" t="s">
        <v>3017</v>
      </c>
      <c r="F526" s="77"/>
      <c r="G526" s="77"/>
      <c r="H526" s="77"/>
      <c r="I526" s="208"/>
      <c r="J526" s="212"/>
      <c r="K526" s="208"/>
      <c r="L526" s="208"/>
      <c r="M526" s="208"/>
      <c r="N526" s="208"/>
      <c r="O526" s="208"/>
      <c r="P526" s="208"/>
      <c r="Q526" s="208"/>
      <c r="R526" s="208"/>
      <c r="S526" s="208"/>
      <c r="T526" s="208"/>
      <c r="U526" s="208"/>
      <c r="V526" s="208"/>
      <c r="W526" s="208"/>
      <c r="X526" s="208"/>
      <c r="Y526" s="208"/>
      <c r="Z526" s="208"/>
      <c r="AA526" s="208"/>
      <c r="AB526" s="208"/>
      <c r="AC526" s="208"/>
      <c r="AD526" s="102"/>
      <c r="AE526" s="102"/>
      <c r="AF526" s="102"/>
      <c r="AG526" s="102"/>
      <c r="AH526" s="102"/>
      <c r="AI526" s="102"/>
      <c r="AJ526" s="102"/>
      <c r="AK526" s="102"/>
      <c r="AL526" s="102"/>
      <c r="AM526" s="102"/>
      <c r="AN526" s="102"/>
      <c r="AO526" s="102"/>
      <c r="AP526" s="102"/>
      <c r="AQ526" s="102"/>
      <c r="AR526" s="102"/>
      <c r="AS526" s="102"/>
      <c r="AT526" s="102"/>
    </row>
    <row r="527" ht="15.75" customHeight="1">
      <c r="A527" s="142" t="s">
        <v>183</v>
      </c>
      <c r="B527" s="239" t="s">
        <v>5459</v>
      </c>
      <c r="C527" s="144"/>
      <c r="D527" s="144"/>
      <c r="E527" s="144"/>
      <c r="F527" s="145"/>
      <c r="G527" s="145"/>
      <c r="H527" s="145"/>
      <c r="I527" s="145"/>
      <c r="J527" s="145"/>
      <c r="K527" s="145"/>
      <c r="L527" s="145"/>
      <c r="M527" s="145"/>
      <c r="N527" s="145"/>
      <c r="O527" s="146"/>
      <c r="P527" s="146"/>
      <c r="Q527" s="146"/>
      <c r="R527" s="146"/>
      <c r="S527" s="145"/>
      <c r="T527" s="402" t="s">
        <v>211</v>
      </c>
      <c r="U527" s="146"/>
      <c r="V527" s="145"/>
      <c r="W527" s="145"/>
      <c r="X527" s="145"/>
      <c r="Y527" s="145"/>
      <c r="Z527" s="145"/>
      <c r="AA527" s="145"/>
      <c r="AB527" s="145"/>
      <c r="AC527" s="145"/>
      <c r="AD527" s="102"/>
      <c r="AE527" s="102"/>
      <c r="AF527" s="102"/>
      <c r="AG527" s="102"/>
      <c r="AH527" s="102"/>
      <c r="AI527" s="102"/>
      <c r="AJ527" s="102"/>
      <c r="AK527" s="102"/>
      <c r="AL527" s="102"/>
      <c r="AM527" s="102"/>
      <c r="AN527" s="102"/>
      <c r="AO527" s="102"/>
      <c r="AP527" s="102"/>
      <c r="AQ527" s="102"/>
      <c r="AR527" s="102"/>
      <c r="AS527" s="102"/>
      <c r="AT527" s="102"/>
    </row>
    <row r="528" ht="15.75" customHeight="1">
      <c r="A528" s="90" t="s">
        <v>116</v>
      </c>
      <c r="B528" s="91" t="s">
        <v>5460</v>
      </c>
      <c r="C528" s="93"/>
      <c r="D528" s="96"/>
      <c r="E528" s="96"/>
      <c r="F528" s="97"/>
      <c r="G528" s="97"/>
      <c r="H528" s="97"/>
      <c r="I528" s="98"/>
      <c r="J528" s="98"/>
      <c r="K528" s="97"/>
      <c r="L528" s="98"/>
      <c r="M528" s="98"/>
      <c r="N528" s="98"/>
      <c r="O528" s="236"/>
      <c r="P528" s="100"/>
      <c r="Q528" s="100"/>
      <c r="R528" s="100"/>
      <c r="S528" s="97"/>
      <c r="T528" s="238" t="s">
        <v>5461</v>
      </c>
      <c r="U528" s="97"/>
      <c r="V528" s="97"/>
      <c r="W528" s="97"/>
      <c r="X528" s="97"/>
      <c r="Y528" s="97"/>
      <c r="Z528" s="97"/>
      <c r="AA528" s="97"/>
      <c r="AB528" s="97"/>
      <c r="AC528" s="97"/>
      <c r="AD528" s="102"/>
      <c r="AE528" s="102"/>
      <c r="AF528" s="102"/>
      <c r="AG528" s="102"/>
      <c r="AH528" s="102"/>
      <c r="AI528" s="102"/>
      <c r="AJ528" s="102"/>
      <c r="AK528" s="102"/>
      <c r="AL528" s="102"/>
      <c r="AM528" s="102"/>
      <c r="AN528" s="102"/>
      <c r="AO528" s="102"/>
      <c r="AP528" s="102"/>
      <c r="AQ528" s="102"/>
      <c r="AR528" s="102"/>
      <c r="AS528" s="102"/>
      <c r="AT528" s="102"/>
    </row>
    <row r="529" ht="15.75" customHeight="1">
      <c r="A529" s="142" t="s">
        <v>183</v>
      </c>
      <c r="B529" s="239" t="s">
        <v>5462</v>
      </c>
      <c r="C529" s="144"/>
      <c r="D529" s="144"/>
      <c r="E529" s="144"/>
      <c r="F529" s="145"/>
      <c r="G529" s="145"/>
      <c r="H529" s="145"/>
      <c r="I529" s="145"/>
      <c r="J529" s="145"/>
      <c r="K529" s="145"/>
      <c r="L529" s="145"/>
      <c r="M529" s="145"/>
      <c r="N529" s="145"/>
      <c r="O529" s="146"/>
      <c r="P529" s="146"/>
      <c r="Q529" s="146"/>
      <c r="R529" s="146"/>
      <c r="S529" s="145"/>
      <c r="T529" s="402" t="s">
        <v>211</v>
      </c>
      <c r="U529" s="146"/>
      <c r="V529" s="145"/>
      <c r="W529" s="145"/>
      <c r="X529" s="145"/>
      <c r="Y529" s="145"/>
      <c r="Z529" s="145"/>
      <c r="AA529" s="145"/>
      <c r="AB529" s="145"/>
      <c r="AC529" s="145"/>
      <c r="AD529" s="102"/>
      <c r="AE529" s="102"/>
      <c r="AF529" s="102"/>
      <c r="AG529" s="102"/>
      <c r="AH529" s="102"/>
      <c r="AI529" s="102"/>
      <c r="AJ529" s="102"/>
      <c r="AK529" s="102"/>
      <c r="AL529" s="102"/>
      <c r="AM529" s="102"/>
      <c r="AN529" s="102"/>
      <c r="AO529" s="102"/>
      <c r="AP529" s="102"/>
      <c r="AQ529" s="102"/>
      <c r="AR529" s="102"/>
      <c r="AS529" s="102"/>
      <c r="AT529" s="102"/>
    </row>
    <row r="530" ht="15.75" customHeight="1">
      <c r="A530" s="249" t="s">
        <v>2279</v>
      </c>
      <c r="B530" s="250" t="s">
        <v>5463</v>
      </c>
      <c r="C530" s="250" t="s">
        <v>5464</v>
      </c>
      <c r="D530" s="251" t="s">
        <v>5465</v>
      </c>
      <c r="E530" s="251" t="s">
        <v>5466</v>
      </c>
      <c r="F530" s="252"/>
      <c r="G530" s="252"/>
      <c r="H530" s="252"/>
      <c r="I530" s="252"/>
      <c r="J530" s="252"/>
      <c r="K530" s="252"/>
      <c r="L530" s="252"/>
      <c r="M530" s="253"/>
      <c r="N530" s="253"/>
      <c r="O530" s="254" t="s">
        <v>5467</v>
      </c>
      <c r="P530" s="252"/>
      <c r="Q530" s="252"/>
      <c r="R530" s="252"/>
      <c r="S530" s="252"/>
      <c r="T530" s="252"/>
      <c r="U530" s="254" t="s">
        <v>5208</v>
      </c>
      <c r="V530" s="252"/>
      <c r="W530" s="252"/>
      <c r="X530" s="252"/>
      <c r="Y530" s="252"/>
      <c r="Z530" s="252"/>
      <c r="AA530" s="252"/>
      <c r="AB530" s="252"/>
      <c r="AC530" s="252"/>
      <c r="AD530" s="102"/>
      <c r="AE530" s="102"/>
      <c r="AF530" s="102"/>
      <c r="AG530" s="102"/>
      <c r="AH530" s="102"/>
      <c r="AI530" s="102"/>
      <c r="AJ530" s="102"/>
      <c r="AK530" s="102"/>
      <c r="AL530" s="102"/>
      <c r="AM530" s="102"/>
      <c r="AN530" s="102"/>
      <c r="AO530" s="102"/>
      <c r="AP530" s="102"/>
      <c r="AQ530" s="102"/>
      <c r="AR530" s="102"/>
      <c r="AS530" s="102"/>
      <c r="AT530" s="102"/>
    </row>
    <row r="531" ht="15.75" customHeight="1">
      <c r="A531" s="259" t="s">
        <v>116</v>
      </c>
      <c r="B531" s="260" t="s">
        <v>5468</v>
      </c>
      <c r="C531" s="261"/>
      <c r="D531" s="261"/>
      <c r="E531" s="261"/>
      <c r="F531" s="262"/>
      <c r="G531" s="262"/>
      <c r="H531" s="262"/>
      <c r="I531" s="262"/>
      <c r="J531" s="262"/>
      <c r="K531" s="262"/>
      <c r="L531" s="262"/>
      <c r="M531" s="262"/>
      <c r="N531" s="262"/>
      <c r="O531" s="262"/>
      <c r="P531" s="262"/>
      <c r="Q531" s="262"/>
      <c r="R531" s="262"/>
      <c r="S531" s="262"/>
      <c r="T531" s="363" t="s">
        <v>5469</v>
      </c>
      <c r="U531" s="264"/>
      <c r="V531" s="264"/>
      <c r="W531" s="262"/>
      <c r="X531" s="262"/>
      <c r="Y531" s="262"/>
      <c r="Z531" s="262"/>
      <c r="AA531" s="262"/>
      <c r="AB531" s="262"/>
      <c r="AC531" s="262"/>
      <c r="AD531" s="102"/>
      <c r="AE531" s="102"/>
      <c r="AF531" s="102"/>
      <c r="AG531" s="102"/>
      <c r="AH531" s="102"/>
      <c r="AI531" s="102"/>
      <c r="AJ531" s="102"/>
      <c r="AK531" s="102"/>
      <c r="AL531" s="102"/>
      <c r="AM531" s="102"/>
      <c r="AN531" s="102"/>
      <c r="AO531" s="102"/>
      <c r="AP531" s="102"/>
      <c r="AQ531" s="102"/>
      <c r="AR531" s="102"/>
      <c r="AS531" s="102"/>
      <c r="AT531" s="102"/>
    </row>
    <row r="532" ht="15.75" customHeight="1">
      <c r="A532" s="259" t="s">
        <v>116</v>
      </c>
      <c r="B532" s="260" t="s">
        <v>5470</v>
      </c>
      <c r="C532" s="261"/>
      <c r="D532" s="261"/>
      <c r="E532" s="261"/>
      <c r="F532" s="262"/>
      <c r="G532" s="262"/>
      <c r="H532" s="262"/>
      <c r="I532" s="262"/>
      <c r="J532" s="262"/>
      <c r="K532" s="262"/>
      <c r="L532" s="262"/>
      <c r="M532" s="262"/>
      <c r="N532" s="262"/>
      <c r="O532" s="262"/>
      <c r="P532" s="262"/>
      <c r="Q532" s="262"/>
      <c r="R532" s="262"/>
      <c r="S532" s="262"/>
      <c r="T532" s="363" t="s">
        <v>5471</v>
      </c>
      <c r="U532" s="264"/>
      <c r="V532" s="262"/>
      <c r="W532" s="262"/>
      <c r="X532" s="262"/>
      <c r="Y532" s="262"/>
      <c r="Z532" s="262"/>
      <c r="AA532" s="262"/>
      <c r="AB532" s="262"/>
      <c r="AC532" s="262"/>
      <c r="AD532" s="102"/>
      <c r="AE532" s="102"/>
      <c r="AF532" s="102"/>
      <c r="AG532" s="102"/>
      <c r="AH532" s="102"/>
      <c r="AI532" s="102"/>
      <c r="AJ532" s="102"/>
      <c r="AK532" s="102"/>
      <c r="AL532" s="102"/>
      <c r="AM532" s="102"/>
      <c r="AN532" s="102"/>
      <c r="AO532" s="102"/>
      <c r="AP532" s="102"/>
      <c r="AQ532" s="102"/>
      <c r="AR532" s="102"/>
      <c r="AS532" s="102"/>
      <c r="AT532" s="102"/>
    </row>
    <row r="533" ht="15.75" customHeight="1">
      <c r="A533" s="265" t="s">
        <v>396</v>
      </c>
      <c r="B533" s="266" t="s">
        <v>3040</v>
      </c>
      <c r="C533" s="77" t="s">
        <v>3045</v>
      </c>
      <c r="D533" s="77" t="s">
        <v>3046</v>
      </c>
      <c r="E533" s="77" t="s">
        <v>3047</v>
      </c>
      <c r="F533" s="77"/>
      <c r="G533" s="77"/>
      <c r="H533" s="77"/>
      <c r="I533" s="267"/>
      <c r="J533" s="267"/>
      <c r="K533" s="268" t="s">
        <v>5446</v>
      </c>
      <c r="L533" s="268"/>
      <c r="M533" s="267"/>
      <c r="N533" s="267"/>
      <c r="O533" s="267" t="s">
        <v>5472</v>
      </c>
      <c r="P533" s="267"/>
      <c r="Q533" s="267" t="s">
        <v>268</v>
      </c>
      <c r="R533" s="267"/>
      <c r="S533" s="267"/>
      <c r="T533" s="267"/>
      <c r="U533" s="267"/>
      <c r="V533" s="267"/>
      <c r="W533" s="267"/>
      <c r="X533" s="267"/>
      <c r="Y533" s="267"/>
      <c r="Z533" s="267"/>
      <c r="AA533" s="267"/>
      <c r="AB533" s="267"/>
      <c r="AC533" s="267"/>
      <c r="AD533" s="102"/>
      <c r="AE533" s="102"/>
      <c r="AF533" s="102"/>
      <c r="AG533" s="102"/>
      <c r="AH533" s="102"/>
      <c r="AI533" s="102"/>
      <c r="AJ533" s="102"/>
      <c r="AK533" s="102"/>
      <c r="AL533" s="102"/>
      <c r="AM533" s="102"/>
      <c r="AN533" s="102"/>
      <c r="AO533" s="102"/>
      <c r="AP533" s="102"/>
      <c r="AQ533" s="102"/>
      <c r="AR533" s="102"/>
      <c r="AS533" s="102"/>
      <c r="AT533" s="102"/>
    </row>
    <row r="534" ht="15.75" customHeight="1">
      <c r="A534" s="265" t="s">
        <v>396</v>
      </c>
      <c r="B534" s="266" t="s">
        <v>3048</v>
      </c>
      <c r="C534" s="77" t="s">
        <v>3052</v>
      </c>
      <c r="D534" s="77" t="s">
        <v>3053</v>
      </c>
      <c r="E534" s="77" t="s">
        <v>3054</v>
      </c>
      <c r="F534" s="77"/>
      <c r="G534" s="77"/>
      <c r="H534" s="77"/>
      <c r="I534" s="267"/>
      <c r="J534" s="267"/>
      <c r="K534" s="268"/>
      <c r="L534" s="268"/>
      <c r="M534" s="267"/>
      <c r="N534" s="267"/>
      <c r="O534" s="267" t="s">
        <v>5473</v>
      </c>
      <c r="P534" s="267"/>
      <c r="Q534" s="267" t="s">
        <v>268</v>
      </c>
      <c r="R534" s="267"/>
      <c r="S534" s="267"/>
      <c r="T534" s="267"/>
      <c r="U534" s="267"/>
      <c r="V534" s="267"/>
      <c r="W534" s="267"/>
      <c r="X534" s="267"/>
      <c r="Y534" s="267"/>
      <c r="Z534" s="267"/>
      <c r="AA534" s="267"/>
      <c r="AB534" s="267"/>
      <c r="AC534" s="267"/>
      <c r="AD534" s="102"/>
      <c r="AE534" s="102"/>
      <c r="AF534" s="102"/>
      <c r="AG534" s="102"/>
      <c r="AH534" s="102"/>
      <c r="AI534" s="102"/>
      <c r="AJ534" s="102"/>
      <c r="AK534" s="102"/>
      <c r="AL534" s="102"/>
      <c r="AM534" s="102"/>
      <c r="AN534" s="102"/>
      <c r="AO534" s="102"/>
      <c r="AP534" s="102"/>
      <c r="AQ534" s="102"/>
      <c r="AR534" s="102"/>
      <c r="AS534" s="102"/>
      <c r="AT534" s="102"/>
    </row>
    <row r="535" ht="15.75" customHeight="1">
      <c r="A535" s="259" t="s">
        <v>116</v>
      </c>
      <c r="B535" s="260" t="s">
        <v>5474</v>
      </c>
      <c r="C535" s="261" t="s">
        <v>5475</v>
      </c>
      <c r="D535" s="261" t="s">
        <v>5476</v>
      </c>
      <c r="E535" s="261" t="s">
        <v>5477</v>
      </c>
      <c r="F535" s="262"/>
      <c r="G535" s="262"/>
      <c r="H535" s="262"/>
      <c r="I535" s="262"/>
      <c r="J535" s="262"/>
      <c r="K535" s="262"/>
      <c r="L535" s="262"/>
      <c r="M535" s="262"/>
      <c r="N535" s="262"/>
      <c r="O535" s="262"/>
      <c r="P535" s="262"/>
      <c r="Q535" s="262"/>
      <c r="R535" s="262"/>
      <c r="S535" s="262"/>
      <c r="T535" s="363" t="s">
        <v>5478</v>
      </c>
      <c r="U535" s="262"/>
      <c r="V535" s="262"/>
      <c r="W535" s="262"/>
      <c r="X535" s="262"/>
      <c r="Y535" s="262"/>
      <c r="Z535" s="262"/>
      <c r="AA535" s="262"/>
      <c r="AB535" s="262"/>
      <c r="AC535" s="262"/>
      <c r="AD535" s="102"/>
      <c r="AE535" s="102"/>
      <c r="AF535" s="102"/>
      <c r="AG535" s="102"/>
      <c r="AH535" s="102"/>
      <c r="AI535" s="102"/>
      <c r="AJ535" s="102"/>
      <c r="AK535" s="102"/>
      <c r="AL535" s="102"/>
      <c r="AM535" s="102"/>
      <c r="AN535" s="102"/>
      <c r="AO535" s="102"/>
      <c r="AP535" s="102"/>
      <c r="AQ535" s="102"/>
      <c r="AR535" s="102"/>
      <c r="AS535" s="102"/>
      <c r="AT535" s="102"/>
    </row>
    <row r="536" ht="15.75" customHeight="1">
      <c r="A536" s="249" t="s">
        <v>2336</v>
      </c>
      <c r="B536" s="251" t="s">
        <v>5463</v>
      </c>
      <c r="C536" s="251"/>
      <c r="D536" s="251"/>
      <c r="E536" s="251"/>
      <c r="F536" s="252"/>
      <c r="G536" s="252"/>
      <c r="H536" s="252"/>
      <c r="I536" s="252"/>
      <c r="J536" s="252"/>
      <c r="K536" s="252"/>
      <c r="L536" s="252"/>
      <c r="M536" s="252"/>
      <c r="N536" s="252"/>
      <c r="O536" s="252"/>
      <c r="P536" s="252"/>
      <c r="Q536" s="252"/>
      <c r="R536" s="252"/>
      <c r="S536" s="252"/>
      <c r="T536" s="252"/>
      <c r="U536" s="252"/>
      <c r="V536" s="252"/>
      <c r="W536" s="252"/>
      <c r="X536" s="252"/>
      <c r="Y536" s="252"/>
      <c r="Z536" s="252"/>
      <c r="AA536" s="252"/>
      <c r="AB536" s="252"/>
      <c r="AC536" s="252"/>
      <c r="AD536" s="102"/>
      <c r="AE536" s="102"/>
      <c r="AF536" s="102"/>
      <c r="AG536" s="102"/>
      <c r="AH536" s="102"/>
      <c r="AI536" s="102"/>
      <c r="AJ536" s="102"/>
      <c r="AK536" s="102"/>
      <c r="AL536" s="102"/>
      <c r="AM536" s="102"/>
      <c r="AN536" s="102"/>
      <c r="AO536" s="102"/>
      <c r="AP536" s="102"/>
      <c r="AQ536" s="102"/>
      <c r="AR536" s="102"/>
      <c r="AS536" s="102"/>
      <c r="AT536" s="102"/>
    </row>
    <row r="537" ht="15.75" customHeight="1">
      <c r="A537" s="142" t="s">
        <v>183</v>
      </c>
      <c r="B537" s="239" t="s">
        <v>5479</v>
      </c>
      <c r="C537" s="144"/>
      <c r="D537" s="144"/>
      <c r="E537" s="144"/>
      <c r="F537" s="145"/>
      <c r="G537" s="145"/>
      <c r="H537" s="145"/>
      <c r="I537" s="145"/>
      <c r="J537" s="145"/>
      <c r="K537" s="145"/>
      <c r="L537" s="145"/>
      <c r="M537" s="145"/>
      <c r="N537" s="145"/>
      <c r="O537" s="146"/>
      <c r="P537" s="146"/>
      <c r="Q537" s="146"/>
      <c r="R537" s="146"/>
      <c r="S537" s="145"/>
      <c r="T537" s="402" t="s">
        <v>211</v>
      </c>
      <c r="U537" s="146"/>
      <c r="V537" s="145"/>
      <c r="W537" s="145"/>
      <c r="X537" s="145"/>
      <c r="Y537" s="145"/>
      <c r="Z537" s="145"/>
      <c r="AA537" s="145"/>
      <c r="AB537" s="145"/>
      <c r="AC537" s="145"/>
      <c r="AD537" s="102"/>
      <c r="AE537" s="102"/>
      <c r="AF537" s="102"/>
      <c r="AG537" s="102"/>
      <c r="AH537" s="102"/>
      <c r="AI537" s="102"/>
      <c r="AJ537" s="102"/>
      <c r="AK537" s="102"/>
      <c r="AL537" s="102"/>
      <c r="AM537" s="102"/>
      <c r="AN537" s="102"/>
      <c r="AO537" s="102"/>
      <c r="AP537" s="102"/>
      <c r="AQ537" s="102"/>
      <c r="AR537" s="102"/>
      <c r="AS537" s="102"/>
      <c r="AT537" s="102"/>
    </row>
    <row r="538" ht="15.75" customHeight="1">
      <c r="A538" s="90" t="s">
        <v>116</v>
      </c>
      <c r="B538" s="91" t="s">
        <v>5480</v>
      </c>
      <c r="C538" s="93"/>
      <c r="D538" s="96"/>
      <c r="E538" s="96"/>
      <c r="F538" s="97"/>
      <c r="G538" s="97"/>
      <c r="H538" s="97"/>
      <c r="I538" s="98"/>
      <c r="J538" s="98"/>
      <c r="K538" s="97"/>
      <c r="L538" s="98"/>
      <c r="M538" s="98"/>
      <c r="N538" s="98"/>
      <c r="O538" s="236"/>
      <c r="P538" s="100"/>
      <c r="Q538" s="100"/>
      <c r="R538" s="100"/>
      <c r="S538" s="97"/>
      <c r="T538" s="238" t="s">
        <v>5481</v>
      </c>
      <c r="U538" s="97"/>
      <c r="V538" s="97"/>
      <c r="W538" s="97"/>
      <c r="X538" s="97"/>
      <c r="Y538" s="97"/>
      <c r="Z538" s="97"/>
      <c r="AA538" s="97"/>
      <c r="AB538" s="97"/>
      <c r="AC538" s="97"/>
      <c r="AD538" s="102"/>
      <c r="AE538" s="102"/>
      <c r="AF538" s="102"/>
      <c r="AG538" s="102"/>
      <c r="AH538" s="102"/>
      <c r="AI538" s="102"/>
      <c r="AJ538" s="102"/>
      <c r="AK538" s="102"/>
      <c r="AL538" s="102"/>
      <c r="AM538" s="102"/>
      <c r="AN538" s="102"/>
      <c r="AO538" s="102"/>
      <c r="AP538" s="102"/>
      <c r="AQ538" s="102"/>
      <c r="AR538" s="102"/>
      <c r="AS538" s="102"/>
      <c r="AT538" s="102"/>
    </row>
    <row r="539" ht="15.75" customHeight="1">
      <c r="A539" s="206" t="s">
        <v>194</v>
      </c>
      <c r="B539" s="245" t="s">
        <v>3062</v>
      </c>
      <c r="C539" s="77" t="s">
        <v>3066</v>
      </c>
      <c r="D539" s="77" t="s">
        <v>3067</v>
      </c>
      <c r="E539" s="77" t="s">
        <v>3068</v>
      </c>
      <c r="F539" s="77"/>
      <c r="G539" s="77"/>
      <c r="H539" s="77"/>
      <c r="I539" s="208"/>
      <c r="J539" s="212"/>
      <c r="K539" s="208"/>
      <c r="L539" s="208"/>
      <c r="M539" s="208"/>
      <c r="N539" s="208"/>
      <c r="O539" s="208"/>
      <c r="P539" s="208"/>
      <c r="Q539" s="208" t="s">
        <v>268</v>
      </c>
      <c r="R539" s="208"/>
      <c r="S539" s="208"/>
      <c r="T539" s="208"/>
      <c r="U539" s="208"/>
      <c r="V539" s="208"/>
      <c r="W539" s="208"/>
      <c r="X539" s="208"/>
      <c r="Y539" s="208"/>
      <c r="Z539" s="208"/>
      <c r="AA539" s="208"/>
      <c r="AB539" s="208"/>
      <c r="AC539" s="208"/>
      <c r="AD539" s="102"/>
      <c r="AE539" s="102"/>
      <c r="AF539" s="102"/>
      <c r="AG539" s="102"/>
      <c r="AH539" s="102"/>
      <c r="AI539" s="102"/>
      <c r="AJ539" s="102"/>
      <c r="AK539" s="102"/>
      <c r="AL539" s="102"/>
      <c r="AM539" s="102"/>
      <c r="AN539" s="102"/>
      <c r="AO539" s="102"/>
      <c r="AP539" s="102"/>
      <c r="AQ539" s="102"/>
      <c r="AR539" s="102"/>
      <c r="AS539" s="102"/>
      <c r="AT539" s="102"/>
    </row>
    <row r="540" ht="15.75" customHeight="1">
      <c r="A540" s="214" t="s">
        <v>299</v>
      </c>
      <c r="B540" s="246" t="s">
        <v>3069</v>
      </c>
      <c r="C540" s="77" t="s">
        <v>3073</v>
      </c>
      <c r="D540" s="77" t="s">
        <v>3074</v>
      </c>
      <c r="E540" s="77" t="s">
        <v>3075</v>
      </c>
      <c r="F540" s="77"/>
      <c r="G540" s="77"/>
      <c r="H540" s="77"/>
      <c r="I540" s="216"/>
      <c r="J540" s="217"/>
      <c r="K540" s="216"/>
      <c r="L540" s="216"/>
      <c r="M540" s="216"/>
      <c r="N540" s="216"/>
      <c r="O540" s="229" t="s">
        <v>5482</v>
      </c>
      <c r="P540" s="216"/>
      <c r="Q540" s="216" t="s">
        <v>268</v>
      </c>
      <c r="R540" s="216"/>
      <c r="S540" s="216"/>
      <c r="T540" s="216"/>
      <c r="U540" s="216"/>
      <c r="V540" s="216"/>
      <c r="W540" s="216"/>
      <c r="X540" s="216"/>
      <c r="Y540" s="216"/>
      <c r="Z540" s="216"/>
      <c r="AA540" s="216"/>
      <c r="AB540" s="216"/>
      <c r="AC540" s="216"/>
      <c r="AD540" s="102"/>
      <c r="AE540" s="102"/>
      <c r="AF540" s="102"/>
      <c r="AG540" s="102"/>
      <c r="AH540" s="102"/>
      <c r="AI540" s="102"/>
      <c r="AJ540" s="102"/>
      <c r="AK540" s="102"/>
      <c r="AL540" s="102"/>
      <c r="AM540" s="102"/>
      <c r="AN540" s="102"/>
      <c r="AO540" s="102"/>
      <c r="AP540" s="102"/>
      <c r="AQ540" s="102"/>
      <c r="AR540" s="102"/>
      <c r="AS540" s="102"/>
      <c r="AT540" s="102"/>
    </row>
    <row r="541" ht="15.75" customHeight="1">
      <c r="A541" s="265" t="s">
        <v>396</v>
      </c>
      <c r="B541" s="266" t="s">
        <v>3076</v>
      </c>
      <c r="C541" s="77" t="s">
        <v>3081</v>
      </c>
      <c r="D541" s="77" t="s">
        <v>3082</v>
      </c>
      <c r="E541" s="77" t="s">
        <v>3083</v>
      </c>
      <c r="F541" s="77"/>
      <c r="G541" s="77"/>
      <c r="H541" s="77"/>
      <c r="I541" s="267"/>
      <c r="J541" s="267"/>
      <c r="K541" s="268"/>
      <c r="L541" s="268"/>
      <c r="M541" s="267"/>
      <c r="N541" s="267"/>
      <c r="O541" s="293" t="s">
        <v>5482</v>
      </c>
      <c r="P541" s="267"/>
      <c r="Q541" s="267" t="s">
        <v>268</v>
      </c>
      <c r="R541" s="267"/>
      <c r="S541" s="267"/>
      <c r="T541" s="267"/>
      <c r="U541" s="267"/>
      <c r="V541" s="267"/>
      <c r="W541" s="267"/>
      <c r="X541" s="267"/>
      <c r="Y541" s="267"/>
      <c r="Z541" s="267"/>
      <c r="AA541" s="267"/>
      <c r="AB541" s="267"/>
      <c r="AC541" s="267"/>
      <c r="AD541" s="102"/>
      <c r="AE541" s="102"/>
      <c r="AF541" s="102"/>
      <c r="AG541" s="102"/>
      <c r="AH541" s="102"/>
      <c r="AI541" s="102"/>
      <c r="AJ541" s="102"/>
      <c r="AK541" s="102"/>
      <c r="AL541" s="102"/>
      <c r="AM541" s="102"/>
      <c r="AN541" s="102"/>
      <c r="AO541" s="102"/>
      <c r="AP541" s="102"/>
      <c r="AQ541" s="102"/>
      <c r="AR541" s="102"/>
      <c r="AS541" s="102"/>
      <c r="AT541" s="102"/>
    </row>
    <row r="542" ht="15.75" customHeight="1">
      <c r="A542" s="259" t="s">
        <v>116</v>
      </c>
      <c r="B542" s="260" t="s">
        <v>5483</v>
      </c>
      <c r="C542" s="261" t="s">
        <v>5484</v>
      </c>
      <c r="D542" s="261"/>
      <c r="E542" s="261"/>
      <c r="F542" s="262"/>
      <c r="G542" s="262"/>
      <c r="H542" s="262"/>
      <c r="I542" s="262"/>
      <c r="J542" s="262"/>
      <c r="K542" s="262"/>
      <c r="L542" s="262"/>
      <c r="M542" s="262"/>
      <c r="N542" s="262"/>
      <c r="O542" s="262"/>
      <c r="P542" s="262"/>
      <c r="Q542" s="262"/>
      <c r="R542" s="262"/>
      <c r="S542" s="262"/>
      <c r="T542" s="363" t="s">
        <v>5485</v>
      </c>
      <c r="U542" s="264"/>
      <c r="V542" s="264"/>
      <c r="W542" s="262"/>
      <c r="X542" s="262"/>
      <c r="Y542" s="262"/>
      <c r="Z542" s="262"/>
      <c r="AA542" s="262"/>
      <c r="AB542" s="262"/>
      <c r="AC542" s="262"/>
      <c r="AD542" s="102"/>
      <c r="AE542" s="102"/>
      <c r="AF542" s="102"/>
      <c r="AG542" s="102"/>
      <c r="AH542" s="102"/>
      <c r="AI542" s="102"/>
      <c r="AJ542" s="102"/>
      <c r="AK542" s="102"/>
      <c r="AL542" s="102"/>
      <c r="AM542" s="102"/>
      <c r="AN542" s="102"/>
      <c r="AO542" s="102"/>
      <c r="AP542" s="102"/>
      <c r="AQ542" s="102"/>
      <c r="AR542" s="102"/>
      <c r="AS542" s="102"/>
      <c r="AT542" s="102"/>
    </row>
    <row r="543" ht="15.75" customHeight="1">
      <c r="A543" s="259" t="s">
        <v>116</v>
      </c>
      <c r="B543" s="260" t="s">
        <v>5486</v>
      </c>
      <c r="C543" s="261" t="s">
        <v>5487</v>
      </c>
      <c r="D543" s="261"/>
      <c r="E543" s="261"/>
      <c r="F543" s="262"/>
      <c r="G543" s="262"/>
      <c r="H543" s="262"/>
      <c r="I543" s="262"/>
      <c r="J543" s="262"/>
      <c r="K543" s="262"/>
      <c r="L543" s="262"/>
      <c r="M543" s="262"/>
      <c r="N543" s="262"/>
      <c r="O543" s="262"/>
      <c r="P543" s="262"/>
      <c r="Q543" s="262"/>
      <c r="R543" s="262"/>
      <c r="S543" s="262"/>
      <c r="T543" s="421" t="s">
        <v>5488</v>
      </c>
      <c r="U543" s="264"/>
      <c r="V543" s="262"/>
      <c r="W543" s="262"/>
      <c r="X543" s="262"/>
      <c r="Y543" s="262"/>
      <c r="Z543" s="262"/>
      <c r="AA543" s="262"/>
      <c r="AB543" s="262"/>
      <c r="AC543" s="262"/>
      <c r="AD543" s="102"/>
      <c r="AE543" s="102"/>
      <c r="AF543" s="102"/>
      <c r="AG543" s="102"/>
      <c r="AH543" s="102"/>
      <c r="AI543" s="102"/>
      <c r="AJ543" s="102"/>
      <c r="AK543" s="102"/>
      <c r="AL543" s="102"/>
      <c r="AM543" s="102"/>
      <c r="AN543" s="102"/>
      <c r="AO543" s="102"/>
      <c r="AP543" s="102"/>
      <c r="AQ543" s="102"/>
      <c r="AR543" s="102"/>
      <c r="AS543" s="102"/>
      <c r="AT543" s="102"/>
    </row>
    <row r="544" ht="15.75" customHeight="1">
      <c r="A544" s="259" t="s">
        <v>116</v>
      </c>
      <c r="B544" s="260" t="s">
        <v>5489</v>
      </c>
      <c r="C544" s="261" t="s">
        <v>5490</v>
      </c>
      <c r="D544" s="261"/>
      <c r="E544" s="261"/>
      <c r="F544" s="262"/>
      <c r="G544" s="262"/>
      <c r="H544" s="262"/>
      <c r="I544" s="262"/>
      <c r="J544" s="262"/>
      <c r="K544" s="262"/>
      <c r="L544" s="262"/>
      <c r="M544" s="262"/>
      <c r="N544" s="262"/>
      <c r="O544" s="262"/>
      <c r="P544" s="262"/>
      <c r="Q544" s="262"/>
      <c r="R544" s="262"/>
      <c r="S544" s="262"/>
      <c r="T544" s="363" t="s">
        <v>5491</v>
      </c>
      <c r="U544" s="264"/>
      <c r="V544" s="264"/>
      <c r="W544" s="264"/>
      <c r="X544" s="264"/>
      <c r="Y544" s="264"/>
      <c r="Z544" s="262"/>
      <c r="AA544" s="262"/>
      <c r="AB544" s="262"/>
      <c r="AC544" s="262"/>
      <c r="AD544" s="102"/>
      <c r="AE544" s="102"/>
      <c r="AF544" s="102"/>
      <c r="AG544" s="102"/>
      <c r="AH544" s="102"/>
      <c r="AI544" s="102"/>
      <c r="AJ544" s="102"/>
      <c r="AK544" s="102"/>
      <c r="AL544" s="102"/>
      <c r="AM544" s="102"/>
      <c r="AN544" s="102"/>
      <c r="AO544" s="102"/>
      <c r="AP544" s="102"/>
      <c r="AQ544" s="102"/>
      <c r="AR544" s="102"/>
      <c r="AS544" s="102"/>
      <c r="AT544" s="102"/>
    </row>
    <row r="545" ht="15.75" customHeight="1">
      <c r="A545" s="259" t="s">
        <v>116</v>
      </c>
      <c r="B545" s="260" t="s">
        <v>5492</v>
      </c>
      <c r="C545" s="261" t="s">
        <v>5493</v>
      </c>
      <c r="D545" s="261"/>
      <c r="E545" s="261"/>
      <c r="F545" s="262"/>
      <c r="G545" s="262"/>
      <c r="H545" s="262"/>
      <c r="I545" s="262"/>
      <c r="J545" s="262"/>
      <c r="K545" s="262"/>
      <c r="L545" s="262"/>
      <c r="M545" s="262"/>
      <c r="N545" s="262"/>
      <c r="O545" s="262"/>
      <c r="P545" s="262"/>
      <c r="Q545" s="262"/>
      <c r="R545" s="262"/>
      <c r="S545" s="262"/>
      <c r="T545" s="363" t="s">
        <v>5494</v>
      </c>
      <c r="U545" s="264"/>
      <c r="V545" s="262"/>
      <c r="W545" s="262"/>
      <c r="X545" s="262"/>
      <c r="Y545" s="262"/>
      <c r="Z545" s="262"/>
      <c r="AA545" s="262"/>
      <c r="AB545" s="262"/>
      <c r="AC545" s="262"/>
      <c r="AD545" s="102"/>
      <c r="AE545" s="102"/>
      <c r="AF545" s="102"/>
      <c r="AG545" s="102"/>
      <c r="AH545" s="102"/>
      <c r="AI545" s="102"/>
      <c r="AJ545" s="102"/>
      <c r="AK545" s="102"/>
      <c r="AL545" s="102"/>
      <c r="AM545" s="102"/>
      <c r="AN545" s="102"/>
      <c r="AO545" s="102"/>
      <c r="AP545" s="102"/>
      <c r="AQ545" s="102"/>
      <c r="AR545" s="102"/>
      <c r="AS545" s="102"/>
      <c r="AT545" s="102"/>
    </row>
    <row r="546" ht="15.75" customHeight="1">
      <c r="A546" s="259" t="s">
        <v>116</v>
      </c>
      <c r="B546" s="260" t="s">
        <v>5495</v>
      </c>
      <c r="C546" s="261" t="s">
        <v>5496</v>
      </c>
      <c r="D546" s="261"/>
      <c r="E546" s="261"/>
      <c r="F546" s="262"/>
      <c r="G546" s="262"/>
      <c r="H546" s="262"/>
      <c r="I546" s="262"/>
      <c r="J546" s="262"/>
      <c r="K546" s="262"/>
      <c r="L546" s="262"/>
      <c r="M546" s="262"/>
      <c r="N546" s="262"/>
      <c r="O546" s="262"/>
      <c r="P546" s="262"/>
      <c r="Q546" s="262"/>
      <c r="R546" s="262"/>
      <c r="S546" s="262"/>
      <c r="T546" s="363" t="s">
        <v>5497</v>
      </c>
      <c r="U546" s="264"/>
      <c r="V546" s="262"/>
      <c r="W546" s="262"/>
      <c r="X546" s="262"/>
      <c r="Y546" s="262"/>
      <c r="Z546" s="262"/>
      <c r="AA546" s="262"/>
      <c r="AB546" s="262"/>
      <c r="AC546" s="262"/>
      <c r="AD546" s="102"/>
      <c r="AE546" s="102"/>
      <c r="AF546" s="102"/>
      <c r="AG546" s="102"/>
      <c r="AH546" s="102"/>
      <c r="AI546" s="102"/>
      <c r="AJ546" s="102"/>
      <c r="AK546" s="102"/>
      <c r="AL546" s="102"/>
      <c r="AM546" s="102"/>
      <c r="AN546" s="102"/>
      <c r="AO546" s="102"/>
      <c r="AP546" s="102"/>
      <c r="AQ546" s="102"/>
      <c r="AR546" s="102"/>
      <c r="AS546" s="102"/>
      <c r="AT546" s="102"/>
    </row>
    <row r="547" ht="15.75" customHeight="1">
      <c r="A547" s="259" t="s">
        <v>116</v>
      </c>
      <c r="B547" s="260" t="s">
        <v>5498</v>
      </c>
      <c r="C547" s="261" t="s">
        <v>5499</v>
      </c>
      <c r="D547" s="261"/>
      <c r="E547" s="261"/>
      <c r="F547" s="262"/>
      <c r="G547" s="262"/>
      <c r="H547" s="262"/>
      <c r="I547" s="262"/>
      <c r="J547" s="262"/>
      <c r="K547" s="262"/>
      <c r="L547" s="262"/>
      <c r="M547" s="262"/>
      <c r="N547" s="262"/>
      <c r="O547" s="262"/>
      <c r="P547" s="262"/>
      <c r="Q547" s="262"/>
      <c r="R547" s="262"/>
      <c r="S547" s="262"/>
      <c r="T547" s="363" t="s">
        <v>5500</v>
      </c>
      <c r="U547" s="264"/>
      <c r="V547" s="262"/>
      <c r="W547" s="262"/>
      <c r="X547" s="262"/>
      <c r="Y547" s="262"/>
      <c r="Z547" s="262"/>
      <c r="AA547" s="262"/>
      <c r="AB547" s="262"/>
      <c r="AC547" s="262"/>
      <c r="AD547" s="102"/>
      <c r="AE547" s="102"/>
      <c r="AF547" s="102"/>
      <c r="AG547" s="102"/>
      <c r="AH547" s="102"/>
      <c r="AI547" s="102"/>
      <c r="AJ547" s="102"/>
      <c r="AK547" s="102"/>
      <c r="AL547" s="102"/>
      <c r="AM547" s="102"/>
      <c r="AN547" s="102"/>
      <c r="AO547" s="102"/>
      <c r="AP547" s="102"/>
      <c r="AQ547" s="102"/>
      <c r="AR547" s="102"/>
      <c r="AS547" s="102"/>
      <c r="AT547" s="102"/>
    </row>
    <row r="548" ht="15.75" customHeight="1">
      <c r="A548" s="259" t="s">
        <v>116</v>
      </c>
      <c r="B548" s="260" t="s">
        <v>5501</v>
      </c>
      <c r="C548" s="261" t="s">
        <v>5502</v>
      </c>
      <c r="D548" s="261"/>
      <c r="E548" s="261"/>
      <c r="F548" s="262"/>
      <c r="G548" s="262"/>
      <c r="H548" s="262"/>
      <c r="I548" s="262"/>
      <c r="J548" s="262"/>
      <c r="K548" s="262"/>
      <c r="L548" s="262"/>
      <c r="M548" s="262"/>
      <c r="N548" s="262"/>
      <c r="O548" s="262"/>
      <c r="P548" s="262"/>
      <c r="Q548" s="262"/>
      <c r="R548" s="262"/>
      <c r="S548" s="262"/>
      <c r="T548" s="363" t="s">
        <v>5503</v>
      </c>
      <c r="U548" s="264"/>
      <c r="V548" s="262"/>
      <c r="W548" s="262"/>
      <c r="X548" s="262"/>
      <c r="Y548" s="262"/>
      <c r="Z548" s="262"/>
      <c r="AA548" s="262"/>
      <c r="AB548" s="262"/>
      <c r="AC548" s="262"/>
      <c r="AD548" s="102"/>
      <c r="AE548" s="102"/>
      <c r="AF548" s="102"/>
      <c r="AG548" s="102"/>
      <c r="AH548" s="102"/>
      <c r="AI548" s="102"/>
      <c r="AJ548" s="102"/>
      <c r="AK548" s="102"/>
      <c r="AL548" s="102"/>
      <c r="AM548" s="102"/>
      <c r="AN548" s="102"/>
      <c r="AO548" s="102"/>
      <c r="AP548" s="102"/>
      <c r="AQ548" s="102"/>
      <c r="AR548" s="102"/>
      <c r="AS548" s="102"/>
      <c r="AT548" s="102"/>
    </row>
    <row r="549" ht="15.75" customHeight="1">
      <c r="A549" s="259" t="s">
        <v>116</v>
      </c>
      <c r="B549" s="260" t="s">
        <v>5504</v>
      </c>
      <c r="C549" s="261" t="s">
        <v>5505</v>
      </c>
      <c r="D549" s="261"/>
      <c r="E549" s="261"/>
      <c r="F549" s="262"/>
      <c r="G549" s="262"/>
      <c r="H549" s="262"/>
      <c r="I549" s="262"/>
      <c r="J549" s="262"/>
      <c r="K549" s="262"/>
      <c r="L549" s="262"/>
      <c r="M549" s="262"/>
      <c r="N549" s="262"/>
      <c r="O549" s="262"/>
      <c r="P549" s="262"/>
      <c r="Q549" s="262"/>
      <c r="R549" s="262"/>
      <c r="S549" s="262"/>
      <c r="T549" s="363" t="s">
        <v>5506</v>
      </c>
      <c r="U549" s="264"/>
      <c r="V549" s="264"/>
      <c r="W549" s="262"/>
      <c r="X549" s="262"/>
      <c r="Y549" s="262"/>
      <c r="Z549" s="262"/>
      <c r="AA549" s="262"/>
      <c r="AB549" s="262"/>
      <c r="AC549" s="262"/>
      <c r="AD549" s="102"/>
      <c r="AE549" s="102"/>
      <c r="AF549" s="102"/>
      <c r="AG549" s="102"/>
      <c r="AH549" s="102"/>
      <c r="AI549" s="102"/>
      <c r="AJ549" s="102"/>
      <c r="AK549" s="102"/>
      <c r="AL549" s="102"/>
      <c r="AM549" s="102"/>
      <c r="AN549" s="102"/>
      <c r="AO549" s="102"/>
      <c r="AP549" s="102"/>
      <c r="AQ549" s="102"/>
      <c r="AR549" s="102"/>
      <c r="AS549" s="102"/>
      <c r="AT549" s="102"/>
    </row>
    <row r="550" ht="15.75" customHeight="1">
      <c r="A550" s="259" t="s">
        <v>116</v>
      </c>
      <c r="B550" s="260" t="s">
        <v>5507</v>
      </c>
      <c r="C550" s="261"/>
      <c r="D550" s="261"/>
      <c r="E550" s="261"/>
      <c r="F550" s="262"/>
      <c r="G550" s="262"/>
      <c r="H550" s="262"/>
      <c r="I550" s="262"/>
      <c r="J550" s="262"/>
      <c r="K550" s="262"/>
      <c r="L550" s="262"/>
      <c r="M550" s="262"/>
      <c r="N550" s="262"/>
      <c r="O550" s="262"/>
      <c r="P550" s="262"/>
      <c r="Q550" s="262"/>
      <c r="R550" s="262"/>
      <c r="S550" s="262"/>
      <c r="T550" s="363" t="s">
        <v>5508</v>
      </c>
      <c r="U550" s="264"/>
      <c r="V550" s="264"/>
      <c r="W550" s="264"/>
      <c r="X550" s="264"/>
      <c r="Y550" s="264"/>
      <c r="Z550" s="262"/>
      <c r="AA550" s="262"/>
      <c r="AB550" s="262"/>
      <c r="AC550" s="262"/>
      <c r="AD550" s="102"/>
      <c r="AE550" s="102"/>
      <c r="AF550" s="102"/>
      <c r="AG550" s="102"/>
      <c r="AH550" s="102"/>
      <c r="AI550" s="102"/>
      <c r="AJ550" s="102"/>
      <c r="AK550" s="102"/>
      <c r="AL550" s="102"/>
      <c r="AM550" s="102"/>
      <c r="AN550" s="102"/>
      <c r="AO550" s="102"/>
      <c r="AP550" s="102"/>
      <c r="AQ550" s="102"/>
      <c r="AR550" s="102"/>
      <c r="AS550" s="102"/>
      <c r="AT550" s="102"/>
    </row>
    <row r="551" ht="15.75" customHeight="1">
      <c r="A551" s="126" t="s">
        <v>194</v>
      </c>
      <c r="B551" s="346" t="s">
        <v>3102</v>
      </c>
      <c r="C551" s="77" t="s">
        <v>5509</v>
      </c>
      <c r="D551" s="77" t="s">
        <v>5510</v>
      </c>
      <c r="E551" s="77" t="s">
        <v>5511</v>
      </c>
      <c r="F551" s="77"/>
      <c r="G551" s="77"/>
      <c r="H551" s="77"/>
      <c r="I551" s="128"/>
      <c r="J551" s="222"/>
      <c r="K551" s="128" t="s">
        <v>5456</v>
      </c>
      <c r="L551" s="128" t="s">
        <v>5512</v>
      </c>
      <c r="M551" s="128"/>
      <c r="N551" s="128"/>
      <c r="O551" s="128"/>
      <c r="P551" s="128"/>
      <c r="Q551" s="128" t="s">
        <v>268</v>
      </c>
      <c r="R551" s="128"/>
      <c r="S551" s="128"/>
      <c r="T551" s="128"/>
      <c r="U551" s="128"/>
      <c r="V551" s="128"/>
      <c r="W551" s="128"/>
      <c r="X551" s="128"/>
      <c r="Y551" s="128"/>
      <c r="Z551" s="128"/>
      <c r="AA551" s="128"/>
      <c r="AB551" s="128"/>
      <c r="AC551" s="128"/>
      <c r="AD551" s="102"/>
      <c r="AE551" s="102"/>
      <c r="AF551" s="102"/>
      <c r="AG551" s="102"/>
      <c r="AH551" s="102"/>
      <c r="AI551" s="102"/>
      <c r="AJ551" s="102"/>
      <c r="AK551" s="102"/>
      <c r="AL551" s="102"/>
      <c r="AM551" s="102"/>
      <c r="AN551" s="102"/>
      <c r="AO551" s="102"/>
      <c r="AP551" s="102"/>
      <c r="AQ551" s="102"/>
      <c r="AR551" s="102"/>
      <c r="AS551" s="102"/>
      <c r="AT551" s="102"/>
    </row>
    <row r="552" ht="15.75" customHeight="1">
      <c r="A552" s="198" t="s">
        <v>42</v>
      </c>
      <c r="B552" s="419" t="s">
        <v>3115</v>
      </c>
      <c r="C552" s="77" t="s">
        <v>3121</v>
      </c>
      <c r="D552" s="77" t="s">
        <v>3123</v>
      </c>
      <c r="E552" s="77" t="s">
        <v>3125</v>
      </c>
      <c r="F552" s="77"/>
      <c r="G552" s="77"/>
      <c r="H552" s="77"/>
      <c r="I552" s="200"/>
      <c r="J552" s="200"/>
      <c r="K552" s="200"/>
      <c r="L552" s="200"/>
      <c r="M552" s="200"/>
      <c r="N552" s="200"/>
      <c r="O552" s="286" t="s">
        <v>5371</v>
      </c>
      <c r="P552" s="200"/>
      <c r="Q552" s="200"/>
      <c r="R552" s="200"/>
      <c r="S552" s="200"/>
      <c r="T552" s="200"/>
      <c r="U552" s="200"/>
      <c r="V552" s="200"/>
      <c r="W552" s="200"/>
      <c r="X552" s="200"/>
      <c r="Y552" s="200"/>
      <c r="Z552" s="200"/>
      <c r="AA552" s="200"/>
      <c r="AB552" s="200"/>
      <c r="AC552" s="200"/>
      <c r="AD552" s="102"/>
      <c r="AE552" s="102"/>
      <c r="AF552" s="102"/>
      <c r="AG552" s="102"/>
      <c r="AH552" s="102"/>
      <c r="AI552" s="102"/>
      <c r="AJ552" s="102"/>
      <c r="AK552" s="102"/>
      <c r="AL552" s="102"/>
      <c r="AM552" s="102"/>
      <c r="AN552" s="102"/>
      <c r="AO552" s="102"/>
      <c r="AP552" s="102"/>
      <c r="AQ552" s="102"/>
      <c r="AR552" s="102"/>
      <c r="AS552" s="102"/>
      <c r="AT552" s="102"/>
    </row>
    <row r="553" ht="15.75" customHeight="1">
      <c r="A553" s="142" t="s">
        <v>183</v>
      </c>
      <c r="B553" s="239" t="s">
        <v>5513</v>
      </c>
      <c r="C553" s="144"/>
      <c r="D553" s="144"/>
      <c r="E553" s="144"/>
      <c r="F553" s="145"/>
      <c r="G553" s="145"/>
      <c r="H553" s="145"/>
      <c r="I553" s="145"/>
      <c r="J553" s="145"/>
      <c r="K553" s="145"/>
      <c r="L553" s="145"/>
      <c r="M553" s="145"/>
      <c r="N553" s="145"/>
      <c r="O553" s="146"/>
      <c r="P553" s="146"/>
      <c r="Q553" s="146"/>
      <c r="R553" s="146"/>
      <c r="S553" s="145"/>
      <c r="T553" s="402" t="s">
        <v>211</v>
      </c>
      <c r="U553" s="146"/>
      <c r="V553" s="145"/>
      <c r="W553" s="145"/>
      <c r="X553" s="145"/>
      <c r="Y553" s="145"/>
      <c r="Z553" s="145"/>
      <c r="AA553" s="145"/>
      <c r="AB553" s="145"/>
      <c r="AC553" s="145"/>
      <c r="AD553" s="102"/>
      <c r="AE553" s="102"/>
      <c r="AF553" s="102"/>
      <c r="AG553" s="102"/>
      <c r="AH553" s="102"/>
      <c r="AI553" s="102"/>
      <c r="AJ553" s="102"/>
      <c r="AK553" s="102"/>
      <c r="AL553" s="102"/>
      <c r="AM553" s="102"/>
      <c r="AN553" s="102"/>
      <c r="AO553" s="102"/>
      <c r="AP553" s="102"/>
      <c r="AQ553" s="102"/>
      <c r="AR553" s="102"/>
      <c r="AS553" s="102"/>
      <c r="AT553" s="102"/>
    </row>
    <row r="554" ht="15.75" customHeight="1">
      <c r="A554" s="249" t="s">
        <v>2279</v>
      </c>
      <c r="B554" s="250" t="s">
        <v>5514</v>
      </c>
      <c r="C554" s="250" t="s">
        <v>5515</v>
      </c>
      <c r="D554" s="251" t="s">
        <v>5516</v>
      </c>
      <c r="E554" s="251" t="s">
        <v>5517</v>
      </c>
      <c r="F554" s="252"/>
      <c r="G554" s="252"/>
      <c r="H554" s="252"/>
      <c r="I554" s="252"/>
      <c r="J554" s="252"/>
      <c r="K554" s="252"/>
      <c r="L554" s="252"/>
      <c r="M554" s="253"/>
      <c r="N554" s="253"/>
      <c r="O554" s="254" t="s">
        <v>5371</v>
      </c>
      <c r="P554" s="255"/>
      <c r="Q554" s="252"/>
      <c r="R554" s="252"/>
      <c r="S554" s="252"/>
      <c r="T554" s="252"/>
      <c r="U554" s="254" t="s">
        <v>5372</v>
      </c>
      <c r="V554" s="255"/>
      <c r="W554" s="252"/>
      <c r="X554" s="252"/>
      <c r="Y554" s="252"/>
      <c r="Z554" s="252"/>
      <c r="AA554" s="252"/>
      <c r="AB554" s="252"/>
      <c r="AC554" s="252"/>
      <c r="AD554" s="102"/>
      <c r="AE554" s="102"/>
      <c r="AF554" s="102"/>
      <c r="AG554" s="102"/>
      <c r="AH554" s="102"/>
      <c r="AI554" s="102"/>
      <c r="AJ554" s="102"/>
      <c r="AK554" s="102"/>
      <c r="AL554" s="102"/>
      <c r="AM554" s="102"/>
      <c r="AN554" s="102"/>
      <c r="AO554" s="102"/>
      <c r="AP554" s="102"/>
      <c r="AQ554" s="102"/>
      <c r="AR554" s="102"/>
      <c r="AS554" s="102"/>
      <c r="AT554" s="102"/>
    </row>
    <row r="555" ht="15.75" customHeight="1">
      <c r="A555" s="259" t="s">
        <v>116</v>
      </c>
      <c r="B555" s="422" t="s">
        <v>5518</v>
      </c>
      <c r="C555" s="261"/>
      <c r="D555" s="261"/>
      <c r="E555" s="261"/>
      <c r="F555" s="262"/>
      <c r="G555" s="262"/>
      <c r="H555" s="262"/>
      <c r="I555" s="262"/>
      <c r="J555" s="262"/>
      <c r="K555" s="262"/>
      <c r="L555" s="262"/>
      <c r="M555" s="262"/>
      <c r="N555" s="262"/>
      <c r="O555" s="262"/>
      <c r="P555" s="262"/>
      <c r="Q555" s="262"/>
      <c r="R555" s="262"/>
      <c r="S555" s="262"/>
      <c r="T555" s="363" t="s">
        <v>5377</v>
      </c>
      <c r="U555" s="264"/>
      <c r="V555" s="264"/>
      <c r="W555" s="264"/>
      <c r="X555" s="262"/>
      <c r="Y555" s="262"/>
      <c r="Z555" s="262"/>
      <c r="AA555" s="262"/>
      <c r="AB555" s="262"/>
      <c r="AC555" s="262"/>
      <c r="AD555" s="102"/>
      <c r="AE555" s="102"/>
      <c r="AF555" s="102"/>
      <c r="AG555" s="102"/>
      <c r="AH555" s="102"/>
      <c r="AI555" s="102"/>
      <c r="AJ555" s="102"/>
      <c r="AK555" s="102"/>
      <c r="AL555" s="102"/>
      <c r="AM555" s="102"/>
      <c r="AN555" s="102"/>
      <c r="AO555" s="102"/>
      <c r="AP555" s="102"/>
      <c r="AQ555" s="102"/>
      <c r="AR555" s="102"/>
      <c r="AS555" s="102"/>
      <c r="AT555" s="102"/>
    </row>
    <row r="556" ht="15.75" customHeight="1">
      <c r="A556" s="265" t="s">
        <v>396</v>
      </c>
      <c r="B556" s="266" t="s">
        <v>3139</v>
      </c>
      <c r="C556" s="77" t="s">
        <v>3141</v>
      </c>
      <c r="D556" s="77" t="s">
        <v>3142</v>
      </c>
      <c r="E556" s="77" t="s">
        <v>3143</v>
      </c>
      <c r="F556" s="77"/>
      <c r="G556" s="77"/>
      <c r="H556" s="77"/>
      <c r="I556" s="267"/>
      <c r="J556" s="267"/>
      <c r="K556" s="268"/>
      <c r="L556" s="268"/>
      <c r="M556" s="267"/>
      <c r="N556" s="267"/>
      <c r="O556" s="267"/>
      <c r="P556" s="267"/>
      <c r="Q556" s="267" t="s">
        <v>268</v>
      </c>
      <c r="R556" s="267"/>
      <c r="S556" s="267"/>
      <c r="T556" s="267"/>
      <c r="U556" s="267"/>
      <c r="V556" s="267"/>
      <c r="W556" s="267"/>
      <c r="X556" s="267"/>
      <c r="Y556" s="267"/>
      <c r="Z556" s="267"/>
      <c r="AA556" s="267"/>
      <c r="AB556" s="267"/>
      <c r="AC556" s="267"/>
      <c r="AD556" s="102"/>
      <c r="AE556" s="102"/>
      <c r="AF556" s="102"/>
      <c r="AG556" s="102"/>
      <c r="AH556" s="102"/>
      <c r="AI556" s="102"/>
      <c r="AJ556" s="102"/>
      <c r="AK556" s="102"/>
      <c r="AL556" s="102"/>
      <c r="AM556" s="102"/>
      <c r="AN556" s="102"/>
      <c r="AO556" s="102"/>
      <c r="AP556" s="102"/>
      <c r="AQ556" s="102"/>
      <c r="AR556" s="102"/>
      <c r="AS556" s="102"/>
      <c r="AT556" s="102"/>
    </row>
    <row r="557" ht="15.75" customHeight="1">
      <c r="A557" s="265" t="s">
        <v>396</v>
      </c>
      <c r="B557" s="266" t="s">
        <v>3146</v>
      </c>
      <c r="C557" s="77" t="s">
        <v>3148</v>
      </c>
      <c r="D557" s="77" t="s">
        <v>3149</v>
      </c>
      <c r="E557" s="77" t="s">
        <v>3150</v>
      </c>
      <c r="F557" s="77"/>
      <c r="G557" s="77"/>
      <c r="H557" s="77"/>
      <c r="I557" s="267"/>
      <c r="J557" s="267"/>
      <c r="K557" s="268"/>
      <c r="L557" s="268"/>
      <c r="M557" s="267"/>
      <c r="N557" s="267"/>
      <c r="O557" s="267"/>
      <c r="P557" s="267"/>
      <c r="Q557" s="267" t="s">
        <v>268</v>
      </c>
      <c r="R557" s="267"/>
      <c r="S557" s="267"/>
      <c r="T557" s="267"/>
      <c r="U557" s="267"/>
      <c r="V557" s="267"/>
      <c r="W557" s="267"/>
      <c r="X557" s="267"/>
      <c r="Y557" s="267"/>
      <c r="Z557" s="267"/>
      <c r="AA557" s="267"/>
      <c r="AB557" s="267"/>
      <c r="AC557" s="267"/>
      <c r="AD557" s="102"/>
      <c r="AE557" s="102"/>
      <c r="AF557" s="102"/>
      <c r="AG557" s="102"/>
      <c r="AH557" s="102"/>
      <c r="AI557" s="102"/>
      <c r="AJ557" s="102"/>
      <c r="AK557" s="102"/>
      <c r="AL557" s="102"/>
      <c r="AM557" s="102"/>
      <c r="AN557" s="102"/>
      <c r="AO557" s="102"/>
      <c r="AP557" s="102"/>
      <c r="AQ557" s="102"/>
      <c r="AR557" s="102"/>
      <c r="AS557" s="102"/>
      <c r="AT557" s="102"/>
    </row>
    <row r="558" ht="15.75" customHeight="1">
      <c r="A558" s="265" t="s">
        <v>396</v>
      </c>
      <c r="B558" s="266" t="s">
        <v>3151</v>
      </c>
      <c r="C558" s="77" t="s">
        <v>3152</v>
      </c>
      <c r="D558" s="77" t="s">
        <v>3153</v>
      </c>
      <c r="E558" s="77" t="s">
        <v>3154</v>
      </c>
      <c r="F558" s="77"/>
      <c r="G558" s="77"/>
      <c r="H558" s="77"/>
      <c r="I558" s="267"/>
      <c r="J558" s="267"/>
      <c r="K558" s="268"/>
      <c r="L558" s="268"/>
      <c r="M558" s="267"/>
      <c r="N558" s="267"/>
      <c r="O558" s="267"/>
      <c r="P558" s="267"/>
      <c r="Q558" s="267" t="s">
        <v>268</v>
      </c>
      <c r="R558" s="267"/>
      <c r="S558" s="267"/>
      <c r="T558" s="267"/>
      <c r="U558" s="267"/>
      <c r="V558" s="267"/>
      <c r="W558" s="267"/>
      <c r="X558" s="267"/>
      <c r="Y558" s="267"/>
      <c r="Z558" s="267"/>
      <c r="AA558" s="267"/>
      <c r="AB558" s="267"/>
      <c r="AC558" s="267"/>
      <c r="AD558" s="102"/>
      <c r="AE558" s="102"/>
      <c r="AF558" s="102"/>
      <c r="AG558" s="102"/>
      <c r="AH558" s="102"/>
      <c r="AI558" s="102"/>
      <c r="AJ558" s="102"/>
      <c r="AK558" s="102"/>
      <c r="AL558" s="102"/>
      <c r="AM558" s="102"/>
      <c r="AN558" s="102"/>
      <c r="AO558" s="102"/>
      <c r="AP558" s="102"/>
      <c r="AQ558" s="102"/>
      <c r="AR558" s="102"/>
      <c r="AS558" s="102"/>
      <c r="AT558" s="102"/>
    </row>
    <row r="559" ht="15.75" customHeight="1">
      <c r="A559" s="249" t="s">
        <v>2336</v>
      </c>
      <c r="B559" s="251" t="s">
        <v>5514</v>
      </c>
      <c r="C559" s="251" t="s">
        <v>5515</v>
      </c>
      <c r="D559" s="251" t="s">
        <v>5516</v>
      </c>
      <c r="E559" s="251" t="s">
        <v>5517</v>
      </c>
      <c r="F559" s="252"/>
      <c r="G559" s="252"/>
      <c r="H559" s="252"/>
      <c r="I559" s="252"/>
      <c r="J559" s="252"/>
      <c r="K559" s="252"/>
      <c r="L559" s="252"/>
      <c r="M559" s="252"/>
      <c r="N559" s="252"/>
      <c r="O559" s="252"/>
      <c r="P559" s="252"/>
      <c r="Q559" s="252"/>
      <c r="R559" s="252"/>
      <c r="S559" s="252"/>
      <c r="T559" s="252"/>
      <c r="U559" s="252"/>
      <c r="V559" s="252"/>
      <c r="W559" s="252"/>
      <c r="X559" s="252"/>
      <c r="Y559" s="252"/>
      <c r="Z559" s="252"/>
      <c r="AA559" s="252"/>
      <c r="AB559" s="252"/>
      <c r="AC559" s="252"/>
      <c r="AD559" s="102"/>
      <c r="AE559" s="102"/>
      <c r="AF559" s="102"/>
      <c r="AG559" s="102"/>
      <c r="AH559" s="102"/>
      <c r="AI559" s="102"/>
      <c r="AJ559" s="102"/>
      <c r="AK559" s="102"/>
      <c r="AL559" s="102"/>
      <c r="AM559" s="102"/>
      <c r="AN559" s="102"/>
      <c r="AO559" s="102"/>
      <c r="AP559" s="102"/>
      <c r="AQ559" s="102"/>
      <c r="AR559" s="102"/>
      <c r="AS559" s="102"/>
      <c r="AT559" s="102"/>
    </row>
    <row r="560">
      <c r="A560" s="417"/>
      <c r="B560" s="417"/>
      <c r="C560" s="417"/>
      <c r="D560" s="417"/>
      <c r="E560" s="417"/>
      <c r="F560" s="417"/>
      <c r="G560" s="417"/>
      <c r="H560" s="417"/>
      <c r="I560" s="417"/>
      <c r="J560" s="417"/>
      <c r="K560" s="417"/>
      <c r="L560" s="417"/>
      <c r="M560" s="417"/>
      <c r="N560" s="417"/>
      <c r="O560" s="417"/>
      <c r="P560" s="417"/>
      <c r="Q560" s="417"/>
      <c r="R560" s="417"/>
      <c r="S560" s="417"/>
      <c r="T560" s="417"/>
      <c r="U560" s="417"/>
      <c r="V560" s="417"/>
      <c r="W560" s="417"/>
      <c r="X560" s="417"/>
      <c r="Y560" s="417"/>
      <c r="Z560" s="417"/>
      <c r="AA560" s="417"/>
      <c r="AB560" s="417"/>
      <c r="AC560" s="417"/>
      <c r="AD560" s="417"/>
      <c r="AE560" s="417"/>
      <c r="AF560" s="417"/>
      <c r="AG560" s="417"/>
      <c r="AH560" s="417"/>
      <c r="AI560" s="417"/>
      <c r="AJ560" s="417"/>
      <c r="AK560" s="417"/>
      <c r="AL560" s="417"/>
      <c r="AM560" s="417"/>
      <c r="AN560" s="417"/>
      <c r="AO560" s="417"/>
      <c r="AP560" s="417"/>
      <c r="AQ560" s="417"/>
      <c r="AR560" s="417"/>
      <c r="AS560" s="417"/>
      <c r="AT560" s="417"/>
    </row>
    <row r="561">
      <c r="A561" s="417"/>
      <c r="B561" s="417"/>
      <c r="C561" s="417"/>
      <c r="D561" s="417"/>
      <c r="E561" s="417"/>
      <c r="F561" s="417"/>
      <c r="G561" s="417"/>
      <c r="H561" s="417"/>
      <c r="I561" s="417"/>
      <c r="J561" s="417"/>
      <c r="K561" s="417"/>
      <c r="L561" s="417"/>
      <c r="M561" s="417"/>
      <c r="N561" s="417"/>
      <c r="O561" s="417"/>
      <c r="P561" s="417"/>
      <c r="Q561" s="417"/>
      <c r="R561" s="417"/>
      <c r="S561" s="417"/>
      <c r="T561" s="417"/>
      <c r="U561" s="417"/>
      <c r="V561" s="417"/>
      <c r="W561" s="417"/>
      <c r="X561" s="417"/>
      <c r="Y561" s="417"/>
      <c r="Z561" s="417"/>
      <c r="AA561" s="417"/>
      <c r="AB561" s="417"/>
      <c r="AC561" s="417"/>
      <c r="AD561" s="417"/>
      <c r="AE561" s="417"/>
      <c r="AF561" s="417"/>
      <c r="AG561" s="417"/>
      <c r="AH561" s="417"/>
      <c r="AI561" s="417"/>
      <c r="AJ561" s="417"/>
      <c r="AK561" s="417"/>
      <c r="AL561" s="417"/>
      <c r="AM561" s="417"/>
      <c r="AN561" s="417"/>
      <c r="AO561" s="417"/>
      <c r="AP561" s="417"/>
      <c r="AQ561" s="417"/>
      <c r="AR561" s="417"/>
      <c r="AS561" s="417"/>
      <c r="AT561" s="417"/>
    </row>
    <row r="562" ht="15.75" customHeight="1">
      <c r="A562" s="265" t="s">
        <v>396</v>
      </c>
      <c r="B562" s="266" t="s">
        <v>3168</v>
      </c>
      <c r="C562" s="77" t="s">
        <v>3172</v>
      </c>
      <c r="D562" s="77" t="s">
        <v>3173</v>
      </c>
      <c r="E562" s="77" t="s">
        <v>3174</v>
      </c>
      <c r="F562" s="77"/>
      <c r="G562" s="77"/>
      <c r="H562" s="77"/>
      <c r="I562" s="267"/>
      <c r="J562" s="267"/>
      <c r="K562" s="268"/>
      <c r="L562" s="268"/>
      <c r="M562" s="267"/>
      <c r="N562" s="267"/>
      <c r="O562" s="267"/>
      <c r="P562" s="267"/>
      <c r="Q562" s="267" t="s">
        <v>268</v>
      </c>
      <c r="R562" s="267"/>
      <c r="S562" s="267"/>
      <c r="T562" s="267"/>
      <c r="U562" s="267"/>
      <c r="V562" s="267"/>
      <c r="W562" s="267"/>
      <c r="X562" s="267"/>
      <c r="Y562" s="267"/>
      <c r="Z562" s="267"/>
      <c r="AA562" s="267"/>
      <c r="AB562" s="267"/>
      <c r="AC562" s="267"/>
      <c r="AD562" s="102"/>
      <c r="AE562" s="102"/>
      <c r="AF562" s="102"/>
      <c r="AG562" s="102"/>
      <c r="AH562" s="102"/>
      <c r="AI562" s="102"/>
      <c r="AJ562" s="102"/>
      <c r="AK562" s="102"/>
      <c r="AL562" s="102"/>
      <c r="AM562" s="102"/>
      <c r="AN562" s="102"/>
      <c r="AO562" s="102"/>
      <c r="AP562" s="102"/>
      <c r="AQ562" s="102"/>
      <c r="AR562" s="102"/>
      <c r="AS562" s="102"/>
      <c r="AT562" s="102"/>
    </row>
    <row r="563" ht="15.75" customHeight="1">
      <c r="A563" s="198" t="s">
        <v>42</v>
      </c>
      <c r="B563" s="199" t="s">
        <v>3175</v>
      </c>
      <c r="C563" s="77" t="s">
        <v>3182</v>
      </c>
      <c r="D563" s="77" t="s">
        <v>3183</v>
      </c>
      <c r="E563" s="77" t="s">
        <v>3184</v>
      </c>
      <c r="F563" s="77"/>
      <c r="G563" s="77"/>
      <c r="H563" s="77"/>
      <c r="I563" s="200"/>
      <c r="J563" s="200"/>
      <c r="K563" s="200"/>
      <c r="L563" s="200"/>
      <c r="M563" s="200"/>
      <c r="N563" s="200"/>
      <c r="O563" s="200"/>
      <c r="P563" s="200"/>
      <c r="Q563" s="200"/>
      <c r="R563" s="200"/>
      <c r="S563" s="200"/>
      <c r="T563" s="200"/>
      <c r="U563" s="200"/>
      <c r="V563" s="200"/>
      <c r="W563" s="200"/>
      <c r="X563" s="200"/>
      <c r="Y563" s="200"/>
      <c r="Z563" s="200"/>
      <c r="AA563" s="200"/>
      <c r="AB563" s="200"/>
      <c r="AC563" s="200"/>
      <c r="AD563" s="102"/>
      <c r="AE563" s="102"/>
      <c r="AF563" s="102"/>
      <c r="AG563" s="102"/>
      <c r="AH563" s="102"/>
      <c r="AI563" s="102"/>
      <c r="AJ563" s="102"/>
      <c r="AK563" s="102"/>
      <c r="AL563" s="102"/>
      <c r="AM563" s="102"/>
      <c r="AN563" s="102"/>
      <c r="AO563" s="102"/>
      <c r="AP563" s="102"/>
      <c r="AQ563" s="102"/>
      <c r="AR563" s="102"/>
      <c r="AS563" s="102"/>
      <c r="AT563" s="102"/>
    </row>
    <row r="564" ht="15.75" customHeight="1">
      <c r="A564" s="265" t="s">
        <v>396</v>
      </c>
      <c r="B564" s="266" t="s">
        <v>3185</v>
      </c>
      <c r="C564" s="77" t="s">
        <v>3188</v>
      </c>
      <c r="D564" s="77" t="s">
        <v>3189</v>
      </c>
      <c r="E564" s="77" t="s">
        <v>3190</v>
      </c>
      <c r="F564" s="77"/>
      <c r="G564" s="77"/>
      <c r="H564" s="77"/>
      <c r="I564" s="267"/>
      <c r="J564" s="267"/>
      <c r="K564" s="268" t="s">
        <v>5519</v>
      </c>
      <c r="L564" s="268"/>
      <c r="M564" s="267"/>
      <c r="N564" s="267"/>
      <c r="O564" s="293" t="s">
        <v>5371</v>
      </c>
      <c r="P564" s="267"/>
      <c r="Q564" s="267" t="s">
        <v>268</v>
      </c>
      <c r="R564" s="267"/>
      <c r="S564" s="267"/>
      <c r="T564" s="267"/>
      <c r="U564" s="267"/>
      <c r="V564" s="267"/>
      <c r="W564" s="267"/>
      <c r="X564" s="267"/>
      <c r="Y564" s="267"/>
      <c r="Z564" s="267"/>
      <c r="AA564" s="267"/>
      <c r="AB564" s="267"/>
      <c r="AC564" s="267"/>
      <c r="AD564" s="102"/>
      <c r="AE564" s="102"/>
      <c r="AF564" s="102"/>
      <c r="AG564" s="102"/>
      <c r="AH564" s="102"/>
      <c r="AI564" s="102"/>
      <c r="AJ564" s="102"/>
      <c r="AK564" s="102"/>
      <c r="AL564" s="102"/>
      <c r="AM564" s="102"/>
      <c r="AN564" s="102"/>
      <c r="AO564" s="102"/>
      <c r="AP564" s="102"/>
      <c r="AQ564" s="102"/>
      <c r="AR564" s="102"/>
      <c r="AS564" s="102"/>
      <c r="AT564" s="102"/>
    </row>
    <row r="565" ht="15.75" customHeight="1">
      <c r="A565" s="206" t="s">
        <v>194</v>
      </c>
      <c r="B565" s="245" t="s">
        <v>3191</v>
      </c>
      <c r="C565" s="77" t="s">
        <v>3193</v>
      </c>
      <c r="D565" s="77" t="s">
        <v>3194</v>
      </c>
      <c r="E565" s="77" t="s">
        <v>3195</v>
      </c>
      <c r="F565" s="77"/>
      <c r="G565" s="77"/>
      <c r="H565" s="77"/>
      <c r="I565" s="208"/>
      <c r="J565" s="212"/>
      <c r="K565" s="208"/>
      <c r="L565" s="208"/>
      <c r="M565" s="208"/>
      <c r="N565" s="211"/>
      <c r="O565" s="211" t="s">
        <v>5371</v>
      </c>
      <c r="P565" s="208"/>
      <c r="Q565" s="208" t="s">
        <v>268</v>
      </c>
      <c r="R565" s="208"/>
      <c r="S565" s="208"/>
      <c r="T565" s="208"/>
      <c r="U565" s="208"/>
      <c r="V565" s="208"/>
      <c r="W565" s="208"/>
      <c r="X565" s="208"/>
      <c r="Y565" s="208"/>
      <c r="Z565" s="208"/>
      <c r="AA565" s="208"/>
      <c r="AB565" s="208"/>
      <c r="AC565" s="208"/>
      <c r="AD565" s="102"/>
      <c r="AE565" s="102"/>
      <c r="AF565" s="102"/>
      <c r="AG565" s="102"/>
      <c r="AH565" s="102"/>
      <c r="AI565" s="102"/>
      <c r="AJ565" s="102"/>
      <c r="AK565" s="102"/>
      <c r="AL565" s="102"/>
      <c r="AM565" s="102"/>
      <c r="AN565" s="102"/>
      <c r="AO565" s="102"/>
      <c r="AP565" s="102"/>
      <c r="AQ565" s="102"/>
      <c r="AR565" s="102"/>
      <c r="AS565" s="102"/>
      <c r="AT565" s="102"/>
    </row>
    <row r="566" ht="15.75" customHeight="1">
      <c r="A566" s="265" t="s">
        <v>396</v>
      </c>
      <c r="B566" s="266" t="s">
        <v>3196</v>
      </c>
      <c r="C566" s="77" t="s">
        <v>3200</v>
      </c>
      <c r="D566" s="77" t="s">
        <v>3201</v>
      </c>
      <c r="E566" s="77" t="s">
        <v>3202</v>
      </c>
      <c r="F566" s="77"/>
      <c r="G566" s="77"/>
      <c r="H566" s="77"/>
      <c r="I566" s="267"/>
      <c r="J566" s="267"/>
      <c r="K566" s="423" t="s">
        <v>5520</v>
      </c>
      <c r="L566" s="268"/>
      <c r="M566" s="267"/>
      <c r="N566" s="267"/>
      <c r="O566" s="293" t="s">
        <v>5521</v>
      </c>
      <c r="P566" s="267"/>
      <c r="Q566" s="267" t="s">
        <v>268</v>
      </c>
      <c r="R566" s="267"/>
      <c r="S566" s="267"/>
      <c r="T566" s="267"/>
      <c r="U566" s="267"/>
      <c r="V566" s="267"/>
      <c r="W566" s="267"/>
      <c r="X566" s="267"/>
      <c r="Y566" s="267"/>
      <c r="Z566" s="267"/>
      <c r="AA566" s="267"/>
      <c r="AB566" s="267"/>
      <c r="AC566" s="267"/>
      <c r="AD566" s="102"/>
      <c r="AE566" s="102"/>
      <c r="AF566" s="102"/>
      <c r="AG566" s="102"/>
      <c r="AH566" s="102"/>
      <c r="AI566" s="102"/>
      <c r="AJ566" s="102"/>
      <c r="AK566" s="102"/>
      <c r="AL566" s="102"/>
      <c r="AM566" s="102"/>
      <c r="AN566" s="102"/>
      <c r="AO566" s="102"/>
      <c r="AP566" s="102"/>
      <c r="AQ566" s="102"/>
      <c r="AR566" s="102"/>
      <c r="AS566" s="102"/>
      <c r="AT566" s="102"/>
    </row>
    <row r="567" ht="15.75" customHeight="1">
      <c r="A567" s="265" t="s">
        <v>396</v>
      </c>
      <c r="B567" s="266" t="s">
        <v>3203</v>
      </c>
      <c r="C567" s="77" t="s">
        <v>3207</v>
      </c>
      <c r="D567" s="77" t="s">
        <v>3208</v>
      </c>
      <c r="E567" s="77" t="s">
        <v>3209</v>
      </c>
      <c r="F567" s="77"/>
      <c r="G567" s="77"/>
      <c r="H567" s="77"/>
      <c r="I567" s="267"/>
      <c r="J567" s="267"/>
      <c r="K567" s="268"/>
      <c r="L567" s="268"/>
      <c r="M567" s="267"/>
      <c r="N567" s="267"/>
      <c r="O567" s="293" t="s">
        <v>5521</v>
      </c>
      <c r="P567" s="267"/>
      <c r="Q567" s="267" t="s">
        <v>268</v>
      </c>
      <c r="R567" s="267"/>
      <c r="S567" s="267"/>
      <c r="T567" s="267"/>
      <c r="U567" s="267"/>
      <c r="V567" s="267"/>
      <c r="W567" s="267"/>
      <c r="X567" s="267"/>
      <c r="Y567" s="267"/>
      <c r="Z567" s="267"/>
      <c r="AA567" s="267"/>
      <c r="AB567" s="267"/>
      <c r="AC567" s="267"/>
      <c r="AD567" s="102"/>
      <c r="AE567" s="102"/>
      <c r="AF567" s="102"/>
      <c r="AG567" s="102"/>
      <c r="AH567" s="102"/>
      <c r="AI567" s="102"/>
      <c r="AJ567" s="102"/>
      <c r="AK567" s="102"/>
      <c r="AL567" s="102"/>
      <c r="AM567" s="102"/>
      <c r="AN567" s="102"/>
      <c r="AO567" s="102"/>
      <c r="AP567" s="102"/>
      <c r="AQ567" s="102"/>
      <c r="AR567" s="102"/>
      <c r="AS567" s="102"/>
      <c r="AT567" s="102"/>
    </row>
    <row r="568" ht="15.75" customHeight="1">
      <c r="A568" s="259" t="s">
        <v>116</v>
      </c>
      <c r="B568" s="260" t="s">
        <v>5522</v>
      </c>
      <c r="C568" s="261"/>
      <c r="D568" s="261"/>
      <c r="E568" s="261"/>
      <c r="F568" s="262"/>
      <c r="G568" s="262"/>
      <c r="H568" s="262"/>
      <c r="I568" s="262"/>
      <c r="J568" s="262"/>
      <c r="K568" s="262"/>
      <c r="L568" s="262"/>
      <c r="M568" s="262"/>
      <c r="N568" s="262"/>
      <c r="O568" s="262"/>
      <c r="P568" s="262"/>
      <c r="Q568" s="262"/>
      <c r="R568" s="262"/>
      <c r="S568" s="262"/>
      <c r="T568" s="363" t="s">
        <v>5523</v>
      </c>
      <c r="U568" s="264"/>
      <c r="V568" s="264"/>
      <c r="W568" s="262"/>
      <c r="X568" s="262"/>
      <c r="Y568" s="262"/>
      <c r="Z568" s="262"/>
      <c r="AA568" s="262"/>
      <c r="AB568" s="262"/>
      <c r="AC568" s="262"/>
      <c r="AD568" s="102"/>
      <c r="AE568" s="102"/>
      <c r="AF568" s="102"/>
      <c r="AG568" s="102"/>
      <c r="AH568" s="102"/>
      <c r="AI568" s="102"/>
      <c r="AJ568" s="102"/>
      <c r="AK568" s="102"/>
      <c r="AL568" s="102"/>
      <c r="AM568" s="102"/>
      <c r="AN568" s="102"/>
      <c r="AO568" s="102"/>
      <c r="AP568" s="102"/>
      <c r="AQ568" s="102"/>
      <c r="AR568" s="102"/>
      <c r="AS568" s="102"/>
      <c r="AT568" s="102"/>
    </row>
    <row r="569" ht="15.75" customHeight="1">
      <c r="A569" s="206" t="s">
        <v>194</v>
      </c>
      <c r="B569" s="245" t="s">
        <v>3216</v>
      </c>
      <c r="C569" s="77" t="s">
        <v>3220</v>
      </c>
      <c r="D569" s="77" t="s">
        <v>3221</v>
      </c>
      <c r="E569" s="77" t="s">
        <v>3222</v>
      </c>
      <c r="F569" s="77"/>
      <c r="G569" s="77"/>
      <c r="H569" s="77"/>
      <c r="I569" s="208"/>
      <c r="J569" s="212"/>
      <c r="K569" s="208"/>
      <c r="L569" s="208"/>
      <c r="M569" s="208"/>
      <c r="N569" s="208"/>
      <c r="O569" s="211" t="s">
        <v>5521</v>
      </c>
      <c r="P569" s="208"/>
      <c r="Q569" s="208" t="s">
        <v>268</v>
      </c>
      <c r="R569" s="208"/>
      <c r="S569" s="208"/>
      <c r="T569" s="208"/>
      <c r="U569" s="208"/>
      <c r="V569" s="208"/>
      <c r="W569" s="208"/>
      <c r="X569" s="208"/>
      <c r="Y569" s="208"/>
      <c r="Z569" s="208"/>
      <c r="AA569" s="208"/>
      <c r="AB569" s="208"/>
      <c r="AC569" s="208"/>
      <c r="AD569" s="102"/>
      <c r="AE569" s="102"/>
      <c r="AF569" s="102"/>
      <c r="AG569" s="102"/>
      <c r="AH569" s="102"/>
      <c r="AI569" s="102"/>
      <c r="AJ569" s="102"/>
      <c r="AK569" s="102"/>
      <c r="AL569" s="102"/>
      <c r="AM569" s="102"/>
      <c r="AN569" s="102"/>
      <c r="AO569" s="102"/>
      <c r="AP569" s="102"/>
      <c r="AQ569" s="102"/>
      <c r="AR569" s="102"/>
      <c r="AS569" s="102"/>
      <c r="AT569" s="102"/>
    </row>
    <row r="570" ht="15.75" customHeight="1">
      <c r="A570" s="206" t="s">
        <v>194</v>
      </c>
      <c r="B570" s="245" t="s">
        <v>3225</v>
      </c>
      <c r="C570" s="77" t="s">
        <v>3227</v>
      </c>
      <c r="D570" s="77" t="s">
        <v>3228</v>
      </c>
      <c r="E570" s="77" t="s">
        <v>3229</v>
      </c>
      <c r="F570" s="77"/>
      <c r="G570" s="77"/>
      <c r="H570" s="77"/>
      <c r="I570" s="208"/>
      <c r="J570" s="212"/>
      <c r="K570" s="208"/>
      <c r="L570" s="208"/>
      <c r="M570" s="208"/>
      <c r="N570" s="208"/>
      <c r="O570" s="208"/>
      <c r="P570" s="208"/>
      <c r="Q570" s="208" t="s">
        <v>268</v>
      </c>
      <c r="R570" s="208"/>
      <c r="S570" s="208"/>
      <c r="T570" s="208"/>
      <c r="U570" s="208"/>
      <c r="V570" s="208"/>
      <c r="W570" s="208"/>
      <c r="X570" s="208"/>
      <c r="Y570" s="208"/>
      <c r="Z570" s="208"/>
      <c r="AA570" s="208"/>
      <c r="AB570" s="208"/>
      <c r="AC570" s="208"/>
      <c r="AD570" s="102"/>
      <c r="AE570" s="102"/>
      <c r="AF570" s="102"/>
      <c r="AG570" s="102"/>
      <c r="AH570" s="102"/>
      <c r="AI570" s="102"/>
      <c r="AJ570" s="102"/>
      <c r="AK570" s="102"/>
      <c r="AL570" s="102"/>
      <c r="AM570" s="102"/>
      <c r="AN570" s="102"/>
      <c r="AO570" s="102"/>
      <c r="AP570" s="102"/>
      <c r="AQ570" s="102"/>
      <c r="AR570" s="102"/>
      <c r="AS570" s="102"/>
      <c r="AT570" s="102"/>
    </row>
    <row r="571" ht="15.75" customHeight="1">
      <c r="A571" s="265" t="s">
        <v>396</v>
      </c>
      <c r="B571" s="266" t="s">
        <v>3230</v>
      </c>
      <c r="C571" s="77" t="s">
        <v>3233</v>
      </c>
      <c r="D571" s="77" t="s">
        <v>3235</v>
      </c>
      <c r="E571" s="77" t="s">
        <v>3236</v>
      </c>
      <c r="F571" s="77"/>
      <c r="G571" s="77"/>
      <c r="H571" s="77"/>
      <c r="I571" s="267"/>
      <c r="J571" s="267"/>
      <c r="K571" s="423" t="s">
        <v>5519</v>
      </c>
      <c r="L571" s="268"/>
      <c r="M571" s="267"/>
      <c r="N571" s="267"/>
      <c r="O571" s="293" t="s">
        <v>5524</v>
      </c>
      <c r="P571" s="267"/>
      <c r="Q571" s="267" t="s">
        <v>268</v>
      </c>
      <c r="R571" s="267"/>
      <c r="S571" s="267"/>
      <c r="T571" s="267"/>
      <c r="U571" s="267"/>
      <c r="V571" s="267"/>
      <c r="W571" s="267"/>
      <c r="X571" s="267"/>
      <c r="Y571" s="267"/>
      <c r="Z571" s="267"/>
      <c r="AA571" s="267"/>
      <c r="AB571" s="267"/>
      <c r="AC571" s="267"/>
      <c r="AD571" s="102"/>
      <c r="AE571" s="102"/>
      <c r="AF571" s="102"/>
      <c r="AG571" s="102"/>
      <c r="AH571" s="102"/>
      <c r="AI571" s="102"/>
      <c r="AJ571" s="102"/>
      <c r="AK571" s="102"/>
      <c r="AL571" s="102"/>
      <c r="AM571" s="102"/>
      <c r="AN571" s="102"/>
      <c r="AO571" s="102"/>
      <c r="AP571" s="102"/>
      <c r="AQ571" s="102"/>
      <c r="AR571" s="102"/>
      <c r="AS571" s="102"/>
      <c r="AT571" s="102"/>
    </row>
    <row r="572" ht="15.75" customHeight="1">
      <c r="A572" s="265" t="s">
        <v>396</v>
      </c>
      <c r="B572" s="266" t="s">
        <v>3237</v>
      </c>
      <c r="C572" s="77" t="s">
        <v>3239</v>
      </c>
      <c r="D572" s="77" t="s">
        <v>3240</v>
      </c>
      <c r="E572" s="77" t="s">
        <v>3241</v>
      </c>
      <c r="F572" s="77"/>
      <c r="G572" s="77"/>
      <c r="H572" s="77"/>
      <c r="I572" s="267"/>
      <c r="J572" s="267"/>
      <c r="K572" s="268"/>
      <c r="L572" s="268"/>
      <c r="M572" s="267"/>
      <c r="N572" s="267"/>
      <c r="O572" s="293" t="s">
        <v>5524</v>
      </c>
      <c r="P572" s="267"/>
      <c r="Q572" s="267" t="s">
        <v>268</v>
      </c>
      <c r="R572" s="267"/>
      <c r="S572" s="267"/>
      <c r="T572" s="267"/>
      <c r="U572" s="267"/>
      <c r="V572" s="267"/>
      <c r="W572" s="267"/>
      <c r="X572" s="267"/>
      <c r="Y572" s="267"/>
      <c r="Z572" s="267"/>
      <c r="AA572" s="267"/>
      <c r="AB572" s="267"/>
      <c r="AC572" s="267"/>
      <c r="AD572" s="102"/>
      <c r="AE572" s="102"/>
      <c r="AF572" s="102"/>
      <c r="AG572" s="102"/>
      <c r="AH572" s="102"/>
      <c r="AI572" s="102"/>
      <c r="AJ572" s="102"/>
      <c r="AK572" s="102"/>
      <c r="AL572" s="102"/>
      <c r="AM572" s="102"/>
      <c r="AN572" s="102"/>
      <c r="AO572" s="102"/>
      <c r="AP572" s="102"/>
      <c r="AQ572" s="102"/>
      <c r="AR572" s="102"/>
      <c r="AS572" s="102"/>
      <c r="AT572" s="102"/>
    </row>
    <row r="573" ht="15.75" customHeight="1">
      <c r="A573" s="198" t="s">
        <v>42</v>
      </c>
      <c r="B573" s="199" t="s">
        <v>3245</v>
      </c>
      <c r="C573" s="77" t="s">
        <v>3250</v>
      </c>
      <c r="D573" s="77" t="s">
        <v>3251</v>
      </c>
      <c r="E573" s="77" t="s">
        <v>3252</v>
      </c>
      <c r="F573" s="77"/>
      <c r="G573" s="77"/>
      <c r="H573" s="77"/>
      <c r="I573" s="200"/>
      <c r="J573" s="200"/>
      <c r="K573" s="200"/>
      <c r="L573" s="200"/>
      <c r="M573" s="200"/>
      <c r="N573" s="200"/>
      <c r="O573" s="200"/>
      <c r="P573" s="200"/>
      <c r="Q573" s="200"/>
      <c r="R573" s="200"/>
      <c r="S573" s="200"/>
      <c r="T573" s="200"/>
      <c r="U573" s="200"/>
      <c r="V573" s="200"/>
      <c r="W573" s="200"/>
      <c r="X573" s="200"/>
      <c r="Y573" s="200"/>
      <c r="Z573" s="200"/>
      <c r="AA573" s="200"/>
      <c r="AB573" s="200"/>
      <c r="AC573" s="200"/>
      <c r="AD573" s="102"/>
      <c r="AE573" s="102"/>
      <c r="AF573" s="102"/>
      <c r="AG573" s="102"/>
      <c r="AH573" s="102"/>
      <c r="AI573" s="102"/>
      <c r="AJ573" s="102"/>
      <c r="AK573" s="102"/>
      <c r="AL573" s="102"/>
      <c r="AM573" s="102"/>
      <c r="AN573" s="102"/>
      <c r="AO573" s="102"/>
      <c r="AP573" s="102"/>
      <c r="AQ573" s="102"/>
      <c r="AR573" s="102"/>
      <c r="AS573" s="102"/>
      <c r="AT573" s="102"/>
    </row>
    <row r="574" ht="15.75" customHeight="1">
      <c r="A574" s="206" t="s">
        <v>194</v>
      </c>
      <c r="B574" s="245" t="s">
        <v>3253</v>
      </c>
      <c r="C574" s="77" t="s">
        <v>3260</v>
      </c>
      <c r="D574" s="77" t="s">
        <v>3261</v>
      </c>
      <c r="E574" s="77" t="s">
        <v>3262</v>
      </c>
      <c r="F574" s="77"/>
      <c r="G574" s="77"/>
      <c r="H574" s="77"/>
      <c r="I574" s="208"/>
      <c r="J574" s="212"/>
      <c r="K574" s="208"/>
      <c r="L574" s="208"/>
      <c r="M574" s="208"/>
      <c r="N574" s="208"/>
      <c r="O574" s="208"/>
      <c r="P574" s="208"/>
      <c r="Q574" s="208" t="s">
        <v>268</v>
      </c>
      <c r="R574" s="208"/>
      <c r="S574" s="208"/>
      <c r="T574" s="208"/>
      <c r="U574" s="208"/>
      <c r="V574" s="208"/>
      <c r="W574" s="208"/>
      <c r="X574" s="208"/>
      <c r="Y574" s="208"/>
      <c r="Z574" s="208"/>
      <c r="AA574" s="208"/>
      <c r="AB574" s="208"/>
      <c r="AC574" s="208"/>
      <c r="AD574" s="102"/>
      <c r="AE574" s="102"/>
      <c r="AF574" s="102"/>
      <c r="AG574" s="102"/>
      <c r="AH574" s="102"/>
      <c r="AI574" s="102"/>
      <c r="AJ574" s="102"/>
      <c r="AK574" s="102"/>
      <c r="AL574" s="102"/>
      <c r="AM574" s="102"/>
      <c r="AN574" s="102"/>
      <c r="AO574" s="102"/>
      <c r="AP574" s="102"/>
      <c r="AQ574" s="102"/>
      <c r="AR574" s="102"/>
      <c r="AS574" s="102"/>
      <c r="AT574" s="102"/>
    </row>
    <row r="575" ht="15.75" customHeight="1">
      <c r="A575" s="265" t="s">
        <v>396</v>
      </c>
      <c r="B575" s="266" t="s">
        <v>3263</v>
      </c>
      <c r="C575" s="77" t="s">
        <v>3270</v>
      </c>
      <c r="D575" s="77" t="s">
        <v>3271</v>
      </c>
      <c r="E575" s="77" t="s">
        <v>3272</v>
      </c>
      <c r="F575" s="77"/>
      <c r="G575" s="77"/>
      <c r="H575" s="77"/>
      <c r="I575" s="267"/>
      <c r="J575" s="267"/>
      <c r="K575" s="268"/>
      <c r="L575" s="268"/>
      <c r="M575" s="267"/>
      <c r="N575" s="267"/>
      <c r="O575" s="267" t="s">
        <v>5525</v>
      </c>
      <c r="P575" s="267"/>
      <c r="Q575" s="267" t="s">
        <v>268</v>
      </c>
      <c r="R575" s="267"/>
      <c r="S575" s="267"/>
      <c r="T575" s="267"/>
      <c r="U575" s="267"/>
      <c r="V575" s="267"/>
      <c r="W575" s="267"/>
      <c r="X575" s="267"/>
      <c r="Y575" s="267"/>
      <c r="Z575" s="267"/>
      <c r="AA575" s="267"/>
      <c r="AB575" s="267"/>
      <c r="AC575" s="267"/>
      <c r="AD575" s="102"/>
      <c r="AE575" s="102"/>
      <c r="AF575" s="102"/>
      <c r="AG575" s="102"/>
      <c r="AH575" s="102"/>
      <c r="AI575" s="102"/>
      <c r="AJ575" s="102"/>
      <c r="AK575" s="102"/>
      <c r="AL575" s="102"/>
      <c r="AM575" s="102"/>
      <c r="AN575" s="102"/>
      <c r="AO575" s="102"/>
      <c r="AP575" s="102"/>
      <c r="AQ575" s="102"/>
      <c r="AR575" s="102"/>
      <c r="AS575" s="102"/>
      <c r="AT575" s="102"/>
    </row>
    <row r="576" ht="15.75" customHeight="1">
      <c r="A576" s="265" t="s">
        <v>396</v>
      </c>
      <c r="B576" s="266" t="s">
        <v>3273</v>
      </c>
      <c r="C576" s="77" t="s">
        <v>3280</v>
      </c>
      <c r="D576" s="77" t="s">
        <v>3281</v>
      </c>
      <c r="E576" s="77" t="s">
        <v>3282</v>
      </c>
      <c r="F576" s="77"/>
      <c r="G576" s="77"/>
      <c r="H576" s="77"/>
      <c r="I576" s="267"/>
      <c r="J576" s="267"/>
      <c r="K576" s="268"/>
      <c r="L576" s="268"/>
      <c r="M576" s="267"/>
      <c r="N576" s="267"/>
      <c r="O576" s="267"/>
      <c r="P576" s="267"/>
      <c r="Q576" s="267" t="s">
        <v>268</v>
      </c>
      <c r="R576" s="267"/>
      <c r="S576" s="267"/>
      <c r="T576" s="267"/>
      <c r="U576" s="267"/>
      <c r="V576" s="267"/>
      <c r="W576" s="267"/>
      <c r="X576" s="267"/>
      <c r="Y576" s="267"/>
      <c r="Z576" s="267"/>
      <c r="AA576" s="267"/>
      <c r="AB576" s="267"/>
      <c r="AC576" s="267"/>
      <c r="AD576" s="102"/>
      <c r="AE576" s="102"/>
      <c r="AF576" s="102"/>
      <c r="AG576" s="102"/>
      <c r="AH576" s="102"/>
      <c r="AI576" s="102"/>
      <c r="AJ576" s="102"/>
      <c r="AK576" s="102"/>
      <c r="AL576" s="102"/>
      <c r="AM576" s="102"/>
      <c r="AN576" s="102"/>
      <c r="AO576" s="102"/>
      <c r="AP576" s="102"/>
      <c r="AQ576" s="102"/>
      <c r="AR576" s="102"/>
      <c r="AS576" s="102"/>
      <c r="AT576" s="102"/>
    </row>
    <row r="577" ht="15.75" customHeight="1">
      <c r="A577" s="142" t="s">
        <v>183</v>
      </c>
      <c r="B577" s="239" t="s">
        <v>5526</v>
      </c>
      <c r="C577" s="144"/>
      <c r="D577" s="144"/>
      <c r="E577" s="144"/>
      <c r="F577" s="145"/>
      <c r="G577" s="145"/>
      <c r="H577" s="145"/>
      <c r="I577" s="145"/>
      <c r="J577" s="145"/>
      <c r="K577" s="145"/>
      <c r="L577" s="145"/>
      <c r="M577" s="145"/>
      <c r="N577" s="145"/>
      <c r="O577" s="146"/>
      <c r="P577" s="146"/>
      <c r="Q577" s="146"/>
      <c r="R577" s="146"/>
      <c r="S577" s="145"/>
      <c r="T577" s="402" t="s">
        <v>211</v>
      </c>
      <c r="U577" s="146"/>
      <c r="V577" s="145"/>
      <c r="W577" s="145"/>
      <c r="X577" s="145"/>
      <c r="Y577" s="145"/>
      <c r="Z577" s="145"/>
      <c r="AA577" s="145"/>
      <c r="AB577" s="145"/>
      <c r="AC577" s="145"/>
      <c r="AD577" s="102"/>
      <c r="AE577" s="102"/>
      <c r="AF577" s="102"/>
      <c r="AG577" s="102"/>
      <c r="AH577" s="102"/>
      <c r="AI577" s="102"/>
      <c r="AJ577" s="102"/>
      <c r="AK577" s="102"/>
      <c r="AL577" s="102"/>
      <c r="AM577" s="102"/>
      <c r="AN577" s="102"/>
      <c r="AO577" s="102"/>
      <c r="AP577" s="102"/>
      <c r="AQ577" s="102"/>
      <c r="AR577" s="102"/>
      <c r="AS577" s="102"/>
      <c r="AT577" s="102"/>
    </row>
    <row r="578" ht="15.75" customHeight="1">
      <c r="A578" s="90" t="s">
        <v>116</v>
      </c>
      <c r="B578" s="91" t="s">
        <v>5527</v>
      </c>
      <c r="C578" s="93"/>
      <c r="D578" s="96"/>
      <c r="E578" s="96"/>
      <c r="F578" s="97"/>
      <c r="G578" s="97"/>
      <c r="H578" s="97"/>
      <c r="I578" s="98"/>
      <c r="J578" s="98"/>
      <c r="K578" s="97"/>
      <c r="L578" s="98"/>
      <c r="M578" s="98"/>
      <c r="N578" s="98"/>
      <c r="O578" s="236"/>
      <c r="P578" s="100"/>
      <c r="Q578" s="100"/>
      <c r="R578" s="100"/>
      <c r="S578" s="97"/>
      <c r="T578" s="238" t="s">
        <v>5528</v>
      </c>
      <c r="U578" s="97"/>
      <c r="V578" s="97"/>
      <c r="W578" s="97"/>
      <c r="X578" s="97"/>
      <c r="Y578" s="97"/>
      <c r="Z578" s="97"/>
      <c r="AA578" s="97"/>
      <c r="AB578" s="97"/>
      <c r="AC578" s="97"/>
      <c r="AD578" s="102"/>
      <c r="AE578" s="102"/>
      <c r="AF578" s="102"/>
      <c r="AG578" s="102"/>
      <c r="AH578" s="102"/>
      <c r="AI578" s="102"/>
      <c r="AJ578" s="102"/>
      <c r="AK578" s="102"/>
      <c r="AL578" s="102"/>
      <c r="AM578" s="102"/>
      <c r="AN578" s="102"/>
      <c r="AO578" s="102"/>
      <c r="AP578" s="102"/>
      <c r="AQ578" s="102"/>
      <c r="AR578" s="102"/>
      <c r="AS578" s="102"/>
      <c r="AT578" s="102"/>
    </row>
    <row r="579" ht="15.75" customHeight="1">
      <c r="A579" s="337"/>
      <c r="B579" s="408"/>
      <c r="C579" s="338"/>
      <c r="D579" s="339"/>
      <c r="E579" s="339"/>
      <c r="F579" s="339"/>
      <c r="G579" s="339"/>
      <c r="H579" s="339"/>
      <c r="I579" s="339"/>
      <c r="J579" s="339"/>
      <c r="K579" s="339"/>
      <c r="L579" s="339"/>
      <c r="M579" s="339"/>
      <c r="N579" s="339"/>
      <c r="O579" s="339"/>
      <c r="P579" s="339"/>
      <c r="Q579" s="339"/>
      <c r="R579" s="339"/>
      <c r="S579" s="339"/>
      <c r="T579" s="339"/>
      <c r="U579" s="339"/>
      <c r="V579" s="339"/>
      <c r="W579" s="339"/>
      <c r="X579" s="339"/>
      <c r="Y579" s="339"/>
      <c r="Z579" s="339"/>
      <c r="AA579" s="339"/>
      <c r="AB579" s="339"/>
      <c r="AC579" s="339"/>
      <c r="AD579" s="102"/>
      <c r="AE579" s="102"/>
      <c r="AF579" s="102"/>
      <c r="AG579" s="102"/>
      <c r="AH579" s="102"/>
      <c r="AI579" s="102"/>
      <c r="AJ579" s="102"/>
      <c r="AK579" s="102"/>
      <c r="AL579" s="102"/>
      <c r="AM579" s="102"/>
      <c r="AN579" s="102"/>
      <c r="AO579" s="102"/>
      <c r="AP579" s="102"/>
      <c r="AQ579" s="102"/>
      <c r="AR579" s="102"/>
      <c r="AS579" s="102"/>
      <c r="AT579" s="102"/>
    </row>
    <row r="580" ht="15.75" customHeight="1">
      <c r="A580" s="142" t="s">
        <v>183</v>
      </c>
      <c r="B580" s="239" t="s">
        <v>5529</v>
      </c>
      <c r="C580" s="144"/>
      <c r="D580" s="144"/>
      <c r="E580" s="144"/>
      <c r="F580" s="145"/>
      <c r="G580" s="145"/>
      <c r="H580" s="145"/>
      <c r="I580" s="145"/>
      <c r="J580" s="145"/>
      <c r="K580" s="145"/>
      <c r="L580" s="145"/>
      <c r="M580" s="145"/>
      <c r="N580" s="145"/>
      <c r="O580" s="146"/>
      <c r="P580" s="146"/>
      <c r="Q580" s="146"/>
      <c r="R580" s="146"/>
      <c r="S580" s="145"/>
      <c r="T580" s="402" t="s">
        <v>211</v>
      </c>
      <c r="U580" s="146"/>
      <c r="V580" s="145"/>
      <c r="W580" s="145"/>
      <c r="X580" s="145"/>
      <c r="Y580" s="145"/>
      <c r="Z580" s="145"/>
      <c r="AA580" s="145"/>
      <c r="AB580" s="145"/>
      <c r="AC580" s="145"/>
      <c r="AD580" s="102"/>
      <c r="AE580" s="102"/>
      <c r="AF580" s="102"/>
      <c r="AG580" s="102"/>
      <c r="AH580" s="102"/>
      <c r="AI580" s="102"/>
      <c r="AJ580" s="102"/>
      <c r="AK580" s="102"/>
      <c r="AL580" s="102"/>
      <c r="AM580" s="102"/>
      <c r="AN580" s="102"/>
      <c r="AO580" s="102"/>
      <c r="AP580" s="102"/>
      <c r="AQ580" s="102"/>
      <c r="AR580" s="102"/>
      <c r="AS580" s="102"/>
      <c r="AT580" s="102"/>
    </row>
    <row r="581" ht="15.75" customHeight="1">
      <c r="A581" s="206" t="s">
        <v>194</v>
      </c>
      <c r="B581" s="245" t="s">
        <v>3289</v>
      </c>
      <c r="C581" s="77" t="s">
        <v>3293</v>
      </c>
      <c r="D581" s="77" t="s">
        <v>3294</v>
      </c>
      <c r="E581" s="77" t="s">
        <v>3295</v>
      </c>
      <c r="F581" s="77"/>
      <c r="G581" s="77"/>
      <c r="H581" s="77"/>
      <c r="I581" s="208"/>
      <c r="J581" s="212"/>
      <c r="K581" s="208"/>
      <c r="L581" s="208"/>
      <c r="M581" s="208"/>
      <c r="N581" s="208"/>
      <c r="O581" s="208"/>
      <c r="P581" s="208"/>
      <c r="Q581" s="208" t="s">
        <v>268</v>
      </c>
      <c r="R581" s="208"/>
      <c r="S581" s="208"/>
      <c r="T581" s="208"/>
      <c r="U581" s="208"/>
      <c r="V581" s="208"/>
      <c r="W581" s="208"/>
      <c r="X581" s="208"/>
      <c r="Y581" s="208"/>
      <c r="Z581" s="208"/>
      <c r="AA581" s="208"/>
      <c r="AB581" s="208"/>
      <c r="AC581" s="208"/>
      <c r="AD581" s="102"/>
      <c r="AE581" s="102"/>
      <c r="AF581" s="102"/>
      <c r="AG581" s="102"/>
      <c r="AH581" s="102"/>
      <c r="AI581" s="102"/>
      <c r="AJ581" s="102"/>
      <c r="AK581" s="102"/>
      <c r="AL581" s="102"/>
      <c r="AM581" s="102"/>
      <c r="AN581" s="102"/>
      <c r="AO581" s="102"/>
      <c r="AP581" s="102"/>
      <c r="AQ581" s="102"/>
      <c r="AR581" s="102"/>
      <c r="AS581" s="102"/>
      <c r="AT581" s="102"/>
    </row>
    <row r="582" ht="15.75" customHeight="1">
      <c r="A582" s="206" t="s">
        <v>3296</v>
      </c>
      <c r="B582" s="245" t="s">
        <v>3297</v>
      </c>
      <c r="C582" s="77" t="s">
        <v>3298</v>
      </c>
      <c r="D582" s="77" t="s">
        <v>3299</v>
      </c>
      <c r="E582" s="77" t="s">
        <v>3300</v>
      </c>
      <c r="F582" s="77" t="s">
        <v>3110</v>
      </c>
      <c r="G582" s="77" t="s">
        <v>5199</v>
      </c>
      <c r="H582" s="77" t="s">
        <v>3114</v>
      </c>
      <c r="I582" s="211"/>
      <c r="J582" s="209"/>
      <c r="K582" s="208"/>
      <c r="L582" s="208"/>
      <c r="M582" s="208"/>
      <c r="N582" s="208"/>
      <c r="O582" s="208" t="s">
        <v>5530</v>
      </c>
      <c r="P582" s="208"/>
      <c r="Q582" s="208" t="s">
        <v>268</v>
      </c>
      <c r="R582" s="208"/>
      <c r="S582" s="208"/>
      <c r="T582" s="208"/>
      <c r="U582" s="208"/>
      <c r="V582" s="208"/>
      <c r="W582" s="208"/>
      <c r="X582" s="208"/>
      <c r="Y582" s="208"/>
      <c r="Z582" s="208"/>
      <c r="AA582" s="208"/>
      <c r="AB582" s="208"/>
      <c r="AC582" s="208"/>
      <c r="AD582" s="102"/>
      <c r="AE582" s="102"/>
      <c r="AF582" s="102"/>
      <c r="AG582" s="102"/>
      <c r="AH582" s="102"/>
      <c r="AI582" s="102"/>
      <c r="AJ582" s="102"/>
      <c r="AK582" s="102"/>
      <c r="AL582" s="102"/>
      <c r="AM582" s="102"/>
      <c r="AN582" s="102"/>
      <c r="AO582" s="102"/>
      <c r="AP582" s="102"/>
      <c r="AQ582" s="102"/>
      <c r="AR582" s="102"/>
      <c r="AS582" s="102"/>
      <c r="AT582" s="102"/>
    </row>
    <row r="583" ht="15.75" customHeight="1">
      <c r="A583" s="214" t="s">
        <v>299</v>
      </c>
      <c r="B583" s="246" t="s">
        <v>3301</v>
      </c>
      <c r="C583" s="77" t="s">
        <v>3305</v>
      </c>
      <c r="D583" s="77" t="s">
        <v>3306</v>
      </c>
      <c r="E583" s="77" t="s">
        <v>3307</v>
      </c>
      <c r="F583" s="77"/>
      <c r="G583" s="77"/>
      <c r="H583" s="77"/>
      <c r="I583" s="216"/>
      <c r="J583" s="217"/>
      <c r="K583" s="216"/>
      <c r="L583" s="216"/>
      <c r="M583" s="216"/>
      <c r="N583" s="216"/>
      <c r="O583" s="216" t="s">
        <v>5531</v>
      </c>
      <c r="P583" s="216"/>
      <c r="Q583" s="216"/>
      <c r="R583" s="216"/>
      <c r="S583" s="216"/>
      <c r="T583" s="216"/>
      <c r="U583" s="216"/>
      <c r="V583" s="216"/>
      <c r="W583" s="216"/>
      <c r="X583" s="216"/>
      <c r="Y583" s="216"/>
      <c r="Z583" s="216"/>
      <c r="AA583" s="216"/>
      <c r="AB583" s="216"/>
      <c r="AC583" s="216"/>
      <c r="AD583" s="102"/>
      <c r="AE583" s="102"/>
      <c r="AF583" s="102"/>
      <c r="AG583" s="102"/>
      <c r="AH583" s="102"/>
      <c r="AI583" s="102"/>
      <c r="AJ583" s="102"/>
      <c r="AK583" s="102"/>
      <c r="AL583" s="102"/>
      <c r="AM583" s="102"/>
      <c r="AN583" s="102"/>
      <c r="AO583" s="102"/>
      <c r="AP583" s="102"/>
      <c r="AQ583" s="102"/>
      <c r="AR583" s="102"/>
      <c r="AS583" s="102"/>
      <c r="AT583" s="102"/>
    </row>
    <row r="584" ht="15.75" customHeight="1">
      <c r="A584" s="259" t="s">
        <v>116</v>
      </c>
      <c r="B584" s="260" t="s">
        <v>5532</v>
      </c>
      <c r="C584" s="261"/>
      <c r="D584" s="261"/>
      <c r="E584" s="261"/>
      <c r="F584" s="262"/>
      <c r="G584" s="262"/>
      <c r="H584" s="262"/>
      <c r="I584" s="262"/>
      <c r="J584" s="262"/>
      <c r="K584" s="262"/>
      <c r="L584" s="262"/>
      <c r="M584" s="262"/>
      <c r="N584" s="262"/>
      <c r="O584" s="262"/>
      <c r="P584" s="262"/>
      <c r="Q584" s="262"/>
      <c r="R584" s="262"/>
      <c r="S584" s="262"/>
      <c r="T584" s="363" t="s">
        <v>5533</v>
      </c>
      <c r="U584" s="264"/>
      <c r="V584" s="264"/>
      <c r="W584" s="264"/>
      <c r="X584" s="264"/>
      <c r="Y584" s="262"/>
      <c r="Z584" s="262"/>
      <c r="AA584" s="262"/>
      <c r="AB584" s="262"/>
      <c r="AC584" s="262"/>
      <c r="AD584" s="102"/>
      <c r="AE584" s="102"/>
      <c r="AF584" s="102"/>
      <c r="AG584" s="102"/>
      <c r="AH584" s="102"/>
      <c r="AI584" s="102"/>
      <c r="AJ584" s="102"/>
      <c r="AK584" s="102"/>
      <c r="AL584" s="102"/>
      <c r="AM584" s="102"/>
      <c r="AN584" s="102"/>
      <c r="AO584" s="102"/>
      <c r="AP584" s="102"/>
      <c r="AQ584" s="102"/>
      <c r="AR584" s="102"/>
      <c r="AS584" s="102"/>
      <c r="AT584" s="102"/>
    </row>
    <row r="585" ht="15.75" customHeight="1">
      <c r="A585" s="206" t="s">
        <v>194</v>
      </c>
      <c r="B585" s="245" t="s">
        <v>3313</v>
      </c>
      <c r="C585" s="77" t="s">
        <v>3318</v>
      </c>
      <c r="D585" s="77" t="s">
        <v>3319</v>
      </c>
      <c r="E585" s="77" t="s">
        <v>3321</v>
      </c>
      <c r="F585" s="77"/>
      <c r="G585" s="77"/>
      <c r="H585" s="77"/>
      <c r="I585" s="208"/>
      <c r="J585" s="212"/>
      <c r="K585" s="208"/>
      <c r="L585" s="208"/>
      <c r="M585" s="208"/>
      <c r="N585" s="208"/>
      <c r="O585" s="208" t="s">
        <v>5530</v>
      </c>
      <c r="P585" s="208"/>
      <c r="Q585" s="208" t="s">
        <v>268</v>
      </c>
      <c r="R585" s="208"/>
      <c r="S585" s="208"/>
      <c r="T585" s="208"/>
      <c r="U585" s="208"/>
      <c r="V585" s="208"/>
      <c r="W585" s="208"/>
      <c r="X585" s="208"/>
      <c r="Y585" s="208"/>
      <c r="Z585" s="208"/>
      <c r="AA585" s="208"/>
      <c r="AB585" s="208"/>
      <c r="AC585" s="208"/>
      <c r="AD585" s="102"/>
      <c r="AE585" s="102"/>
      <c r="AF585" s="102"/>
      <c r="AG585" s="102"/>
      <c r="AH585" s="102"/>
      <c r="AI585" s="102"/>
      <c r="AJ585" s="102"/>
      <c r="AK585" s="102"/>
      <c r="AL585" s="102"/>
      <c r="AM585" s="102"/>
      <c r="AN585" s="102"/>
      <c r="AO585" s="102"/>
      <c r="AP585" s="102"/>
      <c r="AQ585" s="102"/>
      <c r="AR585" s="102"/>
      <c r="AS585" s="102"/>
      <c r="AT585" s="102"/>
    </row>
    <row r="586" ht="15.75" customHeight="1">
      <c r="A586" s="265" t="s">
        <v>396</v>
      </c>
      <c r="B586" s="266" t="s">
        <v>3322</v>
      </c>
      <c r="C586" s="77" t="s">
        <v>3326</v>
      </c>
      <c r="D586" s="77" t="s">
        <v>3327</v>
      </c>
      <c r="E586" s="77" t="s">
        <v>3328</v>
      </c>
      <c r="F586" s="77"/>
      <c r="G586" s="77"/>
      <c r="H586" s="77"/>
      <c r="I586" s="267"/>
      <c r="J586" s="267"/>
      <c r="K586" s="268"/>
      <c r="L586" s="268"/>
      <c r="M586" s="267"/>
      <c r="N586" s="267"/>
      <c r="O586" s="267" t="s">
        <v>5530</v>
      </c>
      <c r="P586" s="267"/>
      <c r="Q586" s="267" t="s">
        <v>268</v>
      </c>
      <c r="R586" s="267"/>
      <c r="S586" s="267"/>
      <c r="T586" s="267"/>
      <c r="U586" s="267"/>
      <c r="V586" s="267"/>
      <c r="W586" s="267"/>
      <c r="X586" s="267"/>
      <c r="Y586" s="267"/>
      <c r="Z586" s="267"/>
      <c r="AA586" s="267"/>
      <c r="AB586" s="267"/>
      <c r="AC586" s="267"/>
      <c r="AD586" s="102"/>
      <c r="AE586" s="102"/>
      <c r="AF586" s="102"/>
      <c r="AG586" s="102"/>
      <c r="AH586" s="102"/>
      <c r="AI586" s="102"/>
      <c r="AJ586" s="102"/>
      <c r="AK586" s="102"/>
      <c r="AL586" s="102"/>
      <c r="AM586" s="102"/>
      <c r="AN586" s="102"/>
      <c r="AO586" s="102"/>
      <c r="AP586" s="102"/>
      <c r="AQ586" s="102"/>
      <c r="AR586" s="102"/>
      <c r="AS586" s="102"/>
      <c r="AT586" s="102"/>
    </row>
    <row r="587" ht="15.75" customHeight="1">
      <c r="A587" s="265" t="s">
        <v>396</v>
      </c>
      <c r="B587" s="266" t="s">
        <v>3329</v>
      </c>
      <c r="C587" s="77" t="s">
        <v>3336</v>
      </c>
      <c r="D587" s="77" t="s">
        <v>3337</v>
      </c>
      <c r="E587" s="77" t="s">
        <v>3338</v>
      </c>
      <c r="F587" s="77"/>
      <c r="G587" s="77"/>
      <c r="H587" s="77"/>
      <c r="I587" s="267"/>
      <c r="J587" s="267"/>
      <c r="K587" s="268"/>
      <c r="L587" s="268"/>
      <c r="M587" s="267"/>
      <c r="N587" s="267"/>
      <c r="O587" s="293" t="s">
        <v>5534</v>
      </c>
      <c r="P587" s="267"/>
      <c r="Q587" s="267" t="s">
        <v>268</v>
      </c>
      <c r="R587" s="267"/>
      <c r="S587" s="267"/>
      <c r="T587" s="267"/>
      <c r="U587" s="267"/>
      <c r="V587" s="267"/>
      <c r="W587" s="267"/>
      <c r="X587" s="267"/>
      <c r="Y587" s="267"/>
      <c r="Z587" s="267"/>
      <c r="AA587" s="267"/>
      <c r="AB587" s="267"/>
      <c r="AC587" s="267"/>
      <c r="AD587" s="102"/>
      <c r="AE587" s="102"/>
      <c r="AF587" s="102"/>
      <c r="AG587" s="102"/>
      <c r="AH587" s="102"/>
      <c r="AI587" s="102"/>
      <c r="AJ587" s="102"/>
      <c r="AK587" s="102"/>
      <c r="AL587" s="102"/>
      <c r="AM587" s="102"/>
      <c r="AN587" s="102"/>
      <c r="AO587" s="102"/>
      <c r="AP587" s="102"/>
      <c r="AQ587" s="102"/>
      <c r="AR587" s="102"/>
      <c r="AS587" s="102"/>
      <c r="AT587" s="102"/>
    </row>
    <row r="588">
      <c r="A588" s="417"/>
      <c r="B588" s="417"/>
      <c r="C588" s="417"/>
      <c r="D588" s="417"/>
      <c r="E588" s="417"/>
      <c r="F588" s="417"/>
      <c r="G588" s="417"/>
      <c r="H588" s="417"/>
      <c r="I588" s="417"/>
      <c r="J588" s="417"/>
      <c r="K588" s="417"/>
      <c r="L588" s="417"/>
      <c r="M588" s="417"/>
      <c r="N588" s="417"/>
      <c r="O588" s="417"/>
      <c r="P588" s="417"/>
      <c r="Q588" s="417"/>
      <c r="R588" s="417"/>
      <c r="S588" s="417"/>
      <c r="T588" s="417"/>
      <c r="U588" s="417"/>
      <c r="V588" s="417"/>
      <c r="W588" s="417"/>
      <c r="X588" s="417"/>
      <c r="Y588" s="417"/>
      <c r="Z588" s="417"/>
      <c r="AA588" s="417"/>
      <c r="AB588" s="417"/>
      <c r="AC588" s="417"/>
      <c r="AD588" s="417"/>
      <c r="AE588" s="417"/>
      <c r="AF588" s="417"/>
      <c r="AG588" s="417"/>
      <c r="AH588" s="417"/>
      <c r="AI588" s="417"/>
      <c r="AJ588" s="417"/>
      <c r="AK588" s="417"/>
      <c r="AL588" s="417"/>
      <c r="AM588" s="417"/>
      <c r="AN588" s="417"/>
      <c r="AO588" s="417"/>
      <c r="AP588" s="417"/>
      <c r="AQ588" s="417"/>
      <c r="AR588" s="417"/>
      <c r="AS588" s="417"/>
      <c r="AT588" s="417"/>
    </row>
    <row r="589" ht="15.75" customHeight="1">
      <c r="A589" s="249" t="s">
        <v>2279</v>
      </c>
      <c r="B589" s="250" t="s">
        <v>5535</v>
      </c>
      <c r="C589" s="250" t="s">
        <v>5536</v>
      </c>
      <c r="D589" s="251"/>
      <c r="E589" s="251"/>
      <c r="F589" s="252"/>
      <c r="G589" s="252"/>
      <c r="H589" s="252"/>
      <c r="I589" s="252"/>
      <c r="J589" s="252"/>
      <c r="K589" s="252"/>
      <c r="L589" s="252"/>
      <c r="M589" s="253"/>
      <c r="N589" s="253"/>
      <c r="O589" s="253"/>
      <c r="P589" s="252"/>
      <c r="Q589" s="252"/>
      <c r="R589" s="252"/>
      <c r="S589" s="252"/>
      <c r="T589" s="252"/>
      <c r="U589" s="254" t="s">
        <v>5537</v>
      </c>
      <c r="V589" s="255"/>
      <c r="W589" s="252"/>
      <c r="X589" s="252"/>
      <c r="Y589" s="252"/>
      <c r="Z589" s="252"/>
      <c r="AA589" s="252"/>
      <c r="AB589" s="252"/>
      <c r="AC589" s="252"/>
      <c r="AD589" s="102"/>
      <c r="AE589" s="102"/>
      <c r="AF589" s="102"/>
      <c r="AG589" s="102"/>
      <c r="AH589" s="102"/>
      <c r="AI589" s="102"/>
      <c r="AJ589" s="102"/>
      <c r="AK589" s="102"/>
      <c r="AL589" s="102"/>
      <c r="AM589" s="102"/>
      <c r="AN589" s="102"/>
      <c r="AO589" s="102"/>
      <c r="AP589" s="102"/>
      <c r="AQ589" s="102"/>
      <c r="AR589" s="102"/>
      <c r="AS589" s="102"/>
      <c r="AT589" s="102"/>
    </row>
    <row r="590" ht="15.75" customHeight="1">
      <c r="A590" s="259" t="s">
        <v>116</v>
      </c>
      <c r="B590" s="260" t="s">
        <v>5538</v>
      </c>
      <c r="C590" s="261"/>
      <c r="D590" s="261"/>
      <c r="E590" s="261"/>
      <c r="F590" s="262"/>
      <c r="G590" s="262"/>
      <c r="H590" s="262"/>
      <c r="I590" s="262"/>
      <c r="J590" s="262"/>
      <c r="K590" s="262"/>
      <c r="L590" s="262"/>
      <c r="M590" s="262"/>
      <c r="N590" s="262"/>
      <c r="O590" s="262"/>
      <c r="P590" s="262"/>
      <c r="Q590" s="262"/>
      <c r="R590" s="262"/>
      <c r="S590" s="262"/>
      <c r="T590" s="363" t="s">
        <v>5539</v>
      </c>
      <c r="U590" s="264"/>
      <c r="V590" s="262"/>
      <c r="W590" s="262"/>
      <c r="X590" s="262"/>
      <c r="Y590" s="262"/>
      <c r="Z590" s="262"/>
      <c r="AA590" s="262"/>
      <c r="AB590" s="262"/>
      <c r="AC590" s="262"/>
      <c r="AD590" s="102"/>
      <c r="AE590" s="102"/>
      <c r="AF590" s="102"/>
      <c r="AG590" s="102"/>
      <c r="AH590" s="102"/>
      <c r="AI590" s="102"/>
      <c r="AJ590" s="102"/>
      <c r="AK590" s="102"/>
      <c r="AL590" s="102"/>
      <c r="AM590" s="102"/>
      <c r="AN590" s="102"/>
      <c r="AO590" s="102"/>
      <c r="AP590" s="102"/>
      <c r="AQ590" s="102"/>
      <c r="AR590" s="102"/>
      <c r="AS590" s="102"/>
      <c r="AT590" s="102"/>
    </row>
    <row r="591" ht="15.75" customHeight="1">
      <c r="A591" s="259" t="s">
        <v>116</v>
      </c>
      <c r="B591" s="260" t="s">
        <v>5540</v>
      </c>
      <c r="C591" s="261"/>
      <c r="D591" s="261"/>
      <c r="E591" s="261"/>
      <c r="F591" s="262"/>
      <c r="G591" s="262"/>
      <c r="H591" s="262"/>
      <c r="I591" s="262"/>
      <c r="J591" s="262"/>
      <c r="K591" s="262"/>
      <c r="L591" s="262"/>
      <c r="M591" s="262"/>
      <c r="N591" s="262"/>
      <c r="O591" s="262"/>
      <c r="P591" s="262"/>
      <c r="Q591" s="262"/>
      <c r="R591" s="262"/>
      <c r="S591" s="262"/>
      <c r="T591" s="363" t="s">
        <v>5541</v>
      </c>
      <c r="U591" s="264"/>
      <c r="V591" s="264"/>
      <c r="W591" s="262"/>
      <c r="X591" s="262"/>
      <c r="Y591" s="262"/>
      <c r="Z591" s="262"/>
      <c r="AA591" s="262"/>
      <c r="AB591" s="262"/>
      <c r="AC591" s="262"/>
      <c r="AD591" s="102"/>
      <c r="AE591" s="102"/>
      <c r="AF591" s="102"/>
      <c r="AG591" s="102"/>
      <c r="AH591" s="102"/>
      <c r="AI591" s="102"/>
      <c r="AJ591" s="102"/>
      <c r="AK591" s="102"/>
      <c r="AL591" s="102"/>
      <c r="AM591" s="102"/>
      <c r="AN591" s="102"/>
      <c r="AO591" s="102"/>
      <c r="AP591" s="102"/>
      <c r="AQ591" s="102"/>
      <c r="AR591" s="102"/>
      <c r="AS591" s="102"/>
      <c r="AT591" s="102"/>
    </row>
    <row r="592" ht="15.75" customHeight="1">
      <c r="A592" s="259" t="s">
        <v>116</v>
      </c>
      <c r="B592" s="260" t="s">
        <v>5542</v>
      </c>
      <c r="C592" s="261"/>
      <c r="D592" s="261"/>
      <c r="E592" s="261"/>
      <c r="F592" s="262"/>
      <c r="G592" s="262"/>
      <c r="H592" s="262"/>
      <c r="I592" s="262"/>
      <c r="J592" s="262"/>
      <c r="K592" s="424"/>
      <c r="L592" s="262"/>
      <c r="M592" s="262"/>
      <c r="N592" s="262"/>
      <c r="O592" s="262"/>
      <c r="P592" s="262"/>
      <c r="Q592" s="262"/>
      <c r="R592" s="262"/>
      <c r="S592" s="262"/>
      <c r="T592" s="363" t="s">
        <v>5543</v>
      </c>
      <c r="U592" s="264"/>
      <c r="V592" s="264"/>
      <c r="W592" s="262"/>
      <c r="X592" s="262"/>
      <c r="Y592" s="262"/>
      <c r="Z592" s="262"/>
      <c r="AA592" s="262"/>
      <c r="AB592" s="262"/>
      <c r="AC592" s="262"/>
      <c r="AD592" s="102"/>
      <c r="AE592" s="102"/>
      <c r="AF592" s="102"/>
      <c r="AG592" s="102"/>
      <c r="AH592" s="102"/>
      <c r="AI592" s="102"/>
      <c r="AJ592" s="102"/>
      <c r="AK592" s="102"/>
      <c r="AL592" s="102"/>
      <c r="AM592" s="102"/>
      <c r="AN592" s="102"/>
      <c r="AO592" s="102"/>
      <c r="AP592" s="102"/>
      <c r="AQ592" s="102"/>
      <c r="AR592" s="102"/>
      <c r="AS592" s="102"/>
      <c r="AT592" s="102"/>
    </row>
    <row r="593" ht="15.75" customHeight="1">
      <c r="A593" s="265" t="s">
        <v>396</v>
      </c>
      <c r="B593" s="266" t="s">
        <v>3348</v>
      </c>
      <c r="C593" s="77" t="s">
        <v>3354</v>
      </c>
      <c r="D593" s="77" t="s">
        <v>3355</v>
      </c>
      <c r="E593" s="77" t="s">
        <v>3356</v>
      </c>
      <c r="F593" s="77"/>
      <c r="G593" s="77"/>
      <c r="H593" s="77"/>
      <c r="I593" s="267"/>
      <c r="J593" s="267"/>
      <c r="K593" s="268" t="s">
        <v>5519</v>
      </c>
      <c r="L593" s="268"/>
      <c r="M593" s="267"/>
      <c r="N593" s="267"/>
      <c r="O593" s="293" t="s">
        <v>5544</v>
      </c>
      <c r="P593" s="267"/>
      <c r="Q593" s="267" t="s">
        <v>268</v>
      </c>
      <c r="R593" s="267"/>
      <c r="S593" s="267"/>
      <c r="T593" s="267"/>
      <c r="U593" s="267"/>
      <c r="V593" s="267"/>
      <c r="W593" s="267"/>
      <c r="X593" s="267"/>
      <c r="Y593" s="267"/>
      <c r="Z593" s="267"/>
      <c r="AA593" s="267"/>
      <c r="AB593" s="267"/>
      <c r="AC593" s="267"/>
      <c r="AD593" s="102"/>
      <c r="AE593" s="102"/>
      <c r="AF593" s="102"/>
      <c r="AG593" s="102"/>
      <c r="AH593" s="102"/>
      <c r="AI593" s="102"/>
      <c r="AJ593" s="102"/>
      <c r="AK593" s="102"/>
      <c r="AL593" s="102"/>
      <c r="AM593" s="102"/>
      <c r="AN593" s="102"/>
      <c r="AO593" s="102"/>
      <c r="AP593" s="102"/>
      <c r="AQ593" s="102"/>
      <c r="AR593" s="102"/>
      <c r="AS593" s="102"/>
      <c r="AT593" s="102"/>
    </row>
    <row r="594" ht="15.75" customHeight="1">
      <c r="A594" s="249" t="s">
        <v>2336</v>
      </c>
      <c r="B594" s="251" t="s">
        <v>5535</v>
      </c>
      <c r="C594" s="251" t="s">
        <v>5536</v>
      </c>
      <c r="D594" s="251"/>
      <c r="E594" s="251"/>
      <c r="F594" s="252"/>
      <c r="G594" s="252"/>
      <c r="H594" s="252"/>
      <c r="I594" s="252"/>
      <c r="J594" s="252"/>
      <c r="K594" s="252"/>
      <c r="L594" s="252"/>
      <c r="M594" s="252"/>
      <c r="N594" s="252"/>
      <c r="O594" s="252"/>
      <c r="P594" s="252"/>
      <c r="Q594" s="252"/>
      <c r="R594" s="252"/>
      <c r="S594" s="252"/>
      <c r="T594" s="252"/>
      <c r="U594" s="252"/>
      <c r="V594" s="252"/>
      <c r="W594" s="252"/>
      <c r="X594" s="252"/>
      <c r="Y594" s="252"/>
      <c r="Z594" s="252"/>
      <c r="AA594" s="252"/>
      <c r="AB594" s="252"/>
      <c r="AC594" s="252"/>
      <c r="AD594" s="102"/>
      <c r="AE594" s="102"/>
      <c r="AF594" s="102"/>
      <c r="AG594" s="102"/>
      <c r="AH594" s="102"/>
      <c r="AI594" s="102"/>
      <c r="AJ594" s="102"/>
      <c r="AK594" s="102"/>
      <c r="AL594" s="102"/>
      <c r="AM594" s="102"/>
      <c r="AN594" s="102"/>
      <c r="AO594" s="102"/>
      <c r="AP594" s="102"/>
      <c r="AQ594" s="102"/>
      <c r="AR594" s="102"/>
      <c r="AS594" s="102"/>
      <c r="AT594" s="102"/>
    </row>
    <row r="595" ht="15.75" customHeight="1">
      <c r="A595" s="142" t="s">
        <v>183</v>
      </c>
      <c r="B595" s="239" t="s">
        <v>5545</v>
      </c>
      <c r="C595" s="144"/>
      <c r="D595" s="144"/>
      <c r="E595" s="144"/>
      <c r="F595" s="145"/>
      <c r="G595" s="145"/>
      <c r="H595" s="145"/>
      <c r="I595" s="145"/>
      <c r="J595" s="145"/>
      <c r="K595" s="145"/>
      <c r="L595" s="145"/>
      <c r="M595" s="145"/>
      <c r="N595" s="145"/>
      <c r="O595" s="146"/>
      <c r="P595" s="146"/>
      <c r="Q595" s="146"/>
      <c r="R595" s="146"/>
      <c r="S595" s="145"/>
      <c r="T595" s="402" t="s">
        <v>211</v>
      </c>
      <c r="U595" s="146"/>
      <c r="V595" s="145"/>
      <c r="W595" s="145"/>
      <c r="X595" s="145"/>
      <c r="Y595" s="145"/>
      <c r="Z595" s="145"/>
      <c r="AA595" s="145"/>
      <c r="AB595" s="145"/>
      <c r="AC595" s="145"/>
      <c r="AD595" s="102"/>
      <c r="AE595" s="102"/>
      <c r="AF595" s="102"/>
      <c r="AG595" s="102"/>
      <c r="AH595" s="102"/>
      <c r="AI595" s="102"/>
      <c r="AJ595" s="102"/>
      <c r="AK595" s="102"/>
      <c r="AL595" s="102"/>
      <c r="AM595" s="102"/>
      <c r="AN595" s="102"/>
      <c r="AO595" s="102"/>
      <c r="AP595" s="102"/>
      <c r="AQ595" s="102"/>
      <c r="AR595" s="102"/>
      <c r="AS595" s="102"/>
      <c r="AT595" s="102"/>
    </row>
    <row r="596" ht="15.75" customHeight="1">
      <c r="A596" s="90" t="s">
        <v>116</v>
      </c>
      <c r="B596" s="91" t="s">
        <v>5546</v>
      </c>
      <c r="C596" s="93"/>
      <c r="D596" s="96"/>
      <c r="E596" s="96"/>
      <c r="F596" s="97"/>
      <c r="G596" s="97"/>
      <c r="H596" s="97"/>
      <c r="I596" s="98"/>
      <c r="J596" s="98"/>
      <c r="K596" s="97"/>
      <c r="L596" s="98"/>
      <c r="M596" s="98"/>
      <c r="N596" s="98"/>
      <c r="O596" s="236"/>
      <c r="P596" s="100"/>
      <c r="Q596" s="100"/>
      <c r="R596" s="100"/>
      <c r="S596" s="97"/>
      <c r="T596" s="238" t="s">
        <v>5547</v>
      </c>
      <c r="U596" s="97"/>
      <c r="V596" s="97"/>
      <c r="W596" s="97"/>
      <c r="X596" s="97"/>
      <c r="Y596" s="97"/>
      <c r="Z596" s="97"/>
      <c r="AA596" s="97"/>
      <c r="AB596" s="97"/>
      <c r="AC596" s="97"/>
      <c r="AD596" s="102"/>
      <c r="AE596" s="102"/>
      <c r="AF596" s="102"/>
      <c r="AG596" s="102"/>
      <c r="AH596" s="102"/>
      <c r="AI596" s="102"/>
      <c r="AJ596" s="102"/>
      <c r="AK596" s="102"/>
      <c r="AL596" s="102"/>
      <c r="AM596" s="102"/>
      <c r="AN596" s="102"/>
      <c r="AO596" s="102"/>
      <c r="AP596" s="102"/>
      <c r="AQ596" s="102"/>
      <c r="AR596" s="102"/>
      <c r="AS596" s="102"/>
      <c r="AT596" s="102"/>
    </row>
    <row r="597" ht="15.75" customHeight="1">
      <c r="A597" s="265" t="s">
        <v>396</v>
      </c>
      <c r="B597" s="266" t="s">
        <v>3366</v>
      </c>
      <c r="C597" s="77" t="s">
        <v>3373</v>
      </c>
      <c r="D597" s="77" t="s">
        <v>3374</v>
      </c>
      <c r="E597" s="77" t="s">
        <v>3375</v>
      </c>
      <c r="F597" s="77"/>
      <c r="G597" s="77"/>
      <c r="H597" s="77"/>
      <c r="I597" s="267"/>
      <c r="J597" s="267"/>
      <c r="K597" s="268"/>
      <c r="L597" s="268"/>
      <c r="M597" s="267"/>
      <c r="N597" s="267"/>
      <c r="O597" s="267" t="s">
        <v>5530</v>
      </c>
      <c r="P597" s="267"/>
      <c r="Q597" s="267" t="s">
        <v>268</v>
      </c>
      <c r="R597" s="267"/>
      <c r="S597" s="267"/>
      <c r="T597" s="267"/>
      <c r="U597" s="267"/>
      <c r="V597" s="267"/>
      <c r="W597" s="267"/>
      <c r="X597" s="267"/>
      <c r="Y597" s="267"/>
      <c r="Z597" s="267"/>
      <c r="AA597" s="267"/>
      <c r="AB597" s="267"/>
      <c r="AC597" s="267"/>
      <c r="AD597" s="102"/>
      <c r="AE597" s="102"/>
      <c r="AF597" s="102"/>
      <c r="AG597" s="102"/>
      <c r="AH597" s="102"/>
      <c r="AI597" s="102"/>
      <c r="AJ597" s="102"/>
      <c r="AK597" s="102"/>
      <c r="AL597" s="102"/>
      <c r="AM597" s="102"/>
      <c r="AN597" s="102"/>
      <c r="AO597" s="102"/>
      <c r="AP597" s="102"/>
      <c r="AQ597" s="102"/>
      <c r="AR597" s="102"/>
      <c r="AS597" s="102"/>
      <c r="AT597" s="102"/>
    </row>
    <row r="598" ht="15.75" customHeight="1">
      <c r="A598" s="265" t="s">
        <v>396</v>
      </c>
      <c r="B598" s="266" t="s">
        <v>3376</v>
      </c>
      <c r="C598" s="77" t="s">
        <v>3377</v>
      </c>
      <c r="D598" s="77" t="s">
        <v>3378</v>
      </c>
      <c r="E598" s="77" t="s">
        <v>3379</v>
      </c>
      <c r="F598" s="77"/>
      <c r="G598" s="77"/>
      <c r="H598" s="77"/>
      <c r="I598" s="267"/>
      <c r="J598" s="267"/>
      <c r="K598" s="268"/>
      <c r="L598" s="268"/>
      <c r="M598" s="267"/>
      <c r="N598" s="267"/>
      <c r="O598" s="267" t="s">
        <v>5530</v>
      </c>
      <c r="P598" s="267"/>
      <c r="Q598" s="267" t="s">
        <v>268</v>
      </c>
      <c r="R598" s="267"/>
      <c r="S598" s="267"/>
      <c r="T598" s="267"/>
      <c r="U598" s="267"/>
      <c r="V598" s="267"/>
      <c r="W598" s="267"/>
      <c r="X598" s="267"/>
      <c r="Y598" s="267"/>
      <c r="Z598" s="267"/>
      <c r="AA598" s="267"/>
      <c r="AB598" s="267"/>
      <c r="AC598" s="267"/>
      <c r="AD598" s="102"/>
      <c r="AE598" s="102"/>
      <c r="AF598" s="102"/>
      <c r="AG598" s="102"/>
      <c r="AH598" s="102"/>
      <c r="AI598" s="102"/>
      <c r="AJ598" s="102"/>
      <c r="AK598" s="102"/>
      <c r="AL598" s="102"/>
      <c r="AM598" s="102"/>
      <c r="AN598" s="102"/>
      <c r="AO598" s="102"/>
      <c r="AP598" s="102"/>
      <c r="AQ598" s="102"/>
      <c r="AR598" s="102"/>
      <c r="AS598" s="102"/>
      <c r="AT598" s="102"/>
    </row>
    <row r="599" ht="15.75" customHeight="1">
      <c r="A599" s="259" t="s">
        <v>116</v>
      </c>
      <c r="B599" s="260" t="s">
        <v>5548</v>
      </c>
      <c r="C599" s="261"/>
      <c r="D599" s="261"/>
      <c r="E599" s="261"/>
      <c r="F599" s="262"/>
      <c r="G599" s="262"/>
      <c r="H599" s="262"/>
      <c r="I599" s="262"/>
      <c r="J599" s="262"/>
      <c r="K599" s="262"/>
      <c r="L599" s="262"/>
      <c r="M599" s="262"/>
      <c r="N599" s="262"/>
      <c r="O599" s="262"/>
      <c r="P599" s="262"/>
      <c r="Q599" s="262"/>
      <c r="R599" s="262"/>
      <c r="S599" s="262"/>
      <c r="T599" s="363" t="s">
        <v>5549</v>
      </c>
      <c r="U599" s="262"/>
      <c r="V599" s="262"/>
      <c r="W599" s="262"/>
      <c r="X599" s="262"/>
      <c r="Y599" s="262"/>
      <c r="Z599" s="262"/>
      <c r="AA599" s="262"/>
      <c r="AB599" s="262"/>
      <c r="AC599" s="262"/>
      <c r="AD599" s="102"/>
      <c r="AE599" s="102"/>
      <c r="AF599" s="102"/>
      <c r="AG599" s="102"/>
      <c r="AH599" s="102"/>
      <c r="AI599" s="102"/>
      <c r="AJ599" s="102"/>
      <c r="AK599" s="102"/>
      <c r="AL599" s="102"/>
      <c r="AM599" s="102"/>
      <c r="AN599" s="102"/>
      <c r="AO599" s="102"/>
      <c r="AP599" s="102"/>
      <c r="AQ599" s="102"/>
      <c r="AR599" s="102"/>
      <c r="AS599" s="102"/>
      <c r="AT599" s="102"/>
    </row>
    <row r="600" ht="15.75" customHeight="1">
      <c r="A600" s="206" t="s">
        <v>194</v>
      </c>
      <c r="B600" s="245" t="s">
        <v>3380</v>
      </c>
      <c r="C600" s="77" t="s">
        <v>3384</v>
      </c>
      <c r="D600" s="77" t="s">
        <v>3385</v>
      </c>
      <c r="E600" s="77" t="s">
        <v>3386</v>
      </c>
      <c r="F600" s="77"/>
      <c r="G600" s="77"/>
      <c r="H600" s="77"/>
      <c r="I600" s="208"/>
      <c r="J600" s="212"/>
      <c r="K600" s="208"/>
      <c r="L600" s="208"/>
      <c r="M600" s="208"/>
      <c r="N600" s="208"/>
      <c r="O600" s="208" t="s">
        <v>5530</v>
      </c>
      <c r="P600" s="208"/>
      <c r="Q600" s="208" t="s">
        <v>268</v>
      </c>
      <c r="R600" s="208"/>
      <c r="S600" s="208"/>
      <c r="T600" s="208"/>
      <c r="U600" s="208"/>
      <c r="V600" s="208"/>
      <c r="W600" s="208"/>
      <c r="X600" s="208"/>
      <c r="Y600" s="208"/>
      <c r="Z600" s="208"/>
      <c r="AA600" s="208"/>
      <c r="AB600" s="208"/>
      <c r="AC600" s="208"/>
      <c r="AD600" s="102"/>
      <c r="AE600" s="102"/>
      <c r="AF600" s="102"/>
      <c r="AG600" s="102"/>
      <c r="AH600" s="102"/>
      <c r="AI600" s="102"/>
      <c r="AJ600" s="102"/>
      <c r="AK600" s="102"/>
      <c r="AL600" s="102"/>
      <c r="AM600" s="102"/>
      <c r="AN600" s="102"/>
      <c r="AO600" s="102"/>
      <c r="AP600" s="102"/>
      <c r="AQ600" s="102"/>
      <c r="AR600" s="102"/>
      <c r="AS600" s="102"/>
      <c r="AT600" s="102"/>
    </row>
    <row r="601" ht="15.75" customHeight="1">
      <c r="A601" s="198" t="s">
        <v>42</v>
      </c>
      <c r="B601" s="199" t="s">
        <v>3387</v>
      </c>
      <c r="C601" s="77" t="s">
        <v>3394</v>
      </c>
      <c r="D601" s="77" t="s">
        <v>3396</v>
      </c>
      <c r="E601" s="77" t="s">
        <v>3397</v>
      </c>
      <c r="F601" s="77"/>
      <c r="G601" s="77"/>
      <c r="H601" s="77"/>
      <c r="I601" s="200"/>
      <c r="J601" s="200"/>
      <c r="K601" s="200"/>
      <c r="L601" s="200"/>
      <c r="M601" s="200"/>
      <c r="N601" s="200"/>
      <c r="O601" s="200"/>
      <c r="P601" s="200"/>
      <c r="Q601" s="200"/>
      <c r="R601" s="200"/>
      <c r="S601" s="200"/>
      <c r="T601" s="200"/>
      <c r="U601" s="200"/>
      <c r="V601" s="200"/>
      <c r="W601" s="200"/>
      <c r="X601" s="200"/>
      <c r="Y601" s="200"/>
      <c r="Z601" s="200"/>
      <c r="AA601" s="200"/>
      <c r="AB601" s="200"/>
      <c r="AC601" s="200"/>
      <c r="AD601" s="102"/>
      <c r="AE601" s="102"/>
      <c r="AF601" s="102"/>
      <c r="AG601" s="102"/>
      <c r="AH601" s="102"/>
      <c r="AI601" s="102"/>
      <c r="AJ601" s="102"/>
      <c r="AK601" s="102"/>
      <c r="AL601" s="102"/>
      <c r="AM601" s="102"/>
      <c r="AN601" s="102"/>
      <c r="AO601" s="102"/>
      <c r="AP601" s="102"/>
      <c r="AQ601" s="102"/>
      <c r="AR601" s="102"/>
      <c r="AS601" s="102"/>
      <c r="AT601" s="102"/>
    </row>
    <row r="602" ht="15.75" customHeight="1">
      <c r="A602" s="142" t="s">
        <v>183</v>
      </c>
      <c r="B602" s="239" t="s">
        <v>5550</v>
      </c>
      <c r="C602" s="144"/>
      <c r="D602" s="144"/>
      <c r="E602" s="144"/>
      <c r="F602" s="145"/>
      <c r="G602" s="145"/>
      <c r="H602" s="145"/>
      <c r="I602" s="145"/>
      <c r="J602" s="145"/>
      <c r="K602" s="145"/>
      <c r="L602" s="145"/>
      <c r="M602" s="145"/>
      <c r="N602" s="145"/>
      <c r="O602" s="146"/>
      <c r="P602" s="146"/>
      <c r="Q602" s="146"/>
      <c r="R602" s="146"/>
      <c r="S602" s="145"/>
      <c r="T602" s="402" t="s">
        <v>211</v>
      </c>
      <c r="U602" s="146"/>
      <c r="V602" s="145"/>
      <c r="W602" s="145"/>
      <c r="X602" s="145"/>
      <c r="Y602" s="145"/>
      <c r="Z602" s="145"/>
      <c r="AA602" s="145"/>
      <c r="AB602" s="145"/>
      <c r="AC602" s="145"/>
      <c r="AD602" s="102"/>
      <c r="AE602" s="102"/>
      <c r="AF602" s="102"/>
      <c r="AG602" s="102"/>
      <c r="AH602" s="102"/>
      <c r="AI602" s="102"/>
      <c r="AJ602" s="102"/>
      <c r="AK602" s="102"/>
      <c r="AL602" s="102"/>
      <c r="AM602" s="102"/>
      <c r="AN602" s="102"/>
      <c r="AO602" s="102"/>
      <c r="AP602" s="102"/>
      <c r="AQ602" s="102"/>
      <c r="AR602" s="102"/>
      <c r="AS602" s="102"/>
      <c r="AT602" s="102"/>
    </row>
    <row r="603" ht="15.75" customHeight="1">
      <c r="A603" s="249" t="s">
        <v>2279</v>
      </c>
      <c r="B603" s="250" t="s">
        <v>5551</v>
      </c>
      <c r="C603" s="250" t="s">
        <v>5552</v>
      </c>
      <c r="D603" s="251" t="s">
        <v>5553</v>
      </c>
      <c r="E603" s="251" t="s">
        <v>5554</v>
      </c>
      <c r="F603" s="252"/>
      <c r="G603" s="252"/>
      <c r="H603" s="252"/>
      <c r="I603" s="252"/>
      <c r="J603" s="252"/>
      <c r="K603" s="252"/>
      <c r="L603" s="252"/>
      <c r="M603" s="253"/>
      <c r="N603" s="253"/>
      <c r="O603" s="253"/>
      <c r="P603" s="252"/>
      <c r="Q603" s="252"/>
      <c r="R603" s="252"/>
      <c r="S603" s="252"/>
      <c r="T603" s="252"/>
      <c r="U603" s="254" t="s">
        <v>5438</v>
      </c>
      <c r="V603" s="255"/>
      <c r="W603" s="252"/>
      <c r="X603" s="252"/>
      <c r="Y603" s="252"/>
      <c r="Z603" s="252"/>
      <c r="AA603" s="252"/>
      <c r="AB603" s="252"/>
      <c r="AC603" s="252"/>
      <c r="AD603" s="102"/>
      <c r="AE603" s="102"/>
      <c r="AF603" s="102"/>
      <c r="AG603" s="102"/>
      <c r="AH603" s="102"/>
      <c r="AI603" s="102"/>
      <c r="AJ603" s="102"/>
      <c r="AK603" s="102"/>
      <c r="AL603" s="102"/>
      <c r="AM603" s="102"/>
      <c r="AN603" s="102"/>
      <c r="AO603" s="102"/>
      <c r="AP603" s="102"/>
      <c r="AQ603" s="102"/>
      <c r="AR603" s="102"/>
      <c r="AS603" s="102"/>
      <c r="AT603" s="102"/>
    </row>
    <row r="604" ht="15.75" customHeight="1">
      <c r="A604" s="259" t="s">
        <v>116</v>
      </c>
      <c r="B604" s="260" t="s">
        <v>5555</v>
      </c>
      <c r="C604" s="261"/>
      <c r="D604" s="261"/>
      <c r="E604" s="261"/>
      <c r="F604" s="262"/>
      <c r="G604" s="262"/>
      <c r="H604" s="262"/>
      <c r="I604" s="262"/>
      <c r="J604" s="262"/>
      <c r="K604" s="262"/>
      <c r="L604" s="262"/>
      <c r="M604" s="262"/>
      <c r="N604" s="262"/>
      <c r="O604" s="262"/>
      <c r="P604" s="262"/>
      <c r="Q604" s="262"/>
      <c r="R604" s="262"/>
      <c r="S604" s="262"/>
      <c r="T604" s="363" t="s">
        <v>5440</v>
      </c>
      <c r="U604" s="264"/>
      <c r="V604" s="262"/>
      <c r="W604" s="262"/>
      <c r="X604" s="262"/>
      <c r="Y604" s="262"/>
      <c r="Z604" s="262"/>
      <c r="AA604" s="262"/>
      <c r="AB604" s="262"/>
      <c r="AC604" s="262"/>
      <c r="AD604" s="102"/>
      <c r="AE604" s="102"/>
      <c r="AF604" s="102"/>
      <c r="AG604" s="102"/>
      <c r="AH604" s="102"/>
      <c r="AI604" s="102"/>
      <c r="AJ604" s="102"/>
      <c r="AK604" s="102"/>
      <c r="AL604" s="102"/>
      <c r="AM604" s="102"/>
      <c r="AN604" s="102"/>
      <c r="AO604" s="102"/>
      <c r="AP604" s="102"/>
      <c r="AQ604" s="102"/>
      <c r="AR604" s="102"/>
      <c r="AS604" s="102"/>
      <c r="AT604" s="102"/>
    </row>
    <row r="605" ht="15.75" customHeight="1">
      <c r="A605" s="259" t="s">
        <v>116</v>
      </c>
      <c r="B605" s="260" t="s">
        <v>5556</v>
      </c>
      <c r="C605" s="261"/>
      <c r="D605" s="261"/>
      <c r="E605" s="261"/>
      <c r="F605" s="262"/>
      <c r="G605" s="262"/>
      <c r="H605" s="262"/>
      <c r="I605" s="262"/>
      <c r="J605" s="262"/>
      <c r="K605" s="262"/>
      <c r="L605" s="262"/>
      <c r="M605" s="262"/>
      <c r="N605" s="262"/>
      <c r="O605" s="262"/>
      <c r="P605" s="262"/>
      <c r="Q605" s="262"/>
      <c r="R605" s="262"/>
      <c r="S605" s="262"/>
      <c r="T605" s="363" t="s">
        <v>5557</v>
      </c>
      <c r="U605" s="264"/>
      <c r="V605" s="264"/>
      <c r="W605" s="264"/>
      <c r="X605" s="262"/>
      <c r="Y605" s="262"/>
      <c r="Z605" s="262"/>
      <c r="AA605" s="262"/>
      <c r="AB605" s="262"/>
      <c r="AC605" s="262"/>
      <c r="AD605" s="102"/>
      <c r="AE605" s="102"/>
      <c r="AF605" s="102"/>
      <c r="AG605" s="102"/>
      <c r="AH605" s="102"/>
      <c r="AI605" s="102"/>
      <c r="AJ605" s="102"/>
      <c r="AK605" s="102"/>
      <c r="AL605" s="102"/>
      <c r="AM605" s="102"/>
      <c r="AN605" s="102"/>
      <c r="AO605" s="102"/>
      <c r="AP605" s="102"/>
      <c r="AQ605" s="102"/>
      <c r="AR605" s="102"/>
      <c r="AS605" s="102"/>
      <c r="AT605" s="102"/>
    </row>
    <row r="606" ht="15.75" customHeight="1">
      <c r="A606" s="206" t="s">
        <v>194</v>
      </c>
      <c r="B606" s="245" t="s">
        <v>3404</v>
      </c>
      <c r="C606" s="77" t="s">
        <v>3409</v>
      </c>
      <c r="D606" s="77" t="s">
        <v>3410</v>
      </c>
      <c r="E606" s="77" t="s">
        <v>3411</v>
      </c>
      <c r="F606" s="77"/>
      <c r="G606" s="77"/>
      <c r="H606" s="77"/>
      <c r="I606" s="208"/>
      <c r="J606" s="212"/>
      <c r="K606" s="208"/>
      <c r="L606" s="208"/>
      <c r="M606" s="208"/>
      <c r="N606" s="208"/>
      <c r="O606" s="208"/>
      <c r="P606" s="208"/>
      <c r="Q606" s="208" t="s">
        <v>268</v>
      </c>
      <c r="R606" s="208"/>
      <c r="S606" s="208"/>
      <c r="T606" s="208"/>
      <c r="U606" s="208"/>
      <c r="V606" s="208"/>
      <c r="W606" s="208"/>
      <c r="X606" s="208"/>
      <c r="Y606" s="208"/>
      <c r="Z606" s="208"/>
      <c r="AA606" s="208"/>
      <c r="AB606" s="208"/>
      <c r="AC606" s="208"/>
      <c r="AD606" s="102"/>
      <c r="AE606" s="102"/>
      <c r="AF606" s="102"/>
      <c r="AG606" s="102"/>
      <c r="AH606" s="102"/>
      <c r="AI606" s="102"/>
      <c r="AJ606" s="102"/>
      <c r="AK606" s="102"/>
      <c r="AL606" s="102"/>
      <c r="AM606" s="102"/>
      <c r="AN606" s="102"/>
      <c r="AO606" s="102"/>
      <c r="AP606" s="102"/>
      <c r="AQ606" s="102"/>
      <c r="AR606" s="102"/>
      <c r="AS606" s="102"/>
      <c r="AT606" s="102"/>
    </row>
    <row r="607" ht="15.75" customHeight="1">
      <c r="A607" s="206" t="s">
        <v>3296</v>
      </c>
      <c r="B607" s="245" t="s">
        <v>3412</v>
      </c>
      <c r="C607" s="77" t="s">
        <v>3418</v>
      </c>
      <c r="D607" s="77" t="s">
        <v>3420</v>
      </c>
      <c r="E607" s="77" t="s">
        <v>3421</v>
      </c>
      <c r="F607" s="77"/>
      <c r="G607" s="77"/>
      <c r="H607" s="77"/>
      <c r="I607" s="208"/>
      <c r="J607" s="212"/>
      <c r="K607" s="208"/>
      <c r="L607" s="208"/>
      <c r="M607" s="208"/>
      <c r="N607" s="208"/>
      <c r="O607" s="211" t="s">
        <v>5558</v>
      </c>
      <c r="P607" s="208"/>
      <c r="Q607" s="208" t="s">
        <v>268</v>
      </c>
      <c r="R607" s="208"/>
      <c r="S607" s="208"/>
      <c r="T607" s="208"/>
      <c r="U607" s="208"/>
      <c r="V607" s="208"/>
      <c r="W607" s="208"/>
      <c r="X607" s="208"/>
      <c r="Y607" s="208"/>
      <c r="Z607" s="208"/>
      <c r="AA607" s="208"/>
      <c r="AB607" s="208"/>
      <c r="AC607" s="208"/>
      <c r="AD607" s="102"/>
      <c r="AE607" s="102"/>
      <c r="AF607" s="102"/>
      <c r="AG607" s="102"/>
      <c r="AH607" s="102"/>
      <c r="AI607" s="102"/>
      <c r="AJ607" s="102"/>
      <c r="AK607" s="102"/>
      <c r="AL607" s="102"/>
      <c r="AM607" s="102"/>
      <c r="AN607" s="102"/>
      <c r="AO607" s="102"/>
      <c r="AP607" s="102"/>
      <c r="AQ607" s="102"/>
      <c r="AR607" s="102"/>
      <c r="AS607" s="102"/>
      <c r="AT607" s="102"/>
    </row>
    <row r="608" ht="15.75" customHeight="1">
      <c r="A608" s="214" t="s">
        <v>299</v>
      </c>
      <c r="B608" s="246" t="s">
        <v>3422</v>
      </c>
      <c r="C608" s="77" t="s">
        <v>3423</v>
      </c>
      <c r="D608" s="77" t="s">
        <v>3424</v>
      </c>
      <c r="E608" s="77" t="s">
        <v>3425</v>
      </c>
      <c r="F608" s="77"/>
      <c r="G608" s="77"/>
      <c r="H608" s="77"/>
      <c r="I608" s="216"/>
      <c r="J608" s="217"/>
      <c r="K608" s="216"/>
      <c r="L608" s="216"/>
      <c r="M608" s="216"/>
      <c r="N608" s="216"/>
      <c r="O608" s="229" t="s">
        <v>5559</v>
      </c>
      <c r="P608" s="216"/>
      <c r="Q608" s="216" t="s">
        <v>268</v>
      </c>
      <c r="R608" s="216"/>
      <c r="S608" s="216"/>
      <c r="T608" s="216"/>
      <c r="U608" s="216"/>
      <c r="V608" s="216"/>
      <c r="W608" s="216"/>
      <c r="X608" s="216"/>
      <c r="Y608" s="216"/>
      <c r="Z608" s="216"/>
      <c r="AA608" s="216"/>
      <c r="AB608" s="216"/>
      <c r="AC608" s="216"/>
      <c r="AD608" s="102"/>
      <c r="AE608" s="102"/>
      <c r="AF608" s="102"/>
      <c r="AG608" s="102"/>
      <c r="AH608" s="102"/>
      <c r="AI608" s="102"/>
      <c r="AJ608" s="102"/>
      <c r="AK608" s="102"/>
      <c r="AL608" s="102"/>
      <c r="AM608" s="102"/>
      <c r="AN608" s="102"/>
      <c r="AO608" s="102"/>
      <c r="AP608" s="102"/>
      <c r="AQ608" s="102"/>
      <c r="AR608" s="102"/>
      <c r="AS608" s="102"/>
      <c r="AT608" s="102"/>
    </row>
    <row r="609" ht="15.75" customHeight="1">
      <c r="A609" s="259" t="s">
        <v>116</v>
      </c>
      <c r="B609" s="422" t="s">
        <v>5560</v>
      </c>
      <c r="C609" s="261"/>
      <c r="D609" s="261"/>
      <c r="E609" s="261"/>
      <c r="F609" s="262"/>
      <c r="G609" s="262"/>
      <c r="H609" s="262"/>
      <c r="I609" s="262"/>
      <c r="J609" s="262"/>
      <c r="K609" s="262"/>
      <c r="L609" s="262"/>
      <c r="M609" s="262"/>
      <c r="N609" s="262"/>
      <c r="O609" s="262"/>
      <c r="P609" s="262"/>
      <c r="Q609" s="262"/>
      <c r="R609" s="262"/>
      <c r="S609" s="262"/>
      <c r="T609" s="363" t="s">
        <v>5561</v>
      </c>
      <c r="U609" s="264"/>
      <c r="V609" s="264"/>
      <c r="W609" s="264"/>
      <c r="X609" s="264"/>
      <c r="Y609" s="264"/>
      <c r="Z609" s="262"/>
      <c r="AA609" s="262"/>
      <c r="AB609" s="262"/>
      <c r="AC609" s="262"/>
      <c r="AD609" s="102"/>
      <c r="AE609" s="102"/>
      <c r="AF609" s="102"/>
      <c r="AG609" s="102"/>
      <c r="AH609" s="102"/>
      <c r="AI609" s="102"/>
      <c r="AJ609" s="102"/>
      <c r="AK609" s="102"/>
      <c r="AL609" s="102"/>
      <c r="AM609" s="102"/>
      <c r="AN609" s="102"/>
      <c r="AO609" s="102"/>
      <c r="AP609" s="102"/>
      <c r="AQ609" s="102"/>
      <c r="AR609" s="102"/>
      <c r="AS609" s="102"/>
      <c r="AT609" s="102"/>
    </row>
    <row r="610" ht="15.75" customHeight="1">
      <c r="A610" s="265" t="s">
        <v>396</v>
      </c>
      <c r="B610" s="266" t="s">
        <v>3432</v>
      </c>
      <c r="C610" s="77" t="s">
        <v>3436</v>
      </c>
      <c r="D610" s="77" t="s">
        <v>3437</v>
      </c>
      <c r="E610" s="77" t="s">
        <v>3438</v>
      </c>
      <c r="F610" s="77"/>
      <c r="G610" s="77"/>
      <c r="H610" s="77"/>
      <c r="I610" s="267"/>
      <c r="J610" s="267"/>
      <c r="K610" s="268"/>
      <c r="L610" s="268"/>
      <c r="M610" s="267"/>
      <c r="N610" s="267"/>
      <c r="O610" s="293" t="s">
        <v>5558</v>
      </c>
      <c r="P610" s="267"/>
      <c r="Q610" s="267" t="s">
        <v>268</v>
      </c>
      <c r="R610" s="267"/>
      <c r="S610" s="267"/>
      <c r="T610" s="267"/>
      <c r="U610" s="267"/>
      <c r="V610" s="267"/>
      <c r="W610" s="267"/>
      <c r="X610" s="267"/>
      <c r="Y610" s="267"/>
      <c r="Z610" s="267"/>
      <c r="AA610" s="267"/>
      <c r="AB610" s="267"/>
      <c r="AC610" s="267"/>
      <c r="AD610" s="102"/>
      <c r="AE610" s="102"/>
      <c r="AF610" s="102"/>
      <c r="AG610" s="102"/>
      <c r="AH610" s="102"/>
      <c r="AI610" s="102"/>
      <c r="AJ610" s="102"/>
      <c r="AK610" s="102"/>
      <c r="AL610" s="102"/>
      <c r="AM610" s="102"/>
      <c r="AN610" s="102"/>
      <c r="AO610" s="102"/>
      <c r="AP610" s="102"/>
      <c r="AQ610" s="102"/>
      <c r="AR610" s="102"/>
      <c r="AS610" s="102"/>
      <c r="AT610" s="102"/>
    </row>
    <row r="611" ht="15.75" customHeight="1">
      <c r="A611" s="265" t="s">
        <v>396</v>
      </c>
      <c r="B611" s="266" t="s">
        <v>3439</v>
      </c>
      <c r="C611" s="77" t="s">
        <v>3447</v>
      </c>
      <c r="D611" s="77" t="s">
        <v>3448</v>
      </c>
      <c r="E611" s="77" t="s">
        <v>3449</v>
      </c>
      <c r="F611" s="77"/>
      <c r="G611" s="77"/>
      <c r="H611" s="77"/>
      <c r="I611" s="267"/>
      <c r="J611" s="267"/>
      <c r="K611" s="268" t="s">
        <v>5520</v>
      </c>
      <c r="L611" s="268"/>
      <c r="M611" s="267"/>
      <c r="N611" s="267"/>
      <c r="O611" s="293" t="s">
        <v>5558</v>
      </c>
      <c r="P611" s="267"/>
      <c r="Q611" s="267" t="s">
        <v>268</v>
      </c>
      <c r="R611" s="267"/>
      <c r="S611" s="267"/>
      <c r="T611" s="267"/>
      <c r="U611" s="267"/>
      <c r="V611" s="267"/>
      <c r="W611" s="267"/>
      <c r="X611" s="267"/>
      <c r="Y611" s="267"/>
      <c r="Z611" s="267"/>
      <c r="AA611" s="267"/>
      <c r="AB611" s="267"/>
      <c r="AC611" s="267"/>
      <c r="AD611" s="102"/>
      <c r="AE611" s="102"/>
      <c r="AF611" s="102"/>
      <c r="AG611" s="102"/>
      <c r="AH611" s="102"/>
      <c r="AI611" s="102"/>
      <c r="AJ611" s="102"/>
      <c r="AK611" s="102"/>
      <c r="AL611" s="102"/>
      <c r="AM611" s="102"/>
      <c r="AN611" s="102"/>
      <c r="AO611" s="102"/>
      <c r="AP611" s="102"/>
      <c r="AQ611" s="102"/>
      <c r="AR611" s="102"/>
      <c r="AS611" s="102"/>
      <c r="AT611" s="102"/>
    </row>
    <row r="612" ht="15.75" customHeight="1">
      <c r="A612" s="265" t="s">
        <v>396</v>
      </c>
      <c r="B612" s="266" t="s">
        <v>3450</v>
      </c>
      <c r="C612" s="77" t="s">
        <v>3455</v>
      </c>
      <c r="D612" s="77" t="s">
        <v>3456</v>
      </c>
      <c r="E612" s="77" t="s">
        <v>3458</v>
      </c>
      <c r="F612" s="77"/>
      <c r="G612" s="77"/>
      <c r="H612" s="77"/>
      <c r="I612" s="267"/>
      <c r="J612" s="267"/>
      <c r="K612" s="268"/>
      <c r="L612" s="268"/>
      <c r="M612" s="267"/>
      <c r="N612" s="267"/>
      <c r="O612" s="267"/>
      <c r="P612" s="267"/>
      <c r="Q612" s="267" t="s">
        <v>268</v>
      </c>
      <c r="R612" s="267"/>
      <c r="S612" s="267"/>
      <c r="T612" s="267"/>
      <c r="U612" s="267"/>
      <c r="V612" s="267"/>
      <c r="W612" s="267"/>
      <c r="X612" s="267"/>
      <c r="Y612" s="267"/>
      <c r="Z612" s="267"/>
      <c r="AA612" s="267"/>
      <c r="AB612" s="267"/>
      <c r="AC612" s="267"/>
      <c r="AD612" s="102"/>
      <c r="AE612" s="102"/>
      <c r="AF612" s="102"/>
      <c r="AG612" s="102"/>
      <c r="AH612" s="102"/>
      <c r="AI612" s="102"/>
      <c r="AJ612" s="102"/>
      <c r="AK612" s="102"/>
      <c r="AL612" s="102"/>
      <c r="AM612" s="102"/>
      <c r="AN612" s="102"/>
      <c r="AO612" s="102"/>
      <c r="AP612" s="102"/>
      <c r="AQ612" s="102"/>
      <c r="AR612" s="102"/>
      <c r="AS612" s="102"/>
      <c r="AT612" s="102"/>
    </row>
    <row r="613" ht="15.75" customHeight="1">
      <c r="A613" s="249" t="s">
        <v>2336</v>
      </c>
      <c r="B613" s="251" t="s">
        <v>5551</v>
      </c>
      <c r="C613" s="251" t="s">
        <v>5552</v>
      </c>
      <c r="D613" s="251" t="s">
        <v>5553</v>
      </c>
      <c r="E613" s="251" t="s">
        <v>5554</v>
      </c>
      <c r="F613" s="252"/>
      <c r="G613" s="252"/>
      <c r="H613" s="252"/>
      <c r="I613" s="252"/>
      <c r="J613" s="252"/>
      <c r="K613" s="252"/>
      <c r="L613" s="252"/>
      <c r="M613" s="252"/>
      <c r="N613" s="252"/>
      <c r="O613" s="252"/>
      <c r="P613" s="252"/>
      <c r="Q613" s="252"/>
      <c r="R613" s="252"/>
      <c r="S613" s="252"/>
      <c r="T613" s="252"/>
      <c r="U613" s="252"/>
      <c r="V613" s="252"/>
      <c r="W613" s="252"/>
      <c r="X613" s="252"/>
      <c r="Y613" s="252"/>
      <c r="Z613" s="252"/>
      <c r="AA613" s="252"/>
      <c r="AB613" s="252"/>
      <c r="AC613" s="252"/>
      <c r="AD613" s="102"/>
      <c r="AE613" s="102"/>
      <c r="AF613" s="102"/>
      <c r="AG613" s="102"/>
      <c r="AH613" s="102"/>
      <c r="AI613" s="102"/>
      <c r="AJ613" s="102"/>
      <c r="AK613" s="102"/>
      <c r="AL613" s="102"/>
      <c r="AM613" s="102"/>
      <c r="AN613" s="102"/>
      <c r="AO613" s="102"/>
      <c r="AP613" s="102"/>
      <c r="AQ613" s="102"/>
      <c r="AR613" s="102"/>
      <c r="AS613" s="102"/>
      <c r="AT613" s="102"/>
    </row>
    <row r="614" ht="15.75" customHeight="1">
      <c r="A614" s="142" t="s">
        <v>183</v>
      </c>
      <c r="B614" s="239" t="s">
        <v>5562</v>
      </c>
      <c r="C614" s="144"/>
      <c r="D614" s="144"/>
      <c r="E614" s="144"/>
      <c r="F614" s="145"/>
      <c r="G614" s="145"/>
      <c r="H614" s="145"/>
      <c r="I614" s="145"/>
      <c r="J614" s="145"/>
      <c r="K614" s="145"/>
      <c r="L614" s="145"/>
      <c r="M614" s="145"/>
      <c r="N614" s="145"/>
      <c r="O614" s="146"/>
      <c r="P614" s="146"/>
      <c r="Q614" s="146"/>
      <c r="R614" s="146"/>
      <c r="S614" s="145"/>
      <c r="T614" s="402" t="s">
        <v>211</v>
      </c>
      <c r="U614" s="146"/>
      <c r="V614" s="145"/>
      <c r="W614" s="145"/>
      <c r="X614" s="145"/>
      <c r="Y614" s="145"/>
      <c r="Z614" s="145"/>
      <c r="AA614" s="145"/>
      <c r="AB614" s="145"/>
      <c r="AC614" s="145"/>
      <c r="AD614" s="102"/>
      <c r="AE614" s="102"/>
      <c r="AF614" s="102"/>
      <c r="AG614" s="102"/>
      <c r="AH614" s="102"/>
      <c r="AI614" s="102"/>
      <c r="AJ614" s="102"/>
      <c r="AK614" s="102"/>
      <c r="AL614" s="102"/>
      <c r="AM614" s="102"/>
      <c r="AN614" s="102"/>
      <c r="AO614" s="102"/>
      <c r="AP614" s="102"/>
      <c r="AQ614" s="102"/>
      <c r="AR614" s="102"/>
      <c r="AS614" s="102"/>
      <c r="AT614" s="102"/>
    </row>
    <row r="615" ht="15.75" customHeight="1">
      <c r="A615" s="90" t="s">
        <v>116</v>
      </c>
      <c r="B615" s="91" t="s">
        <v>5563</v>
      </c>
      <c r="C615" s="93"/>
      <c r="D615" s="96"/>
      <c r="E615" s="96"/>
      <c r="F615" s="97"/>
      <c r="G615" s="97"/>
      <c r="H615" s="97"/>
      <c r="I615" s="98"/>
      <c r="J615" s="98"/>
      <c r="K615" s="97"/>
      <c r="L615" s="98"/>
      <c r="M615" s="98"/>
      <c r="N615" s="98"/>
      <c r="O615" s="236"/>
      <c r="P615" s="100"/>
      <c r="Q615" s="100"/>
      <c r="R615" s="100"/>
      <c r="S615" s="97"/>
      <c r="T615" s="238" t="s">
        <v>5564</v>
      </c>
      <c r="U615" s="97"/>
      <c r="V615" s="97"/>
      <c r="W615" s="97"/>
      <c r="X615" s="97"/>
      <c r="Y615" s="97"/>
      <c r="Z615" s="97"/>
      <c r="AA615" s="97"/>
      <c r="AB615" s="97"/>
      <c r="AC615" s="97"/>
      <c r="AD615" s="102"/>
      <c r="AE615" s="102"/>
      <c r="AF615" s="102"/>
      <c r="AG615" s="102"/>
      <c r="AH615" s="102"/>
      <c r="AI615" s="102"/>
      <c r="AJ615" s="102"/>
      <c r="AK615" s="102"/>
      <c r="AL615" s="102"/>
      <c r="AM615" s="102"/>
      <c r="AN615" s="102"/>
      <c r="AO615" s="102"/>
      <c r="AP615" s="102"/>
      <c r="AQ615" s="102"/>
      <c r="AR615" s="102"/>
      <c r="AS615" s="102"/>
      <c r="AT615" s="102"/>
    </row>
    <row r="616" ht="15.75" customHeight="1">
      <c r="A616" s="337"/>
      <c r="B616" s="408"/>
      <c r="C616" s="338"/>
      <c r="D616" s="339"/>
      <c r="E616" s="339"/>
      <c r="F616" s="339"/>
      <c r="G616" s="339"/>
      <c r="H616" s="339"/>
      <c r="I616" s="339"/>
      <c r="J616" s="339"/>
      <c r="K616" s="339"/>
      <c r="L616" s="339"/>
      <c r="M616" s="339"/>
      <c r="N616" s="339"/>
      <c r="O616" s="339"/>
      <c r="P616" s="339"/>
      <c r="Q616" s="339"/>
      <c r="R616" s="339"/>
      <c r="S616" s="339"/>
      <c r="T616" s="339"/>
      <c r="U616" s="339"/>
      <c r="V616" s="339"/>
      <c r="W616" s="339"/>
      <c r="X616" s="339"/>
      <c r="Y616" s="339"/>
      <c r="Z616" s="339"/>
      <c r="AA616" s="339"/>
      <c r="AB616" s="339"/>
      <c r="AC616" s="339"/>
      <c r="AD616" s="102"/>
      <c r="AE616" s="102"/>
      <c r="AF616" s="102"/>
      <c r="AG616" s="102"/>
      <c r="AH616" s="102"/>
      <c r="AI616" s="102"/>
      <c r="AJ616" s="102"/>
      <c r="AK616" s="102"/>
      <c r="AL616" s="102"/>
      <c r="AM616" s="102"/>
      <c r="AN616" s="102"/>
      <c r="AO616" s="102"/>
      <c r="AP616" s="102"/>
      <c r="AQ616" s="102"/>
      <c r="AR616" s="102"/>
      <c r="AS616" s="102"/>
      <c r="AT616" s="102"/>
    </row>
    <row r="617" ht="15.75" customHeight="1">
      <c r="A617" s="197" t="s">
        <v>227</v>
      </c>
      <c r="B617" s="93" t="s">
        <v>5565</v>
      </c>
      <c r="C617" s="93" t="s">
        <v>5566</v>
      </c>
      <c r="D617" s="96"/>
      <c r="E617" s="96"/>
      <c r="F617" s="100"/>
      <c r="G617" s="100"/>
      <c r="H617" s="100"/>
      <c r="I617" s="100"/>
      <c r="J617" s="236"/>
      <c r="K617" s="97"/>
      <c r="L617" s="97"/>
      <c r="M617" s="98"/>
      <c r="N617" s="98"/>
      <c r="O617" s="98"/>
      <c r="P617" s="97"/>
      <c r="Q617" s="97"/>
      <c r="R617" s="97"/>
      <c r="S617" s="97"/>
      <c r="T617" s="97"/>
      <c r="U617" s="97"/>
      <c r="V617" s="97"/>
      <c r="W617" s="97"/>
      <c r="X617" s="97"/>
      <c r="Y617" s="97"/>
      <c r="Z617" s="97"/>
      <c r="AA617" s="97"/>
      <c r="AB617" s="97"/>
      <c r="AC617" s="97"/>
      <c r="AD617" s="170"/>
      <c r="AE617" s="170"/>
      <c r="AF617" s="170"/>
      <c r="AG617" s="170"/>
      <c r="AH617" s="170"/>
      <c r="AI617" s="170"/>
      <c r="AJ617" s="170"/>
      <c r="AK617" s="170"/>
      <c r="AL617" s="170"/>
      <c r="AM617" s="170"/>
      <c r="AN617" s="170"/>
      <c r="AO617" s="102"/>
      <c r="AP617" s="102"/>
      <c r="AQ617" s="102"/>
      <c r="AR617" s="102"/>
      <c r="AS617" s="102"/>
      <c r="AT617" s="102"/>
    </row>
    <row r="618" ht="15.75" customHeight="1">
      <c r="A618" s="142" t="s">
        <v>183</v>
      </c>
      <c r="B618" s="239" t="s">
        <v>5567</v>
      </c>
      <c r="C618" s="144"/>
      <c r="D618" s="144"/>
      <c r="E618" s="144"/>
      <c r="F618" s="145"/>
      <c r="G618" s="145"/>
      <c r="H618" s="145"/>
      <c r="I618" s="145"/>
      <c r="J618" s="145"/>
      <c r="K618" s="145"/>
      <c r="L618" s="145"/>
      <c r="M618" s="145"/>
      <c r="N618" s="145"/>
      <c r="O618" s="146"/>
      <c r="P618" s="146"/>
      <c r="Q618" s="146"/>
      <c r="R618" s="146"/>
      <c r="S618" s="145"/>
      <c r="T618" s="402" t="s">
        <v>211</v>
      </c>
      <c r="U618" s="146"/>
      <c r="V618" s="145"/>
      <c r="W618" s="145"/>
      <c r="X618" s="145"/>
      <c r="Y618" s="145"/>
      <c r="Z618" s="145"/>
      <c r="AA618" s="145"/>
      <c r="AB618" s="145"/>
      <c r="AC618" s="145"/>
      <c r="AD618" s="102"/>
      <c r="AE618" s="102"/>
      <c r="AF618" s="102"/>
      <c r="AG618" s="102"/>
      <c r="AH618" s="102"/>
      <c r="AI618" s="102"/>
      <c r="AJ618" s="102"/>
      <c r="AK618" s="102"/>
      <c r="AL618" s="102"/>
      <c r="AM618" s="102"/>
      <c r="AN618" s="102"/>
      <c r="AO618" s="102"/>
      <c r="AP618" s="102"/>
      <c r="AQ618" s="102"/>
      <c r="AR618" s="102"/>
      <c r="AS618" s="102"/>
      <c r="AT618" s="102"/>
    </row>
    <row r="619" ht="15.75" customHeight="1">
      <c r="A619" s="206" t="s">
        <v>277</v>
      </c>
      <c r="B619" s="245" t="s">
        <v>3487</v>
      </c>
      <c r="C619" s="77" t="s">
        <v>3491</v>
      </c>
      <c r="D619" s="77" t="s">
        <v>3492</v>
      </c>
      <c r="E619" s="77" t="s">
        <v>3493</v>
      </c>
      <c r="F619" s="77"/>
      <c r="G619" s="77"/>
      <c r="H619" s="77"/>
      <c r="I619" s="211"/>
      <c r="J619" s="209"/>
      <c r="K619" s="208"/>
      <c r="L619" s="208"/>
      <c r="M619" s="208"/>
      <c r="N619" s="208"/>
      <c r="O619" s="208"/>
      <c r="P619" s="208"/>
      <c r="Q619" s="208" t="s">
        <v>268</v>
      </c>
      <c r="R619" s="208"/>
      <c r="S619" s="208"/>
      <c r="T619" s="208"/>
      <c r="U619" s="208"/>
      <c r="V619" s="208"/>
      <c r="W619" s="208"/>
      <c r="X619" s="208"/>
      <c r="Y619" s="208"/>
      <c r="Z619" s="208"/>
      <c r="AA619" s="208"/>
      <c r="AB619" s="208"/>
      <c r="AC619" s="208"/>
      <c r="AD619" s="125"/>
      <c r="AE619" s="125"/>
      <c r="AF619" s="125"/>
      <c r="AG619" s="125"/>
      <c r="AH619" s="125"/>
      <c r="AI619" s="125"/>
      <c r="AJ619" s="125"/>
      <c r="AK619" s="125"/>
      <c r="AL619" s="125"/>
      <c r="AM619" s="125"/>
      <c r="AN619" s="125"/>
      <c r="AO619" s="102"/>
      <c r="AP619" s="102"/>
      <c r="AQ619" s="102"/>
      <c r="AR619" s="102"/>
      <c r="AS619" s="102"/>
      <c r="AT619" s="102"/>
    </row>
    <row r="620" ht="15.75" customHeight="1">
      <c r="A620" s="265" t="s">
        <v>396</v>
      </c>
      <c r="B620" s="266" t="s">
        <v>3494</v>
      </c>
      <c r="C620" s="77" t="s">
        <v>3503</v>
      </c>
      <c r="D620" s="77" t="s">
        <v>3504</v>
      </c>
      <c r="E620" s="77" t="s">
        <v>3505</v>
      </c>
      <c r="F620" s="77"/>
      <c r="G620" s="77"/>
      <c r="H620" s="77"/>
      <c r="I620" s="267"/>
      <c r="J620" s="267"/>
      <c r="K620" s="268" t="s">
        <v>4576</v>
      </c>
      <c r="L620" s="268"/>
      <c r="M620" s="267"/>
      <c r="N620" s="267"/>
      <c r="O620" s="293" t="s">
        <v>5568</v>
      </c>
      <c r="P620" s="267"/>
      <c r="Q620" s="267" t="s">
        <v>268</v>
      </c>
      <c r="R620" s="267"/>
      <c r="S620" s="267"/>
      <c r="T620" s="267"/>
      <c r="U620" s="267"/>
      <c r="V620" s="267"/>
      <c r="W620" s="267"/>
      <c r="X620" s="267"/>
      <c r="Y620" s="267"/>
      <c r="Z620" s="267"/>
      <c r="AA620" s="267"/>
      <c r="AB620" s="267"/>
      <c r="AC620" s="267"/>
      <c r="AD620" s="294"/>
      <c r="AE620" s="294"/>
      <c r="AF620" s="294"/>
      <c r="AG620" s="294"/>
      <c r="AH620" s="294"/>
      <c r="AI620" s="294"/>
      <c r="AJ620" s="294"/>
      <c r="AK620" s="294"/>
      <c r="AL620" s="294"/>
      <c r="AM620" s="294"/>
      <c r="AN620" s="294"/>
      <c r="AO620" s="102"/>
      <c r="AP620" s="102"/>
      <c r="AQ620" s="102"/>
      <c r="AR620" s="102"/>
      <c r="AS620" s="102"/>
      <c r="AT620" s="102"/>
    </row>
    <row r="621" ht="15.75" customHeight="1">
      <c r="A621" s="206" t="s">
        <v>3506</v>
      </c>
      <c r="B621" s="245" t="s">
        <v>3507</v>
      </c>
      <c r="C621" s="77" t="s">
        <v>3511</v>
      </c>
      <c r="D621" s="77" t="s">
        <v>3512</v>
      </c>
      <c r="E621" s="77" t="s">
        <v>3513</v>
      </c>
      <c r="F621" s="77" t="s">
        <v>3110</v>
      </c>
      <c r="G621" s="77" t="s">
        <v>5199</v>
      </c>
      <c r="H621" s="77" t="s">
        <v>3114</v>
      </c>
      <c r="I621" s="211"/>
      <c r="J621" s="209"/>
      <c r="K621" s="208"/>
      <c r="L621" s="208"/>
      <c r="M621" s="208"/>
      <c r="N621" s="208"/>
      <c r="O621" s="211" t="s">
        <v>5568</v>
      </c>
      <c r="P621" s="208"/>
      <c r="Q621" s="208" t="s">
        <v>268</v>
      </c>
      <c r="R621" s="208"/>
      <c r="S621" s="208"/>
      <c r="T621" s="208"/>
      <c r="U621" s="208"/>
      <c r="V621" s="208"/>
      <c r="W621" s="208"/>
      <c r="X621" s="208"/>
      <c r="Y621" s="208"/>
      <c r="Z621" s="208"/>
      <c r="AA621" s="208"/>
      <c r="AB621" s="208"/>
      <c r="AC621" s="208"/>
      <c r="AD621" s="125"/>
      <c r="AE621" s="125"/>
      <c r="AF621" s="125"/>
      <c r="AG621" s="125"/>
      <c r="AH621" s="125"/>
      <c r="AI621" s="125"/>
      <c r="AJ621" s="125"/>
      <c r="AK621" s="125"/>
      <c r="AL621" s="125"/>
      <c r="AM621" s="125"/>
      <c r="AN621" s="125"/>
      <c r="AO621" s="102"/>
      <c r="AP621" s="102"/>
      <c r="AQ621" s="102"/>
      <c r="AR621" s="102"/>
      <c r="AS621" s="102"/>
      <c r="AT621" s="102"/>
    </row>
    <row r="622" ht="15.75" customHeight="1">
      <c r="A622" s="214" t="s">
        <v>299</v>
      </c>
      <c r="B622" s="246" t="s">
        <v>3514</v>
      </c>
      <c r="C622" s="77" t="s">
        <v>3518</v>
      </c>
      <c r="D622" s="77" t="s">
        <v>3519</v>
      </c>
      <c r="E622" s="77" t="s">
        <v>3520</v>
      </c>
      <c r="F622" s="77"/>
      <c r="G622" s="77"/>
      <c r="H622" s="77"/>
      <c r="I622" s="216"/>
      <c r="J622" s="217"/>
      <c r="K622" s="216"/>
      <c r="L622" s="216"/>
      <c r="M622" s="216"/>
      <c r="N622" s="216"/>
      <c r="O622" s="229" t="s">
        <v>5569</v>
      </c>
      <c r="P622" s="216"/>
      <c r="Q622" s="216" t="s">
        <v>268</v>
      </c>
      <c r="R622" s="216"/>
      <c r="S622" s="216"/>
      <c r="T622" s="216"/>
      <c r="U622" s="216"/>
      <c r="V622" s="216"/>
      <c r="W622" s="216"/>
      <c r="X622" s="216"/>
      <c r="Y622" s="216"/>
      <c r="Z622" s="216"/>
      <c r="AA622" s="216"/>
      <c r="AB622" s="216"/>
      <c r="AC622" s="216"/>
      <c r="AD622" s="219"/>
      <c r="AE622" s="219"/>
      <c r="AF622" s="219"/>
      <c r="AG622" s="219"/>
      <c r="AH622" s="219"/>
      <c r="AI622" s="219"/>
      <c r="AJ622" s="219"/>
      <c r="AK622" s="219"/>
      <c r="AL622" s="219"/>
      <c r="AM622" s="219"/>
      <c r="AN622" s="219"/>
      <c r="AO622" s="102"/>
      <c r="AP622" s="102"/>
      <c r="AQ622" s="102"/>
      <c r="AR622" s="102"/>
      <c r="AS622" s="102"/>
      <c r="AT622" s="102"/>
    </row>
    <row r="623" ht="15.75" customHeight="1">
      <c r="A623" s="206" t="s">
        <v>277</v>
      </c>
      <c r="B623" s="245" t="s">
        <v>3521</v>
      </c>
      <c r="C623" s="77" t="s">
        <v>3522</v>
      </c>
      <c r="D623" s="77" t="s">
        <v>3523</v>
      </c>
      <c r="E623" s="77" t="s">
        <v>3524</v>
      </c>
      <c r="F623" s="77"/>
      <c r="G623" s="77"/>
      <c r="H623" s="77"/>
      <c r="I623" s="208"/>
      <c r="J623" s="212"/>
      <c r="K623" s="208"/>
      <c r="L623" s="208"/>
      <c r="M623" s="208"/>
      <c r="N623" s="208"/>
      <c r="O623" s="208"/>
      <c r="P623" s="208"/>
      <c r="Q623" s="208" t="s">
        <v>268</v>
      </c>
      <c r="R623" s="208"/>
      <c r="S623" s="208"/>
      <c r="T623" s="208"/>
      <c r="U623" s="208"/>
      <c r="V623" s="208"/>
      <c r="W623" s="208"/>
      <c r="X623" s="208"/>
      <c r="Y623" s="208"/>
      <c r="Z623" s="208"/>
      <c r="AA623" s="208"/>
      <c r="AB623" s="208"/>
      <c r="AC623" s="208"/>
      <c r="AD623" s="125"/>
      <c r="AE623" s="125"/>
      <c r="AF623" s="125"/>
      <c r="AG623" s="125"/>
      <c r="AH623" s="125"/>
      <c r="AI623" s="125"/>
      <c r="AJ623" s="125"/>
      <c r="AK623" s="125"/>
      <c r="AL623" s="125"/>
      <c r="AM623" s="125"/>
      <c r="AN623" s="125"/>
      <c r="AO623" s="102"/>
      <c r="AP623" s="102"/>
      <c r="AQ623" s="102"/>
      <c r="AR623" s="102"/>
      <c r="AS623" s="102"/>
      <c r="AT623" s="102"/>
    </row>
    <row r="624" ht="15.75" customHeight="1">
      <c r="A624" s="265" t="s">
        <v>396</v>
      </c>
      <c r="B624" s="266" t="s">
        <v>3526</v>
      </c>
      <c r="C624" s="77" t="s">
        <v>3533</v>
      </c>
      <c r="D624" s="77" t="s">
        <v>5570</v>
      </c>
      <c r="E624" s="77" t="s">
        <v>3535</v>
      </c>
      <c r="F624" s="77"/>
      <c r="G624" s="77"/>
      <c r="H624" s="77"/>
      <c r="I624" s="293"/>
      <c r="J624" s="293"/>
      <c r="K624" s="268" t="s">
        <v>4576</v>
      </c>
      <c r="L624" s="268"/>
      <c r="M624" s="267"/>
      <c r="N624" s="267"/>
      <c r="O624" s="293" t="s">
        <v>5571</v>
      </c>
      <c r="P624" s="267"/>
      <c r="Q624" s="267" t="s">
        <v>268</v>
      </c>
      <c r="R624" s="267"/>
      <c r="S624" s="267"/>
      <c r="T624" s="267"/>
      <c r="U624" s="267"/>
      <c r="V624" s="267"/>
      <c r="W624" s="267"/>
      <c r="X624" s="267"/>
      <c r="Y624" s="267"/>
      <c r="Z624" s="267"/>
      <c r="AA624" s="267"/>
      <c r="AB624" s="267"/>
      <c r="AC624" s="267"/>
      <c r="AD624" s="294"/>
      <c r="AE624" s="294"/>
      <c r="AF624" s="294"/>
      <c r="AG624" s="294"/>
      <c r="AH624" s="294"/>
      <c r="AI624" s="294"/>
      <c r="AJ624" s="294"/>
      <c r="AK624" s="294"/>
      <c r="AL624" s="294"/>
      <c r="AM624" s="294"/>
      <c r="AN624" s="294"/>
      <c r="AO624" s="102"/>
      <c r="AP624" s="102"/>
      <c r="AQ624" s="102"/>
      <c r="AR624" s="102"/>
      <c r="AS624" s="102"/>
      <c r="AT624" s="102"/>
    </row>
    <row r="625" ht="15.75" customHeight="1">
      <c r="A625" s="206" t="s">
        <v>3536</v>
      </c>
      <c r="B625" s="245" t="s">
        <v>3537</v>
      </c>
      <c r="C625" s="77" t="s">
        <v>3546</v>
      </c>
      <c r="D625" s="77" t="s">
        <v>3547</v>
      </c>
      <c r="E625" s="77" t="s">
        <v>3548</v>
      </c>
      <c r="F625" s="77" t="s">
        <v>3110</v>
      </c>
      <c r="G625" s="77" t="s">
        <v>5199</v>
      </c>
      <c r="H625" s="77" t="s">
        <v>3114</v>
      </c>
      <c r="I625" s="211"/>
      <c r="J625" s="209"/>
      <c r="K625" s="208"/>
      <c r="L625" s="208"/>
      <c r="M625" s="208"/>
      <c r="N625" s="208"/>
      <c r="O625" s="211" t="s">
        <v>5571</v>
      </c>
      <c r="P625" s="208"/>
      <c r="Q625" s="208" t="s">
        <v>268</v>
      </c>
      <c r="R625" s="208"/>
      <c r="S625" s="208"/>
      <c r="T625" s="208"/>
      <c r="U625" s="208"/>
      <c r="V625" s="208"/>
      <c r="W625" s="208"/>
      <c r="X625" s="208"/>
      <c r="Y625" s="208"/>
      <c r="Z625" s="208"/>
      <c r="AA625" s="208"/>
      <c r="AB625" s="208"/>
      <c r="AC625" s="208"/>
      <c r="AD625" s="125"/>
      <c r="AE625" s="125"/>
      <c r="AF625" s="125"/>
      <c r="AG625" s="125"/>
      <c r="AH625" s="125"/>
      <c r="AI625" s="125"/>
      <c r="AJ625" s="125"/>
      <c r="AK625" s="125"/>
      <c r="AL625" s="125"/>
      <c r="AM625" s="125"/>
      <c r="AN625" s="125"/>
      <c r="AO625" s="102"/>
      <c r="AP625" s="102"/>
      <c r="AQ625" s="102"/>
      <c r="AR625" s="102"/>
      <c r="AS625" s="102"/>
      <c r="AT625" s="102"/>
    </row>
    <row r="626" ht="15.75" customHeight="1">
      <c r="A626" s="214" t="s">
        <v>299</v>
      </c>
      <c r="B626" s="246" t="s">
        <v>3549</v>
      </c>
      <c r="C626" s="77" t="s">
        <v>3553</v>
      </c>
      <c r="D626" s="77" t="s">
        <v>3554</v>
      </c>
      <c r="E626" s="77" t="s">
        <v>3555</v>
      </c>
      <c r="F626" s="77"/>
      <c r="G626" s="77"/>
      <c r="H626" s="77"/>
      <c r="I626" s="216"/>
      <c r="J626" s="217"/>
      <c r="K626" s="216"/>
      <c r="L626" s="216"/>
      <c r="M626" s="216"/>
      <c r="N626" s="216"/>
      <c r="O626" s="229" t="s">
        <v>5572</v>
      </c>
      <c r="P626" s="216"/>
      <c r="Q626" s="216" t="s">
        <v>268</v>
      </c>
      <c r="R626" s="216"/>
      <c r="S626" s="216"/>
      <c r="T626" s="216"/>
      <c r="U626" s="216"/>
      <c r="V626" s="216"/>
      <c r="W626" s="216"/>
      <c r="X626" s="216"/>
      <c r="Y626" s="216"/>
      <c r="Z626" s="216"/>
      <c r="AA626" s="216"/>
      <c r="AB626" s="216"/>
      <c r="AC626" s="216"/>
      <c r="AD626" s="219"/>
      <c r="AE626" s="219"/>
      <c r="AF626" s="219"/>
      <c r="AG626" s="219"/>
      <c r="AH626" s="219"/>
      <c r="AI626" s="219"/>
      <c r="AJ626" s="219"/>
      <c r="AK626" s="219"/>
      <c r="AL626" s="219"/>
      <c r="AM626" s="219"/>
      <c r="AN626" s="219"/>
      <c r="AO626" s="102"/>
      <c r="AP626" s="102"/>
      <c r="AQ626" s="102"/>
      <c r="AR626" s="102"/>
      <c r="AS626" s="102"/>
      <c r="AT626" s="102"/>
    </row>
    <row r="627" ht="15.75" customHeight="1">
      <c r="A627" s="206" t="s">
        <v>277</v>
      </c>
      <c r="B627" s="245" t="s">
        <v>3556</v>
      </c>
      <c r="C627" s="77" t="s">
        <v>3560</v>
      </c>
      <c r="D627" s="77" t="s">
        <v>3561</v>
      </c>
      <c r="E627" s="77" t="s">
        <v>3562</v>
      </c>
      <c r="F627" s="77"/>
      <c r="G627" s="77"/>
      <c r="H627" s="77"/>
      <c r="I627" s="211"/>
      <c r="J627" s="212"/>
      <c r="K627" s="208"/>
      <c r="L627" s="208"/>
      <c r="M627" s="208"/>
      <c r="N627" s="208"/>
      <c r="O627" s="208"/>
      <c r="P627" s="208"/>
      <c r="Q627" s="208" t="s">
        <v>268</v>
      </c>
      <c r="R627" s="208"/>
      <c r="S627" s="208"/>
      <c r="T627" s="208"/>
      <c r="U627" s="208"/>
      <c r="V627" s="208"/>
      <c r="W627" s="208"/>
      <c r="X627" s="208"/>
      <c r="Y627" s="208"/>
      <c r="Z627" s="208"/>
      <c r="AA627" s="208"/>
      <c r="AB627" s="208"/>
      <c r="AC627" s="208"/>
      <c r="AD627" s="125"/>
      <c r="AE627" s="125"/>
      <c r="AF627" s="125"/>
      <c r="AG627" s="125"/>
      <c r="AH627" s="125"/>
      <c r="AI627" s="125"/>
      <c r="AJ627" s="125"/>
      <c r="AK627" s="125"/>
      <c r="AL627" s="125"/>
      <c r="AM627" s="125"/>
      <c r="AN627" s="125"/>
      <c r="AO627" s="102"/>
      <c r="AP627" s="102"/>
      <c r="AQ627" s="102"/>
      <c r="AR627" s="102"/>
      <c r="AS627" s="102"/>
      <c r="AT627" s="102"/>
    </row>
    <row r="628" ht="15.75" customHeight="1">
      <c r="A628" s="265" t="s">
        <v>396</v>
      </c>
      <c r="B628" s="266" t="s">
        <v>3563</v>
      </c>
      <c r="C628" s="77" t="s">
        <v>3567</v>
      </c>
      <c r="D628" s="77" t="s">
        <v>3568</v>
      </c>
      <c r="E628" s="77" t="s">
        <v>3569</v>
      </c>
      <c r="F628" s="77"/>
      <c r="G628" s="77"/>
      <c r="H628" s="77"/>
      <c r="I628" s="267"/>
      <c r="J628" s="267"/>
      <c r="K628" s="268" t="s">
        <v>4576</v>
      </c>
      <c r="L628" s="268"/>
      <c r="M628" s="293"/>
      <c r="N628" s="293"/>
      <c r="O628" s="293" t="s">
        <v>5573</v>
      </c>
      <c r="P628" s="267"/>
      <c r="Q628" s="267" t="s">
        <v>268</v>
      </c>
      <c r="R628" s="267"/>
      <c r="S628" s="267"/>
      <c r="T628" s="267"/>
      <c r="U628" s="267"/>
      <c r="V628" s="267"/>
      <c r="W628" s="267"/>
      <c r="X628" s="267"/>
      <c r="Y628" s="267"/>
      <c r="Z628" s="267"/>
      <c r="AA628" s="267"/>
      <c r="AB628" s="293"/>
      <c r="AC628" s="293"/>
      <c r="AD628" s="294"/>
      <c r="AE628" s="294"/>
      <c r="AF628" s="294"/>
      <c r="AG628" s="294"/>
      <c r="AH628" s="294"/>
      <c r="AI628" s="294"/>
      <c r="AJ628" s="294"/>
      <c r="AK628" s="294"/>
      <c r="AL628" s="294"/>
      <c r="AM628" s="294"/>
      <c r="AN628" s="294"/>
      <c r="AO628" s="102"/>
      <c r="AP628" s="102"/>
      <c r="AQ628" s="102"/>
      <c r="AR628" s="102"/>
      <c r="AS628" s="102"/>
      <c r="AT628" s="102"/>
    </row>
    <row r="629" ht="15.75" customHeight="1">
      <c r="A629" s="206" t="s">
        <v>3506</v>
      </c>
      <c r="B629" s="245" t="s">
        <v>3570</v>
      </c>
      <c r="C629" s="77" t="s">
        <v>3571</v>
      </c>
      <c r="D629" s="77" t="s">
        <v>3572</v>
      </c>
      <c r="E629" s="77" t="s">
        <v>3573</v>
      </c>
      <c r="F629" s="77" t="s">
        <v>3110</v>
      </c>
      <c r="G629" s="77" t="s">
        <v>5199</v>
      </c>
      <c r="H629" s="77" t="s">
        <v>3114</v>
      </c>
      <c r="I629" s="211"/>
      <c r="J629" s="209"/>
      <c r="K629" s="208"/>
      <c r="L629" s="208"/>
      <c r="M629" s="208"/>
      <c r="N629" s="208"/>
      <c r="O629" s="211" t="s">
        <v>5573</v>
      </c>
      <c r="P629" s="208"/>
      <c r="Q629" s="208" t="s">
        <v>268</v>
      </c>
      <c r="R629" s="208"/>
      <c r="S629" s="208"/>
      <c r="T629" s="208"/>
      <c r="U629" s="208"/>
      <c r="V629" s="208"/>
      <c r="W629" s="208"/>
      <c r="X629" s="208"/>
      <c r="Y629" s="208"/>
      <c r="Z629" s="208"/>
      <c r="AA629" s="208"/>
      <c r="AB629" s="208"/>
      <c r="AC629" s="208"/>
      <c r="AD629" s="125"/>
      <c r="AE629" s="125"/>
      <c r="AF629" s="125"/>
      <c r="AG629" s="125"/>
      <c r="AH629" s="125"/>
      <c r="AI629" s="125"/>
      <c r="AJ629" s="125"/>
      <c r="AK629" s="125"/>
      <c r="AL629" s="125"/>
      <c r="AM629" s="125"/>
      <c r="AN629" s="125"/>
      <c r="AO629" s="102"/>
      <c r="AP629" s="102"/>
      <c r="AQ629" s="102"/>
      <c r="AR629" s="102"/>
      <c r="AS629" s="102"/>
      <c r="AT629" s="102"/>
    </row>
    <row r="630" ht="15.75" customHeight="1">
      <c r="A630" s="214" t="s">
        <v>299</v>
      </c>
      <c r="B630" s="246" t="s">
        <v>3575</v>
      </c>
      <c r="C630" s="77" t="s">
        <v>3578</v>
      </c>
      <c r="D630" s="77" t="s">
        <v>3579</v>
      </c>
      <c r="E630" s="77" t="s">
        <v>3580</v>
      </c>
      <c r="F630" s="77"/>
      <c r="G630" s="77"/>
      <c r="H630" s="77"/>
      <c r="I630" s="216"/>
      <c r="J630" s="217"/>
      <c r="K630" s="216"/>
      <c r="L630" s="216"/>
      <c r="M630" s="216"/>
      <c r="N630" s="216"/>
      <c r="O630" s="229" t="s">
        <v>5574</v>
      </c>
      <c r="P630" s="216"/>
      <c r="Q630" s="216" t="s">
        <v>268</v>
      </c>
      <c r="R630" s="216"/>
      <c r="S630" s="216"/>
      <c r="T630" s="216"/>
      <c r="U630" s="216"/>
      <c r="V630" s="216"/>
      <c r="W630" s="216"/>
      <c r="X630" s="216"/>
      <c r="Y630" s="216"/>
      <c r="Z630" s="216"/>
      <c r="AA630" s="216"/>
      <c r="AB630" s="216"/>
      <c r="AC630" s="216"/>
      <c r="AD630" s="219"/>
      <c r="AE630" s="219"/>
      <c r="AF630" s="219"/>
      <c r="AG630" s="219"/>
      <c r="AH630" s="219"/>
      <c r="AI630" s="219"/>
      <c r="AJ630" s="219"/>
      <c r="AK630" s="219"/>
      <c r="AL630" s="219"/>
      <c r="AM630" s="219"/>
      <c r="AN630" s="219"/>
      <c r="AO630" s="102"/>
      <c r="AP630" s="102"/>
      <c r="AQ630" s="102"/>
      <c r="AR630" s="102"/>
      <c r="AS630" s="102"/>
      <c r="AT630" s="102"/>
    </row>
    <row r="631" ht="15.75" customHeight="1">
      <c r="A631" s="206" t="s">
        <v>277</v>
      </c>
      <c r="B631" s="245" t="s">
        <v>3581</v>
      </c>
      <c r="C631" s="77" t="s">
        <v>3584</v>
      </c>
      <c r="D631" s="77" t="s">
        <v>3585</v>
      </c>
      <c r="E631" s="77" t="s">
        <v>3586</v>
      </c>
      <c r="F631" s="77"/>
      <c r="G631" s="77"/>
      <c r="H631" s="77"/>
      <c r="I631" s="208"/>
      <c r="J631" s="212"/>
      <c r="K631" s="208"/>
      <c r="L631" s="208"/>
      <c r="M631" s="211"/>
      <c r="N631" s="211"/>
      <c r="O631" s="208"/>
      <c r="P631" s="208"/>
      <c r="Q631" s="208" t="s">
        <v>268</v>
      </c>
      <c r="R631" s="208"/>
      <c r="S631" s="208"/>
      <c r="T631" s="208"/>
      <c r="U631" s="208"/>
      <c r="V631" s="208"/>
      <c r="W631" s="208"/>
      <c r="X631" s="208"/>
      <c r="Y631" s="208"/>
      <c r="Z631" s="208"/>
      <c r="AA631" s="208"/>
      <c r="AB631" s="211"/>
      <c r="AC631" s="211"/>
      <c r="AD631" s="125"/>
      <c r="AE631" s="125"/>
      <c r="AF631" s="125"/>
      <c r="AG631" s="125"/>
      <c r="AH631" s="125"/>
      <c r="AI631" s="125"/>
      <c r="AJ631" s="125"/>
      <c r="AK631" s="125"/>
      <c r="AL631" s="125"/>
      <c r="AM631" s="125"/>
      <c r="AN631" s="125"/>
      <c r="AO631" s="102"/>
      <c r="AP631" s="102"/>
      <c r="AQ631" s="102"/>
      <c r="AR631" s="102"/>
      <c r="AS631" s="102"/>
      <c r="AT631" s="102"/>
    </row>
    <row r="632" ht="15.75" customHeight="1">
      <c r="A632" s="265" t="s">
        <v>396</v>
      </c>
      <c r="B632" s="266" t="s">
        <v>3587</v>
      </c>
      <c r="C632" s="77" t="s">
        <v>3588</v>
      </c>
      <c r="D632" s="77" t="s">
        <v>3589</v>
      </c>
      <c r="E632" s="77" t="s">
        <v>3590</v>
      </c>
      <c r="F632" s="77"/>
      <c r="G632" s="77"/>
      <c r="H632" s="77"/>
      <c r="I632" s="267"/>
      <c r="J632" s="267"/>
      <c r="K632" s="268" t="s">
        <v>4576</v>
      </c>
      <c r="L632" s="268"/>
      <c r="M632" s="267"/>
      <c r="N632" s="267"/>
      <c r="O632" s="293" t="s">
        <v>5575</v>
      </c>
      <c r="P632" s="267"/>
      <c r="Q632" s="267" t="s">
        <v>268</v>
      </c>
      <c r="R632" s="267"/>
      <c r="S632" s="267"/>
      <c r="T632" s="267"/>
      <c r="U632" s="267"/>
      <c r="V632" s="267"/>
      <c r="W632" s="267"/>
      <c r="X632" s="267"/>
      <c r="Y632" s="267"/>
      <c r="Z632" s="267"/>
      <c r="AA632" s="267"/>
      <c r="AB632" s="267"/>
      <c r="AC632" s="267"/>
      <c r="AD632" s="294"/>
      <c r="AE632" s="294"/>
      <c r="AF632" s="294"/>
      <c r="AG632" s="294"/>
      <c r="AH632" s="294"/>
      <c r="AI632" s="294"/>
      <c r="AJ632" s="294"/>
      <c r="AK632" s="294"/>
      <c r="AL632" s="294"/>
      <c r="AM632" s="294"/>
      <c r="AN632" s="294"/>
      <c r="AO632" s="102"/>
      <c r="AP632" s="102"/>
      <c r="AQ632" s="102"/>
      <c r="AR632" s="102"/>
      <c r="AS632" s="102"/>
      <c r="AT632" s="102"/>
    </row>
    <row r="633" ht="15.75" customHeight="1">
      <c r="A633" s="206" t="s">
        <v>3536</v>
      </c>
      <c r="B633" s="245" t="s">
        <v>3592</v>
      </c>
      <c r="C633" s="77" t="s">
        <v>3597</v>
      </c>
      <c r="D633" s="77" t="s">
        <v>3598</v>
      </c>
      <c r="E633" s="77" t="s">
        <v>3599</v>
      </c>
      <c r="F633" s="77" t="s">
        <v>3110</v>
      </c>
      <c r="G633" s="77" t="s">
        <v>5199</v>
      </c>
      <c r="H633" s="77" t="s">
        <v>3114</v>
      </c>
      <c r="I633" s="211"/>
      <c r="J633" s="209"/>
      <c r="K633" s="208"/>
      <c r="L633" s="208"/>
      <c r="M633" s="208"/>
      <c r="N633" s="208"/>
      <c r="O633" s="211" t="s">
        <v>5575</v>
      </c>
      <c r="P633" s="208"/>
      <c r="Q633" s="208" t="s">
        <v>268</v>
      </c>
      <c r="R633" s="208"/>
      <c r="S633" s="208"/>
      <c r="T633" s="208"/>
      <c r="U633" s="208"/>
      <c r="V633" s="208"/>
      <c r="W633" s="208"/>
      <c r="X633" s="208"/>
      <c r="Y633" s="208"/>
      <c r="Z633" s="208"/>
      <c r="AA633" s="208"/>
      <c r="AB633" s="208"/>
      <c r="AC633" s="208"/>
      <c r="AD633" s="125"/>
      <c r="AE633" s="125"/>
      <c r="AF633" s="125"/>
      <c r="AG633" s="125"/>
      <c r="AH633" s="125"/>
      <c r="AI633" s="125"/>
      <c r="AJ633" s="125"/>
      <c r="AK633" s="125"/>
      <c r="AL633" s="125"/>
      <c r="AM633" s="125"/>
      <c r="AN633" s="125"/>
      <c r="AO633" s="102"/>
      <c r="AP633" s="102"/>
      <c r="AQ633" s="102"/>
      <c r="AR633" s="102"/>
      <c r="AS633" s="102"/>
      <c r="AT633" s="102"/>
    </row>
    <row r="634" ht="15.75" customHeight="1">
      <c r="A634" s="214" t="s">
        <v>299</v>
      </c>
      <c r="B634" s="246" t="s">
        <v>3600</v>
      </c>
      <c r="C634" s="77" t="s">
        <v>3604</v>
      </c>
      <c r="D634" s="77" t="s">
        <v>3605</v>
      </c>
      <c r="E634" s="77" t="s">
        <v>3606</v>
      </c>
      <c r="F634" s="77"/>
      <c r="G634" s="77"/>
      <c r="H634" s="77"/>
      <c r="I634" s="216"/>
      <c r="J634" s="217"/>
      <c r="K634" s="216"/>
      <c r="L634" s="216"/>
      <c r="M634" s="216"/>
      <c r="N634" s="216"/>
      <c r="O634" s="229" t="s">
        <v>5576</v>
      </c>
      <c r="P634" s="216"/>
      <c r="Q634" s="216" t="s">
        <v>268</v>
      </c>
      <c r="R634" s="216"/>
      <c r="S634" s="216"/>
      <c r="T634" s="216"/>
      <c r="U634" s="216"/>
      <c r="V634" s="216"/>
      <c r="W634" s="216"/>
      <c r="X634" s="216"/>
      <c r="Y634" s="216"/>
      <c r="Z634" s="216"/>
      <c r="AA634" s="216"/>
      <c r="AB634" s="216"/>
      <c r="AC634" s="216"/>
      <c r="AD634" s="219"/>
      <c r="AE634" s="219"/>
      <c r="AF634" s="219"/>
      <c r="AG634" s="219"/>
      <c r="AH634" s="219"/>
      <c r="AI634" s="219"/>
      <c r="AJ634" s="219"/>
      <c r="AK634" s="219"/>
      <c r="AL634" s="219"/>
      <c r="AM634" s="219"/>
      <c r="AN634" s="219"/>
      <c r="AO634" s="102"/>
      <c r="AP634" s="102"/>
      <c r="AQ634" s="102"/>
      <c r="AR634" s="102"/>
      <c r="AS634" s="102"/>
      <c r="AT634" s="102"/>
    </row>
    <row r="635" ht="15.75" customHeight="1">
      <c r="A635" s="206" t="s">
        <v>277</v>
      </c>
      <c r="B635" s="245" t="s">
        <v>3607</v>
      </c>
      <c r="C635" s="77" t="s">
        <v>3611</v>
      </c>
      <c r="D635" s="77" t="s">
        <v>3612</v>
      </c>
      <c r="E635" s="77" t="s">
        <v>3613</v>
      </c>
      <c r="F635" s="77"/>
      <c r="G635" s="77"/>
      <c r="H635" s="77"/>
      <c r="I635" s="208"/>
      <c r="J635" s="212"/>
      <c r="K635" s="208"/>
      <c r="L635" s="208"/>
      <c r="M635" s="208"/>
      <c r="N635" s="208"/>
      <c r="O635" s="208"/>
      <c r="P635" s="208"/>
      <c r="Q635" s="208" t="s">
        <v>268</v>
      </c>
      <c r="R635" s="208"/>
      <c r="S635" s="208"/>
      <c r="T635" s="208"/>
      <c r="U635" s="208"/>
      <c r="V635" s="208"/>
      <c r="W635" s="208"/>
      <c r="X635" s="208"/>
      <c r="Y635" s="208"/>
      <c r="Z635" s="208"/>
      <c r="AA635" s="208"/>
      <c r="AB635" s="208"/>
      <c r="AC635" s="208"/>
      <c r="AD635" s="125"/>
      <c r="AE635" s="125"/>
      <c r="AF635" s="125"/>
      <c r="AG635" s="125"/>
      <c r="AH635" s="125"/>
      <c r="AI635" s="125"/>
      <c r="AJ635" s="125"/>
      <c r="AK635" s="125"/>
      <c r="AL635" s="125"/>
      <c r="AM635" s="125"/>
      <c r="AN635" s="125"/>
      <c r="AO635" s="102"/>
      <c r="AP635" s="102"/>
      <c r="AQ635" s="102"/>
      <c r="AR635" s="102"/>
      <c r="AS635" s="102"/>
      <c r="AT635" s="102"/>
    </row>
    <row r="636" ht="15.75" customHeight="1">
      <c r="A636" s="265" t="s">
        <v>396</v>
      </c>
      <c r="B636" s="266" t="s">
        <v>3614</v>
      </c>
      <c r="C636" s="77" t="s">
        <v>3622</v>
      </c>
      <c r="D636" s="77" t="s">
        <v>3623</v>
      </c>
      <c r="E636" s="77" t="s">
        <v>3624</v>
      </c>
      <c r="F636" s="77"/>
      <c r="G636" s="77"/>
      <c r="H636" s="77"/>
      <c r="I636" s="267"/>
      <c r="J636" s="267"/>
      <c r="K636" s="268" t="s">
        <v>4576</v>
      </c>
      <c r="L636" s="268"/>
      <c r="M636" s="267"/>
      <c r="N636" s="267"/>
      <c r="O636" s="293" t="s">
        <v>5577</v>
      </c>
      <c r="P636" s="267"/>
      <c r="Q636" s="267" t="s">
        <v>268</v>
      </c>
      <c r="R636" s="267"/>
      <c r="S636" s="267"/>
      <c r="T636" s="267"/>
      <c r="U636" s="293"/>
      <c r="V636" s="267"/>
      <c r="W636" s="267"/>
      <c r="X636" s="267"/>
      <c r="Y636" s="267"/>
      <c r="Z636" s="267"/>
      <c r="AA636" s="267"/>
      <c r="AB636" s="267"/>
      <c r="AC636" s="267"/>
      <c r="AD636" s="294"/>
      <c r="AE636" s="294"/>
      <c r="AF636" s="294"/>
      <c r="AG636" s="294"/>
      <c r="AH636" s="294"/>
      <c r="AI636" s="294"/>
      <c r="AJ636" s="294"/>
      <c r="AK636" s="294"/>
      <c r="AL636" s="294"/>
      <c r="AM636" s="294"/>
      <c r="AN636" s="294"/>
      <c r="AO636" s="102"/>
      <c r="AP636" s="102"/>
      <c r="AQ636" s="102"/>
      <c r="AR636" s="102"/>
      <c r="AS636" s="102"/>
      <c r="AT636" s="102"/>
    </row>
    <row r="637" ht="15.75" customHeight="1">
      <c r="A637" s="206" t="s">
        <v>3506</v>
      </c>
      <c r="B637" s="245" t="s">
        <v>3625</v>
      </c>
      <c r="C637" s="77" t="s">
        <v>3629</v>
      </c>
      <c r="D637" s="77" t="s">
        <v>3630</v>
      </c>
      <c r="E637" s="77" t="s">
        <v>3631</v>
      </c>
      <c r="F637" s="77" t="s">
        <v>3110</v>
      </c>
      <c r="G637" s="77" t="s">
        <v>5199</v>
      </c>
      <c r="H637" s="77" t="s">
        <v>3114</v>
      </c>
      <c r="I637" s="211"/>
      <c r="J637" s="209"/>
      <c r="K637" s="208"/>
      <c r="L637" s="208"/>
      <c r="M637" s="208"/>
      <c r="N637" s="208"/>
      <c r="O637" s="211" t="s">
        <v>5577</v>
      </c>
      <c r="P637" s="208"/>
      <c r="Q637" s="208" t="s">
        <v>268</v>
      </c>
      <c r="R637" s="208"/>
      <c r="S637" s="208"/>
      <c r="T637" s="208"/>
      <c r="U637" s="208"/>
      <c r="V637" s="208"/>
      <c r="W637" s="208"/>
      <c r="X637" s="208"/>
      <c r="Y637" s="208"/>
      <c r="Z637" s="208"/>
      <c r="AA637" s="208"/>
      <c r="AB637" s="208"/>
      <c r="AC637" s="208"/>
      <c r="AD637" s="125"/>
      <c r="AE637" s="125"/>
      <c r="AF637" s="125"/>
      <c r="AG637" s="125"/>
      <c r="AH637" s="125"/>
      <c r="AI637" s="125"/>
      <c r="AJ637" s="125"/>
      <c r="AK637" s="125"/>
      <c r="AL637" s="125"/>
      <c r="AM637" s="125"/>
      <c r="AN637" s="125"/>
      <c r="AO637" s="102"/>
      <c r="AP637" s="102"/>
      <c r="AQ637" s="102"/>
      <c r="AR637" s="102"/>
      <c r="AS637" s="102"/>
      <c r="AT637" s="102"/>
    </row>
    <row r="638" ht="15.75" customHeight="1">
      <c r="A638" s="214" t="s">
        <v>299</v>
      </c>
      <c r="B638" s="246" t="s">
        <v>3632</v>
      </c>
      <c r="C638" s="77" t="s">
        <v>3636</v>
      </c>
      <c r="D638" s="77" t="s">
        <v>3638</v>
      </c>
      <c r="E638" s="77" t="s">
        <v>3639</v>
      </c>
      <c r="F638" s="77"/>
      <c r="G638" s="77"/>
      <c r="H638" s="77"/>
      <c r="I638" s="216"/>
      <c r="J638" s="217"/>
      <c r="K638" s="216"/>
      <c r="L638" s="216"/>
      <c r="M638" s="216"/>
      <c r="N638" s="216"/>
      <c r="O638" s="229" t="s">
        <v>5578</v>
      </c>
      <c r="P638" s="216"/>
      <c r="Q638" s="216" t="s">
        <v>268</v>
      </c>
      <c r="R638" s="216"/>
      <c r="S638" s="216"/>
      <c r="T638" s="229"/>
      <c r="U638" s="229"/>
      <c r="V638" s="216"/>
      <c r="W638" s="216"/>
      <c r="X638" s="216"/>
      <c r="Y638" s="216"/>
      <c r="Z638" s="216"/>
      <c r="AA638" s="216"/>
      <c r="AB638" s="216"/>
      <c r="AC638" s="216"/>
      <c r="AD638" s="219"/>
      <c r="AE638" s="219"/>
      <c r="AF638" s="219"/>
      <c r="AG638" s="219"/>
      <c r="AH638" s="219"/>
      <c r="AI638" s="219"/>
      <c r="AJ638" s="219"/>
      <c r="AK638" s="219"/>
      <c r="AL638" s="219"/>
      <c r="AM638" s="219"/>
      <c r="AN638" s="219"/>
      <c r="AO638" s="102"/>
      <c r="AP638" s="102"/>
      <c r="AQ638" s="102"/>
      <c r="AR638" s="102"/>
      <c r="AS638" s="102"/>
      <c r="AT638" s="102"/>
    </row>
    <row r="639" ht="15.75" customHeight="1">
      <c r="A639" s="206" t="s">
        <v>277</v>
      </c>
      <c r="B639" s="245" t="s">
        <v>3640</v>
      </c>
      <c r="C639" s="77" t="s">
        <v>3645</v>
      </c>
      <c r="D639" s="77" t="s">
        <v>3646</v>
      </c>
      <c r="E639" s="77" t="s">
        <v>3647</v>
      </c>
      <c r="F639" s="77"/>
      <c r="G639" s="77"/>
      <c r="H639" s="77"/>
      <c r="I639" s="211"/>
      <c r="J639" s="209"/>
      <c r="K639" s="211"/>
      <c r="L639" s="211"/>
      <c r="M639" s="211"/>
      <c r="N639" s="208"/>
      <c r="O639" s="208"/>
      <c r="P639" s="208"/>
      <c r="Q639" s="208" t="s">
        <v>268</v>
      </c>
      <c r="R639" s="208"/>
      <c r="S639" s="208"/>
      <c r="T639" s="211"/>
      <c r="U639" s="211"/>
      <c r="V639" s="208"/>
      <c r="W639" s="208"/>
      <c r="X639" s="208"/>
      <c r="Y639" s="208"/>
      <c r="Z639" s="208"/>
      <c r="AA639" s="208"/>
      <c r="AB639" s="208"/>
      <c r="AC639" s="208"/>
      <c r="AD639" s="125"/>
      <c r="AE639" s="125"/>
      <c r="AF639" s="125"/>
      <c r="AG639" s="125"/>
      <c r="AH639" s="125"/>
      <c r="AI639" s="125"/>
      <c r="AJ639" s="125"/>
      <c r="AK639" s="125"/>
      <c r="AL639" s="125"/>
      <c r="AM639" s="125"/>
      <c r="AN639" s="125"/>
      <c r="AO639" s="102"/>
      <c r="AP639" s="102"/>
      <c r="AQ639" s="102"/>
      <c r="AR639" s="102"/>
      <c r="AS639" s="102"/>
      <c r="AT639" s="102"/>
    </row>
    <row r="640" ht="15.75" customHeight="1">
      <c r="A640" s="265" t="s">
        <v>396</v>
      </c>
      <c r="B640" s="266" t="s">
        <v>3648</v>
      </c>
      <c r="C640" s="77" t="s">
        <v>3653</v>
      </c>
      <c r="D640" s="77" t="s">
        <v>3654</v>
      </c>
      <c r="E640" s="77" t="s">
        <v>3655</v>
      </c>
      <c r="F640" s="77"/>
      <c r="G640" s="77"/>
      <c r="H640" s="77"/>
      <c r="I640" s="267"/>
      <c r="J640" s="267"/>
      <c r="K640" s="268" t="s">
        <v>4576</v>
      </c>
      <c r="L640" s="268"/>
      <c r="M640" s="267"/>
      <c r="N640" s="267"/>
      <c r="O640" s="293" t="s">
        <v>5579</v>
      </c>
      <c r="P640" s="267"/>
      <c r="Q640" s="267" t="s">
        <v>268</v>
      </c>
      <c r="R640" s="267"/>
      <c r="S640" s="267"/>
      <c r="T640" s="267"/>
      <c r="U640" s="267"/>
      <c r="V640" s="267"/>
      <c r="W640" s="267"/>
      <c r="X640" s="267"/>
      <c r="Y640" s="267"/>
      <c r="Z640" s="267"/>
      <c r="AA640" s="267"/>
      <c r="AB640" s="267"/>
      <c r="AC640" s="267"/>
      <c r="AD640" s="294"/>
      <c r="AE640" s="294"/>
      <c r="AF640" s="294"/>
      <c r="AG640" s="294"/>
      <c r="AH640" s="294"/>
      <c r="AI640" s="294"/>
      <c r="AJ640" s="294"/>
      <c r="AK640" s="294"/>
      <c r="AL640" s="294"/>
      <c r="AM640" s="294"/>
      <c r="AN640" s="294"/>
      <c r="AO640" s="102"/>
      <c r="AP640" s="102"/>
      <c r="AQ640" s="102"/>
      <c r="AR640" s="102"/>
      <c r="AS640" s="102"/>
      <c r="AT640" s="102"/>
    </row>
    <row r="641" ht="15.75" customHeight="1">
      <c r="A641" s="206" t="s">
        <v>3536</v>
      </c>
      <c r="B641" s="245" t="s">
        <v>3656</v>
      </c>
      <c r="C641" s="77" t="s">
        <v>3660</v>
      </c>
      <c r="D641" s="77" t="s">
        <v>3661</v>
      </c>
      <c r="E641" s="77" t="s">
        <v>3662</v>
      </c>
      <c r="F641" s="77" t="s">
        <v>3110</v>
      </c>
      <c r="G641" s="77" t="s">
        <v>5199</v>
      </c>
      <c r="H641" s="77" t="s">
        <v>3114</v>
      </c>
      <c r="I641" s="211"/>
      <c r="J641" s="209"/>
      <c r="K641" s="208"/>
      <c r="L641" s="208"/>
      <c r="M641" s="208"/>
      <c r="N641" s="208"/>
      <c r="O641" s="211" t="s">
        <v>5579</v>
      </c>
      <c r="P641" s="208"/>
      <c r="Q641" s="208" t="s">
        <v>268</v>
      </c>
      <c r="R641" s="208"/>
      <c r="S641" s="208"/>
      <c r="T641" s="208"/>
      <c r="U641" s="208"/>
      <c r="V641" s="208"/>
      <c r="W641" s="208"/>
      <c r="X641" s="208"/>
      <c r="Y641" s="208"/>
      <c r="Z641" s="208"/>
      <c r="AA641" s="208"/>
      <c r="AB641" s="208"/>
      <c r="AC641" s="208"/>
      <c r="AD641" s="125"/>
      <c r="AE641" s="125"/>
      <c r="AF641" s="125"/>
      <c r="AG641" s="125"/>
      <c r="AH641" s="125"/>
      <c r="AI641" s="125"/>
      <c r="AJ641" s="125"/>
      <c r="AK641" s="125"/>
      <c r="AL641" s="125"/>
      <c r="AM641" s="125"/>
      <c r="AN641" s="125"/>
      <c r="AO641" s="102"/>
      <c r="AP641" s="102"/>
      <c r="AQ641" s="102"/>
      <c r="AR641" s="102"/>
      <c r="AS641" s="102"/>
      <c r="AT641" s="102"/>
    </row>
    <row r="642" ht="15.75" customHeight="1">
      <c r="A642" s="214" t="s">
        <v>299</v>
      </c>
      <c r="B642" s="246" t="s">
        <v>3663</v>
      </c>
      <c r="C642" s="77" t="s">
        <v>3667</v>
      </c>
      <c r="D642" s="77" t="s">
        <v>3668</v>
      </c>
      <c r="E642" s="77" t="s">
        <v>3669</v>
      </c>
      <c r="F642" s="77"/>
      <c r="G642" s="77"/>
      <c r="H642" s="77"/>
      <c r="I642" s="216"/>
      <c r="J642" s="217"/>
      <c r="K642" s="216"/>
      <c r="L642" s="216"/>
      <c r="M642" s="216"/>
      <c r="N642" s="216"/>
      <c r="O642" s="229" t="s">
        <v>5580</v>
      </c>
      <c r="P642" s="216"/>
      <c r="Q642" s="216" t="s">
        <v>268</v>
      </c>
      <c r="R642" s="216"/>
      <c r="S642" s="216"/>
      <c r="T642" s="216"/>
      <c r="U642" s="216"/>
      <c r="V642" s="216"/>
      <c r="W642" s="216"/>
      <c r="X642" s="216"/>
      <c r="Y642" s="216"/>
      <c r="Z642" s="216"/>
      <c r="AA642" s="216"/>
      <c r="AB642" s="216"/>
      <c r="AC642" s="216"/>
      <c r="AD642" s="219"/>
      <c r="AE642" s="219"/>
      <c r="AF642" s="219"/>
      <c r="AG642" s="219"/>
      <c r="AH642" s="219"/>
      <c r="AI642" s="219"/>
      <c r="AJ642" s="219"/>
      <c r="AK642" s="219"/>
      <c r="AL642" s="219"/>
      <c r="AM642" s="219"/>
      <c r="AN642" s="219"/>
      <c r="AO642" s="102"/>
      <c r="AP642" s="102"/>
      <c r="AQ642" s="102"/>
      <c r="AR642" s="102"/>
      <c r="AS642" s="102"/>
      <c r="AT642" s="102"/>
    </row>
    <row r="643" ht="15.75" customHeight="1">
      <c r="A643" s="206" t="s">
        <v>277</v>
      </c>
      <c r="B643" s="245" t="s">
        <v>3670</v>
      </c>
      <c r="C643" s="77" t="s">
        <v>3674</v>
      </c>
      <c r="D643" s="77" t="s">
        <v>3675</v>
      </c>
      <c r="E643" s="77" t="s">
        <v>3676</v>
      </c>
      <c r="F643" s="77"/>
      <c r="G643" s="77"/>
      <c r="H643" s="77"/>
      <c r="I643" s="211"/>
      <c r="J643" s="209"/>
      <c r="K643" s="208"/>
      <c r="L643" s="208"/>
      <c r="M643" s="208"/>
      <c r="N643" s="208"/>
      <c r="O643" s="208"/>
      <c r="P643" s="208"/>
      <c r="Q643" s="208" t="s">
        <v>268</v>
      </c>
      <c r="R643" s="208"/>
      <c r="S643" s="208"/>
      <c r="T643" s="208"/>
      <c r="U643" s="208"/>
      <c r="V643" s="208"/>
      <c r="W643" s="208"/>
      <c r="X643" s="208"/>
      <c r="Y643" s="208"/>
      <c r="Z643" s="208"/>
      <c r="AA643" s="208"/>
      <c r="AB643" s="208"/>
      <c r="AC643" s="208"/>
      <c r="AD643" s="125"/>
      <c r="AE643" s="125"/>
      <c r="AF643" s="125"/>
      <c r="AG643" s="125"/>
      <c r="AH643" s="125"/>
      <c r="AI643" s="125"/>
      <c r="AJ643" s="125"/>
      <c r="AK643" s="125"/>
      <c r="AL643" s="125"/>
      <c r="AM643" s="125"/>
      <c r="AN643" s="125"/>
      <c r="AO643" s="102"/>
      <c r="AP643" s="102"/>
      <c r="AQ643" s="102"/>
      <c r="AR643" s="102"/>
      <c r="AS643" s="102"/>
      <c r="AT643" s="102"/>
    </row>
    <row r="644" ht="15.75" customHeight="1">
      <c r="A644" s="265" t="s">
        <v>396</v>
      </c>
      <c r="B644" s="266" t="s">
        <v>3677</v>
      </c>
      <c r="C644" s="77" t="s">
        <v>3681</v>
      </c>
      <c r="D644" s="77" t="s">
        <v>3682</v>
      </c>
      <c r="E644" s="77" t="s">
        <v>3683</v>
      </c>
      <c r="F644" s="77"/>
      <c r="G644" s="77"/>
      <c r="H644" s="77"/>
      <c r="I644" s="267"/>
      <c r="J644" s="267"/>
      <c r="K644" s="268" t="s">
        <v>4576</v>
      </c>
      <c r="L644" s="268"/>
      <c r="M644" s="267"/>
      <c r="N644" s="267"/>
      <c r="O644" s="293" t="s">
        <v>5581</v>
      </c>
      <c r="P644" s="267"/>
      <c r="Q644" s="267" t="s">
        <v>268</v>
      </c>
      <c r="R644" s="267"/>
      <c r="S644" s="267"/>
      <c r="T644" s="267"/>
      <c r="U644" s="267"/>
      <c r="V644" s="267"/>
      <c r="W644" s="267"/>
      <c r="X644" s="267"/>
      <c r="Y644" s="267"/>
      <c r="Z644" s="267"/>
      <c r="AA644" s="267"/>
      <c r="AB644" s="267"/>
      <c r="AC644" s="267"/>
      <c r="AD644" s="294"/>
      <c r="AE644" s="294"/>
      <c r="AF644" s="294"/>
      <c r="AG644" s="294"/>
      <c r="AH644" s="294"/>
      <c r="AI644" s="294"/>
      <c r="AJ644" s="294"/>
      <c r="AK644" s="294"/>
      <c r="AL644" s="294"/>
      <c r="AM644" s="294"/>
      <c r="AN644" s="294"/>
      <c r="AO644" s="102"/>
      <c r="AP644" s="102"/>
      <c r="AQ644" s="102"/>
      <c r="AR644" s="102"/>
      <c r="AS644" s="102"/>
      <c r="AT644" s="102"/>
    </row>
    <row r="645" ht="15.75" customHeight="1">
      <c r="A645" s="206" t="s">
        <v>3506</v>
      </c>
      <c r="B645" s="245" t="s">
        <v>3684</v>
      </c>
      <c r="C645" s="77" t="s">
        <v>3689</v>
      </c>
      <c r="D645" s="77" t="s">
        <v>3690</v>
      </c>
      <c r="E645" s="77" t="s">
        <v>3691</v>
      </c>
      <c r="F645" s="77" t="s">
        <v>3110</v>
      </c>
      <c r="G645" s="77" t="s">
        <v>5199</v>
      </c>
      <c r="H645" s="77" t="s">
        <v>3114</v>
      </c>
      <c r="I645" s="211"/>
      <c r="J645" s="209"/>
      <c r="K645" s="208"/>
      <c r="L645" s="208"/>
      <c r="M645" s="208"/>
      <c r="N645" s="208"/>
      <c r="O645" s="211" t="s">
        <v>5581</v>
      </c>
      <c r="P645" s="208"/>
      <c r="Q645" s="208" t="s">
        <v>268</v>
      </c>
      <c r="R645" s="208"/>
      <c r="S645" s="208"/>
      <c r="T645" s="208"/>
      <c r="U645" s="208"/>
      <c r="V645" s="208"/>
      <c r="W645" s="208"/>
      <c r="X645" s="208"/>
      <c r="Y645" s="208"/>
      <c r="Z645" s="208"/>
      <c r="AA645" s="208"/>
      <c r="AB645" s="208"/>
      <c r="AC645" s="208"/>
      <c r="AD645" s="125"/>
      <c r="AE645" s="125"/>
      <c r="AF645" s="125"/>
      <c r="AG645" s="125"/>
      <c r="AH645" s="125"/>
      <c r="AI645" s="125"/>
      <c r="AJ645" s="125"/>
      <c r="AK645" s="125"/>
      <c r="AL645" s="125"/>
      <c r="AM645" s="125"/>
      <c r="AN645" s="125"/>
      <c r="AO645" s="102"/>
      <c r="AP645" s="102"/>
      <c r="AQ645" s="102"/>
      <c r="AR645" s="102"/>
      <c r="AS645" s="102"/>
      <c r="AT645" s="102"/>
    </row>
    <row r="646" ht="15.75" customHeight="1">
      <c r="A646" s="214" t="s">
        <v>299</v>
      </c>
      <c r="B646" s="246" t="s">
        <v>3692</v>
      </c>
      <c r="C646" s="77" t="s">
        <v>3696</v>
      </c>
      <c r="D646" s="77" t="s">
        <v>3697</v>
      </c>
      <c r="E646" s="77" t="s">
        <v>3698</v>
      </c>
      <c r="F646" s="77"/>
      <c r="G646" s="77"/>
      <c r="H646" s="77"/>
      <c r="I646" s="216"/>
      <c r="J646" s="217"/>
      <c r="K646" s="216"/>
      <c r="L646" s="216"/>
      <c r="M646" s="216"/>
      <c r="N646" s="216"/>
      <c r="O646" s="229" t="s">
        <v>5582</v>
      </c>
      <c r="P646" s="216"/>
      <c r="Q646" s="216" t="s">
        <v>268</v>
      </c>
      <c r="R646" s="216"/>
      <c r="S646" s="216"/>
      <c r="T646" s="216"/>
      <c r="U646" s="229"/>
      <c r="V646" s="216"/>
      <c r="W646" s="216"/>
      <c r="X646" s="216"/>
      <c r="Y646" s="216"/>
      <c r="Z646" s="216"/>
      <c r="AA646" s="216"/>
      <c r="AB646" s="216"/>
      <c r="AC646" s="216"/>
      <c r="AD646" s="219"/>
      <c r="AE646" s="219"/>
      <c r="AF646" s="219"/>
      <c r="AG646" s="219"/>
      <c r="AH646" s="219"/>
      <c r="AI646" s="219"/>
      <c r="AJ646" s="219"/>
      <c r="AK646" s="219"/>
      <c r="AL646" s="219"/>
      <c r="AM646" s="219"/>
      <c r="AN646" s="219"/>
      <c r="AO646" s="102"/>
      <c r="AP646" s="102"/>
      <c r="AQ646" s="102"/>
      <c r="AR646" s="102"/>
      <c r="AS646" s="102"/>
      <c r="AT646" s="102"/>
    </row>
    <row r="647" ht="15.75" customHeight="1">
      <c r="A647" s="206" t="s">
        <v>277</v>
      </c>
      <c r="B647" s="245" t="s">
        <v>3699</v>
      </c>
      <c r="C647" s="77" t="s">
        <v>3703</v>
      </c>
      <c r="D647" s="77" t="s">
        <v>3705</v>
      </c>
      <c r="E647" s="77" t="s">
        <v>3707</v>
      </c>
      <c r="F647" s="77"/>
      <c r="G647" s="77"/>
      <c r="H647" s="77"/>
      <c r="I647" s="211"/>
      <c r="J647" s="209"/>
      <c r="K647" s="208"/>
      <c r="L647" s="208"/>
      <c r="M647" s="208"/>
      <c r="N647" s="208"/>
      <c r="O647" s="208"/>
      <c r="P647" s="208"/>
      <c r="Q647" s="208" t="s">
        <v>268</v>
      </c>
      <c r="R647" s="208"/>
      <c r="S647" s="208"/>
      <c r="T647" s="208"/>
      <c r="U647" s="208"/>
      <c r="V647" s="208"/>
      <c r="W647" s="208"/>
      <c r="X647" s="208"/>
      <c r="Y647" s="208"/>
      <c r="Z647" s="208"/>
      <c r="AA647" s="208"/>
      <c r="AB647" s="208"/>
      <c r="AC647" s="208"/>
      <c r="AD647" s="125"/>
      <c r="AE647" s="125"/>
      <c r="AF647" s="125"/>
      <c r="AG647" s="125"/>
      <c r="AH647" s="125"/>
      <c r="AI647" s="125"/>
      <c r="AJ647" s="125"/>
      <c r="AK647" s="125"/>
      <c r="AL647" s="125"/>
      <c r="AM647" s="125"/>
      <c r="AN647" s="125"/>
      <c r="AO647" s="102"/>
      <c r="AP647" s="102"/>
      <c r="AQ647" s="102"/>
      <c r="AR647" s="102"/>
      <c r="AS647" s="102"/>
      <c r="AT647" s="102"/>
    </row>
    <row r="648" ht="15.75" customHeight="1">
      <c r="A648" s="265" t="s">
        <v>396</v>
      </c>
      <c r="B648" s="266" t="s">
        <v>3709</v>
      </c>
      <c r="C648" s="77" t="s">
        <v>3713</v>
      </c>
      <c r="D648" s="77" t="s">
        <v>3714</v>
      </c>
      <c r="E648" s="77" t="s">
        <v>3715</v>
      </c>
      <c r="F648" s="77"/>
      <c r="G648" s="77"/>
      <c r="H648" s="77"/>
      <c r="I648" s="267"/>
      <c r="J648" s="267"/>
      <c r="K648" s="268" t="s">
        <v>4576</v>
      </c>
      <c r="L648" s="268"/>
      <c r="M648" s="267"/>
      <c r="N648" s="267"/>
      <c r="O648" s="293" t="s">
        <v>5583</v>
      </c>
      <c r="P648" s="267"/>
      <c r="Q648" s="267" t="s">
        <v>268</v>
      </c>
      <c r="R648" s="267"/>
      <c r="S648" s="267"/>
      <c r="T648" s="267"/>
      <c r="U648" s="267"/>
      <c r="V648" s="267"/>
      <c r="W648" s="267"/>
      <c r="X648" s="267"/>
      <c r="Y648" s="267"/>
      <c r="Z648" s="267"/>
      <c r="AA648" s="267"/>
      <c r="AB648" s="267"/>
      <c r="AC648" s="267"/>
      <c r="AD648" s="294"/>
      <c r="AE648" s="294"/>
      <c r="AF648" s="294"/>
      <c r="AG648" s="294"/>
      <c r="AH648" s="294"/>
      <c r="AI648" s="294"/>
      <c r="AJ648" s="294"/>
      <c r="AK648" s="294"/>
      <c r="AL648" s="294"/>
      <c r="AM648" s="294"/>
      <c r="AN648" s="294"/>
      <c r="AO648" s="102"/>
      <c r="AP648" s="102"/>
      <c r="AQ648" s="102"/>
      <c r="AR648" s="102"/>
      <c r="AS648" s="102"/>
      <c r="AT648" s="102"/>
    </row>
    <row r="649" ht="15.75" customHeight="1">
      <c r="A649" s="206" t="s">
        <v>3536</v>
      </c>
      <c r="B649" s="245" t="s">
        <v>3716</v>
      </c>
      <c r="C649" s="77" t="s">
        <v>3723</v>
      </c>
      <c r="D649" s="77" t="s">
        <v>3724</v>
      </c>
      <c r="E649" s="77" t="s">
        <v>3725</v>
      </c>
      <c r="F649" s="77" t="s">
        <v>3110</v>
      </c>
      <c r="G649" s="77" t="s">
        <v>5199</v>
      </c>
      <c r="H649" s="77" t="s">
        <v>3114</v>
      </c>
      <c r="I649" s="211"/>
      <c r="J649" s="209"/>
      <c r="K649" s="208"/>
      <c r="L649" s="208"/>
      <c r="M649" s="208"/>
      <c r="N649" s="208"/>
      <c r="O649" s="211" t="s">
        <v>5583</v>
      </c>
      <c r="P649" s="208"/>
      <c r="Q649" s="208" t="s">
        <v>268</v>
      </c>
      <c r="R649" s="208"/>
      <c r="S649" s="208"/>
      <c r="T649" s="211"/>
      <c r="U649" s="211"/>
      <c r="V649" s="211"/>
      <c r="W649" s="208"/>
      <c r="X649" s="208"/>
      <c r="Y649" s="208"/>
      <c r="Z649" s="208"/>
      <c r="AA649" s="208"/>
      <c r="AB649" s="208"/>
      <c r="AC649" s="208"/>
      <c r="AD649" s="125"/>
      <c r="AE649" s="125"/>
      <c r="AF649" s="125"/>
      <c r="AG649" s="125"/>
      <c r="AH649" s="125"/>
      <c r="AI649" s="125"/>
      <c r="AJ649" s="125"/>
      <c r="AK649" s="125"/>
      <c r="AL649" s="125"/>
      <c r="AM649" s="125"/>
      <c r="AN649" s="125"/>
      <c r="AO649" s="102"/>
      <c r="AP649" s="102"/>
      <c r="AQ649" s="102"/>
      <c r="AR649" s="102"/>
      <c r="AS649" s="102"/>
      <c r="AT649" s="102"/>
    </row>
    <row r="650" ht="15.75" customHeight="1">
      <c r="A650" s="214" t="s">
        <v>299</v>
      </c>
      <c r="B650" s="246" t="s">
        <v>3726</v>
      </c>
      <c r="C650" s="77" t="s">
        <v>3730</v>
      </c>
      <c r="D650" s="77" t="s">
        <v>3731</v>
      </c>
      <c r="E650" s="77" t="s">
        <v>3732</v>
      </c>
      <c r="F650" s="77"/>
      <c r="G650" s="77"/>
      <c r="H650" s="77"/>
      <c r="I650" s="216"/>
      <c r="J650" s="217"/>
      <c r="K650" s="216"/>
      <c r="L650" s="216"/>
      <c r="M650" s="216"/>
      <c r="N650" s="216"/>
      <c r="O650" s="229" t="s">
        <v>5584</v>
      </c>
      <c r="P650" s="216"/>
      <c r="Q650" s="216" t="s">
        <v>268</v>
      </c>
      <c r="R650" s="216"/>
      <c r="S650" s="216"/>
      <c r="T650" s="216"/>
      <c r="U650" s="216"/>
      <c r="V650" s="216"/>
      <c r="W650" s="216"/>
      <c r="X650" s="216"/>
      <c r="Y650" s="216"/>
      <c r="Z650" s="216"/>
      <c r="AA650" s="216"/>
      <c r="AB650" s="216"/>
      <c r="AC650" s="216"/>
      <c r="AD650" s="219"/>
      <c r="AE650" s="219"/>
      <c r="AF650" s="219"/>
      <c r="AG650" s="219"/>
      <c r="AH650" s="219"/>
      <c r="AI650" s="219"/>
      <c r="AJ650" s="219"/>
      <c r="AK650" s="219"/>
      <c r="AL650" s="219"/>
      <c r="AM650" s="219"/>
      <c r="AN650" s="219"/>
      <c r="AO650" s="102"/>
      <c r="AP650" s="102"/>
      <c r="AQ650" s="102"/>
      <c r="AR650" s="102"/>
      <c r="AS650" s="102"/>
      <c r="AT650" s="102"/>
    </row>
    <row r="651" ht="15.75" customHeight="1">
      <c r="A651" s="206" t="s">
        <v>3733</v>
      </c>
      <c r="B651" s="245" t="s">
        <v>3734</v>
      </c>
      <c r="C651" s="77" t="s">
        <v>3741</v>
      </c>
      <c r="D651" s="77" t="s">
        <v>3742</v>
      </c>
      <c r="E651" s="77" t="s">
        <v>3743</v>
      </c>
      <c r="F651" s="77" t="s">
        <v>5585</v>
      </c>
      <c r="G651" s="77" t="s">
        <v>5586</v>
      </c>
      <c r="H651" s="77" t="s">
        <v>5587</v>
      </c>
      <c r="I651" s="208"/>
      <c r="J651" s="212"/>
      <c r="K651" s="211" t="s">
        <v>5393</v>
      </c>
      <c r="L651" s="208"/>
      <c r="M651" s="208"/>
      <c r="N651" s="208"/>
      <c r="O651" s="208"/>
      <c r="P651" s="208"/>
      <c r="Q651" s="208" t="s">
        <v>268</v>
      </c>
      <c r="R651" s="208"/>
      <c r="S651" s="208"/>
      <c r="T651" s="208"/>
      <c r="U651" s="208"/>
      <c r="V651" s="208"/>
      <c r="W651" s="208"/>
      <c r="X651" s="208"/>
      <c r="Y651" s="208"/>
      <c r="Z651" s="208"/>
      <c r="AA651" s="208"/>
      <c r="AB651" s="208"/>
      <c r="AC651" s="208"/>
      <c r="AD651" s="102"/>
      <c r="AE651" s="102"/>
      <c r="AF651" s="102"/>
      <c r="AG651" s="102"/>
      <c r="AH651" s="102"/>
      <c r="AI651" s="102"/>
      <c r="AJ651" s="102"/>
      <c r="AK651" s="102"/>
      <c r="AL651" s="170"/>
      <c r="AM651" s="170"/>
      <c r="AN651" s="170"/>
      <c r="AO651" s="102"/>
      <c r="AP651" s="102"/>
      <c r="AQ651" s="102"/>
      <c r="AR651" s="102"/>
      <c r="AS651" s="102"/>
      <c r="AT651" s="102"/>
    </row>
    <row r="652" ht="15.75" customHeight="1">
      <c r="A652" s="395" t="s">
        <v>396</v>
      </c>
      <c r="B652" s="207" t="s">
        <v>3744</v>
      </c>
      <c r="C652" s="77" t="s">
        <v>3748</v>
      </c>
      <c r="D652" s="77" t="s">
        <v>3749</v>
      </c>
      <c r="E652" s="77" t="s">
        <v>3750</v>
      </c>
      <c r="F652" s="77"/>
      <c r="G652" s="77"/>
      <c r="H652" s="77"/>
      <c r="I652" s="267"/>
      <c r="J652" s="267"/>
      <c r="K652" s="405" t="s">
        <v>2786</v>
      </c>
      <c r="L652" s="268"/>
      <c r="M652" s="267"/>
      <c r="N652" s="267"/>
      <c r="O652" s="425" t="s">
        <v>5588</v>
      </c>
      <c r="P652" s="267"/>
      <c r="Q652" s="267"/>
      <c r="R652" s="267"/>
      <c r="S652" s="267"/>
      <c r="T652" s="267"/>
      <c r="U652" s="267"/>
      <c r="V652" s="267"/>
      <c r="W652" s="267"/>
      <c r="X652" s="267"/>
      <c r="Y652" s="267"/>
      <c r="Z652" s="267"/>
      <c r="AA652" s="267"/>
      <c r="AB652" s="267"/>
      <c r="AC652" s="267"/>
      <c r="AD652" s="102"/>
      <c r="AE652" s="102"/>
      <c r="AF652" s="102"/>
      <c r="AG652" s="102"/>
      <c r="AH652" s="102"/>
      <c r="AI652" s="102"/>
      <c r="AJ652" s="102"/>
      <c r="AK652" s="102"/>
      <c r="AL652" s="170"/>
      <c r="AM652" s="170"/>
      <c r="AN652" s="170"/>
      <c r="AO652" s="102"/>
      <c r="AP652" s="102"/>
      <c r="AQ652" s="102"/>
      <c r="AR652" s="102"/>
      <c r="AS652" s="102"/>
      <c r="AT652" s="102"/>
    </row>
    <row r="653" ht="15.75" customHeight="1">
      <c r="A653" s="265" t="s">
        <v>396</v>
      </c>
      <c r="B653" s="266" t="s">
        <v>3751</v>
      </c>
      <c r="C653" s="77" t="s">
        <v>3758</v>
      </c>
      <c r="D653" s="77" t="s">
        <v>3759</v>
      </c>
      <c r="E653" s="77" t="s">
        <v>3760</v>
      </c>
      <c r="F653" s="77" t="s">
        <v>5589</v>
      </c>
      <c r="G653" s="77" t="s">
        <v>5590</v>
      </c>
      <c r="H653" s="77" t="s">
        <v>5591</v>
      </c>
      <c r="I653" s="267"/>
      <c r="J653" s="267"/>
      <c r="K653" s="268"/>
      <c r="L653" s="268"/>
      <c r="M653" s="267"/>
      <c r="N653" s="267"/>
      <c r="O653" s="267"/>
      <c r="P653" s="267"/>
      <c r="Q653" s="267" t="s">
        <v>268</v>
      </c>
      <c r="R653" s="267"/>
      <c r="S653" s="267"/>
      <c r="T653" s="267"/>
      <c r="U653" s="267"/>
      <c r="V653" s="267"/>
      <c r="W653" s="267"/>
      <c r="X653" s="267"/>
      <c r="Y653" s="267"/>
      <c r="Z653" s="267"/>
      <c r="AA653" s="267"/>
      <c r="AB653" s="267"/>
      <c r="AC653" s="267"/>
      <c r="AD653" s="102"/>
      <c r="AE653" s="102"/>
      <c r="AF653" s="102"/>
      <c r="AG653" s="102"/>
      <c r="AH653" s="102"/>
      <c r="AI653" s="102"/>
      <c r="AJ653" s="102"/>
      <c r="AK653" s="102"/>
      <c r="AL653" s="170"/>
      <c r="AM653" s="170"/>
      <c r="AN653" s="170"/>
      <c r="AO653" s="102"/>
      <c r="AP653" s="102"/>
      <c r="AQ653" s="102"/>
      <c r="AR653" s="102"/>
      <c r="AS653" s="102"/>
      <c r="AT653" s="102"/>
    </row>
    <row r="654" ht="15.75" customHeight="1">
      <c r="A654" s="142" t="s">
        <v>183</v>
      </c>
      <c r="B654" s="239" t="s">
        <v>5592</v>
      </c>
      <c r="C654" s="144"/>
      <c r="D654" s="144"/>
      <c r="E654" s="144"/>
      <c r="F654" s="145"/>
      <c r="G654" s="145"/>
      <c r="H654" s="145"/>
      <c r="I654" s="145"/>
      <c r="J654" s="145"/>
      <c r="K654" s="145"/>
      <c r="L654" s="145"/>
      <c r="M654" s="145"/>
      <c r="N654" s="145"/>
      <c r="O654" s="146"/>
      <c r="P654" s="146"/>
      <c r="Q654" s="146"/>
      <c r="R654" s="146"/>
      <c r="S654" s="145"/>
      <c r="T654" s="402" t="s">
        <v>211</v>
      </c>
      <c r="U654" s="146"/>
      <c r="V654" s="145"/>
      <c r="W654" s="145"/>
      <c r="X654" s="145"/>
      <c r="Y654" s="145"/>
      <c r="Z654" s="145"/>
      <c r="AA654" s="145"/>
      <c r="AB654" s="145"/>
      <c r="AC654" s="145"/>
      <c r="AD654" s="102"/>
      <c r="AE654" s="102"/>
      <c r="AF654" s="102"/>
      <c r="AG654" s="102"/>
      <c r="AH654" s="102"/>
      <c r="AI654" s="102"/>
      <c r="AJ654" s="102"/>
      <c r="AK654" s="102"/>
      <c r="AL654" s="102"/>
      <c r="AM654" s="102"/>
      <c r="AN654" s="102"/>
      <c r="AO654" s="102"/>
      <c r="AP654" s="102"/>
      <c r="AQ654" s="102"/>
      <c r="AR654" s="102"/>
      <c r="AS654" s="102"/>
      <c r="AT654" s="102"/>
    </row>
    <row r="655" ht="15.75" customHeight="1">
      <c r="A655" s="90" t="s">
        <v>116</v>
      </c>
      <c r="B655" s="91" t="s">
        <v>5593</v>
      </c>
      <c r="C655" s="93"/>
      <c r="D655" s="96"/>
      <c r="E655" s="96"/>
      <c r="F655" s="97"/>
      <c r="G655" s="97"/>
      <c r="H655" s="97"/>
      <c r="I655" s="98"/>
      <c r="J655" s="98"/>
      <c r="K655" s="97"/>
      <c r="L655" s="98"/>
      <c r="M655" s="98"/>
      <c r="N655" s="98"/>
      <c r="O655" s="236"/>
      <c r="P655" s="100"/>
      <c r="Q655" s="100"/>
      <c r="R655" s="100"/>
      <c r="S655" s="97"/>
      <c r="T655" s="238" t="s">
        <v>5594</v>
      </c>
      <c r="U655" s="97"/>
      <c r="V655" s="97"/>
      <c r="W655" s="97"/>
      <c r="X655" s="97"/>
      <c r="Y655" s="97"/>
      <c r="Z655" s="97"/>
      <c r="AA655" s="97"/>
      <c r="AB655" s="97"/>
      <c r="AC655" s="97"/>
      <c r="AD655" s="102"/>
      <c r="AE655" s="102"/>
      <c r="AF655" s="102"/>
      <c r="AG655" s="102"/>
      <c r="AH655" s="102"/>
      <c r="AI655" s="102"/>
      <c r="AJ655" s="102"/>
      <c r="AK655" s="102"/>
      <c r="AL655" s="102"/>
      <c r="AM655" s="102"/>
      <c r="AN655" s="102"/>
      <c r="AO655" s="102"/>
      <c r="AP655" s="102"/>
      <c r="AQ655" s="102"/>
      <c r="AR655" s="102"/>
      <c r="AS655" s="102"/>
      <c r="AT655" s="102"/>
    </row>
    <row r="656" ht="15.75" customHeight="1">
      <c r="A656" s="197" t="s">
        <v>735</v>
      </c>
      <c r="B656" s="96" t="s">
        <v>5565</v>
      </c>
      <c r="C656" s="96" t="s">
        <v>5566</v>
      </c>
      <c r="D656" s="96"/>
      <c r="E656" s="96"/>
      <c r="F656" s="97"/>
      <c r="G656" s="97"/>
      <c r="H656" s="97"/>
      <c r="I656" s="97"/>
      <c r="J656" s="97"/>
      <c r="K656" s="97"/>
      <c r="L656" s="97"/>
      <c r="M656" s="97"/>
      <c r="N656" s="97"/>
      <c r="O656" s="100"/>
      <c r="P656" s="97"/>
      <c r="Q656" s="97"/>
      <c r="R656" s="97"/>
      <c r="S656" s="97"/>
      <c r="T656" s="97"/>
      <c r="U656" s="97"/>
      <c r="V656" s="97"/>
      <c r="W656" s="97"/>
      <c r="X656" s="97"/>
      <c r="Y656" s="97"/>
      <c r="Z656" s="97"/>
      <c r="AA656" s="97"/>
      <c r="AB656" s="97"/>
      <c r="AC656" s="97"/>
      <c r="AD656" s="170"/>
      <c r="AE656" s="170"/>
      <c r="AF656" s="170"/>
      <c r="AG656" s="170"/>
      <c r="AH656" s="170"/>
      <c r="AI656" s="170"/>
      <c r="AJ656" s="170"/>
      <c r="AK656" s="170"/>
      <c r="AL656" s="170"/>
      <c r="AM656" s="170"/>
      <c r="AN656" s="170"/>
      <c r="AO656" s="102"/>
      <c r="AP656" s="102"/>
      <c r="AQ656" s="102"/>
      <c r="AR656" s="102"/>
      <c r="AS656" s="102"/>
      <c r="AT656" s="102"/>
    </row>
    <row r="657" ht="15.75" customHeight="1">
      <c r="A657" s="142" t="s">
        <v>183</v>
      </c>
      <c r="B657" s="239" t="s">
        <v>5595</v>
      </c>
      <c r="C657" s="144"/>
      <c r="D657" s="144"/>
      <c r="E657" s="144"/>
      <c r="F657" s="145"/>
      <c r="G657" s="145"/>
      <c r="H657" s="145"/>
      <c r="I657" s="145"/>
      <c r="J657" s="145"/>
      <c r="K657" s="145"/>
      <c r="L657" s="145"/>
      <c r="M657" s="145"/>
      <c r="N657" s="145"/>
      <c r="O657" s="146"/>
      <c r="P657" s="146"/>
      <c r="Q657" s="146"/>
      <c r="R657" s="146"/>
      <c r="S657" s="145"/>
      <c r="T657" s="402" t="s">
        <v>211</v>
      </c>
      <c r="U657" s="146"/>
      <c r="V657" s="145"/>
      <c r="W657" s="145"/>
      <c r="X657" s="145"/>
      <c r="Y657" s="145"/>
      <c r="Z657" s="145"/>
      <c r="AA657" s="145"/>
      <c r="AB657" s="145"/>
      <c r="AC657" s="145"/>
      <c r="AD657" s="102"/>
      <c r="AE657" s="102"/>
      <c r="AF657" s="102"/>
      <c r="AG657" s="102"/>
      <c r="AH657" s="102"/>
      <c r="AI657" s="102"/>
      <c r="AJ657" s="102"/>
      <c r="AK657" s="102"/>
      <c r="AL657" s="102"/>
      <c r="AM657" s="102"/>
      <c r="AN657" s="102"/>
      <c r="AO657" s="102"/>
      <c r="AP657" s="102"/>
      <c r="AQ657" s="102"/>
      <c r="AR657" s="102"/>
      <c r="AS657" s="102"/>
      <c r="AT657" s="102"/>
    </row>
    <row r="658" ht="15.75" customHeight="1">
      <c r="A658" s="197" t="s">
        <v>227</v>
      </c>
      <c r="B658" s="93" t="s">
        <v>5596</v>
      </c>
      <c r="C658" s="93" t="s">
        <v>5597</v>
      </c>
      <c r="D658" s="96" t="s">
        <v>5598</v>
      </c>
      <c r="E658" s="96" t="s">
        <v>5599</v>
      </c>
      <c r="F658" s="97"/>
      <c r="G658" s="97"/>
      <c r="H658" s="97"/>
      <c r="I658" s="97"/>
      <c r="J658" s="98" t="s">
        <v>3246</v>
      </c>
      <c r="K658" s="97"/>
      <c r="L658" s="97"/>
      <c r="M658" s="98"/>
      <c r="N658" s="98"/>
      <c r="O658" s="98"/>
      <c r="P658" s="97"/>
      <c r="Q658" s="97"/>
      <c r="R658" s="97"/>
      <c r="S658" s="97"/>
      <c r="T658" s="97"/>
      <c r="U658" s="97"/>
      <c r="V658" s="97"/>
      <c r="W658" s="97"/>
      <c r="X658" s="97"/>
      <c r="Y658" s="97"/>
      <c r="Z658" s="97"/>
      <c r="AA658" s="97"/>
      <c r="AB658" s="97"/>
      <c r="AC658" s="97"/>
      <c r="AD658" s="102"/>
      <c r="AE658" s="102"/>
      <c r="AF658" s="102"/>
      <c r="AG658" s="102"/>
      <c r="AH658" s="102"/>
      <c r="AI658" s="102"/>
      <c r="AJ658" s="102"/>
      <c r="AK658" s="102"/>
      <c r="AL658" s="102"/>
      <c r="AM658" s="102"/>
      <c r="AN658" s="102"/>
      <c r="AO658" s="102"/>
      <c r="AP658" s="102"/>
      <c r="AQ658" s="102"/>
      <c r="AR658" s="102"/>
      <c r="AS658" s="102"/>
      <c r="AT658" s="102"/>
    </row>
    <row r="659" ht="15.75" customHeight="1">
      <c r="A659" s="206" t="s">
        <v>194</v>
      </c>
      <c r="B659" s="245" t="s">
        <v>3782</v>
      </c>
      <c r="C659" s="77" t="s">
        <v>3789</v>
      </c>
      <c r="D659" s="77" t="s">
        <v>3790</v>
      </c>
      <c r="E659" s="77" t="s">
        <v>3791</v>
      </c>
      <c r="F659" s="77"/>
      <c r="G659" s="77"/>
      <c r="H659" s="77"/>
      <c r="I659" s="208"/>
      <c r="J659" s="212" t="s">
        <v>10</v>
      </c>
      <c r="K659" s="208"/>
      <c r="L659" s="208"/>
      <c r="M659" s="208"/>
      <c r="N659" s="208"/>
      <c r="O659" s="208"/>
      <c r="P659" s="208"/>
      <c r="Q659" s="208"/>
      <c r="R659" s="208"/>
      <c r="S659" s="208"/>
      <c r="T659" s="208"/>
      <c r="U659" s="208"/>
      <c r="V659" s="208"/>
      <c r="W659" s="208"/>
      <c r="X659" s="208"/>
      <c r="Y659" s="208"/>
      <c r="Z659" s="208"/>
      <c r="AA659" s="208"/>
      <c r="AB659" s="208"/>
      <c r="AC659" s="208"/>
      <c r="AD659" s="102"/>
      <c r="AE659" s="102"/>
      <c r="AF659" s="102"/>
      <c r="AG659" s="102"/>
      <c r="AH659" s="102"/>
      <c r="AI659" s="102"/>
      <c r="AJ659" s="102"/>
      <c r="AK659" s="102"/>
      <c r="AL659" s="125"/>
      <c r="AM659" s="125"/>
      <c r="AN659" s="125"/>
      <c r="AO659" s="102"/>
      <c r="AP659" s="102"/>
      <c r="AQ659" s="102"/>
      <c r="AR659" s="102"/>
      <c r="AS659" s="102"/>
      <c r="AT659" s="102"/>
    </row>
    <row r="660" ht="15.75" customHeight="1">
      <c r="A660" s="206" t="s">
        <v>194</v>
      </c>
      <c r="B660" s="245" t="s">
        <v>3792</v>
      </c>
      <c r="C660" s="77" t="s">
        <v>3796</v>
      </c>
      <c r="D660" s="77" t="s">
        <v>3797</v>
      </c>
      <c r="E660" s="77" t="s">
        <v>3798</v>
      </c>
      <c r="F660" s="77"/>
      <c r="G660" s="77"/>
      <c r="H660" s="77"/>
      <c r="I660" s="208"/>
      <c r="J660" s="212" t="s">
        <v>3286</v>
      </c>
      <c r="K660" s="208"/>
      <c r="L660" s="208"/>
      <c r="M660" s="208"/>
      <c r="N660" s="208"/>
      <c r="O660" s="208"/>
      <c r="P660" s="208"/>
      <c r="Q660" s="208" t="s">
        <v>268</v>
      </c>
      <c r="R660" s="208"/>
      <c r="S660" s="208"/>
      <c r="T660" s="208"/>
      <c r="U660" s="208"/>
      <c r="V660" s="208"/>
      <c r="W660" s="208"/>
      <c r="X660" s="208"/>
      <c r="Y660" s="208"/>
      <c r="Z660" s="208"/>
      <c r="AA660" s="208"/>
      <c r="AB660" s="208"/>
      <c r="AC660" s="208"/>
      <c r="AD660" s="102"/>
      <c r="AE660" s="102"/>
      <c r="AF660" s="102"/>
      <c r="AG660" s="102"/>
      <c r="AH660" s="102"/>
      <c r="AI660" s="102"/>
      <c r="AJ660" s="102"/>
      <c r="AK660" s="102"/>
      <c r="AL660" s="125"/>
      <c r="AM660" s="125"/>
      <c r="AN660" s="125"/>
      <c r="AO660" s="102"/>
      <c r="AP660" s="102"/>
      <c r="AQ660" s="102"/>
      <c r="AR660" s="102"/>
      <c r="AS660" s="102"/>
      <c r="AT660" s="102"/>
    </row>
    <row r="661" ht="15.75" customHeight="1">
      <c r="A661" s="206" t="s">
        <v>194</v>
      </c>
      <c r="B661" s="245" t="s">
        <v>3800</v>
      </c>
      <c r="C661" s="77" t="s">
        <v>3806</v>
      </c>
      <c r="D661" s="77" t="s">
        <v>3807</v>
      </c>
      <c r="E661" s="77" t="s">
        <v>3808</v>
      </c>
      <c r="F661" s="77"/>
      <c r="G661" s="77"/>
      <c r="H661" s="77"/>
      <c r="I661" s="208"/>
      <c r="J661" s="212" t="s">
        <v>3286</v>
      </c>
      <c r="K661" s="208"/>
      <c r="L661" s="208"/>
      <c r="M661" s="208"/>
      <c r="N661" s="208"/>
      <c r="O661" s="208"/>
      <c r="P661" s="208"/>
      <c r="Q661" s="208" t="s">
        <v>268</v>
      </c>
      <c r="R661" s="208"/>
      <c r="S661" s="208"/>
      <c r="T661" s="208"/>
      <c r="U661" s="208"/>
      <c r="V661" s="208"/>
      <c r="W661" s="208"/>
      <c r="X661" s="208"/>
      <c r="Y661" s="208"/>
      <c r="Z661" s="208"/>
      <c r="AA661" s="208"/>
      <c r="AB661" s="208"/>
      <c r="AC661" s="208"/>
      <c r="AD661" s="102"/>
      <c r="AE661" s="102"/>
      <c r="AF661" s="102"/>
      <c r="AG661" s="102"/>
      <c r="AH661" s="102"/>
      <c r="AI661" s="102"/>
      <c r="AJ661" s="102"/>
      <c r="AK661" s="102"/>
      <c r="AL661" s="125"/>
      <c r="AM661" s="125"/>
      <c r="AN661" s="125"/>
      <c r="AO661" s="102"/>
      <c r="AP661" s="102"/>
      <c r="AQ661" s="102"/>
      <c r="AR661" s="102"/>
      <c r="AS661" s="102"/>
      <c r="AT661" s="102"/>
    </row>
    <row r="662" ht="15.75" customHeight="1">
      <c r="A662" s="206" t="s">
        <v>194</v>
      </c>
      <c r="B662" s="245" t="s">
        <v>3809</v>
      </c>
      <c r="C662" s="77" t="s">
        <v>3814</v>
      </c>
      <c r="D662" s="77" t="s">
        <v>3815</v>
      </c>
      <c r="E662" s="77" t="s">
        <v>3817</v>
      </c>
      <c r="F662" s="77"/>
      <c r="G662" s="77"/>
      <c r="H662" s="77"/>
      <c r="I662" s="208"/>
      <c r="J662" s="212" t="s">
        <v>3286</v>
      </c>
      <c r="K662" s="208"/>
      <c r="L662" s="208"/>
      <c r="M662" s="208"/>
      <c r="N662" s="208"/>
      <c r="O662" s="208"/>
      <c r="P662" s="208"/>
      <c r="Q662" s="208" t="s">
        <v>268</v>
      </c>
      <c r="R662" s="208"/>
      <c r="S662" s="208"/>
      <c r="T662" s="208"/>
      <c r="U662" s="208"/>
      <c r="V662" s="208"/>
      <c r="W662" s="208"/>
      <c r="X662" s="208"/>
      <c r="Y662" s="208"/>
      <c r="Z662" s="208"/>
      <c r="AA662" s="208"/>
      <c r="AB662" s="208"/>
      <c r="AC662" s="208"/>
      <c r="AD662" s="102"/>
      <c r="AE662" s="102"/>
      <c r="AF662" s="102"/>
      <c r="AG662" s="102"/>
      <c r="AH662" s="102"/>
      <c r="AI662" s="102"/>
      <c r="AJ662" s="102"/>
      <c r="AK662" s="102"/>
      <c r="AL662" s="125"/>
      <c r="AM662" s="125"/>
      <c r="AN662" s="125"/>
      <c r="AO662" s="102"/>
      <c r="AP662" s="102"/>
      <c r="AQ662" s="102"/>
      <c r="AR662" s="102"/>
      <c r="AS662" s="102"/>
      <c r="AT662" s="102"/>
    </row>
    <row r="663" ht="15.75" customHeight="1">
      <c r="A663" s="206" t="s">
        <v>194</v>
      </c>
      <c r="B663" s="245" t="s">
        <v>3819</v>
      </c>
      <c r="C663" s="77" t="s">
        <v>3823</v>
      </c>
      <c r="D663" s="77" t="s">
        <v>3824</v>
      </c>
      <c r="E663" s="77" t="s">
        <v>3825</v>
      </c>
      <c r="F663" s="77"/>
      <c r="G663" s="77"/>
      <c r="H663" s="77"/>
      <c r="I663" s="208"/>
      <c r="J663" s="212" t="s">
        <v>3286</v>
      </c>
      <c r="K663" s="208"/>
      <c r="L663" s="208"/>
      <c r="M663" s="208"/>
      <c r="N663" s="208"/>
      <c r="O663" s="208"/>
      <c r="P663" s="208"/>
      <c r="Q663" s="208" t="s">
        <v>268</v>
      </c>
      <c r="R663" s="208"/>
      <c r="S663" s="208"/>
      <c r="T663" s="208"/>
      <c r="U663" s="208"/>
      <c r="V663" s="208"/>
      <c r="W663" s="208"/>
      <c r="X663" s="208"/>
      <c r="Y663" s="208"/>
      <c r="Z663" s="208"/>
      <c r="AA663" s="208"/>
      <c r="AB663" s="208"/>
      <c r="AC663" s="208"/>
      <c r="AD663" s="102"/>
      <c r="AE663" s="102"/>
      <c r="AF663" s="102"/>
      <c r="AG663" s="102"/>
      <c r="AH663" s="102"/>
      <c r="AI663" s="102"/>
      <c r="AJ663" s="102"/>
      <c r="AK663" s="102"/>
      <c r="AL663" s="125"/>
      <c r="AM663" s="125"/>
      <c r="AN663" s="125"/>
      <c r="AO663" s="102"/>
      <c r="AP663" s="102"/>
      <c r="AQ663" s="102"/>
      <c r="AR663" s="102"/>
      <c r="AS663" s="102"/>
      <c r="AT663" s="102"/>
    </row>
    <row r="664" ht="15.75" customHeight="1">
      <c r="A664" s="206" t="s">
        <v>194</v>
      </c>
      <c r="B664" s="245" t="s">
        <v>3826</v>
      </c>
      <c r="C664" s="77" t="s">
        <v>3830</v>
      </c>
      <c r="D664" s="77" t="s">
        <v>3831</v>
      </c>
      <c r="E664" s="77" t="s">
        <v>3833</v>
      </c>
      <c r="F664" s="77"/>
      <c r="G664" s="77"/>
      <c r="H664" s="77"/>
      <c r="I664" s="208"/>
      <c r="J664" s="212" t="s">
        <v>3286</v>
      </c>
      <c r="K664" s="208"/>
      <c r="L664" s="208"/>
      <c r="M664" s="208"/>
      <c r="N664" s="208"/>
      <c r="O664" s="208"/>
      <c r="P664" s="208"/>
      <c r="Q664" s="208" t="s">
        <v>268</v>
      </c>
      <c r="R664" s="208"/>
      <c r="S664" s="208"/>
      <c r="T664" s="208"/>
      <c r="U664" s="208"/>
      <c r="V664" s="208"/>
      <c r="W664" s="208"/>
      <c r="X664" s="208"/>
      <c r="Y664" s="208"/>
      <c r="Z664" s="208"/>
      <c r="AA664" s="208"/>
      <c r="AB664" s="208"/>
      <c r="AC664" s="208"/>
      <c r="AD664" s="102"/>
      <c r="AE664" s="102"/>
      <c r="AF664" s="102"/>
      <c r="AG664" s="102"/>
      <c r="AH664" s="102"/>
      <c r="AI664" s="102"/>
      <c r="AJ664" s="102"/>
      <c r="AK664" s="102"/>
      <c r="AL664" s="125"/>
      <c r="AM664" s="125"/>
      <c r="AN664" s="125"/>
      <c r="AO664" s="102"/>
      <c r="AP664" s="102"/>
      <c r="AQ664" s="102"/>
      <c r="AR664" s="102"/>
      <c r="AS664" s="102"/>
      <c r="AT664" s="102"/>
    </row>
    <row r="665" ht="15.75" customHeight="1">
      <c r="A665" s="197" t="s">
        <v>735</v>
      </c>
      <c r="B665" s="96" t="s">
        <v>5596</v>
      </c>
      <c r="C665" s="96" t="s">
        <v>5597</v>
      </c>
      <c r="D665" s="96" t="s">
        <v>5598</v>
      </c>
      <c r="E665" s="96" t="s">
        <v>5599</v>
      </c>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102"/>
      <c r="AE665" s="102"/>
      <c r="AF665" s="102"/>
      <c r="AG665" s="102"/>
      <c r="AH665" s="102"/>
      <c r="AI665" s="102"/>
      <c r="AJ665" s="102"/>
      <c r="AK665" s="102"/>
      <c r="AL665" s="125"/>
      <c r="AM665" s="125"/>
      <c r="AN665" s="125"/>
      <c r="AO665" s="102"/>
      <c r="AP665" s="102"/>
      <c r="AQ665" s="102"/>
      <c r="AR665" s="102"/>
      <c r="AS665" s="102"/>
      <c r="AT665" s="102"/>
    </row>
    <row r="666" ht="15.75" customHeight="1">
      <c r="A666" s="214" t="s">
        <v>299</v>
      </c>
      <c r="B666" s="246" t="s">
        <v>3839</v>
      </c>
      <c r="C666" s="77" t="s">
        <v>3843</v>
      </c>
      <c r="D666" s="77" t="s">
        <v>3844</v>
      </c>
      <c r="E666" s="77" t="s">
        <v>3845</v>
      </c>
      <c r="F666" s="77"/>
      <c r="G666" s="77"/>
      <c r="H666" s="77"/>
      <c r="I666" s="216"/>
      <c r="J666" s="217"/>
      <c r="K666" s="216"/>
      <c r="L666" s="216"/>
      <c r="M666" s="216"/>
      <c r="N666" s="216"/>
      <c r="O666" s="216" t="s">
        <v>5600</v>
      </c>
      <c r="P666" s="216"/>
      <c r="Q666" s="216" t="s">
        <v>268</v>
      </c>
      <c r="R666" s="216"/>
      <c r="S666" s="216"/>
      <c r="T666" s="216"/>
      <c r="U666" s="216"/>
      <c r="V666" s="216"/>
      <c r="W666" s="216"/>
      <c r="X666" s="216"/>
      <c r="Y666" s="216"/>
      <c r="Z666" s="216"/>
      <c r="AA666" s="216"/>
      <c r="AB666" s="216"/>
      <c r="AC666" s="216"/>
      <c r="AD666" s="102"/>
      <c r="AE666" s="102"/>
      <c r="AF666" s="102"/>
      <c r="AG666" s="102"/>
      <c r="AH666" s="102"/>
      <c r="AI666" s="102"/>
      <c r="AJ666" s="102"/>
      <c r="AK666" s="102"/>
      <c r="AL666" s="125"/>
      <c r="AM666" s="125"/>
      <c r="AN666" s="125"/>
      <c r="AO666" s="102"/>
      <c r="AP666" s="102"/>
      <c r="AQ666" s="102"/>
      <c r="AR666" s="102"/>
      <c r="AS666" s="102"/>
      <c r="AT666" s="102"/>
    </row>
    <row r="667" ht="15.75" customHeight="1">
      <c r="A667" s="265" t="s">
        <v>396</v>
      </c>
      <c r="B667" s="266" t="s">
        <v>3847</v>
      </c>
      <c r="C667" s="77" t="s">
        <v>3853</v>
      </c>
      <c r="D667" s="77" t="s">
        <v>3854</v>
      </c>
      <c r="E667" s="77" t="s">
        <v>3855</v>
      </c>
      <c r="F667" s="77"/>
      <c r="G667" s="77"/>
      <c r="H667" s="77"/>
      <c r="I667" s="267"/>
      <c r="J667" s="267"/>
      <c r="K667" s="268"/>
      <c r="L667" s="268"/>
      <c r="M667" s="267"/>
      <c r="N667" s="267"/>
      <c r="O667" s="293" t="s">
        <v>5601</v>
      </c>
      <c r="P667" s="267"/>
      <c r="Q667" s="267" t="s">
        <v>268</v>
      </c>
      <c r="R667" s="267"/>
      <c r="S667" s="267"/>
      <c r="T667" s="267"/>
      <c r="U667" s="267"/>
      <c r="V667" s="267"/>
      <c r="W667" s="267"/>
      <c r="X667" s="267"/>
      <c r="Y667" s="267"/>
      <c r="Z667" s="267"/>
      <c r="AA667" s="267"/>
      <c r="AB667" s="267"/>
      <c r="AC667" s="267"/>
      <c r="AD667" s="102"/>
      <c r="AE667" s="102"/>
      <c r="AF667" s="102"/>
      <c r="AG667" s="102"/>
      <c r="AH667" s="102"/>
      <c r="AI667" s="102"/>
      <c r="AJ667" s="102"/>
      <c r="AK667" s="102"/>
      <c r="AL667" s="125"/>
      <c r="AM667" s="125"/>
      <c r="AN667" s="125"/>
      <c r="AO667" s="102"/>
      <c r="AP667" s="102"/>
      <c r="AQ667" s="102"/>
      <c r="AR667" s="102"/>
      <c r="AS667" s="102"/>
      <c r="AT667" s="102"/>
    </row>
    <row r="668" ht="15.75" customHeight="1">
      <c r="A668" s="206" t="s">
        <v>194</v>
      </c>
      <c r="B668" s="245" t="s">
        <v>3856</v>
      </c>
      <c r="C668" s="77" t="s">
        <v>3860</v>
      </c>
      <c r="D668" s="77" t="s">
        <v>3862</v>
      </c>
      <c r="E668" s="77" t="s">
        <v>3864</v>
      </c>
      <c r="F668" s="77"/>
      <c r="G668" s="77"/>
      <c r="H668" s="77"/>
      <c r="I668" s="208"/>
      <c r="J668" s="212"/>
      <c r="K668" s="208"/>
      <c r="L668" s="208"/>
      <c r="M668" s="208"/>
      <c r="N668" s="208"/>
      <c r="O668" s="208" t="s">
        <v>5530</v>
      </c>
      <c r="P668" s="208"/>
      <c r="Q668" s="208" t="s">
        <v>268</v>
      </c>
      <c r="R668" s="208"/>
      <c r="S668" s="208"/>
      <c r="T668" s="208"/>
      <c r="U668" s="208"/>
      <c r="V668" s="208"/>
      <c r="W668" s="208"/>
      <c r="X668" s="208"/>
      <c r="Y668" s="208"/>
      <c r="Z668" s="208"/>
      <c r="AA668" s="208"/>
      <c r="AB668" s="208"/>
      <c r="AC668" s="208"/>
      <c r="AD668" s="102"/>
      <c r="AE668" s="102"/>
      <c r="AF668" s="102"/>
      <c r="AG668" s="102"/>
      <c r="AH668" s="102"/>
      <c r="AI668" s="102"/>
      <c r="AJ668" s="102"/>
      <c r="AK668" s="102"/>
      <c r="AL668" s="125"/>
      <c r="AM668" s="125"/>
      <c r="AN668" s="125"/>
      <c r="AO668" s="102"/>
      <c r="AP668" s="102"/>
      <c r="AQ668" s="102"/>
      <c r="AR668" s="102"/>
      <c r="AS668" s="102"/>
      <c r="AT668" s="102"/>
    </row>
    <row r="669" ht="15.75" customHeight="1">
      <c r="A669" s="214" t="s">
        <v>299</v>
      </c>
      <c r="B669" s="246" t="s">
        <v>3866</v>
      </c>
      <c r="C669" s="77" t="s">
        <v>3868</v>
      </c>
      <c r="D669" s="77" t="s">
        <v>3869</v>
      </c>
      <c r="E669" s="77" t="s">
        <v>3870</v>
      </c>
      <c r="F669" s="77"/>
      <c r="G669" s="77"/>
      <c r="H669" s="77"/>
      <c r="I669" s="216"/>
      <c r="J669" s="217"/>
      <c r="K669" s="216"/>
      <c r="L669" s="216"/>
      <c r="M669" s="216"/>
      <c r="N669" s="216"/>
      <c r="O669" s="229" t="s">
        <v>5602</v>
      </c>
      <c r="P669" s="216"/>
      <c r="Q669" s="216" t="s">
        <v>268</v>
      </c>
      <c r="R669" s="216"/>
      <c r="S669" s="216"/>
      <c r="T669" s="216"/>
      <c r="U669" s="216"/>
      <c r="V669" s="216"/>
      <c r="W669" s="216"/>
      <c r="X669" s="216"/>
      <c r="Y669" s="216"/>
      <c r="Z669" s="216"/>
      <c r="AA669" s="216"/>
      <c r="AB669" s="216"/>
      <c r="AC669" s="216"/>
      <c r="AD669" s="102"/>
      <c r="AE669" s="102"/>
      <c r="AF669" s="102"/>
      <c r="AG669" s="102"/>
      <c r="AH669" s="102"/>
      <c r="AI669" s="102"/>
      <c r="AJ669" s="102"/>
      <c r="AK669" s="102"/>
      <c r="AL669" s="125"/>
      <c r="AM669" s="125"/>
      <c r="AN669" s="125"/>
      <c r="AO669" s="102"/>
      <c r="AP669" s="102"/>
      <c r="AQ669" s="102"/>
      <c r="AR669" s="102"/>
      <c r="AS669" s="102"/>
      <c r="AT669" s="102"/>
    </row>
    <row r="670" ht="15.75" customHeight="1">
      <c r="A670" s="206" t="s">
        <v>194</v>
      </c>
      <c r="B670" s="245" t="s">
        <v>3871</v>
      </c>
      <c r="C670" s="77" t="s">
        <v>3872</v>
      </c>
      <c r="D670" s="77" t="s">
        <v>3873</v>
      </c>
      <c r="E670" s="77" t="s">
        <v>3874</v>
      </c>
      <c r="F670" s="77"/>
      <c r="G670" s="77"/>
      <c r="H670" s="77"/>
      <c r="I670" s="208"/>
      <c r="J670" s="212"/>
      <c r="K670" s="208"/>
      <c r="L670" s="208"/>
      <c r="M670" s="208"/>
      <c r="N670" s="208"/>
      <c r="O670" s="208"/>
      <c r="P670" s="208"/>
      <c r="Q670" s="208" t="s">
        <v>268</v>
      </c>
      <c r="R670" s="208"/>
      <c r="S670" s="208"/>
      <c r="T670" s="208"/>
      <c r="U670" s="208"/>
      <c r="V670" s="208"/>
      <c r="W670" s="208"/>
      <c r="X670" s="208"/>
      <c r="Y670" s="208"/>
      <c r="Z670" s="208"/>
      <c r="AA670" s="208"/>
      <c r="AB670" s="208"/>
      <c r="AC670" s="208"/>
      <c r="AD670" s="102"/>
      <c r="AE670" s="102"/>
      <c r="AF670" s="102"/>
      <c r="AG670" s="102"/>
      <c r="AH670" s="102"/>
      <c r="AI670" s="102"/>
      <c r="AJ670" s="102"/>
      <c r="AK670" s="102"/>
      <c r="AL670" s="125"/>
      <c r="AM670" s="125"/>
      <c r="AN670" s="125"/>
      <c r="AO670" s="102"/>
      <c r="AP670" s="102"/>
      <c r="AQ670" s="102"/>
      <c r="AR670" s="102"/>
      <c r="AS670" s="102"/>
      <c r="AT670" s="102"/>
    </row>
    <row r="671" ht="15.75" customHeight="1">
      <c r="A671" s="214" t="s">
        <v>299</v>
      </c>
      <c r="B671" s="246" t="s">
        <v>3875</v>
      </c>
      <c r="C671" s="77" t="s">
        <v>3876</v>
      </c>
      <c r="D671" s="77" t="s">
        <v>3877</v>
      </c>
      <c r="E671" s="77" t="s">
        <v>3878</v>
      </c>
      <c r="F671" s="77"/>
      <c r="G671" s="77"/>
      <c r="H671" s="77"/>
      <c r="I671" s="216"/>
      <c r="J671" s="217"/>
      <c r="K671" s="216"/>
      <c r="L671" s="216"/>
      <c r="M671" s="216"/>
      <c r="N671" s="216"/>
      <c r="O671" s="229" t="s">
        <v>5603</v>
      </c>
      <c r="P671" s="216"/>
      <c r="Q671" s="216" t="s">
        <v>268</v>
      </c>
      <c r="R671" s="216"/>
      <c r="S671" s="216"/>
      <c r="T671" s="216"/>
      <c r="U671" s="216"/>
      <c r="V671" s="216"/>
      <c r="W671" s="216"/>
      <c r="X671" s="216"/>
      <c r="Y671" s="216"/>
      <c r="Z671" s="216"/>
      <c r="AA671" s="216"/>
      <c r="AB671" s="216"/>
      <c r="AC671" s="216"/>
      <c r="AD671" s="102"/>
      <c r="AE671" s="102"/>
      <c r="AF671" s="102"/>
      <c r="AG671" s="102"/>
      <c r="AH671" s="102"/>
      <c r="AI671" s="102"/>
      <c r="AJ671" s="102"/>
      <c r="AK671" s="102"/>
      <c r="AL671" s="125"/>
      <c r="AM671" s="125"/>
      <c r="AN671" s="125"/>
      <c r="AO671" s="102"/>
      <c r="AP671" s="102"/>
      <c r="AQ671" s="102"/>
      <c r="AR671" s="102"/>
      <c r="AS671" s="102"/>
      <c r="AT671" s="102"/>
    </row>
    <row r="672" ht="15.75" customHeight="1">
      <c r="A672" s="142" t="s">
        <v>183</v>
      </c>
      <c r="B672" s="239" t="s">
        <v>5604</v>
      </c>
      <c r="C672" s="144"/>
      <c r="D672" s="144"/>
      <c r="E672" s="144"/>
      <c r="F672" s="145"/>
      <c r="G672" s="145"/>
      <c r="H672" s="145"/>
      <c r="I672" s="145"/>
      <c r="J672" s="145"/>
      <c r="K672" s="145"/>
      <c r="L672" s="145"/>
      <c r="M672" s="145"/>
      <c r="N672" s="145"/>
      <c r="O672" s="146"/>
      <c r="P672" s="146"/>
      <c r="Q672" s="146"/>
      <c r="R672" s="146"/>
      <c r="S672" s="145"/>
      <c r="T672" s="402" t="s">
        <v>211</v>
      </c>
      <c r="U672" s="146"/>
      <c r="V672" s="145"/>
      <c r="W672" s="145"/>
      <c r="X672" s="145"/>
      <c r="Y672" s="145"/>
      <c r="Z672" s="145"/>
      <c r="AA672" s="145"/>
      <c r="AB672" s="145"/>
      <c r="AC672" s="145"/>
      <c r="AD672" s="102"/>
      <c r="AE672" s="102"/>
      <c r="AF672" s="102"/>
      <c r="AG672" s="102"/>
      <c r="AH672" s="102"/>
      <c r="AI672" s="102"/>
      <c r="AJ672" s="102"/>
      <c r="AK672" s="102"/>
      <c r="AL672" s="102"/>
      <c r="AM672" s="102"/>
      <c r="AN672" s="102"/>
      <c r="AO672" s="102"/>
      <c r="AP672" s="102"/>
      <c r="AQ672" s="102"/>
      <c r="AR672" s="102"/>
      <c r="AS672" s="102"/>
      <c r="AT672" s="102"/>
    </row>
    <row r="673" ht="15.75" customHeight="1">
      <c r="A673" s="90" t="s">
        <v>116</v>
      </c>
      <c r="B673" s="91" t="s">
        <v>5605</v>
      </c>
      <c r="C673" s="93"/>
      <c r="D673" s="96"/>
      <c r="E673" s="96"/>
      <c r="F673" s="97"/>
      <c r="G673" s="97"/>
      <c r="H673" s="97"/>
      <c r="I673" s="98"/>
      <c r="J673" s="98"/>
      <c r="K673" s="97"/>
      <c r="L673" s="98"/>
      <c r="M673" s="98"/>
      <c r="N673" s="98"/>
      <c r="O673" s="236"/>
      <c r="P673" s="100"/>
      <c r="Q673" s="100"/>
      <c r="R673" s="100"/>
      <c r="S673" s="97"/>
      <c r="T673" s="238" t="s">
        <v>5606</v>
      </c>
      <c r="U673" s="97"/>
      <c r="V673" s="97"/>
      <c r="W673" s="97"/>
      <c r="X673" s="97"/>
      <c r="Y673" s="97"/>
      <c r="Z673" s="97"/>
      <c r="AA673" s="97"/>
      <c r="AB673" s="97"/>
      <c r="AC673" s="97"/>
      <c r="AD673" s="102"/>
      <c r="AE673" s="102"/>
      <c r="AF673" s="102"/>
      <c r="AG673" s="102"/>
      <c r="AH673" s="102"/>
      <c r="AI673" s="102"/>
      <c r="AJ673" s="102"/>
      <c r="AK673" s="102"/>
      <c r="AL673" s="102"/>
      <c r="AM673" s="102"/>
      <c r="AN673" s="102"/>
      <c r="AO673" s="102"/>
      <c r="AP673" s="102"/>
      <c r="AQ673" s="102"/>
      <c r="AR673" s="102"/>
      <c r="AS673" s="102"/>
      <c r="AT673" s="102"/>
    </row>
    <row r="674" ht="15.75" customHeight="1">
      <c r="A674" s="142" t="s">
        <v>183</v>
      </c>
      <c r="B674" s="239" t="s">
        <v>5607</v>
      </c>
      <c r="C674" s="144"/>
      <c r="D674" s="144"/>
      <c r="E674" s="144"/>
      <c r="F674" s="145"/>
      <c r="G674" s="145"/>
      <c r="H674" s="145"/>
      <c r="I674" s="145"/>
      <c r="J674" s="145"/>
      <c r="K674" s="145"/>
      <c r="L674" s="145"/>
      <c r="M674" s="145"/>
      <c r="N674" s="145"/>
      <c r="O674" s="146"/>
      <c r="P674" s="146"/>
      <c r="Q674" s="146"/>
      <c r="R674" s="146"/>
      <c r="S674" s="145"/>
      <c r="T674" s="402" t="s">
        <v>211</v>
      </c>
      <c r="U674" s="146"/>
      <c r="V674" s="145"/>
      <c r="W674" s="145"/>
      <c r="X674" s="145"/>
      <c r="Y674" s="145"/>
      <c r="Z674" s="145"/>
      <c r="AA674" s="145"/>
      <c r="AB674" s="145"/>
      <c r="AC674" s="145"/>
      <c r="AD674" s="102"/>
      <c r="AE674" s="102"/>
      <c r="AF674" s="102"/>
      <c r="AG674" s="102"/>
      <c r="AH674" s="102"/>
      <c r="AI674" s="102"/>
      <c r="AJ674" s="102"/>
      <c r="AK674" s="102"/>
      <c r="AL674" s="102"/>
      <c r="AM674" s="102"/>
      <c r="AN674" s="102"/>
      <c r="AO674" s="102"/>
      <c r="AP674" s="102"/>
      <c r="AQ674" s="102"/>
      <c r="AR674" s="102"/>
      <c r="AS674" s="102"/>
      <c r="AT674" s="102"/>
    </row>
    <row r="675" ht="15.75" customHeight="1">
      <c r="A675" s="198" t="s">
        <v>42</v>
      </c>
      <c r="B675" s="199" t="s">
        <v>3886</v>
      </c>
      <c r="C675" s="77" t="s">
        <v>3889</v>
      </c>
      <c r="D675" s="77" t="s">
        <v>3891</v>
      </c>
      <c r="E675" s="77" t="s">
        <v>3893</v>
      </c>
      <c r="F675" s="77"/>
      <c r="G675" s="77"/>
      <c r="H675" s="77"/>
      <c r="I675" s="200"/>
      <c r="J675" s="200"/>
      <c r="K675" s="200"/>
      <c r="L675" s="200"/>
      <c r="M675" s="200"/>
      <c r="N675" s="200"/>
      <c r="O675" s="200"/>
      <c r="P675" s="200"/>
      <c r="Q675" s="200"/>
      <c r="R675" s="200"/>
      <c r="S675" s="200"/>
      <c r="T675" s="200"/>
      <c r="U675" s="200"/>
      <c r="V675" s="200"/>
      <c r="W675" s="200"/>
      <c r="X675" s="200"/>
      <c r="Y675" s="200"/>
      <c r="Z675" s="200"/>
      <c r="AA675" s="200"/>
      <c r="AB675" s="200"/>
      <c r="AC675" s="200"/>
      <c r="AD675" s="102"/>
      <c r="AE675" s="102"/>
      <c r="AF675" s="102"/>
      <c r="AG675" s="102"/>
      <c r="AH675" s="102"/>
      <c r="AI675" s="102"/>
      <c r="AJ675" s="102"/>
      <c r="AK675" s="102"/>
      <c r="AL675" s="125"/>
      <c r="AM675" s="125"/>
      <c r="AN675" s="125"/>
      <c r="AO675" s="102"/>
      <c r="AP675" s="102"/>
      <c r="AQ675" s="102"/>
      <c r="AR675" s="102"/>
      <c r="AS675" s="102"/>
      <c r="AT675" s="102"/>
    </row>
    <row r="676" ht="15.75" customHeight="1">
      <c r="A676" s="206" t="s">
        <v>400</v>
      </c>
      <c r="B676" s="245" t="s">
        <v>3894</v>
      </c>
      <c r="C676" s="77" t="s">
        <v>3896</v>
      </c>
      <c r="D676" s="77" t="s">
        <v>3897</v>
      </c>
      <c r="E676" s="77" t="s">
        <v>3898</v>
      </c>
      <c r="F676" s="77"/>
      <c r="G676" s="77"/>
      <c r="H676" s="77"/>
      <c r="I676" s="208"/>
      <c r="J676" s="212"/>
      <c r="K676" s="211" t="s">
        <v>4619</v>
      </c>
      <c r="L676" s="208"/>
      <c r="M676" s="208"/>
      <c r="N676" s="208"/>
      <c r="O676" s="208"/>
      <c r="P676" s="208"/>
      <c r="Q676" s="208" t="s">
        <v>268</v>
      </c>
      <c r="R676" s="208"/>
      <c r="S676" s="208"/>
      <c r="T676" s="208"/>
      <c r="U676" s="208"/>
      <c r="V676" s="208"/>
      <c r="W676" s="208"/>
      <c r="X676" s="208"/>
      <c r="Y676" s="208"/>
      <c r="Z676" s="208"/>
      <c r="AA676" s="208"/>
      <c r="AB676" s="208"/>
      <c r="AC676" s="208"/>
      <c r="AD676" s="102"/>
      <c r="AE676" s="102"/>
      <c r="AF676" s="102"/>
      <c r="AG676" s="102"/>
      <c r="AH676" s="102"/>
      <c r="AI676" s="102"/>
      <c r="AJ676" s="102"/>
      <c r="AK676" s="102"/>
      <c r="AL676" s="125"/>
      <c r="AM676" s="125"/>
      <c r="AN676" s="125"/>
      <c r="AO676" s="102"/>
      <c r="AP676" s="102"/>
      <c r="AQ676" s="102"/>
      <c r="AR676" s="102"/>
      <c r="AS676" s="102"/>
      <c r="AT676" s="102"/>
    </row>
    <row r="677" ht="15.75" customHeight="1">
      <c r="A677" s="214" t="s">
        <v>299</v>
      </c>
      <c r="B677" s="246" t="s">
        <v>3899</v>
      </c>
      <c r="C677" s="77" t="s">
        <v>3907</v>
      </c>
      <c r="D677" s="77" t="s">
        <v>3908</v>
      </c>
      <c r="E677" s="77" t="s">
        <v>3909</v>
      </c>
      <c r="F677" s="77"/>
      <c r="G677" s="77"/>
      <c r="H677" s="77"/>
      <c r="I677" s="216"/>
      <c r="J677" s="217"/>
      <c r="K677" s="216"/>
      <c r="L677" s="216"/>
      <c r="M677" s="216"/>
      <c r="N677" s="216"/>
      <c r="O677" s="229" t="s">
        <v>5608</v>
      </c>
      <c r="P677" s="216"/>
      <c r="Q677" s="216" t="s">
        <v>268</v>
      </c>
      <c r="R677" s="216"/>
      <c r="S677" s="216"/>
      <c r="T677" s="216"/>
      <c r="U677" s="216"/>
      <c r="V677" s="216"/>
      <c r="W677" s="216"/>
      <c r="X677" s="216"/>
      <c r="Y677" s="216"/>
      <c r="Z677" s="216"/>
      <c r="AA677" s="216"/>
      <c r="AB677" s="216"/>
      <c r="AC677" s="216"/>
      <c r="AD677" s="102"/>
      <c r="AE677" s="102"/>
      <c r="AF677" s="102"/>
      <c r="AG677" s="102"/>
      <c r="AH677" s="102"/>
      <c r="AI677" s="102"/>
      <c r="AJ677" s="102"/>
      <c r="AK677" s="102"/>
      <c r="AL677" s="125"/>
      <c r="AM677" s="125"/>
      <c r="AN677" s="125"/>
      <c r="AO677" s="102"/>
      <c r="AP677" s="102"/>
      <c r="AQ677" s="102"/>
      <c r="AR677" s="102"/>
      <c r="AS677" s="102"/>
      <c r="AT677" s="102"/>
    </row>
    <row r="678" ht="15.75" customHeight="1">
      <c r="A678" s="249" t="s">
        <v>2279</v>
      </c>
      <c r="B678" s="250" t="s">
        <v>5609</v>
      </c>
      <c r="C678" s="250" t="s">
        <v>2707</v>
      </c>
      <c r="D678" s="251" t="s">
        <v>2708</v>
      </c>
      <c r="E678" s="251" t="s">
        <v>2709</v>
      </c>
      <c r="F678" s="252"/>
      <c r="G678" s="252"/>
      <c r="H678" s="252"/>
      <c r="I678" s="252"/>
      <c r="J678" s="252"/>
      <c r="K678" s="252"/>
      <c r="L678" s="252"/>
      <c r="M678" s="253"/>
      <c r="N678" s="253"/>
      <c r="O678" s="254" t="s">
        <v>5610</v>
      </c>
      <c r="P678" s="255"/>
      <c r="Q678" s="252"/>
      <c r="R678" s="252"/>
      <c r="S678" s="252"/>
      <c r="T678" s="252"/>
      <c r="U678" s="254" t="s">
        <v>5611</v>
      </c>
      <c r="V678" s="255"/>
      <c r="W678" s="252"/>
      <c r="X678" s="252"/>
      <c r="Y678" s="252"/>
      <c r="Z678" s="252"/>
      <c r="AA678" s="252"/>
      <c r="AB678" s="252"/>
      <c r="AC678" s="252"/>
      <c r="AD678" s="102"/>
      <c r="AE678" s="102"/>
      <c r="AF678" s="102"/>
      <c r="AG678" s="102"/>
      <c r="AH678" s="102"/>
      <c r="AI678" s="102"/>
      <c r="AJ678" s="102"/>
      <c r="AK678" s="102"/>
      <c r="AL678" s="125"/>
      <c r="AM678" s="125"/>
      <c r="AN678" s="125"/>
      <c r="AO678" s="102"/>
      <c r="AP678" s="102"/>
      <c r="AQ678" s="102"/>
      <c r="AR678" s="102"/>
      <c r="AS678" s="102"/>
      <c r="AT678" s="102"/>
    </row>
    <row r="679" ht="15.75" customHeight="1">
      <c r="A679" s="259" t="s">
        <v>116</v>
      </c>
      <c r="B679" s="260" t="s">
        <v>5612</v>
      </c>
      <c r="C679" s="261"/>
      <c r="D679" s="261"/>
      <c r="E679" s="261"/>
      <c r="F679" s="262"/>
      <c r="G679" s="262"/>
      <c r="H679" s="262"/>
      <c r="I679" s="262"/>
      <c r="J679" s="262"/>
      <c r="K679" s="262"/>
      <c r="L679" s="262"/>
      <c r="M679" s="262"/>
      <c r="N679" s="262"/>
      <c r="O679" s="262"/>
      <c r="P679" s="262"/>
      <c r="Q679" s="262"/>
      <c r="R679" s="262"/>
      <c r="S679" s="262"/>
      <c r="T679" s="363" t="s">
        <v>5613</v>
      </c>
      <c r="U679" s="264"/>
      <c r="V679" s="262"/>
      <c r="W679" s="262"/>
      <c r="X679" s="262"/>
      <c r="Y679" s="262"/>
      <c r="Z679" s="262"/>
      <c r="AA679" s="262"/>
      <c r="AB679" s="262"/>
      <c r="AC679" s="262"/>
      <c r="AD679" s="102"/>
      <c r="AE679" s="102"/>
      <c r="AF679" s="102"/>
      <c r="AG679" s="102"/>
      <c r="AH679" s="102"/>
      <c r="AI679" s="102"/>
      <c r="AJ679" s="102"/>
      <c r="AK679" s="102"/>
      <c r="AL679" s="125"/>
      <c r="AM679" s="125"/>
      <c r="AN679" s="125"/>
      <c r="AO679" s="102"/>
      <c r="AP679" s="102"/>
      <c r="AQ679" s="102"/>
      <c r="AR679" s="102"/>
      <c r="AS679" s="102"/>
      <c r="AT679" s="102"/>
    </row>
    <row r="680" ht="15.75" customHeight="1">
      <c r="A680" s="259" t="s">
        <v>116</v>
      </c>
      <c r="B680" s="260" t="s">
        <v>5614</v>
      </c>
      <c r="C680" s="261" t="s">
        <v>2738</v>
      </c>
      <c r="D680" s="261" t="s">
        <v>2739</v>
      </c>
      <c r="E680" s="261" t="s">
        <v>5615</v>
      </c>
      <c r="F680" s="262"/>
      <c r="G680" s="262"/>
      <c r="H680" s="262"/>
      <c r="I680" s="262"/>
      <c r="J680" s="262"/>
      <c r="K680" s="262"/>
      <c r="L680" s="262"/>
      <c r="M680" s="262"/>
      <c r="N680" s="262"/>
      <c r="O680" s="262"/>
      <c r="P680" s="262"/>
      <c r="Q680" s="262"/>
      <c r="R680" s="262"/>
      <c r="S680" s="262"/>
      <c r="T680" s="363" t="s">
        <v>5616</v>
      </c>
      <c r="U680" s="264"/>
      <c r="V680" s="264"/>
      <c r="W680" s="264"/>
      <c r="X680" s="264"/>
      <c r="Y680" s="264"/>
      <c r="Z680" s="262"/>
      <c r="AA680" s="262"/>
      <c r="AB680" s="262"/>
      <c r="AC680" s="262"/>
      <c r="AD680" s="102"/>
      <c r="AE680" s="102"/>
      <c r="AF680" s="102"/>
      <c r="AG680" s="102"/>
      <c r="AH680" s="102"/>
      <c r="AI680" s="102"/>
      <c r="AJ680" s="102"/>
      <c r="AK680" s="102"/>
      <c r="AL680" s="125"/>
      <c r="AM680" s="125"/>
      <c r="AN680" s="125"/>
      <c r="AO680" s="102"/>
      <c r="AP680" s="102"/>
      <c r="AQ680" s="102"/>
      <c r="AR680" s="102"/>
      <c r="AS680" s="102"/>
      <c r="AT680" s="102"/>
    </row>
    <row r="681" ht="15.75" customHeight="1">
      <c r="A681" s="265" t="s">
        <v>396</v>
      </c>
      <c r="B681" s="266" t="s">
        <v>3923</v>
      </c>
      <c r="C681" s="77" t="s">
        <v>3930</v>
      </c>
      <c r="D681" s="77" t="s">
        <v>3931</v>
      </c>
      <c r="E681" s="77" t="s">
        <v>3932</v>
      </c>
      <c r="F681" s="77"/>
      <c r="G681" s="77"/>
      <c r="H681" s="77"/>
      <c r="I681" s="267"/>
      <c r="J681" s="267"/>
      <c r="K681" s="268"/>
      <c r="L681" s="367" t="s">
        <v>2786</v>
      </c>
      <c r="M681" s="293"/>
      <c r="N681" s="267"/>
      <c r="O681" s="267"/>
      <c r="P681" s="267"/>
      <c r="Q681" s="267" t="s">
        <v>268</v>
      </c>
      <c r="R681" s="267"/>
      <c r="S681" s="267"/>
      <c r="T681" s="267"/>
      <c r="U681" s="267"/>
      <c r="V681" s="267"/>
      <c r="W681" s="267"/>
      <c r="X681" s="267"/>
      <c r="Y681" s="267"/>
      <c r="Z681" s="267"/>
      <c r="AA681" s="267"/>
      <c r="AB681" s="267"/>
      <c r="AC681" s="267"/>
      <c r="AD681" s="102"/>
      <c r="AE681" s="102"/>
      <c r="AF681" s="102"/>
      <c r="AG681" s="102"/>
      <c r="AH681" s="102"/>
      <c r="AI681" s="102"/>
      <c r="AJ681" s="102"/>
      <c r="AK681" s="102"/>
      <c r="AL681" s="125"/>
      <c r="AM681" s="125"/>
      <c r="AN681" s="125"/>
      <c r="AO681" s="102"/>
      <c r="AP681" s="102"/>
      <c r="AQ681" s="102"/>
      <c r="AR681" s="102"/>
      <c r="AS681" s="102"/>
      <c r="AT681" s="102"/>
    </row>
    <row r="682" ht="15.75" customHeight="1">
      <c r="A682" s="206" t="s">
        <v>194</v>
      </c>
      <c r="B682" s="245" t="s">
        <v>3933</v>
      </c>
      <c r="C682" s="77" t="s">
        <v>3934</v>
      </c>
      <c r="D682" s="77" t="s">
        <v>3935</v>
      </c>
      <c r="E682" s="77" t="s">
        <v>3936</v>
      </c>
      <c r="F682" s="77"/>
      <c r="G682" s="77"/>
      <c r="H682" s="77"/>
      <c r="I682" s="208"/>
      <c r="J682" s="212"/>
      <c r="K682" s="208"/>
      <c r="L682" s="208"/>
      <c r="M682" s="208"/>
      <c r="N682" s="208"/>
      <c r="O682" s="211" t="s">
        <v>5617</v>
      </c>
      <c r="P682" s="208"/>
      <c r="Q682" s="208" t="s">
        <v>268</v>
      </c>
      <c r="R682" s="208"/>
      <c r="S682" s="208"/>
      <c r="T682" s="208"/>
      <c r="U682" s="208"/>
      <c r="V682" s="208"/>
      <c r="W682" s="208"/>
      <c r="X682" s="208"/>
      <c r="Y682" s="208"/>
      <c r="Z682" s="208"/>
      <c r="AA682" s="208"/>
      <c r="AB682" s="208"/>
      <c r="AC682" s="208"/>
      <c r="AD682" s="102"/>
      <c r="AE682" s="102"/>
      <c r="AF682" s="102"/>
      <c r="AG682" s="102"/>
      <c r="AH682" s="102"/>
      <c r="AI682" s="102"/>
      <c r="AJ682" s="102"/>
      <c r="AK682" s="102"/>
      <c r="AL682" s="125"/>
      <c r="AM682" s="125"/>
      <c r="AN682" s="125"/>
      <c r="AO682" s="102"/>
      <c r="AP682" s="102"/>
      <c r="AQ682" s="102"/>
      <c r="AR682" s="102"/>
      <c r="AS682" s="102"/>
      <c r="AT682" s="102"/>
    </row>
    <row r="683" ht="15.75" customHeight="1">
      <c r="A683" s="249" t="s">
        <v>2336</v>
      </c>
      <c r="B683" s="251" t="s">
        <v>5609</v>
      </c>
      <c r="C683" s="251" t="s">
        <v>2707</v>
      </c>
      <c r="D683" s="251" t="s">
        <v>2708</v>
      </c>
      <c r="E683" s="251" t="s">
        <v>2709</v>
      </c>
      <c r="F683" s="252"/>
      <c r="G683" s="252"/>
      <c r="H683" s="252"/>
      <c r="I683" s="252"/>
      <c r="J683" s="252"/>
      <c r="K683" s="252"/>
      <c r="L683" s="252"/>
      <c r="M683" s="252"/>
      <c r="N683" s="252"/>
      <c r="O683" s="252"/>
      <c r="P683" s="252"/>
      <c r="Q683" s="252"/>
      <c r="R683" s="252"/>
      <c r="S683" s="252"/>
      <c r="T683" s="252"/>
      <c r="U683" s="252"/>
      <c r="V683" s="252"/>
      <c r="W683" s="252"/>
      <c r="X683" s="252"/>
      <c r="Y683" s="252"/>
      <c r="Z683" s="252"/>
      <c r="AA683" s="252"/>
      <c r="AB683" s="252"/>
      <c r="AC683" s="252"/>
      <c r="AD683" s="102"/>
      <c r="AE683" s="102"/>
      <c r="AF683" s="102"/>
      <c r="AG683" s="102"/>
      <c r="AH683" s="102"/>
      <c r="AI683" s="102"/>
      <c r="AJ683" s="102"/>
      <c r="AK683" s="102"/>
      <c r="AL683" s="125"/>
      <c r="AM683" s="125"/>
      <c r="AN683" s="125"/>
      <c r="AO683" s="102"/>
      <c r="AP683" s="102"/>
      <c r="AQ683" s="102"/>
      <c r="AR683" s="102"/>
      <c r="AS683" s="102"/>
      <c r="AT683" s="102"/>
    </row>
    <row r="684" ht="15.75" customHeight="1">
      <c r="A684" s="142" t="s">
        <v>183</v>
      </c>
      <c r="B684" s="239" t="s">
        <v>5618</v>
      </c>
      <c r="C684" s="144"/>
      <c r="D684" s="144"/>
      <c r="E684" s="144"/>
      <c r="F684" s="145"/>
      <c r="G684" s="145"/>
      <c r="H684" s="145"/>
      <c r="I684" s="145"/>
      <c r="J684" s="145"/>
      <c r="K684" s="145"/>
      <c r="L684" s="145"/>
      <c r="M684" s="145"/>
      <c r="N684" s="145"/>
      <c r="O684" s="146"/>
      <c r="P684" s="146"/>
      <c r="Q684" s="146"/>
      <c r="R684" s="146"/>
      <c r="S684" s="145"/>
      <c r="T684" s="402" t="s">
        <v>211</v>
      </c>
      <c r="U684" s="146"/>
      <c r="V684" s="145"/>
      <c r="W684" s="145"/>
      <c r="X684" s="145"/>
      <c r="Y684" s="145"/>
      <c r="Z684" s="145"/>
      <c r="AA684" s="145"/>
      <c r="AB684" s="145"/>
      <c r="AC684" s="145"/>
      <c r="AD684" s="102"/>
      <c r="AE684" s="102"/>
      <c r="AF684" s="102"/>
      <c r="AG684" s="102"/>
      <c r="AH684" s="102"/>
      <c r="AI684" s="102"/>
      <c r="AJ684" s="102"/>
      <c r="AK684" s="102"/>
      <c r="AL684" s="102"/>
      <c r="AM684" s="102"/>
      <c r="AN684" s="102"/>
      <c r="AO684" s="102"/>
      <c r="AP684" s="102"/>
      <c r="AQ684" s="102"/>
      <c r="AR684" s="102"/>
      <c r="AS684" s="102"/>
      <c r="AT684" s="102"/>
    </row>
    <row r="685" ht="15.75" customHeight="1">
      <c r="A685" s="90" t="s">
        <v>116</v>
      </c>
      <c r="B685" s="91" t="s">
        <v>5619</v>
      </c>
      <c r="C685" s="93"/>
      <c r="D685" s="96"/>
      <c r="E685" s="96"/>
      <c r="F685" s="97"/>
      <c r="G685" s="97"/>
      <c r="H685" s="97"/>
      <c r="I685" s="98"/>
      <c r="J685" s="98"/>
      <c r="K685" s="97"/>
      <c r="L685" s="98"/>
      <c r="M685" s="98"/>
      <c r="N685" s="98"/>
      <c r="O685" s="236"/>
      <c r="P685" s="100"/>
      <c r="Q685" s="100"/>
      <c r="R685" s="100"/>
      <c r="S685" s="97"/>
      <c r="T685" s="238" t="s">
        <v>5620</v>
      </c>
      <c r="U685" s="97"/>
      <c r="V685" s="97"/>
      <c r="W685" s="97"/>
      <c r="X685" s="97"/>
      <c r="Y685" s="97"/>
      <c r="Z685" s="97"/>
      <c r="AA685" s="97"/>
      <c r="AB685" s="97"/>
      <c r="AC685" s="97"/>
      <c r="AD685" s="102"/>
      <c r="AE685" s="102"/>
      <c r="AF685" s="102"/>
      <c r="AG685" s="102"/>
      <c r="AH685" s="102"/>
      <c r="AI685" s="102"/>
      <c r="AJ685" s="102"/>
      <c r="AK685" s="102"/>
      <c r="AL685" s="102"/>
      <c r="AM685" s="102"/>
      <c r="AN685" s="102"/>
      <c r="AO685" s="102"/>
      <c r="AP685" s="102"/>
      <c r="AQ685" s="102"/>
      <c r="AR685" s="102"/>
      <c r="AS685" s="102"/>
      <c r="AT685" s="102"/>
    </row>
    <row r="686" ht="15.75" customHeight="1">
      <c r="A686" s="259" t="s">
        <v>116</v>
      </c>
      <c r="B686" s="260" t="s">
        <v>5621</v>
      </c>
      <c r="C686" s="261"/>
      <c r="D686" s="261"/>
      <c r="E686" s="261"/>
      <c r="F686" s="262"/>
      <c r="G686" s="262"/>
      <c r="H686" s="262"/>
      <c r="I686" s="262"/>
      <c r="J686" s="262"/>
      <c r="K686" s="262"/>
      <c r="L686" s="262"/>
      <c r="M686" s="262"/>
      <c r="N686" s="262"/>
      <c r="O686" s="262"/>
      <c r="P686" s="262"/>
      <c r="Q686" s="262"/>
      <c r="R686" s="262"/>
      <c r="S686" s="262"/>
      <c r="T686" s="363" t="s">
        <v>5622</v>
      </c>
      <c r="U686" s="262"/>
      <c r="V686" s="262"/>
      <c r="W686" s="262"/>
      <c r="X686" s="262"/>
      <c r="Y686" s="262"/>
      <c r="Z686" s="262"/>
      <c r="AA686" s="262"/>
      <c r="AB686" s="262"/>
      <c r="AC686" s="262"/>
      <c r="AD686" s="102"/>
      <c r="AE686" s="102"/>
      <c r="AF686" s="102"/>
      <c r="AG686" s="102"/>
      <c r="AH686" s="102"/>
      <c r="AI686" s="102"/>
      <c r="AJ686" s="102"/>
      <c r="AK686" s="102"/>
      <c r="AL686" s="125"/>
      <c r="AM686" s="125"/>
      <c r="AN686" s="125"/>
      <c r="AO686" s="102"/>
      <c r="AP686" s="102"/>
      <c r="AQ686" s="102"/>
      <c r="AR686" s="102"/>
      <c r="AS686" s="102"/>
      <c r="AT686" s="102"/>
    </row>
    <row r="687" ht="15.75" customHeight="1">
      <c r="A687" s="206" t="s">
        <v>194</v>
      </c>
      <c r="B687" s="245" t="s">
        <v>3949</v>
      </c>
      <c r="C687" s="77" t="s">
        <v>3956</v>
      </c>
      <c r="D687" s="77" t="s">
        <v>3958</v>
      </c>
      <c r="E687" s="77" t="s">
        <v>3959</v>
      </c>
      <c r="F687" s="77"/>
      <c r="G687" s="77"/>
      <c r="H687" s="77"/>
      <c r="I687" s="208"/>
      <c r="J687" s="212"/>
      <c r="K687" s="208" t="s">
        <v>5456</v>
      </c>
      <c r="L687" s="208" t="s">
        <v>5623</v>
      </c>
      <c r="M687" s="211"/>
      <c r="N687" s="211"/>
      <c r="O687" s="208"/>
      <c r="P687" s="208"/>
      <c r="Q687" s="208" t="s">
        <v>268</v>
      </c>
      <c r="R687" s="208"/>
      <c r="S687" s="208"/>
      <c r="T687" s="208"/>
      <c r="U687" s="208"/>
      <c r="V687" s="208"/>
      <c r="W687" s="208"/>
      <c r="X687" s="208"/>
      <c r="Y687" s="208"/>
      <c r="Z687" s="208"/>
      <c r="AA687" s="208"/>
      <c r="AB687" s="208"/>
      <c r="AC687" s="208"/>
      <c r="AD687" s="102"/>
      <c r="AE687" s="102"/>
      <c r="AF687" s="102"/>
      <c r="AG687" s="102"/>
      <c r="AH687" s="102"/>
      <c r="AI687" s="102"/>
      <c r="AJ687" s="102"/>
      <c r="AK687" s="102"/>
      <c r="AL687" s="125"/>
      <c r="AM687" s="125"/>
      <c r="AN687" s="125"/>
      <c r="AO687" s="102"/>
      <c r="AP687" s="102"/>
      <c r="AQ687" s="102"/>
      <c r="AR687" s="102"/>
      <c r="AS687" s="102"/>
      <c r="AT687" s="102"/>
    </row>
    <row r="688" ht="15.75" customHeight="1">
      <c r="A688" s="206"/>
      <c r="B688" s="245"/>
      <c r="C688" s="245"/>
      <c r="D688" s="245"/>
      <c r="E688" s="245"/>
      <c r="F688" s="208"/>
      <c r="G688" s="208"/>
      <c r="H688" s="208"/>
      <c r="I688" s="208"/>
      <c r="J688" s="212"/>
      <c r="K688" s="211"/>
      <c r="L688" s="208"/>
      <c r="M688" s="208"/>
      <c r="N688" s="208"/>
      <c r="O688" s="211"/>
      <c r="P688" s="208"/>
      <c r="Q688" s="208"/>
      <c r="R688" s="208"/>
      <c r="S688" s="208"/>
      <c r="T688" s="211"/>
      <c r="U688" s="211"/>
      <c r="V688" s="211"/>
      <c r="W688" s="211"/>
      <c r="X688" s="211"/>
      <c r="Y688" s="208"/>
      <c r="Z688" s="208"/>
      <c r="AA688" s="208"/>
      <c r="AB688" s="208"/>
      <c r="AC688" s="208"/>
      <c r="AD688" s="125"/>
      <c r="AE688" s="125"/>
      <c r="AF688" s="125"/>
      <c r="AG688" s="125"/>
      <c r="AH688" s="125"/>
      <c r="AI688" s="125"/>
      <c r="AJ688" s="125"/>
      <c r="AK688" s="125"/>
      <c r="AL688" s="125"/>
      <c r="AM688" s="125"/>
      <c r="AN688" s="125"/>
      <c r="AO688" s="102"/>
      <c r="AP688" s="102"/>
      <c r="AQ688" s="102"/>
      <c r="AR688" s="102"/>
      <c r="AS688" s="102"/>
      <c r="AT688" s="102"/>
    </row>
    <row r="689" ht="15.75" customHeight="1">
      <c r="A689" s="206" t="s">
        <v>1086</v>
      </c>
      <c r="B689" s="245" t="s">
        <v>3964</v>
      </c>
      <c r="C689" s="77" t="s">
        <v>3965</v>
      </c>
      <c r="D689" s="77" t="s">
        <v>5624</v>
      </c>
      <c r="E689" s="77" t="s">
        <v>3968</v>
      </c>
      <c r="F689" s="77" t="s">
        <v>4616</v>
      </c>
      <c r="G689" s="77" t="s">
        <v>4617</v>
      </c>
      <c r="H689" s="77" t="s">
        <v>4618</v>
      </c>
      <c r="I689" s="208"/>
      <c r="J689" s="212"/>
      <c r="K689" s="211" t="s">
        <v>4619</v>
      </c>
      <c r="L689" s="208"/>
      <c r="M689" s="208"/>
      <c r="N689" s="208"/>
      <c r="O689" s="208"/>
      <c r="P689" s="208"/>
      <c r="Q689" s="208" t="s">
        <v>268</v>
      </c>
      <c r="R689" s="208"/>
      <c r="S689" s="208"/>
      <c r="T689" s="211"/>
      <c r="U689" s="211"/>
      <c r="V689" s="211"/>
      <c r="W689" s="211"/>
      <c r="X689" s="211"/>
      <c r="Y689" s="208"/>
      <c r="Z689" s="208"/>
      <c r="AA689" s="208"/>
      <c r="AB689" s="208"/>
      <c r="AC689" s="208"/>
      <c r="AD689" s="125"/>
      <c r="AE689" s="125"/>
      <c r="AF689" s="125"/>
      <c r="AG689" s="125"/>
      <c r="AH689" s="125"/>
      <c r="AI689" s="125"/>
      <c r="AJ689" s="125"/>
      <c r="AK689" s="125"/>
      <c r="AL689" s="125"/>
      <c r="AM689" s="125"/>
      <c r="AN689" s="125"/>
      <c r="AO689" s="102"/>
      <c r="AP689" s="102"/>
      <c r="AQ689" s="102"/>
      <c r="AR689" s="102"/>
      <c r="AS689" s="102"/>
      <c r="AT689" s="102"/>
    </row>
    <row r="690" ht="15.75" customHeight="1">
      <c r="A690" s="214" t="s">
        <v>299</v>
      </c>
      <c r="B690" s="246" t="s">
        <v>3969</v>
      </c>
      <c r="C690" s="77" t="s">
        <v>3973</v>
      </c>
      <c r="D690" s="77" t="s">
        <v>3974</v>
      </c>
      <c r="E690" s="77" t="s">
        <v>3975</v>
      </c>
      <c r="F690" s="77"/>
      <c r="G690" s="77"/>
      <c r="H690" s="77"/>
      <c r="I690" s="216"/>
      <c r="J690" s="217"/>
      <c r="K690" s="216"/>
      <c r="L690" s="216"/>
      <c r="M690" s="229"/>
      <c r="N690" s="229"/>
      <c r="O690" s="229" t="s">
        <v>5625</v>
      </c>
      <c r="P690" s="216"/>
      <c r="Q690" s="216" t="s">
        <v>268</v>
      </c>
      <c r="R690" s="216"/>
      <c r="S690" s="216"/>
      <c r="T690" s="216"/>
      <c r="U690" s="216"/>
      <c r="V690" s="216"/>
      <c r="W690" s="216"/>
      <c r="X690" s="216"/>
      <c r="Y690" s="216"/>
      <c r="Z690" s="216"/>
      <c r="AA690" s="216"/>
      <c r="AB690" s="216"/>
      <c r="AC690" s="216"/>
      <c r="AD690" s="219"/>
      <c r="AE690" s="219"/>
      <c r="AF690" s="219"/>
      <c r="AG690" s="219"/>
      <c r="AH690" s="219"/>
      <c r="AI690" s="219"/>
      <c r="AJ690" s="219"/>
      <c r="AK690" s="219"/>
      <c r="AL690" s="219"/>
      <c r="AM690" s="219"/>
      <c r="AN690" s="219"/>
      <c r="AO690" s="102"/>
      <c r="AP690" s="102"/>
      <c r="AQ690" s="102"/>
      <c r="AR690" s="102"/>
      <c r="AS690" s="102"/>
      <c r="AT690" s="102"/>
    </row>
    <row r="691" ht="15.75" customHeight="1">
      <c r="A691" s="142" t="s">
        <v>183</v>
      </c>
      <c r="B691" s="239" t="s">
        <v>5626</v>
      </c>
      <c r="C691" s="144"/>
      <c r="D691" s="144"/>
      <c r="E691" s="144"/>
      <c r="F691" s="145"/>
      <c r="G691" s="145"/>
      <c r="H691" s="145"/>
      <c r="I691" s="145"/>
      <c r="J691" s="145"/>
      <c r="K691" s="145"/>
      <c r="L691" s="145"/>
      <c r="M691" s="145"/>
      <c r="N691" s="145"/>
      <c r="O691" s="146"/>
      <c r="P691" s="146"/>
      <c r="Q691" s="146"/>
      <c r="R691" s="146"/>
      <c r="S691" s="145"/>
      <c r="T691" s="402" t="s">
        <v>211</v>
      </c>
      <c r="U691" s="146"/>
      <c r="V691" s="145"/>
      <c r="W691" s="145"/>
      <c r="X691" s="145"/>
      <c r="Y691" s="145"/>
      <c r="Z691" s="145"/>
      <c r="AA691" s="145"/>
      <c r="AB691" s="145"/>
      <c r="AC691" s="145"/>
      <c r="AD691" s="102"/>
      <c r="AE691" s="102"/>
      <c r="AF691" s="102"/>
      <c r="AG691" s="102"/>
      <c r="AH691" s="102"/>
      <c r="AI691" s="102"/>
      <c r="AJ691" s="102"/>
      <c r="AK691" s="102"/>
      <c r="AL691" s="102"/>
      <c r="AM691" s="102"/>
      <c r="AN691" s="102"/>
      <c r="AO691" s="102"/>
      <c r="AP691" s="102"/>
      <c r="AQ691" s="102"/>
      <c r="AR691" s="102"/>
      <c r="AS691" s="102"/>
      <c r="AT691" s="102"/>
    </row>
    <row r="692" ht="15.75" customHeight="1">
      <c r="A692" s="249" t="s">
        <v>2279</v>
      </c>
      <c r="B692" s="250" t="s">
        <v>5627</v>
      </c>
      <c r="C692" s="250" t="s">
        <v>4625</v>
      </c>
      <c r="D692" s="251"/>
      <c r="E692" s="251"/>
      <c r="F692" s="252"/>
      <c r="G692" s="252"/>
      <c r="H692" s="252"/>
      <c r="I692" s="252"/>
      <c r="J692" s="252"/>
      <c r="K692" s="252"/>
      <c r="L692" s="252"/>
      <c r="M692" s="253"/>
      <c r="N692" s="253"/>
      <c r="O692" s="254" t="s">
        <v>5628</v>
      </c>
      <c r="P692" s="255"/>
      <c r="Q692" s="252"/>
      <c r="R692" s="252"/>
      <c r="S692" s="252"/>
      <c r="T692" s="252"/>
      <c r="U692" s="254" t="s">
        <v>4627</v>
      </c>
      <c r="V692" s="255"/>
      <c r="W692" s="252"/>
      <c r="X692" s="252"/>
      <c r="Y692" s="252"/>
      <c r="Z692" s="252"/>
      <c r="AA692" s="252"/>
      <c r="AB692" s="252"/>
      <c r="AC692" s="252"/>
      <c r="AD692" s="343"/>
      <c r="AE692" s="343"/>
      <c r="AF692" s="343"/>
      <c r="AG692" s="343"/>
      <c r="AH692" s="343"/>
      <c r="AI692" s="343"/>
      <c r="AJ692" s="343"/>
      <c r="AK692" s="343"/>
      <c r="AL692" s="343"/>
      <c r="AM692" s="343"/>
      <c r="AN692" s="343"/>
      <c r="AO692" s="102"/>
      <c r="AP692" s="102"/>
      <c r="AQ692" s="102"/>
      <c r="AR692" s="102"/>
      <c r="AS692" s="102"/>
      <c r="AT692" s="102"/>
    </row>
    <row r="693" ht="15.75" customHeight="1">
      <c r="A693" s="259" t="s">
        <v>116</v>
      </c>
      <c r="B693" s="260" t="s">
        <v>5629</v>
      </c>
      <c r="C693" s="261" t="s">
        <v>4630</v>
      </c>
      <c r="D693" s="261"/>
      <c r="E693" s="261"/>
      <c r="F693" s="262"/>
      <c r="G693" s="262"/>
      <c r="H693" s="262"/>
      <c r="I693" s="262"/>
      <c r="J693" s="262"/>
      <c r="K693" s="262"/>
      <c r="L693" s="262"/>
      <c r="M693" s="262"/>
      <c r="N693" s="262"/>
      <c r="O693" s="264"/>
      <c r="P693" s="262"/>
      <c r="Q693" s="262"/>
      <c r="R693" s="262"/>
      <c r="S693" s="262"/>
      <c r="T693" s="363" t="s">
        <v>5630</v>
      </c>
      <c r="U693" s="264"/>
      <c r="V693" s="264"/>
      <c r="W693" s="264"/>
      <c r="X693" s="264"/>
      <c r="Y693" s="264"/>
      <c r="Z693" s="262"/>
      <c r="AA693" s="262"/>
      <c r="AB693" s="262"/>
      <c r="AC693" s="262"/>
      <c r="AD693" s="147"/>
      <c r="AE693" s="147"/>
      <c r="AF693" s="147"/>
      <c r="AG693" s="147"/>
      <c r="AH693" s="147"/>
      <c r="AI693" s="147"/>
      <c r="AJ693" s="147"/>
      <c r="AK693" s="147"/>
      <c r="AL693" s="147"/>
      <c r="AM693" s="147"/>
      <c r="AN693" s="147"/>
      <c r="AO693" s="102"/>
      <c r="AP693" s="102"/>
      <c r="AQ693" s="102"/>
      <c r="AR693" s="102"/>
      <c r="AS693" s="102"/>
      <c r="AT693" s="102"/>
    </row>
    <row r="694" ht="15.75" customHeight="1">
      <c r="A694" s="197" t="s">
        <v>227</v>
      </c>
      <c r="B694" s="93" t="s">
        <v>5631</v>
      </c>
      <c r="C694" s="93"/>
      <c r="D694" s="96"/>
      <c r="E694" s="96"/>
      <c r="F694" s="100"/>
      <c r="G694" s="100"/>
      <c r="H694" s="100"/>
      <c r="I694" s="100"/>
      <c r="J694" s="98" t="s">
        <v>3246</v>
      </c>
      <c r="K694" s="97"/>
      <c r="L694" s="97"/>
      <c r="M694" s="98"/>
      <c r="N694" s="98"/>
      <c r="O694" s="236"/>
      <c r="P694" s="97"/>
      <c r="Q694" s="97"/>
      <c r="R694" s="97"/>
      <c r="S694" s="97"/>
      <c r="T694" s="97"/>
      <c r="U694" s="97"/>
      <c r="V694" s="97"/>
      <c r="W694" s="97"/>
      <c r="X694" s="97"/>
      <c r="Y694" s="97"/>
      <c r="Z694" s="97"/>
      <c r="AA694" s="97"/>
      <c r="AB694" s="97"/>
      <c r="AC694" s="97"/>
      <c r="AD694" s="170"/>
      <c r="AE694" s="170"/>
      <c r="AF694" s="170"/>
      <c r="AG694" s="170"/>
      <c r="AH694" s="170"/>
      <c r="AI694" s="170"/>
      <c r="AJ694" s="170"/>
      <c r="AK694" s="170"/>
      <c r="AL694" s="170"/>
      <c r="AM694" s="170"/>
      <c r="AN694" s="170"/>
      <c r="AO694" s="102"/>
      <c r="AP694" s="102"/>
      <c r="AQ694" s="102"/>
      <c r="AR694" s="102"/>
      <c r="AS694" s="102"/>
      <c r="AT694" s="102"/>
    </row>
    <row r="695" ht="15.75" customHeight="1">
      <c r="A695" s="206" t="s">
        <v>277</v>
      </c>
      <c r="B695" s="245" t="s">
        <v>3988</v>
      </c>
      <c r="C695" s="77" t="s">
        <v>3991</v>
      </c>
      <c r="D695" s="77" t="s">
        <v>3993</v>
      </c>
      <c r="E695" s="77" t="s">
        <v>3994</v>
      </c>
      <c r="F695" s="77"/>
      <c r="G695" s="77"/>
      <c r="H695" s="77"/>
      <c r="I695" s="208"/>
      <c r="J695" s="212" t="s">
        <v>10</v>
      </c>
      <c r="K695" s="208"/>
      <c r="L695" s="208"/>
      <c r="M695" s="208"/>
      <c r="N695" s="208"/>
      <c r="O695" s="211"/>
      <c r="P695" s="208"/>
      <c r="Q695" s="208"/>
      <c r="R695" s="208"/>
      <c r="S695" s="208"/>
      <c r="T695" s="208"/>
      <c r="U695" s="208"/>
      <c r="V695" s="208"/>
      <c r="W695" s="208"/>
      <c r="X695" s="208"/>
      <c r="Y695" s="208"/>
      <c r="Z695" s="208"/>
      <c r="AA695" s="208"/>
      <c r="AB695" s="208"/>
      <c r="AC695" s="208"/>
      <c r="AD695" s="125"/>
      <c r="AE695" s="125"/>
      <c r="AF695" s="125"/>
      <c r="AG695" s="125"/>
      <c r="AH695" s="125"/>
      <c r="AI695" s="125"/>
      <c r="AJ695" s="125"/>
      <c r="AK695" s="125"/>
      <c r="AL695" s="125"/>
      <c r="AM695" s="125"/>
      <c r="AN695" s="125"/>
      <c r="AO695" s="102"/>
      <c r="AP695" s="102"/>
      <c r="AQ695" s="102"/>
      <c r="AR695" s="102"/>
      <c r="AS695" s="102"/>
      <c r="AT695" s="102"/>
    </row>
    <row r="696" ht="15.75" customHeight="1">
      <c r="A696" s="206" t="s">
        <v>277</v>
      </c>
      <c r="B696" s="245" t="s">
        <v>3996</v>
      </c>
      <c r="C696" s="77" t="s">
        <v>3997</v>
      </c>
      <c r="D696" s="77" t="s">
        <v>3998</v>
      </c>
      <c r="E696" s="77" t="s">
        <v>3999</v>
      </c>
      <c r="F696" s="77"/>
      <c r="G696" s="77"/>
      <c r="H696" s="77"/>
      <c r="I696" s="208"/>
      <c r="J696" s="212" t="s">
        <v>3286</v>
      </c>
      <c r="K696" s="208"/>
      <c r="L696" s="208"/>
      <c r="M696" s="208"/>
      <c r="N696" s="208"/>
      <c r="O696" s="211"/>
      <c r="P696" s="208"/>
      <c r="Q696" s="208" t="s">
        <v>268</v>
      </c>
      <c r="R696" s="208"/>
      <c r="S696" s="208"/>
      <c r="T696" s="208"/>
      <c r="U696" s="208"/>
      <c r="V696" s="208"/>
      <c r="W696" s="208"/>
      <c r="X696" s="208"/>
      <c r="Y696" s="208"/>
      <c r="Z696" s="208"/>
      <c r="AA696" s="208"/>
      <c r="AB696" s="208"/>
      <c r="AC696" s="208"/>
      <c r="AD696" s="125"/>
      <c r="AE696" s="125"/>
      <c r="AF696" s="125"/>
      <c r="AG696" s="125"/>
      <c r="AH696" s="125"/>
      <c r="AI696" s="125"/>
      <c r="AJ696" s="125"/>
      <c r="AK696" s="125"/>
      <c r="AL696" s="125"/>
      <c r="AM696" s="125"/>
      <c r="AN696" s="125"/>
      <c r="AO696" s="102"/>
      <c r="AP696" s="102"/>
      <c r="AQ696" s="102"/>
      <c r="AR696" s="102"/>
      <c r="AS696" s="102"/>
      <c r="AT696" s="102"/>
    </row>
    <row r="697" ht="15.75" customHeight="1">
      <c r="A697" s="206" t="s">
        <v>277</v>
      </c>
      <c r="B697" s="245" t="s">
        <v>4000</v>
      </c>
      <c r="C697" s="77" t="s">
        <v>4001</v>
      </c>
      <c r="D697" s="77" t="s">
        <v>4002</v>
      </c>
      <c r="E697" s="77" t="s">
        <v>4004</v>
      </c>
      <c r="F697" s="77"/>
      <c r="G697" s="77"/>
      <c r="H697" s="77"/>
      <c r="I697" s="208"/>
      <c r="J697" s="212" t="s">
        <v>3286</v>
      </c>
      <c r="K697" s="208"/>
      <c r="L697" s="208"/>
      <c r="M697" s="208"/>
      <c r="N697" s="208"/>
      <c r="O697" s="211"/>
      <c r="P697" s="208"/>
      <c r="Q697" s="208" t="s">
        <v>268</v>
      </c>
      <c r="R697" s="208"/>
      <c r="S697" s="208"/>
      <c r="T697" s="208"/>
      <c r="U697" s="208"/>
      <c r="V697" s="208"/>
      <c r="W697" s="208"/>
      <c r="X697" s="208"/>
      <c r="Y697" s="208"/>
      <c r="Z697" s="208"/>
      <c r="AA697" s="208"/>
      <c r="AB697" s="208"/>
      <c r="AC697" s="208"/>
      <c r="AD697" s="125"/>
      <c r="AE697" s="125"/>
      <c r="AF697" s="125"/>
      <c r="AG697" s="125"/>
      <c r="AH697" s="125"/>
      <c r="AI697" s="125"/>
      <c r="AJ697" s="125"/>
      <c r="AK697" s="125"/>
      <c r="AL697" s="125"/>
      <c r="AM697" s="125"/>
      <c r="AN697" s="125"/>
      <c r="AO697" s="102"/>
      <c r="AP697" s="102"/>
      <c r="AQ697" s="102"/>
      <c r="AR697" s="102"/>
      <c r="AS697" s="102"/>
      <c r="AT697" s="102"/>
    </row>
    <row r="698" ht="15.75" customHeight="1">
      <c r="A698" s="206" t="s">
        <v>277</v>
      </c>
      <c r="B698" s="245" t="s">
        <v>4006</v>
      </c>
      <c r="C698" s="77" t="s">
        <v>4011</v>
      </c>
      <c r="D698" s="77" t="s">
        <v>4012</v>
      </c>
      <c r="E698" s="77" t="s">
        <v>4013</v>
      </c>
      <c r="F698" s="77"/>
      <c r="G698" s="77"/>
      <c r="H698" s="77"/>
      <c r="I698" s="208"/>
      <c r="J698" s="212" t="s">
        <v>3286</v>
      </c>
      <c r="K698" s="208"/>
      <c r="L698" s="208"/>
      <c r="M698" s="208"/>
      <c r="N698" s="208"/>
      <c r="O698" s="208"/>
      <c r="P698" s="208"/>
      <c r="Q698" s="208" t="s">
        <v>268</v>
      </c>
      <c r="R698" s="208"/>
      <c r="S698" s="208"/>
      <c r="T698" s="211"/>
      <c r="U698" s="208"/>
      <c r="V698" s="208"/>
      <c r="W698" s="208"/>
      <c r="X698" s="208"/>
      <c r="Y698" s="208"/>
      <c r="Z698" s="208"/>
      <c r="AA698" s="208"/>
      <c r="AB698" s="208"/>
      <c r="AC698" s="208"/>
      <c r="AD698" s="125"/>
      <c r="AE698" s="125"/>
      <c r="AF698" s="125"/>
      <c r="AG698" s="125"/>
      <c r="AH698" s="125"/>
      <c r="AI698" s="125"/>
      <c r="AJ698" s="125"/>
      <c r="AK698" s="125"/>
      <c r="AL698" s="125"/>
      <c r="AM698" s="125"/>
      <c r="AN698" s="125"/>
      <c r="AO698" s="102"/>
      <c r="AP698" s="102"/>
      <c r="AQ698" s="102"/>
      <c r="AR698" s="102"/>
      <c r="AS698" s="102"/>
      <c r="AT698" s="102"/>
    </row>
    <row r="699" ht="15.75" customHeight="1">
      <c r="A699" s="206" t="s">
        <v>277</v>
      </c>
      <c r="B699" s="245" t="s">
        <v>4014</v>
      </c>
      <c r="C699" s="77" t="s">
        <v>4019</v>
      </c>
      <c r="D699" s="77" t="s">
        <v>4021</v>
      </c>
      <c r="E699" s="77" t="s">
        <v>4023</v>
      </c>
      <c r="F699" s="77"/>
      <c r="G699" s="77"/>
      <c r="H699" s="77"/>
      <c r="I699" s="208"/>
      <c r="J699" s="212" t="s">
        <v>3286</v>
      </c>
      <c r="K699" s="208"/>
      <c r="L699" s="208"/>
      <c r="M699" s="211"/>
      <c r="N699" s="208"/>
      <c r="O699" s="211"/>
      <c r="P699" s="208"/>
      <c r="Q699" s="208" t="s">
        <v>268</v>
      </c>
      <c r="R699" s="208"/>
      <c r="S699" s="208"/>
      <c r="T699" s="208"/>
      <c r="U699" s="208"/>
      <c r="V699" s="208"/>
      <c r="W699" s="208"/>
      <c r="X699" s="208"/>
      <c r="Y699" s="208"/>
      <c r="Z699" s="208"/>
      <c r="AA699" s="208"/>
      <c r="AB699" s="208"/>
      <c r="AC699" s="208"/>
      <c r="AD699" s="125"/>
      <c r="AE699" s="125"/>
      <c r="AF699" s="125"/>
      <c r="AG699" s="125"/>
      <c r="AH699" s="125"/>
      <c r="AI699" s="125"/>
      <c r="AJ699" s="125"/>
      <c r="AK699" s="125"/>
      <c r="AL699" s="125"/>
      <c r="AM699" s="125"/>
      <c r="AN699" s="125"/>
      <c r="AO699" s="102"/>
      <c r="AP699" s="102"/>
      <c r="AQ699" s="102"/>
      <c r="AR699" s="102"/>
      <c r="AS699" s="102"/>
      <c r="AT699" s="102"/>
    </row>
    <row r="700" ht="15.75" customHeight="1">
      <c r="A700" s="197" t="s">
        <v>735</v>
      </c>
      <c r="B700" s="96" t="s">
        <v>5631</v>
      </c>
      <c r="C700" s="96"/>
      <c r="D700" s="96"/>
      <c r="E700" s="96"/>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170"/>
      <c r="AE700" s="170"/>
      <c r="AF700" s="170"/>
      <c r="AG700" s="170"/>
      <c r="AH700" s="170"/>
      <c r="AI700" s="170"/>
      <c r="AJ700" s="170"/>
      <c r="AK700" s="170"/>
      <c r="AL700" s="170"/>
      <c r="AM700" s="170"/>
      <c r="AN700" s="170"/>
      <c r="AO700" s="102"/>
      <c r="AP700" s="102"/>
      <c r="AQ700" s="102"/>
      <c r="AR700" s="102"/>
      <c r="AS700" s="102"/>
      <c r="AT700" s="102"/>
    </row>
    <row r="701" ht="15.75" customHeight="1">
      <c r="A701" s="197" t="s">
        <v>227</v>
      </c>
      <c r="B701" s="93" t="s">
        <v>5632</v>
      </c>
      <c r="C701" s="93"/>
      <c r="D701" s="96"/>
      <c r="E701" s="96"/>
      <c r="F701" s="97"/>
      <c r="G701" s="97"/>
      <c r="H701" s="97"/>
      <c r="I701" s="97"/>
      <c r="J701" s="98" t="s">
        <v>3246</v>
      </c>
      <c r="K701" s="97"/>
      <c r="L701" s="97"/>
      <c r="M701" s="98"/>
      <c r="N701" s="98"/>
      <c r="O701" s="236" t="s">
        <v>5633</v>
      </c>
      <c r="P701" s="100"/>
      <c r="Q701" s="100"/>
      <c r="R701" s="100"/>
      <c r="S701" s="97"/>
      <c r="T701" s="97"/>
      <c r="U701" s="97"/>
      <c r="V701" s="97"/>
      <c r="W701" s="97"/>
      <c r="X701" s="97"/>
      <c r="Y701" s="97"/>
      <c r="Z701" s="97"/>
      <c r="AA701" s="97"/>
      <c r="AB701" s="97"/>
      <c r="AC701" s="97"/>
      <c r="AD701" s="170"/>
      <c r="AE701" s="170"/>
      <c r="AF701" s="170"/>
      <c r="AG701" s="170"/>
      <c r="AH701" s="170"/>
      <c r="AI701" s="170"/>
      <c r="AJ701" s="170"/>
      <c r="AK701" s="170"/>
      <c r="AL701" s="170"/>
      <c r="AM701" s="170"/>
      <c r="AN701" s="170"/>
      <c r="AO701" s="102"/>
      <c r="AP701" s="102"/>
      <c r="AQ701" s="102"/>
      <c r="AR701" s="102"/>
      <c r="AS701" s="102"/>
      <c r="AT701" s="102"/>
    </row>
    <row r="702" ht="15.75" customHeight="1">
      <c r="A702" s="198" t="s">
        <v>42</v>
      </c>
      <c r="B702" s="199" t="s">
        <v>4027</v>
      </c>
      <c r="C702" s="77" t="s">
        <v>5634</v>
      </c>
      <c r="D702" s="77" t="s">
        <v>5635</v>
      </c>
      <c r="E702" s="77" t="s">
        <v>5636</v>
      </c>
      <c r="F702" s="77"/>
      <c r="G702" s="77"/>
      <c r="H702" s="77"/>
      <c r="I702" s="287"/>
      <c r="J702" s="287" t="s">
        <v>10</v>
      </c>
      <c r="K702" s="200"/>
      <c r="L702" s="200"/>
      <c r="M702" s="200"/>
      <c r="N702" s="200"/>
      <c r="O702" s="200"/>
      <c r="P702" s="200"/>
      <c r="Q702" s="200"/>
      <c r="R702" s="200"/>
      <c r="S702" s="200"/>
      <c r="T702" s="200"/>
      <c r="U702" s="200"/>
      <c r="V702" s="200"/>
      <c r="W702" s="200"/>
      <c r="X702" s="200"/>
      <c r="Y702" s="200"/>
      <c r="Z702" s="200"/>
      <c r="AA702" s="200"/>
      <c r="AB702" s="200"/>
      <c r="AC702" s="200"/>
      <c r="AD702" s="288"/>
      <c r="AE702" s="288"/>
      <c r="AF702" s="288"/>
      <c r="AG702" s="288"/>
      <c r="AH702" s="288"/>
      <c r="AI702" s="288"/>
      <c r="AJ702" s="288"/>
      <c r="AK702" s="288"/>
      <c r="AL702" s="288"/>
      <c r="AM702" s="288"/>
      <c r="AN702" s="288"/>
      <c r="AO702" s="102"/>
      <c r="AP702" s="102"/>
      <c r="AQ702" s="102"/>
      <c r="AR702" s="102"/>
      <c r="AS702" s="102"/>
      <c r="AT702" s="102"/>
    </row>
    <row r="703" ht="15.75" customHeight="1">
      <c r="A703" s="265" t="s">
        <v>396</v>
      </c>
      <c r="B703" s="266" t="s">
        <v>4031</v>
      </c>
      <c r="C703" s="77" t="s">
        <v>4032</v>
      </c>
      <c r="D703" s="77" t="s">
        <v>4033</v>
      </c>
      <c r="E703" s="77" t="s">
        <v>4034</v>
      </c>
      <c r="F703" s="77" t="s">
        <v>4657</v>
      </c>
      <c r="G703" s="77" t="s">
        <v>4658</v>
      </c>
      <c r="H703" s="77" t="s">
        <v>4659</v>
      </c>
      <c r="I703" s="267"/>
      <c r="J703" s="267" t="s">
        <v>3286</v>
      </c>
      <c r="K703" s="268" t="s">
        <v>4576</v>
      </c>
      <c r="L703" s="268"/>
      <c r="M703" s="267"/>
      <c r="N703" s="267"/>
      <c r="O703" s="267" t="s">
        <v>5637</v>
      </c>
      <c r="P703" s="267"/>
      <c r="Q703" s="267" t="s">
        <v>268</v>
      </c>
      <c r="R703" s="267"/>
      <c r="S703" s="267"/>
      <c r="T703" s="267"/>
      <c r="U703" s="267"/>
      <c r="V703" s="267"/>
      <c r="W703" s="267"/>
      <c r="X703" s="267"/>
      <c r="Y703" s="267"/>
      <c r="Z703" s="267"/>
      <c r="AA703" s="267"/>
      <c r="AB703" s="267"/>
      <c r="AC703" s="267"/>
      <c r="AD703" s="294"/>
      <c r="AE703" s="294"/>
      <c r="AF703" s="294"/>
      <c r="AG703" s="294"/>
      <c r="AH703" s="294"/>
      <c r="AI703" s="294"/>
      <c r="AJ703" s="294"/>
      <c r="AK703" s="294"/>
      <c r="AL703" s="294"/>
      <c r="AM703" s="294"/>
      <c r="AN703" s="294"/>
      <c r="AO703" s="102"/>
      <c r="AP703" s="102"/>
      <c r="AQ703" s="102"/>
      <c r="AR703" s="102"/>
      <c r="AS703" s="102"/>
      <c r="AT703" s="102"/>
    </row>
    <row r="704" ht="15.75" customHeight="1">
      <c r="A704" s="265" t="s">
        <v>396</v>
      </c>
      <c r="B704" s="266" t="s">
        <v>4035</v>
      </c>
      <c r="C704" s="77" t="s">
        <v>4039</v>
      </c>
      <c r="D704" s="77" t="s">
        <v>4040</v>
      </c>
      <c r="E704" s="77" t="s">
        <v>4041</v>
      </c>
      <c r="F704" s="77"/>
      <c r="G704" s="77"/>
      <c r="H704" s="77"/>
      <c r="I704" s="267"/>
      <c r="J704" s="267" t="s">
        <v>3286</v>
      </c>
      <c r="K704" s="268" t="s">
        <v>4576</v>
      </c>
      <c r="L704" s="268"/>
      <c r="M704" s="267"/>
      <c r="N704" s="267"/>
      <c r="O704" s="293" t="s">
        <v>5638</v>
      </c>
      <c r="P704" s="267"/>
      <c r="Q704" s="267" t="s">
        <v>268</v>
      </c>
      <c r="R704" s="267"/>
      <c r="S704" s="267"/>
      <c r="T704" s="267"/>
      <c r="U704" s="267"/>
      <c r="V704" s="267"/>
      <c r="W704" s="267"/>
      <c r="X704" s="267"/>
      <c r="Y704" s="267"/>
      <c r="Z704" s="267"/>
      <c r="AA704" s="267"/>
      <c r="AB704" s="267"/>
      <c r="AC704" s="267"/>
      <c r="AD704" s="294"/>
      <c r="AE704" s="294"/>
      <c r="AF704" s="294"/>
      <c r="AG704" s="294"/>
      <c r="AH704" s="294"/>
      <c r="AI704" s="294"/>
      <c r="AJ704" s="294"/>
      <c r="AK704" s="294"/>
      <c r="AL704" s="294"/>
      <c r="AM704" s="294"/>
      <c r="AN704" s="294"/>
      <c r="AO704" s="102"/>
      <c r="AP704" s="102"/>
      <c r="AQ704" s="102"/>
      <c r="AR704" s="102"/>
      <c r="AS704" s="102"/>
      <c r="AT704" s="102"/>
    </row>
    <row r="705" ht="15.75" customHeight="1">
      <c r="A705" s="265" t="s">
        <v>396</v>
      </c>
      <c r="B705" s="266" t="s">
        <v>4042</v>
      </c>
      <c r="C705" s="77" t="s">
        <v>4043</v>
      </c>
      <c r="D705" s="77" t="s">
        <v>4045</v>
      </c>
      <c r="E705" s="77" t="s">
        <v>4046</v>
      </c>
      <c r="F705" s="77"/>
      <c r="G705" s="77"/>
      <c r="H705" s="77"/>
      <c r="I705" s="267"/>
      <c r="J705" s="267" t="s">
        <v>3286</v>
      </c>
      <c r="K705" s="268" t="s">
        <v>4576</v>
      </c>
      <c r="L705" s="268"/>
      <c r="M705" s="267"/>
      <c r="N705" s="267"/>
      <c r="O705" s="293" t="s">
        <v>5639</v>
      </c>
      <c r="P705" s="267"/>
      <c r="Q705" s="267" t="s">
        <v>268</v>
      </c>
      <c r="R705" s="267"/>
      <c r="S705" s="267"/>
      <c r="T705" s="267"/>
      <c r="U705" s="267"/>
      <c r="V705" s="267"/>
      <c r="W705" s="267"/>
      <c r="X705" s="267"/>
      <c r="Y705" s="267"/>
      <c r="Z705" s="267"/>
      <c r="AA705" s="267"/>
      <c r="AB705" s="267"/>
      <c r="AC705" s="267"/>
      <c r="AD705" s="294"/>
      <c r="AE705" s="294"/>
      <c r="AF705" s="294"/>
      <c r="AG705" s="294"/>
      <c r="AH705" s="294"/>
      <c r="AI705" s="294"/>
      <c r="AJ705" s="294"/>
      <c r="AK705" s="294"/>
      <c r="AL705" s="294"/>
      <c r="AM705" s="294"/>
      <c r="AN705" s="294"/>
      <c r="AO705" s="102"/>
      <c r="AP705" s="102"/>
      <c r="AQ705" s="102"/>
      <c r="AR705" s="102"/>
      <c r="AS705" s="102"/>
      <c r="AT705" s="102"/>
    </row>
    <row r="706" ht="15.75" customHeight="1">
      <c r="A706" s="197" t="s">
        <v>735</v>
      </c>
      <c r="B706" s="96" t="s">
        <v>5632</v>
      </c>
      <c r="C706" s="96"/>
      <c r="D706" s="96"/>
      <c r="E706" s="96"/>
      <c r="F706" s="100"/>
      <c r="G706" s="100"/>
      <c r="H706" s="100"/>
      <c r="I706" s="100"/>
      <c r="J706" s="100"/>
      <c r="K706" s="97"/>
      <c r="L706" s="97"/>
      <c r="M706" s="97"/>
      <c r="N706" s="97"/>
      <c r="O706" s="97"/>
      <c r="P706" s="97"/>
      <c r="Q706" s="97"/>
      <c r="R706" s="97"/>
      <c r="S706" s="97"/>
      <c r="T706" s="97"/>
      <c r="U706" s="97"/>
      <c r="V706" s="97"/>
      <c r="W706" s="97"/>
      <c r="X706" s="97"/>
      <c r="Y706" s="97"/>
      <c r="Z706" s="97"/>
      <c r="AA706" s="97"/>
      <c r="AB706" s="97"/>
      <c r="AC706" s="97"/>
      <c r="AD706" s="170"/>
      <c r="AE706" s="170"/>
      <c r="AF706" s="170"/>
      <c r="AG706" s="170"/>
      <c r="AH706" s="170"/>
      <c r="AI706" s="170"/>
      <c r="AJ706" s="170"/>
      <c r="AK706" s="170"/>
      <c r="AL706" s="170"/>
      <c r="AM706" s="170"/>
      <c r="AN706" s="170"/>
      <c r="AO706" s="102"/>
      <c r="AP706" s="102"/>
      <c r="AQ706" s="102"/>
      <c r="AR706" s="102"/>
      <c r="AS706" s="102"/>
      <c r="AT706" s="102"/>
    </row>
    <row r="707" ht="15.75" customHeight="1">
      <c r="A707" s="249" t="s">
        <v>2336</v>
      </c>
      <c r="B707" s="251" t="s">
        <v>5627</v>
      </c>
      <c r="C707" s="251" t="s">
        <v>4625</v>
      </c>
      <c r="D707" s="251"/>
      <c r="E707" s="251"/>
      <c r="F707" s="252"/>
      <c r="G707" s="252"/>
      <c r="H707" s="252"/>
      <c r="I707" s="252"/>
      <c r="J707" s="252"/>
      <c r="K707" s="252"/>
      <c r="L707" s="252"/>
      <c r="M707" s="252"/>
      <c r="N707" s="252"/>
      <c r="O707" s="252"/>
      <c r="P707" s="252"/>
      <c r="Q707" s="252"/>
      <c r="R707" s="252"/>
      <c r="S707" s="252"/>
      <c r="T707" s="252"/>
      <c r="U707" s="252"/>
      <c r="V707" s="252"/>
      <c r="W707" s="252"/>
      <c r="X707" s="252"/>
      <c r="Y707" s="252"/>
      <c r="Z707" s="252"/>
      <c r="AA707" s="252"/>
      <c r="AB707" s="252"/>
      <c r="AC707" s="252"/>
      <c r="AD707" s="343"/>
      <c r="AE707" s="343"/>
      <c r="AF707" s="343"/>
      <c r="AG707" s="343"/>
      <c r="AH707" s="343"/>
      <c r="AI707" s="343"/>
      <c r="AJ707" s="343"/>
      <c r="AK707" s="343"/>
      <c r="AL707" s="343"/>
      <c r="AM707" s="343"/>
      <c r="AN707" s="343"/>
      <c r="AO707" s="102"/>
      <c r="AP707" s="102"/>
      <c r="AQ707" s="102"/>
      <c r="AR707" s="102"/>
      <c r="AS707" s="102"/>
      <c r="AT707" s="102"/>
    </row>
    <row r="708" ht="15.75" customHeight="1">
      <c r="A708" s="142" t="s">
        <v>183</v>
      </c>
      <c r="B708" s="239" t="s">
        <v>5640</v>
      </c>
      <c r="C708" s="144"/>
      <c r="D708" s="144"/>
      <c r="E708" s="144"/>
      <c r="F708" s="145"/>
      <c r="G708" s="145"/>
      <c r="H708" s="145"/>
      <c r="I708" s="145"/>
      <c r="J708" s="145"/>
      <c r="K708" s="145"/>
      <c r="L708" s="145"/>
      <c r="M708" s="145"/>
      <c r="N708" s="145"/>
      <c r="O708" s="146"/>
      <c r="P708" s="146"/>
      <c r="Q708" s="146"/>
      <c r="R708" s="146"/>
      <c r="S708" s="145"/>
      <c r="T708" s="402" t="s">
        <v>211</v>
      </c>
      <c r="U708" s="146"/>
      <c r="V708" s="145"/>
      <c r="W708" s="145"/>
      <c r="X708" s="145"/>
      <c r="Y708" s="145"/>
      <c r="Z708" s="145"/>
      <c r="AA708" s="145"/>
      <c r="AB708" s="145"/>
      <c r="AC708" s="145"/>
      <c r="AD708" s="102"/>
      <c r="AE708" s="102"/>
      <c r="AF708" s="102"/>
      <c r="AG708" s="102"/>
      <c r="AH708" s="102"/>
      <c r="AI708" s="102"/>
      <c r="AJ708" s="102"/>
      <c r="AK708" s="102"/>
      <c r="AL708" s="102"/>
      <c r="AM708" s="102"/>
      <c r="AN708" s="102"/>
      <c r="AO708" s="102"/>
      <c r="AP708" s="102"/>
      <c r="AQ708" s="102"/>
      <c r="AR708" s="102"/>
      <c r="AS708" s="102"/>
      <c r="AT708" s="102"/>
    </row>
    <row r="709" ht="15.75" customHeight="1">
      <c r="A709" s="90" t="s">
        <v>116</v>
      </c>
      <c r="B709" s="91" t="s">
        <v>5641</v>
      </c>
      <c r="C709" s="93"/>
      <c r="D709" s="96"/>
      <c r="E709" s="96"/>
      <c r="F709" s="97"/>
      <c r="G709" s="97"/>
      <c r="H709" s="97"/>
      <c r="I709" s="98"/>
      <c r="J709" s="98"/>
      <c r="K709" s="97"/>
      <c r="L709" s="98"/>
      <c r="M709" s="98"/>
      <c r="N709" s="98"/>
      <c r="O709" s="236"/>
      <c r="P709" s="100"/>
      <c r="Q709" s="100"/>
      <c r="R709" s="100"/>
      <c r="S709" s="97"/>
      <c r="T709" s="238" t="s">
        <v>5642</v>
      </c>
      <c r="U709" s="97"/>
      <c r="V709" s="97"/>
      <c r="W709" s="97"/>
      <c r="X709" s="97"/>
      <c r="Y709" s="97"/>
      <c r="Z709" s="97"/>
      <c r="AA709" s="97"/>
      <c r="AB709" s="97"/>
      <c r="AC709" s="97"/>
      <c r="AD709" s="102"/>
      <c r="AE709" s="102"/>
      <c r="AF709" s="102"/>
      <c r="AG709" s="102"/>
      <c r="AH709" s="102"/>
      <c r="AI709" s="102"/>
      <c r="AJ709" s="102"/>
      <c r="AK709" s="102"/>
      <c r="AL709" s="102"/>
      <c r="AM709" s="102"/>
      <c r="AN709" s="102"/>
      <c r="AO709" s="102"/>
      <c r="AP709" s="102"/>
      <c r="AQ709" s="102"/>
      <c r="AR709" s="102"/>
      <c r="AS709" s="102"/>
      <c r="AT709" s="102"/>
    </row>
    <row r="710" ht="15.75" customHeight="1">
      <c r="A710" s="142" t="s">
        <v>183</v>
      </c>
      <c r="B710" s="239" t="s">
        <v>5643</v>
      </c>
      <c r="C710" s="144"/>
      <c r="D710" s="144"/>
      <c r="E710" s="144"/>
      <c r="F710" s="145"/>
      <c r="G710" s="145"/>
      <c r="H710" s="145"/>
      <c r="I710" s="145"/>
      <c r="J710" s="145"/>
      <c r="K710" s="145"/>
      <c r="L710" s="145"/>
      <c r="M710" s="145"/>
      <c r="N710" s="145"/>
      <c r="O710" s="146"/>
      <c r="P710" s="146"/>
      <c r="Q710" s="146"/>
      <c r="R710" s="146"/>
      <c r="S710" s="145"/>
      <c r="T710" s="402" t="s">
        <v>211</v>
      </c>
      <c r="U710" s="146"/>
      <c r="V710" s="145"/>
      <c r="W710" s="145"/>
      <c r="X710" s="145"/>
      <c r="Y710" s="145"/>
      <c r="Z710" s="145"/>
      <c r="AA710" s="145"/>
      <c r="AB710" s="145"/>
      <c r="AC710" s="145"/>
      <c r="AD710" s="102"/>
      <c r="AE710" s="102"/>
      <c r="AF710" s="102"/>
      <c r="AG710" s="102"/>
      <c r="AH710" s="102"/>
      <c r="AI710" s="102"/>
      <c r="AJ710" s="102"/>
      <c r="AK710" s="102"/>
      <c r="AL710" s="102"/>
      <c r="AM710" s="102"/>
      <c r="AN710" s="102"/>
      <c r="AO710" s="102"/>
      <c r="AP710" s="102"/>
      <c r="AQ710" s="102"/>
      <c r="AR710" s="102"/>
      <c r="AS710" s="102"/>
      <c r="AT710" s="102"/>
    </row>
    <row r="711" ht="15.75" customHeight="1">
      <c r="A711" s="198" t="s">
        <v>42</v>
      </c>
      <c r="B711" s="199" t="s">
        <v>4064</v>
      </c>
      <c r="C711" s="77" t="s">
        <v>4065</v>
      </c>
      <c r="D711" s="77" t="s">
        <v>4066</v>
      </c>
      <c r="E711" s="77" t="s">
        <v>4067</v>
      </c>
      <c r="F711" s="77"/>
      <c r="G711" s="77"/>
      <c r="H711" s="77"/>
      <c r="I711" s="200"/>
      <c r="J711" s="200"/>
      <c r="K711" s="200"/>
      <c r="L711" s="200"/>
      <c r="M711" s="200"/>
      <c r="N711" s="200"/>
      <c r="O711" s="200"/>
      <c r="P711" s="200"/>
      <c r="Q711" s="200"/>
      <c r="R711" s="200"/>
      <c r="S711" s="200"/>
      <c r="T711" s="200"/>
      <c r="U711" s="200"/>
      <c r="V711" s="200"/>
      <c r="W711" s="200"/>
      <c r="X711" s="200"/>
      <c r="Y711" s="200"/>
      <c r="Z711" s="200"/>
      <c r="AA711" s="200"/>
      <c r="AB711" s="200"/>
      <c r="AC711" s="200"/>
      <c r="AD711" s="102"/>
      <c r="AE711" s="102"/>
      <c r="AF711" s="102"/>
      <c r="AG711" s="102"/>
      <c r="AH711" s="102"/>
      <c r="AI711" s="102"/>
      <c r="AJ711" s="102"/>
      <c r="AK711" s="102"/>
      <c r="AL711" s="288"/>
      <c r="AM711" s="288"/>
      <c r="AN711" s="288"/>
      <c r="AO711" s="102"/>
      <c r="AP711" s="102"/>
      <c r="AQ711" s="102"/>
      <c r="AR711" s="102"/>
      <c r="AS711" s="102"/>
      <c r="AT711" s="102"/>
    </row>
    <row r="712" ht="15.75" customHeight="1">
      <c r="A712" s="206" t="s">
        <v>277</v>
      </c>
      <c r="B712" s="245" t="s">
        <v>4068</v>
      </c>
      <c r="C712" s="77" t="s">
        <v>4070</v>
      </c>
      <c r="D712" s="77" t="s">
        <v>4071</v>
      </c>
      <c r="E712" s="77" t="s">
        <v>4072</v>
      </c>
      <c r="F712" s="77"/>
      <c r="G712" s="77"/>
      <c r="H712" s="77"/>
      <c r="I712" s="208"/>
      <c r="J712" s="212"/>
      <c r="K712" s="208"/>
      <c r="L712" s="208"/>
      <c r="M712" s="208"/>
      <c r="N712" s="208"/>
      <c r="O712" s="208"/>
      <c r="P712" s="208"/>
      <c r="Q712" s="208" t="s">
        <v>268</v>
      </c>
      <c r="R712" s="208"/>
      <c r="S712" s="208"/>
      <c r="T712" s="208"/>
      <c r="U712" s="208"/>
      <c r="V712" s="208"/>
      <c r="W712" s="208"/>
      <c r="X712" s="208"/>
      <c r="Y712" s="208"/>
      <c r="Z712" s="208"/>
      <c r="AA712" s="208"/>
      <c r="AB712" s="208"/>
      <c r="AC712" s="208"/>
      <c r="AD712" s="102"/>
      <c r="AE712" s="102"/>
      <c r="AF712" s="102"/>
      <c r="AG712" s="102"/>
      <c r="AH712" s="102"/>
      <c r="AI712" s="102"/>
      <c r="AJ712" s="102"/>
      <c r="AK712" s="102"/>
      <c r="AL712" s="288"/>
      <c r="AM712" s="288"/>
      <c r="AN712" s="288"/>
      <c r="AO712" s="102"/>
      <c r="AP712" s="102"/>
      <c r="AQ712" s="102"/>
      <c r="AR712" s="102"/>
      <c r="AS712" s="102"/>
      <c r="AT712" s="102"/>
    </row>
    <row r="713" ht="15.75" customHeight="1">
      <c r="A713" s="265" t="s">
        <v>396</v>
      </c>
      <c r="B713" s="266" t="s">
        <v>4074</v>
      </c>
      <c r="C713" s="77" t="s">
        <v>4078</v>
      </c>
      <c r="D713" s="77" t="s">
        <v>4079</v>
      </c>
      <c r="E713" s="77" t="s">
        <v>4080</v>
      </c>
      <c r="F713" s="77"/>
      <c r="G713" s="77"/>
      <c r="H713" s="77"/>
      <c r="I713" s="267"/>
      <c r="J713" s="267"/>
      <c r="K713" s="268"/>
      <c r="L713" s="268"/>
      <c r="M713" s="267"/>
      <c r="N713" s="267"/>
      <c r="O713" s="293" t="s">
        <v>5644</v>
      </c>
      <c r="P713" s="267"/>
      <c r="Q713" s="267" t="s">
        <v>268</v>
      </c>
      <c r="R713" s="267"/>
      <c r="S713" s="267"/>
      <c r="T713" s="267"/>
      <c r="U713" s="267"/>
      <c r="V713" s="267"/>
      <c r="W713" s="267"/>
      <c r="X713" s="267"/>
      <c r="Y713" s="267"/>
      <c r="Z713" s="267"/>
      <c r="AA713" s="267"/>
      <c r="AB713" s="267"/>
      <c r="AC713" s="267"/>
      <c r="AD713" s="102"/>
      <c r="AE713" s="102"/>
      <c r="AF713" s="102"/>
      <c r="AG713" s="102"/>
      <c r="AH713" s="102"/>
      <c r="AI713" s="102"/>
      <c r="AJ713" s="102"/>
      <c r="AK713" s="102"/>
      <c r="AL713" s="288"/>
      <c r="AM713" s="288"/>
      <c r="AN713" s="288"/>
      <c r="AO713" s="102"/>
      <c r="AP713" s="102"/>
      <c r="AQ713" s="102"/>
      <c r="AR713" s="102"/>
      <c r="AS713" s="102"/>
      <c r="AT713" s="102"/>
    </row>
    <row r="714" ht="15.75" customHeight="1">
      <c r="A714" s="426" t="s">
        <v>396</v>
      </c>
      <c r="B714" s="427" t="s">
        <v>4081</v>
      </c>
      <c r="C714" s="77" t="s">
        <v>4086</v>
      </c>
      <c r="D714" s="77" t="s">
        <v>4087</v>
      </c>
      <c r="E714" s="77" t="s">
        <v>4088</v>
      </c>
      <c r="F714" s="77"/>
      <c r="G714" s="77"/>
      <c r="H714" s="77"/>
      <c r="I714" s="428"/>
      <c r="J714" s="428"/>
      <c r="K714" s="429"/>
      <c r="L714" s="429"/>
      <c r="M714" s="428"/>
      <c r="N714" s="428"/>
      <c r="O714" s="428"/>
      <c r="P714" s="428"/>
      <c r="Q714" s="428" t="s">
        <v>268</v>
      </c>
      <c r="R714" s="428"/>
      <c r="S714" s="428"/>
      <c r="T714" s="428"/>
      <c r="U714" s="428"/>
      <c r="V714" s="428"/>
      <c r="W714" s="428"/>
      <c r="X714" s="428"/>
      <c r="Y714" s="428"/>
      <c r="Z714" s="428"/>
      <c r="AA714" s="428"/>
      <c r="AB714" s="428"/>
      <c r="AC714" s="428"/>
      <c r="AD714" s="102"/>
      <c r="AE714" s="102"/>
      <c r="AF714" s="102"/>
      <c r="AG714" s="102"/>
      <c r="AH714" s="102"/>
      <c r="AI714" s="102"/>
      <c r="AJ714" s="102"/>
      <c r="AK714" s="102"/>
      <c r="AL714" s="288"/>
      <c r="AM714" s="288"/>
      <c r="AN714" s="288"/>
      <c r="AO714" s="102"/>
      <c r="AP714" s="102"/>
      <c r="AQ714" s="102"/>
      <c r="AR714" s="102"/>
      <c r="AS714" s="102"/>
      <c r="AT714" s="102"/>
    </row>
    <row r="715" ht="15.75" customHeight="1">
      <c r="A715" s="206" t="s">
        <v>277</v>
      </c>
      <c r="B715" s="245" t="s">
        <v>4089</v>
      </c>
      <c r="C715" s="77" t="s">
        <v>4093</v>
      </c>
      <c r="D715" s="77" t="s">
        <v>4094</v>
      </c>
      <c r="E715" s="77" t="s">
        <v>4095</v>
      </c>
      <c r="F715" s="77"/>
      <c r="G715" s="77"/>
      <c r="H715" s="77"/>
      <c r="I715" s="208"/>
      <c r="J715" s="212"/>
      <c r="K715" s="208"/>
      <c r="L715" s="208"/>
      <c r="M715" s="208"/>
      <c r="N715" s="208"/>
      <c r="O715" s="211" t="s">
        <v>5645</v>
      </c>
      <c r="P715" s="208"/>
      <c r="Q715" s="208" t="s">
        <v>268</v>
      </c>
      <c r="R715" s="208"/>
      <c r="S715" s="208"/>
      <c r="T715" s="208"/>
      <c r="U715" s="208"/>
      <c r="V715" s="208"/>
      <c r="W715" s="208"/>
      <c r="X715" s="208"/>
      <c r="Y715" s="208"/>
      <c r="Z715" s="208"/>
      <c r="AA715" s="208"/>
      <c r="AB715" s="208"/>
      <c r="AC715" s="208"/>
      <c r="AD715" s="288"/>
      <c r="AE715" s="288"/>
      <c r="AF715" s="288"/>
      <c r="AG715" s="288"/>
      <c r="AH715" s="288"/>
      <c r="AI715" s="288"/>
      <c r="AJ715" s="288"/>
      <c r="AK715" s="288"/>
      <c r="AL715" s="288"/>
      <c r="AM715" s="288"/>
      <c r="AN715" s="288"/>
      <c r="AO715" s="102"/>
      <c r="AP715" s="102"/>
      <c r="AQ715" s="102"/>
      <c r="AR715" s="102"/>
      <c r="AS715" s="102"/>
      <c r="AT715" s="102"/>
    </row>
    <row r="716" ht="15.75" customHeight="1">
      <c r="A716" s="206" t="s">
        <v>194</v>
      </c>
      <c r="B716" s="245" t="s">
        <v>4096</v>
      </c>
      <c r="C716" s="77" t="s">
        <v>4101</v>
      </c>
      <c r="D716" s="77" t="s">
        <v>4102</v>
      </c>
      <c r="E716" s="77" t="s">
        <v>4103</v>
      </c>
      <c r="F716" s="77"/>
      <c r="G716" s="77"/>
      <c r="H716" s="77"/>
      <c r="I716" s="208"/>
      <c r="J716" s="212"/>
      <c r="K716" s="208"/>
      <c r="L716" s="208"/>
      <c r="M716" s="208"/>
      <c r="N716" s="208"/>
      <c r="O716" s="211"/>
      <c r="P716" s="208"/>
      <c r="Q716" s="208" t="s">
        <v>268</v>
      </c>
      <c r="R716" s="208"/>
      <c r="S716" s="208"/>
      <c r="T716" s="208"/>
      <c r="U716" s="208"/>
      <c r="V716" s="208"/>
      <c r="W716" s="208"/>
      <c r="X716" s="208"/>
      <c r="Y716" s="208"/>
      <c r="Z716" s="208"/>
      <c r="AA716" s="208"/>
      <c r="AB716" s="208"/>
      <c r="AC716" s="208"/>
      <c r="AD716" s="288"/>
      <c r="AE716" s="288"/>
      <c r="AF716" s="288"/>
      <c r="AG716" s="288"/>
      <c r="AH716" s="288"/>
      <c r="AI716" s="288"/>
      <c r="AJ716" s="288"/>
      <c r="AK716" s="288"/>
      <c r="AL716" s="288"/>
      <c r="AM716" s="288"/>
      <c r="AN716" s="288"/>
      <c r="AO716" s="102"/>
      <c r="AP716" s="102"/>
      <c r="AQ716" s="102"/>
      <c r="AR716" s="102"/>
      <c r="AS716" s="102"/>
      <c r="AT716" s="102"/>
    </row>
    <row r="717" ht="15.75" customHeight="1">
      <c r="A717" s="206" t="s">
        <v>277</v>
      </c>
      <c r="B717" s="245" t="s">
        <v>4104</v>
      </c>
      <c r="C717" s="77" t="s">
        <v>4109</v>
      </c>
      <c r="D717" s="77" t="s">
        <v>4110</v>
      </c>
      <c r="E717" s="77" t="s">
        <v>4111</v>
      </c>
      <c r="F717" s="77"/>
      <c r="G717" s="77"/>
      <c r="H717" s="77"/>
      <c r="I717" s="208"/>
      <c r="J717" s="212"/>
      <c r="K717" s="208"/>
      <c r="L717" s="208"/>
      <c r="M717" s="208"/>
      <c r="N717" s="208"/>
      <c r="O717" s="211" t="s">
        <v>5646</v>
      </c>
      <c r="P717" s="208"/>
      <c r="Q717" s="208" t="s">
        <v>268</v>
      </c>
      <c r="R717" s="208"/>
      <c r="S717" s="208"/>
      <c r="T717" s="208"/>
      <c r="U717" s="208"/>
      <c r="V717" s="208"/>
      <c r="W717" s="208"/>
      <c r="X717" s="208"/>
      <c r="Y717" s="208"/>
      <c r="Z717" s="208"/>
      <c r="AA717" s="208"/>
      <c r="AB717" s="208"/>
      <c r="AC717" s="208"/>
      <c r="AD717" s="288"/>
      <c r="AE717" s="288"/>
      <c r="AF717" s="288"/>
      <c r="AG717" s="288"/>
      <c r="AH717" s="288"/>
      <c r="AI717" s="288"/>
      <c r="AJ717" s="288"/>
      <c r="AK717" s="288"/>
      <c r="AL717" s="288"/>
      <c r="AM717" s="288"/>
      <c r="AN717" s="288"/>
      <c r="AO717" s="102"/>
      <c r="AP717" s="102"/>
      <c r="AQ717" s="102"/>
      <c r="AR717" s="102"/>
      <c r="AS717" s="102"/>
      <c r="AT717" s="102"/>
    </row>
    <row r="718" ht="15.75" customHeight="1">
      <c r="A718" s="142" t="s">
        <v>183</v>
      </c>
      <c r="B718" s="239" t="s">
        <v>5647</v>
      </c>
      <c r="C718" s="144"/>
      <c r="D718" s="144"/>
      <c r="E718" s="144"/>
      <c r="F718" s="145"/>
      <c r="G718" s="145"/>
      <c r="H718" s="145"/>
      <c r="I718" s="145"/>
      <c r="J718" s="145"/>
      <c r="K718" s="145"/>
      <c r="L718" s="145"/>
      <c r="M718" s="145"/>
      <c r="N718" s="145"/>
      <c r="O718" s="146"/>
      <c r="P718" s="146"/>
      <c r="Q718" s="146"/>
      <c r="R718" s="146"/>
      <c r="S718" s="145"/>
      <c r="T718" s="402" t="s">
        <v>211</v>
      </c>
      <c r="U718" s="146"/>
      <c r="V718" s="145"/>
      <c r="W718" s="145"/>
      <c r="X718" s="145"/>
      <c r="Y718" s="145"/>
      <c r="Z718" s="145"/>
      <c r="AA718" s="145"/>
      <c r="AB718" s="145"/>
      <c r="AC718" s="145"/>
      <c r="AD718" s="102"/>
      <c r="AE718" s="102"/>
      <c r="AF718" s="102"/>
      <c r="AG718" s="102"/>
      <c r="AH718" s="102"/>
      <c r="AI718" s="102"/>
      <c r="AJ718" s="102"/>
      <c r="AK718" s="102"/>
      <c r="AL718" s="102"/>
      <c r="AM718" s="102"/>
      <c r="AN718" s="102"/>
      <c r="AO718" s="102"/>
      <c r="AP718" s="102"/>
      <c r="AQ718" s="102"/>
      <c r="AR718" s="102"/>
      <c r="AS718" s="102"/>
      <c r="AT718" s="102"/>
    </row>
    <row r="719" ht="15.75" customHeight="1">
      <c r="A719" s="90" t="s">
        <v>116</v>
      </c>
      <c r="B719" s="91" t="s">
        <v>5648</v>
      </c>
      <c r="C719" s="93"/>
      <c r="D719" s="96"/>
      <c r="E719" s="96"/>
      <c r="F719" s="97"/>
      <c r="G719" s="97"/>
      <c r="H719" s="97"/>
      <c r="I719" s="98"/>
      <c r="J719" s="98"/>
      <c r="K719" s="97"/>
      <c r="L719" s="98"/>
      <c r="M719" s="98"/>
      <c r="N719" s="98"/>
      <c r="O719" s="236"/>
      <c r="P719" s="100"/>
      <c r="Q719" s="100"/>
      <c r="R719" s="100"/>
      <c r="S719" s="97"/>
      <c r="T719" s="238" t="s">
        <v>5649</v>
      </c>
      <c r="U719" s="97"/>
      <c r="V719" s="97"/>
      <c r="W719" s="97"/>
      <c r="X719" s="97"/>
      <c r="Y719" s="97"/>
      <c r="Z719" s="97"/>
      <c r="AA719" s="97"/>
      <c r="AB719" s="97"/>
      <c r="AC719" s="97"/>
      <c r="AD719" s="102"/>
      <c r="AE719" s="102"/>
      <c r="AF719" s="102"/>
      <c r="AG719" s="102"/>
      <c r="AH719" s="102"/>
      <c r="AI719" s="102"/>
      <c r="AJ719" s="102"/>
      <c r="AK719" s="102"/>
      <c r="AL719" s="102"/>
      <c r="AM719" s="102"/>
      <c r="AN719" s="102"/>
      <c r="AO719" s="102"/>
      <c r="AP719" s="102"/>
      <c r="AQ719" s="102"/>
      <c r="AR719" s="102"/>
      <c r="AS719" s="102"/>
      <c r="AT719" s="102"/>
    </row>
    <row r="720" ht="15.75" customHeight="1">
      <c r="A720" s="142" t="s">
        <v>183</v>
      </c>
      <c r="B720" s="239" t="s">
        <v>5650</v>
      </c>
      <c r="C720" s="144"/>
      <c r="D720" s="144"/>
      <c r="E720" s="144"/>
      <c r="F720" s="145"/>
      <c r="G720" s="145"/>
      <c r="H720" s="145"/>
      <c r="I720" s="145"/>
      <c r="J720" s="145"/>
      <c r="K720" s="145"/>
      <c r="L720" s="145"/>
      <c r="M720" s="145"/>
      <c r="N720" s="145"/>
      <c r="O720" s="146"/>
      <c r="P720" s="146"/>
      <c r="Q720" s="146"/>
      <c r="R720" s="146"/>
      <c r="S720" s="145"/>
      <c r="T720" s="402" t="s">
        <v>211</v>
      </c>
      <c r="U720" s="146"/>
      <c r="V720" s="145"/>
      <c r="W720" s="145"/>
      <c r="X720" s="145"/>
      <c r="Y720" s="145"/>
      <c r="Z720" s="145"/>
      <c r="AA720" s="145"/>
      <c r="AB720" s="145"/>
      <c r="AC720" s="145"/>
      <c r="AD720" s="102"/>
      <c r="AE720" s="102"/>
      <c r="AF720" s="102"/>
      <c r="AG720" s="102"/>
      <c r="AH720" s="102"/>
      <c r="AI720" s="102"/>
      <c r="AJ720" s="102"/>
      <c r="AK720" s="102"/>
      <c r="AL720" s="102"/>
      <c r="AM720" s="102"/>
      <c r="AN720" s="102"/>
      <c r="AO720" s="102"/>
      <c r="AP720" s="102"/>
      <c r="AQ720" s="102"/>
      <c r="AR720" s="102"/>
      <c r="AS720" s="102"/>
      <c r="AT720" s="102"/>
    </row>
    <row r="721" ht="15.75" customHeight="1">
      <c r="A721" s="198" t="s">
        <v>42</v>
      </c>
      <c r="B721" s="199" t="s">
        <v>4119</v>
      </c>
      <c r="C721" s="77" t="s">
        <v>4120</v>
      </c>
      <c r="D721" s="77" t="s">
        <v>4121</v>
      </c>
      <c r="E721" s="77" t="s">
        <v>4122</v>
      </c>
      <c r="F721" s="77"/>
      <c r="G721" s="77"/>
      <c r="H721" s="77"/>
      <c r="I721" s="200"/>
      <c r="J721" s="200"/>
      <c r="K721" s="200"/>
      <c r="L721" s="200"/>
      <c r="M721" s="200"/>
      <c r="N721" s="200"/>
      <c r="O721" s="287"/>
      <c r="P721" s="200"/>
      <c r="Q721" s="200"/>
      <c r="R721" s="200"/>
      <c r="S721" s="200"/>
      <c r="T721" s="200"/>
      <c r="U721" s="200"/>
      <c r="V721" s="200"/>
      <c r="W721" s="200"/>
      <c r="X721" s="200"/>
      <c r="Y721" s="200"/>
      <c r="Z721" s="200"/>
      <c r="AA721" s="200"/>
      <c r="AB721" s="200"/>
      <c r="AC721" s="200"/>
      <c r="AD721" s="288"/>
      <c r="AE721" s="288"/>
      <c r="AF721" s="288"/>
      <c r="AG721" s="288"/>
      <c r="AH721" s="288"/>
      <c r="AI721" s="288"/>
      <c r="AJ721" s="288"/>
      <c r="AK721" s="288"/>
      <c r="AL721" s="288"/>
      <c r="AM721" s="288"/>
      <c r="AN721" s="288"/>
      <c r="AO721" s="102"/>
      <c r="AP721" s="102"/>
      <c r="AQ721" s="102"/>
      <c r="AR721" s="102"/>
      <c r="AS721" s="102"/>
      <c r="AT721" s="102"/>
    </row>
    <row r="722" ht="15.75" customHeight="1">
      <c r="A722" s="206" t="s">
        <v>277</v>
      </c>
      <c r="B722" s="245" t="s">
        <v>4123</v>
      </c>
      <c r="C722" s="77" t="s">
        <v>4127</v>
      </c>
      <c r="D722" s="77" t="s">
        <v>4129</v>
      </c>
      <c r="E722" s="77" t="s">
        <v>4130</v>
      </c>
      <c r="F722" s="77"/>
      <c r="G722" s="77"/>
      <c r="H722" s="77"/>
      <c r="I722" s="208"/>
      <c r="J722" s="212"/>
      <c r="K722" s="208"/>
      <c r="L722" s="208"/>
      <c r="M722" s="208"/>
      <c r="N722" s="208"/>
      <c r="O722" s="211"/>
      <c r="P722" s="208"/>
      <c r="Q722" s="208" t="s">
        <v>268</v>
      </c>
      <c r="R722" s="208"/>
      <c r="S722" s="208"/>
      <c r="T722" s="208"/>
      <c r="U722" s="208"/>
      <c r="V722" s="208"/>
      <c r="W722" s="208"/>
      <c r="X722" s="208"/>
      <c r="Y722" s="208"/>
      <c r="Z722" s="208"/>
      <c r="AA722" s="208"/>
      <c r="AB722" s="208"/>
      <c r="AC722" s="208"/>
      <c r="AD722" s="125"/>
      <c r="AE722" s="125"/>
      <c r="AF722" s="125"/>
      <c r="AG722" s="125"/>
      <c r="AH722" s="125"/>
      <c r="AI722" s="125"/>
      <c r="AJ722" s="125"/>
      <c r="AK722" s="125"/>
      <c r="AL722" s="125"/>
      <c r="AM722" s="125"/>
      <c r="AN722" s="125"/>
      <c r="AO722" s="102"/>
      <c r="AP722" s="102"/>
      <c r="AQ722" s="102"/>
      <c r="AR722" s="102"/>
      <c r="AS722" s="102"/>
      <c r="AT722" s="102"/>
    </row>
    <row r="723" ht="15.75" customHeight="1">
      <c r="A723" s="265" t="s">
        <v>396</v>
      </c>
      <c r="B723" s="266" t="s">
        <v>4131</v>
      </c>
      <c r="C723" s="77" t="s">
        <v>4135</v>
      </c>
      <c r="D723" s="77" t="s">
        <v>4136</v>
      </c>
      <c r="E723" s="77" t="s">
        <v>4138</v>
      </c>
      <c r="F723" s="77"/>
      <c r="G723" s="77"/>
      <c r="H723" s="77"/>
      <c r="I723" s="267"/>
      <c r="J723" s="267"/>
      <c r="K723" s="268" t="s">
        <v>4363</v>
      </c>
      <c r="L723" s="268"/>
      <c r="M723" s="267"/>
      <c r="N723" s="267"/>
      <c r="O723" s="293" t="s">
        <v>5651</v>
      </c>
      <c r="P723" s="267"/>
      <c r="Q723" s="267" t="s">
        <v>268</v>
      </c>
      <c r="R723" s="267"/>
      <c r="S723" s="267"/>
      <c r="T723" s="267"/>
      <c r="U723" s="267"/>
      <c r="V723" s="267"/>
      <c r="W723" s="267"/>
      <c r="X723" s="267"/>
      <c r="Y723" s="267"/>
      <c r="Z723" s="267"/>
      <c r="AA723" s="267"/>
      <c r="AB723" s="267"/>
      <c r="AC723" s="267"/>
      <c r="AD723" s="294"/>
      <c r="AE723" s="294"/>
      <c r="AF723" s="294"/>
      <c r="AG723" s="294"/>
      <c r="AH723" s="294"/>
      <c r="AI723" s="294"/>
      <c r="AJ723" s="294"/>
      <c r="AK723" s="294"/>
      <c r="AL723" s="294"/>
      <c r="AM723" s="294"/>
      <c r="AN723" s="294"/>
      <c r="AO723" s="102"/>
      <c r="AP723" s="102"/>
      <c r="AQ723" s="102"/>
      <c r="AR723" s="102"/>
      <c r="AS723" s="102"/>
      <c r="AT723" s="102"/>
    </row>
    <row r="724" ht="15.75" customHeight="1">
      <c r="A724" s="206" t="s">
        <v>277</v>
      </c>
      <c r="B724" s="245" t="s">
        <v>4139</v>
      </c>
      <c r="C724" s="77" t="s">
        <v>4145</v>
      </c>
      <c r="D724" s="77" t="s">
        <v>4146</v>
      </c>
      <c r="E724" s="77" t="s">
        <v>4147</v>
      </c>
      <c r="F724" s="77"/>
      <c r="G724" s="77"/>
      <c r="H724" s="77"/>
      <c r="I724" s="208"/>
      <c r="J724" s="212"/>
      <c r="K724" s="208"/>
      <c r="L724" s="208"/>
      <c r="M724" s="208"/>
      <c r="N724" s="208"/>
      <c r="O724" s="211"/>
      <c r="P724" s="208"/>
      <c r="Q724" s="208" t="s">
        <v>268</v>
      </c>
      <c r="R724" s="208"/>
      <c r="S724" s="208"/>
      <c r="T724" s="208"/>
      <c r="U724" s="208"/>
      <c r="V724" s="208"/>
      <c r="W724" s="208"/>
      <c r="X724" s="208"/>
      <c r="Y724" s="208"/>
      <c r="Z724" s="208"/>
      <c r="AA724" s="208"/>
      <c r="AB724" s="208"/>
      <c r="AC724" s="208"/>
      <c r="AD724" s="125"/>
      <c r="AE724" s="125"/>
      <c r="AF724" s="125"/>
      <c r="AG724" s="125"/>
      <c r="AH724" s="125"/>
      <c r="AI724" s="125"/>
      <c r="AJ724" s="125"/>
      <c r="AK724" s="125"/>
      <c r="AL724" s="125"/>
      <c r="AM724" s="125"/>
      <c r="AN724" s="125"/>
      <c r="AO724" s="102"/>
      <c r="AP724" s="102"/>
      <c r="AQ724" s="102"/>
      <c r="AR724" s="102"/>
      <c r="AS724" s="102"/>
      <c r="AT724" s="102"/>
    </row>
    <row r="725" ht="15.75" customHeight="1">
      <c r="A725" s="265" t="s">
        <v>396</v>
      </c>
      <c r="B725" s="266" t="s">
        <v>4148</v>
      </c>
      <c r="C725" s="77" t="s">
        <v>4150</v>
      </c>
      <c r="D725" s="77" t="s">
        <v>4151</v>
      </c>
      <c r="E725" s="77" t="s">
        <v>4152</v>
      </c>
      <c r="F725" s="77"/>
      <c r="G725" s="77"/>
      <c r="H725" s="77"/>
      <c r="I725" s="267"/>
      <c r="J725" s="267"/>
      <c r="K725" s="268" t="s">
        <v>4363</v>
      </c>
      <c r="L725" s="268"/>
      <c r="M725" s="267"/>
      <c r="N725" s="267"/>
      <c r="O725" s="293" t="s">
        <v>5652</v>
      </c>
      <c r="P725" s="267"/>
      <c r="Q725" s="267" t="s">
        <v>268</v>
      </c>
      <c r="R725" s="267"/>
      <c r="S725" s="267"/>
      <c r="T725" s="267"/>
      <c r="U725" s="267"/>
      <c r="V725" s="267"/>
      <c r="W725" s="267"/>
      <c r="X725" s="267"/>
      <c r="Y725" s="267"/>
      <c r="Z725" s="267"/>
      <c r="AA725" s="267"/>
      <c r="AB725" s="267"/>
      <c r="AC725" s="267"/>
      <c r="AD725" s="294"/>
      <c r="AE725" s="294"/>
      <c r="AF725" s="294"/>
      <c r="AG725" s="294"/>
      <c r="AH725" s="294"/>
      <c r="AI725" s="294"/>
      <c r="AJ725" s="294"/>
      <c r="AK725" s="294"/>
      <c r="AL725" s="294"/>
      <c r="AM725" s="294"/>
      <c r="AN725" s="294"/>
      <c r="AO725" s="102"/>
      <c r="AP725" s="102"/>
      <c r="AQ725" s="102"/>
      <c r="AR725" s="102"/>
      <c r="AS725" s="102"/>
      <c r="AT725" s="102"/>
    </row>
    <row r="726" ht="15.75" customHeight="1">
      <c r="A726" s="265" t="s">
        <v>396</v>
      </c>
      <c r="B726" s="266" t="s">
        <v>4153</v>
      </c>
      <c r="C726" s="77" t="s">
        <v>4155</v>
      </c>
      <c r="D726" s="77" t="s">
        <v>4156</v>
      </c>
      <c r="E726" s="77" t="s">
        <v>4157</v>
      </c>
      <c r="F726" s="77"/>
      <c r="G726" s="77"/>
      <c r="H726" s="77"/>
      <c r="I726" s="267"/>
      <c r="J726" s="267"/>
      <c r="K726" s="268" t="s">
        <v>4363</v>
      </c>
      <c r="L726" s="268"/>
      <c r="M726" s="267"/>
      <c r="N726" s="267"/>
      <c r="O726" s="293"/>
      <c r="P726" s="267"/>
      <c r="Q726" s="267" t="s">
        <v>268</v>
      </c>
      <c r="R726" s="267"/>
      <c r="S726" s="267"/>
      <c r="T726" s="267"/>
      <c r="U726" s="267"/>
      <c r="V726" s="267"/>
      <c r="W726" s="267"/>
      <c r="X726" s="267"/>
      <c r="Y726" s="267"/>
      <c r="Z726" s="267"/>
      <c r="AA726" s="267"/>
      <c r="AB726" s="267"/>
      <c r="AC726" s="267"/>
      <c r="AD726" s="294"/>
      <c r="AE726" s="294"/>
      <c r="AF726" s="294"/>
      <c r="AG726" s="294"/>
      <c r="AH726" s="294"/>
      <c r="AI726" s="294"/>
      <c r="AJ726" s="294"/>
      <c r="AK726" s="294"/>
      <c r="AL726" s="294"/>
      <c r="AM726" s="294"/>
      <c r="AN726" s="294"/>
      <c r="AO726" s="102"/>
      <c r="AP726" s="102"/>
      <c r="AQ726" s="102"/>
      <c r="AR726" s="102"/>
      <c r="AS726" s="102"/>
      <c r="AT726" s="102"/>
    </row>
    <row r="727" ht="15.75" customHeight="1">
      <c r="A727" s="206" t="s">
        <v>277</v>
      </c>
      <c r="B727" s="245" t="s">
        <v>4158</v>
      </c>
      <c r="C727" s="77" t="s">
        <v>4161</v>
      </c>
      <c r="D727" s="77" t="s">
        <v>4162</v>
      </c>
      <c r="E727" s="77" t="s">
        <v>4163</v>
      </c>
      <c r="F727" s="77"/>
      <c r="G727" s="77"/>
      <c r="H727" s="77"/>
      <c r="I727" s="208"/>
      <c r="J727" s="212"/>
      <c r="K727" s="208"/>
      <c r="L727" s="208"/>
      <c r="M727" s="208"/>
      <c r="N727" s="208"/>
      <c r="O727" s="208"/>
      <c r="P727" s="208"/>
      <c r="Q727" s="208" t="s">
        <v>268</v>
      </c>
      <c r="R727" s="208"/>
      <c r="S727" s="208"/>
      <c r="T727" s="208"/>
      <c r="U727" s="208"/>
      <c r="V727" s="208"/>
      <c r="W727" s="208"/>
      <c r="X727" s="208"/>
      <c r="Y727" s="208"/>
      <c r="Z727" s="208"/>
      <c r="AA727" s="208"/>
      <c r="AB727" s="208"/>
      <c r="AC727" s="208"/>
      <c r="AD727" s="125"/>
      <c r="AE727" s="125"/>
      <c r="AF727" s="125"/>
      <c r="AG727" s="125"/>
      <c r="AH727" s="125"/>
      <c r="AI727" s="125"/>
      <c r="AJ727" s="125"/>
      <c r="AK727" s="125"/>
      <c r="AL727" s="125"/>
      <c r="AM727" s="125"/>
      <c r="AN727" s="125"/>
      <c r="AO727" s="102"/>
      <c r="AP727" s="102"/>
      <c r="AQ727" s="102"/>
      <c r="AR727" s="102"/>
      <c r="AS727" s="102"/>
      <c r="AT727" s="102"/>
    </row>
    <row r="728" ht="15.75" customHeight="1">
      <c r="A728" s="265" t="s">
        <v>396</v>
      </c>
      <c r="B728" s="266" t="s">
        <v>4164</v>
      </c>
      <c r="C728" s="77" t="s">
        <v>4060</v>
      </c>
      <c r="D728" s="77" t="s">
        <v>4061</v>
      </c>
      <c r="E728" s="77" t="s">
        <v>4165</v>
      </c>
      <c r="F728" s="77"/>
      <c r="G728" s="77"/>
      <c r="H728" s="77"/>
      <c r="I728" s="267"/>
      <c r="J728" s="267"/>
      <c r="K728" s="268" t="s">
        <v>4363</v>
      </c>
      <c r="L728" s="268"/>
      <c r="M728" s="267"/>
      <c r="N728" s="267"/>
      <c r="O728" s="293" t="s">
        <v>5653</v>
      </c>
      <c r="P728" s="267"/>
      <c r="Q728" s="267" t="s">
        <v>268</v>
      </c>
      <c r="R728" s="267"/>
      <c r="S728" s="267"/>
      <c r="T728" s="267"/>
      <c r="U728" s="267"/>
      <c r="V728" s="267"/>
      <c r="W728" s="267"/>
      <c r="X728" s="267"/>
      <c r="Y728" s="267"/>
      <c r="Z728" s="267"/>
      <c r="AA728" s="267"/>
      <c r="AB728" s="267"/>
      <c r="AC728" s="267"/>
      <c r="AD728" s="294"/>
      <c r="AE728" s="294"/>
      <c r="AF728" s="294"/>
      <c r="AG728" s="294"/>
      <c r="AH728" s="294"/>
      <c r="AI728" s="294"/>
      <c r="AJ728" s="294"/>
      <c r="AK728" s="294"/>
      <c r="AL728" s="294"/>
      <c r="AM728" s="294"/>
      <c r="AN728" s="294"/>
      <c r="AO728" s="102"/>
      <c r="AP728" s="102"/>
      <c r="AQ728" s="102"/>
      <c r="AR728" s="102"/>
      <c r="AS728" s="102"/>
      <c r="AT728" s="102"/>
    </row>
    <row r="729" ht="15.75" customHeight="1">
      <c r="A729" s="206" t="s">
        <v>277</v>
      </c>
      <c r="B729" s="245" t="s">
        <v>4167</v>
      </c>
      <c r="C729" s="77" t="s">
        <v>4168</v>
      </c>
      <c r="D729" s="77" t="s">
        <v>4169</v>
      </c>
      <c r="E729" s="77" t="s">
        <v>4170</v>
      </c>
      <c r="F729" s="77"/>
      <c r="G729" s="77"/>
      <c r="H729" s="77"/>
      <c r="I729" s="208"/>
      <c r="J729" s="212"/>
      <c r="K729" s="208"/>
      <c r="L729" s="208"/>
      <c r="M729" s="208"/>
      <c r="N729" s="208"/>
      <c r="O729" s="208"/>
      <c r="P729" s="208"/>
      <c r="Q729" s="208" t="s">
        <v>268</v>
      </c>
      <c r="R729" s="208"/>
      <c r="S729" s="208"/>
      <c r="T729" s="208"/>
      <c r="U729" s="208"/>
      <c r="V729" s="208"/>
      <c r="W729" s="208"/>
      <c r="X729" s="208"/>
      <c r="Y729" s="208"/>
      <c r="Z729" s="208"/>
      <c r="AA729" s="208"/>
      <c r="AB729" s="208"/>
      <c r="AC729" s="208"/>
      <c r="AD729" s="125"/>
      <c r="AE729" s="125"/>
      <c r="AF729" s="125"/>
      <c r="AG729" s="125"/>
      <c r="AH729" s="125"/>
      <c r="AI729" s="125"/>
      <c r="AJ729" s="125"/>
      <c r="AK729" s="125"/>
      <c r="AL729" s="125"/>
      <c r="AM729" s="125"/>
      <c r="AN729" s="125"/>
      <c r="AO729" s="102"/>
      <c r="AP729" s="102"/>
      <c r="AQ729" s="102"/>
      <c r="AR729" s="102"/>
      <c r="AS729" s="102"/>
      <c r="AT729" s="102"/>
    </row>
    <row r="730" ht="15.75" customHeight="1">
      <c r="A730" s="265" t="s">
        <v>396</v>
      </c>
      <c r="B730" s="266" t="s">
        <v>4171</v>
      </c>
      <c r="C730" s="77" t="s">
        <v>4175</v>
      </c>
      <c r="D730" s="77" t="s">
        <v>4176</v>
      </c>
      <c r="E730" s="77" t="s">
        <v>4178</v>
      </c>
      <c r="F730" s="77"/>
      <c r="G730" s="77"/>
      <c r="H730" s="77"/>
      <c r="I730" s="267"/>
      <c r="J730" s="267"/>
      <c r="K730" s="268" t="s">
        <v>4363</v>
      </c>
      <c r="L730" s="268"/>
      <c r="M730" s="267"/>
      <c r="N730" s="267"/>
      <c r="O730" s="293" t="s">
        <v>5654</v>
      </c>
      <c r="P730" s="267"/>
      <c r="Q730" s="267" t="s">
        <v>268</v>
      </c>
      <c r="R730" s="267"/>
      <c r="S730" s="267"/>
      <c r="T730" s="267"/>
      <c r="U730" s="267"/>
      <c r="V730" s="267"/>
      <c r="W730" s="267"/>
      <c r="X730" s="267"/>
      <c r="Y730" s="267"/>
      <c r="Z730" s="267"/>
      <c r="AA730" s="267"/>
      <c r="AB730" s="267"/>
      <c r="AC730" s="267"/>
      <c r="AD730" s="294"/>
      <c r="AE730" s="294"/>
      <c r="AF730" s="294"/>
      <c r="AG730" s="294"/>
      <c r="AH730" s="294"/>
      <c r="AI730" s="294"/>
      <c r="AJ730" s="294"/>
      <c r="AK730" s="294"/>
      <c r="AL730" s="294"/>
      <c r="AM730" s="294"/>
      <c r="AN730" s="294"/>
      <c r="AO730" s="102"/>
      <c r="AP730" s="102"/>
      <c r="AQ730" s="102"/>
      <c r="AR730" s="102"/>
      <c r="AS730" s="102"/>
      <c r="AT730" s="102"/>
    </row>
    <row r="731" ht="15.75" customHeight="1">
      <c r="A731" s="265" t="s">
        <v>396</v>
      </c>
      <c r="B731" s="266" t="s">
        <v>4180</v>
      </c>
      <c r="C731" s="77" t="s">
        <v>4184</v>
      </c>
      <c r="D731" s="77" t="s">
        <v>4185</v>
      </c>
      <c r="E731" s="77" t="s">
        <v>4186</v>
      </c>
      <c r="F731" s="77"/>
      <c r="G731" s="77"/>
      <c r="H731" s="77"/>
      <c r="I731" s="267"/>
      <c r="J731" s="267"/>
      <c r="K731" s="268" t="s">
        <v>4363</v>
      </c>
      <c r="L731" s="268"/>
      <c r="M731" s="267"/>
      <c r="N731" s="267"/>
      <c r="O731" s="267"/>
      <c r="P731" s="267"/>
      <c r="Q731" s="267" t="s">
        <v>268</v>
      </c>
      <c r="R731" s="267"/>
      <c r="S731" s="267"/>
      <c r="T731" s="267"/>
      <c r="U731" s="267"/>
      <c r="V731" s="267"/>
      <c r="W731" s="267"/>
      <c r="X731" s="267"/>
      <c r="Y731" s="267"/>
      <c r="Z731" s="267"/>
      <c r="AA731" s="267"/>
      <c r="AB731" s="267"/>
      <c r="AC731" s="267"/>
      <c r="AD731" s="294"/>
      <c r="AE731" s="294"/>
      <c r="AF731" s="294"/>
      <c r="AG731" s="294"/>
      <c r="AH731" s="294"/>
      <c r="AI731" s="294"/>
      <c r="AJ731" s="294"/>
      <c r="AK731" s="294"/>
      <c r="AL731" s="294"/>
      <c r="AM731" s="294"/>
      <c r="AN731" s="294"/>
      <c r="AO731" s="102"/>
      <c r="AP731" s="102"/>
      <c r="AQ731" s="102"/>
      <c r="AR731" s="102"/>
      <c r="AS731" s="102"/>
      <c r="AT731" s="102"/>
    </row>
    <row r="732" ht="15.75" customHeight="1">
      <c r="A732" s="142" t="s">
        <v>183</v>
      </c>
      <c r="B732" s="239" t="s">
        <v>5655</v>
      </c>
      <c r="C732" s="144"/>
      <c r="D732" s="144"/>
      <c r="E732" s="144"/>
      <c r="F732" s="145"/>
      <c r="G732" s="145"/>
      <c r="H732" s="145"/>
      <c r="I732" s="145"/>
      <c r="J732" s="145"/>
      <c r="K732" s="145"/>
      <c r="L732" s="145"/>
      <c r="M732" s="145"/>
      <c r="N732" s="145"/>
      <c r="O732" s="146"/>
      <c r="P732" s="146"/>
      <c r="Q732" s="146"/>
      <c r="R732" s="146"/>
      <c r="S732" s="145"/>
      <c r="T732" s="402" t="s">
        <v>211</v>
      </c>
      <c r="U732" s="146"/>
      <c r="V732" s="145"/>
      <c r="W732" s="145"/>
      <c r="X732" s="145"/>
      <c r="Y732" s="145"/>
      <c r="Z732" s="145"/>
      <c r="AA732" s="145"/>
      <c r="AB732" s="145"/>
      <c r="AC732" s="145"/>
      <c r="AD732" s="102"/>
      <c r="AE732" s="102"/>
      <c r="AF732" s="102"/>
      <c r="AG732" s="102"/>
      <c r="AH732" s="102"/>
      <c r="AI732" s="102"/>
      <c r="AJ732" s="102"/>
      <c r="AK732" s="102"/>
      <c r="AL732" s="102"/>
      <c r="AM732" s="102"/>
      <c r="AN732" s="102"/>
      <c r="AO732" s="102"/>
      <c r="AP732" s="102"/>
      <c r="AQ732" s="102"/>
      <c r="AR732" s="102"/>
      <c r="AS732" s="102"/>
      <c r="AT732" s="102"/>
    </row>
    <row r="733" ht="15.75" customHeight="1">
      <c r="A733" s="90" t="s">
        <v>116</v>
      </c>
      <c r="B733" s="91" t="s">
        <v>5656</v>
      </c>
      <c r="C733" s="93"/>
      <c r="D733" s="96"/>
      <c r="E733" s="96"/>
      <c r="F733" s="97"/>
      <c r="G733" s="97"/>
      <c r="H733" s="97"/>
      <c r="I733" s="98"/>
      <c r="J733" s="98"/>
      <c r="K733" s="97"/>
      <c r="L733" s="98"/>
      <c r="M733" s="98"/>
      <c r="N733" s="98"/>
      <c r="O733" s="236"/>
      <c r="P733" s="100"/>
      <c r="Q733" s="100"/>
      <c r="R733" s="100"/>
      <c r="S733" s="97"/>
      <c r="T733" s="238" t="s">
        <v>5657</v>
      </c>
      <c r="U733" s="97"/>
      <c r="V733" s="97"/>
      <c r="W733" s="97"/>
      <c r="X733" s="97"/>
      <c r="Y733" s="97"/>
      <c r="Z733" s="97"/>
      <c r="AA733" s="97"/>
      <c r="AB733" s="97"/>
      <c r="AC733" s="97"/>
      <c r="AD733" s="102"/>
      <c r="AE733" s="102"/>
      <c r="AF733" s="102"/>
      <c r="AG733" s="102"/>
      <c r="AH733" s="102"/>
      <c r="AI733" s="102"/>
      <c r="AJ733" s="102"/>
      <c r="AK733" s="102"/>
      <c r="AL733" s="102"/>
      <c r="AM733" s="102"/>
      <c r="AN733" s="102"/>
      <c r="AO733" s="102"/>
      <c r="AP733" s="102"/>
      <c r="AQ733" s="102"/>
      <c r="AR733" s="102"/>
      <c r="AS733" s="102"/>
      <c r="AT733" s="102"/>
    </row>
    <row r="734" ht="15.75" customHeight="1">
      <c r="A734" s="337"/>
      <c r="B734" s="338"/>
      <c r="C734" s="338" t="s">
        <v>41</v>
      </c>
      <c r="D734" s="338" t="s">
        <v>41</v>
      </c>
      <c r="E734" s="338" t="s">
        <v>41</v>
      </c>
      <c r="F734" s="339"/>
      <c r="G734" s="339"/>
      <c r="H734" s="339"/>
      <c r="I734" s="339"/>
      <c r="J734" s="339"/>
      <c r="K734" s="340"/>
      <c r="L734" s="339"/>
      <c r="M734" s="339"/>
      <c r="N734" s="339"/>
      <c r="O734" s="339"/>
      <c r="P734" s="339"/>
      <c r="Q734" s="339"/>
      <c r="R734" s="339"/>
      <c r="S734" s="339"/>
      <c r="T734" s="339"/>
      <c r="U734" s="339"/>
      <c r="V734" s="339"/>
      <c r="W734" s="339"/>
      <c r="X734" s="339"/>
      <c r="Y734" s="339"/>
      <c r="Z734" s="339"/>
      <c r="AA734" s="339"/>
      <c r="AB734" s="339"/>
      <c r="AC734" s="339"/>
      <c r="AD734" s="102"/>
      <c r="AE734" s="102"/>
      <c r="AF734" s="102"/>
      <c r="AG734" s="102"/>
      <c r="AH734" s="102"/>
      <c r="AI734" s="102"/>
      <c r="AJ734" s="102"/>
      <c r="AK734" s="102"/>
      <c r="AL734" s="102"/>
      <c r="AM734" s="102"/>
      <c r="AN734" s="102"/>
      <c r="AO734" s="102"/>
      <c r="AP734" s="102"/>
      <c r="AQ734" s="102"/>
      <c r="AR734" s="102"/>
      <c r="AS734" s="102"/>
      <c r="AT734" s="102"/>
    </row>
    <row r="735" ht="15.75" customHeight="1">
      <c r="A735" s="197" t="s">
        <v>227</v>
      </c>
      <c r="B735" s="93" t="s">
        <v>5658</v>
      </c>
      <c r="C735" s="93"/>
      <c r="D735" s="96"/>
      <c r="E735" s="96"/>
      <c r="F735" s="97"/>
      <c r="G735" s="97"/>
      <c r="H735" s="97"/>
      <c r="I735" s="97"/>
      <c r="J735" s="98"/>
      <c r="K735" s="100"/>
      <c r="L735" s="97"/>
      <c r="M735" s="98"/>
      <c r="N735" s="98"/>
      <c r="O735" s="98"/>
      <c r="P735" s="97"/>
      <c r="Q735" s="97"/>
      <c r="R735" s="97"/>
      <c r="S735" s="97"/>
      <c r="T735" s="97"/>
      <c r="U735" s="97"/>
      <c r="V735" s="97"/>
      <c r="W735" s="97"/>
      <c r="X735" s="97"/>
      <c r="Y735" s="97"/>
      <c r="Z735" s="97"/>
      <c r="AA735" s="97"/>
      <c r="AB735" s="97"/>
      <c r="AC735" s="97"/>
      <c r="AD735" s="102"/>
      <c r="AE735" s="102"/>
      <c r="AF735" s="102"/>
      <c r="AG735" s="102"/>
      <c r="AH735" s="102"/>
      <c r="AI735" s="102"/>
      <c r="AJ735" s="102"/>
      <c r="AK735" s="102"/>
      <c r="AL735" s="102"/>
      <c r="AM735" s="102"/>
      <c r="AN735" s="102"/>
      <c r="AO735" s="102"/>
      <c r="AP735" s="102"/>
      <c r="AQ735" s="102"/>
      <c r="AR735" s="102"/>
      <c r="AS735" s="102"/>
      <c r="AT735" s="102"/>
    </row>
    <row r="736" ht="15.75" customHeight="1">
      <c r="A736" s="142" t="s">
        <v>183</v>
      </c>
      <c r="B736" s="239" t="s">
        <v>5659</v>
      </c>
      <c r="C736" s="144"/>
      <c r="D736" s="144"/>
      <c r="E736" s="144"/>
      <c r="F736" s="145"/>
      <c r="G736" s="145"/>
      <c r="H736" s="145"/>
      <c r="I736" s="145"/>
      <c r="J736" s="145"/>
      <c r="K736" s="145"/>
      <c r="L736" s="145"/>
      <c r="M736" s="145"/>
      <c r="N736" s="145"/>
      <c r="O736" s="146"/>
      <c r="P736" s="146"/>
      <c r="Q736" s="146"/>
      <c r="R736" s="146"/>
      <c r="S736" s="145"/>
      <c r="T736" s="402" t="s">
        <v>211</v>
      </c>
      <c r="U736" s="146"/>
      <c r="V736" s="145"/>
      <c r="W736" s="145"/>
      <c r="X736" s="145"/>
      <c r="Y736" s="145"/>
      <c r="Z736" s="145"/>
      <c r="AA736" s="145"/>
      <c r="AB736" s="145"/>
      <c r="AC736" s="145"/>
      <c r="AD736" s="102"/>
      <c r="AE736" s="102"/>
      <c r="AF736" s="102"/>
      <c r="AG736" s="102"/>
      <c r="AH736" s="102"/>
      <c r="AI736" s="102"/>
      <c r="AJ736" s="102"/>
      <c r="AK736" s="102"/>
      <c r="AL736" s="102"/>
      <c r="AM736" s="102"/>
      <c r="AN736" s="102"/>
      <c r="AO736" s="102"/>
      <c r="AP736" s="102"/>
      <c r="AQ736" s="102"/>
      <c r="AR736" s="102"/>
      <c r="AS736" s="102"/>
      <c r="AT736" s="102"/>
    </row>
    <row r="737" ht="15.75" customHeight="1">
      <c r="A737" s="206" t="s">
        <v>988</v>
      </c>
      <c r="B737" s="245" t="s">
        <v>4192</v>
      </c>
      <c r="C737" s="77" t="s">
        <v>4197</v>
      </c>
      <c r="D737" s="77" t="s">
        <v>4198</v>
      </c>
      <c r="E737" s="77" t="s">
        <v>4199</v>
      </c>
      <c r="F737" s="77"/>
      <c r="G737" s="77"/>
      <c r="H737" s="77"/>
      <c r="I737" s="208"/>
      <c r="J737" s="212"/>
      <c r="K737" s="211" t="s">
        <v>4564</v>
      </c>
      <c r="L737" s="208"/>
      <c r="M737" s="208"/>
      <c r="N737" s="208"/>
      <c r="O737" s="208"/>
      <c r="P737" s="208"/>
      <c r="Q737" s="208" t="s">
        <v>268</v>
      </c>
      <c r="R737" s="208"/>
      <c r="S737" s="208"/>
      <c r="T737" s="208"/>
      <c r="U737" s="208"/>
      <c r="V737" s="208"/>
      <c r="W737" s="208"/>
      <c r="X737" s="208"/>
      <c r="Y737" s="208"/>
      <c r="Z737" s="208"/>
      <c r="AA737" s="208"/>
      <c r="AB737" s="208"/>
      <c r="AC737" s="208"/>
      <c r="AD737" s="125"/>
      <c r="AE737" s="125"/>
      <c r="AF737" s="125"/>
      <c r="AG737" s="125"/>
      <c r="AH737" s="125"/>
      <c r="AI737" s="125"/>
      <c r="AJ737" s="125"/>
      <c r="AK737" s="125"/>
      <c r="AL737" s="125"/>
      <c r="AM737" s="125"/>
      <c r="AN737" s="125"/>
      <c r="AO737" s="102"/>
      <c r="AP737" s="102"/>
      <c r="AQ737" s="102"/>
      <c r="AR737" s="102"/>
      <c r="AS737" s="102"/>
      <c r="AT737" s="102"/>
    </row>
    <row r="738" ht="15.75" customHeight="1">
      <c r="A738" s="249" t="s">
        <v>2279</v>
      </c>
      <c r="B738" s="250" t="s">
        <v>5660</v>
      </c>
      <c r="C738" s="250" t="s">
        <v>4566</v>
      </c>
      <c r="D738" s="251" t="s">
        <v>4567</v>
      </c>
      <c r="E738" s="251" t="s">
        <v>4568</v>
      </c>
      <c r="F738" s="252"/>
      <c r="G738" s="252"/>
      <c r="H738" s="252"/>
      <c r="I738" s="252"/>
      <c r="J738" s="252"/>
      <c r="K738" s="252"/>
      <c r="L738" s="252"/>
      <c r="M738" s="253"/>
      <c r="N738" s="253"/>
      <c r="O738" s="254" t="s">
        <v>5661</v>
      </c>
      <c r="P738" s="255"/>
      <c r="Q738" s="255"/>
      <c r="R738" s="252"/>
      <c r="S738" s="252"/>
      <c r="T738" s="252"/>
      <c r="U738" s="254" t="s">
        <v>5662</v>
      </c>
      <c r="V738" s="255"/>
      <c r="W738" s="255"/>
      <c r="X738" s="252"/>
      <c r="Y738" s="252"/>
      <c r="Z738" s="252"/>
      <c r="AA738" s="252"/>
      <c r="AB738" s="252"/>
      <c r="AC738" s="252"/>
      <c r="AD738" s="343"/>
      <c r="AE738" s="343"/>
      <c r="AF738" s="343"/>
      <c r="AG738" s="343"/>
      <c r="AH738" s="343"/>
      <c r="AI738" s="343"/>
      <c r="AJ738" s="343"/>
      <c r="AK738" s="343"/>
      <c r="AL738" s="343"/>
      <c r="AM738" s="343"/>
      <c r="AN738" s="343"/>
      <c r="AO738" s="102"/>
      <c r="AP738" s="102"/>
      <c r="AQ738" s="102"/>
      <c r="AR738" s="102"/>
      <c r="AS738" s="102"/>
      <c r="AT738" s="102"/>
    </row>
    <row r="739" ht="15.75" customHeight="1">
      <c r="A739" s="259" t="s">
        <v>116</v>
      </c>
      <c r="B739" s="260" t="s">
        <v>5663</v>
      </c>
      <c r="C739" s="261" t="s">
        <v>4572</v>
      </c>
      <c r="D739" s="261" t="s">
        <v>4573</v>
      </c>
      <c r="E739" s="261" t="s">
        <v>4574</v>
      </c>
      <c r="F739" s="262"/>
      <c r="G739" s="262"/>
      <c r="H739" s="262"/>
      <c r="I739" s="262"/>
      <c r="J739" s="262"/>
      <c r="K739" s="262"/>
      <c r="L739" s="262"/>
      <c r="M739" s="262"/>
      <c r="N739" s="262"/>
      <c r="O739" s="262"/>
      <c r="P739" s="262"/>
      <c r="Q739" s="262"/>
      <c r="R739" s="262"/>
      <c r="S739" s="262"/>
      <c r="T739" s="363" t="s">
        <v>5664</v>
      </c>
      <c r="U739" s="264"/>
      <c r="V739" s="264"/>
      <c r="W739" s="264"/>
      <c r="X739" s="264"/>
      <c r="Y739" s="262"/>
      <c r="Z739" s="262"/>
      <c r="AA739" s="262"/>
      <c r="AB739" s="262"/>
      <c r="AC739" s="262"/>
      <c r="AD739" s="147"/>
      <c r="AE739" s="147"/>
      <c r="AF739" s="147"/>
      <c r="AG739" s="147"/>
      <c r="AH739" s="147"/>
      <c r="AI739" s="147"/>
      <c r="AJ739" s="147"/>
      <c r="AK739" s="147"/>
      <c r="AL739" s="147"/>
      <c r="AM739" s="147"/>
      <c r="AN739" s="147"/>
      <c r="AO739" s="102"/>
      <c r="AP739" s="102"/>
      <c r="AQ739" s="102"/>
      <c r="AR739" s="102"/>
      <c r="AS739" s="102"/>
      <c r="AT739" s="102"/>
    </row>
    <row r="740" ht="15.75" customHeight="1">
      <c r="A740" s="265" t="s">
        <v>396</v>
      </c>
      <c r="B740" s="266" t="s">
        <v>4201</v>
      </c>
      <c r="C740" s="77" t="s">
        <v>4202</v>
      </c>
      <c r="D740" s="77" t="s">
        <v>4203</v>
      </c>
      <c r="E740" s="77" t="s">
        <v>4204</v>
      </c>
      <c r="F740" s="77"/>
      <c r="G740" s="77"/>
      <c r="H740" s="77"/>
      <c r="I740" s="267"/>
      <c r="J740" s="267"/>
      <c r="K740" s="268" t="s">
        <v>4576</v>
      </c>
      <c r="L740" s="268"/>
      <c r="M740" s="267"/>
      <c r="N740" s="267"/>
      <c r="O740" s="267"/>
      <c r="P740" s="267"/>
      <c r="Q740" s="267" t="s">
        <v>268</v>
      </c>
      <c r="R740" s="267"/>
      <c r="S740" s="267"/>
      <c r="T740" s="267"/>
      <c r="U740" s="267"/>
      <c r="V740" s="267"/>
      <c r="W740" s="267"/>
      <c r="X740" s="267"/>
      <c r="Y740" s="267"/>
      <c r="Z740" s="267"/>
      <c r="AA740" s="267"/>
      <c r="AB740" s="267"/>
      <c r="AC740" s="267"/>
      <c r="AD740" s="294"/>
      <c r="AE740" s="294"/>
      <c r="AF740" s="294"/>
      <c r="AG740" s="294"/>
      <c r="AH740" s="294"/>
      <c r="AI740" s="294"/>
      <c r="AJ740" s="294"/>
      <c r="AK740" s="294"/>
      <c r="AL740" s="294"/>
      <c r="AM740" s="294"/>
      <c r="AN740" s="294"/>
      <c r="AO740" s="102"/>
      <c r="AP740" s="102"/>
      <c r="AQ740" s="102"/>
      <c r="AR740" s="102"/>
      <c r="AS740" s="102"/>
      <c r="AT740" s="102"/>
    </row>
    <row r="741" ht="15.75" customHeight="1">
      <c r="A741" s="249" t="s">
        <v>2336</v>
      </c>
      <c r="B741" s="251" t="s">
        <v>5660</v>
      </c>
      <c r="C741" s="251" t="s">
        <v>4566</v>
      </c>
      <c r="D741" s="251" t="s">
        <v>4567</v>
      </c>
      <c r="E741" s="251" t="s">
        <v>4568</v>
      </c>
      <c r="F741" s="252"/>
      <c r="G741" s="252"/>
      <c r="H741" s="252"/>
      <c r="I741" s="252"/>
      <c r="J741" s="252"/>
      <c r="K741" s="252"/>
      <c r="L741" s="252"/>
      <c r="M741" s="252"/>
      <c r="N741" s="252"/>
      <c r="O741" s="252"/>
      <c r="P741" s="252"/>
      <c r="Q741" s="252"/>
      <c r="R741" s="252"/>
      <c r="S741" s="252"/>
      <c r="T741" s="252"/>
      <c r="U741" s="252"/>
      <c r="V741" s="252"/>
      <c r="W741" s="252"/>
      <c r="X741" s="252"/>
      <c r="Y741" s="252"/>
      <c r="Z741" s="252"/>
      <c r="AA741" s="252"/>
      <c r="AB741" s="252"/>
      <c r="AC741" s="252"/>
      <c r="AD741" s="343"/>
      <c r="AE741" s="343"/>
      <c r="AF741" s="343"/>
      <c r="AG741" s="343"/>
      <c r="AH741" s="343"/>
      <c r="AI741" s="343"/>
      <c r="AJ741" s="343"/>
      <c r="AK741" s="343"/>
      <c r="AL741" s="343"/>
      <c r="AM741" s="343"/>
      <c r="AN741" s="343"/>
      <c r="AO741" s="102"/>
      <c r="AP741" s="102"/>
      <c r="AQ741" s="102"/>
      <c r="AR741" s="102"/>
      <c r="AS741" s="102"/>
      <c r="AT741" s="102"/>
    </row>
    <row r="742" ht="15.75" customHeight="1">
      <c r="A742" s="206" t="s">
        <v>1023</v>
      </c>
      <c r="B742" s="245" t="s">
        <v>4206</v>
      </c>
      <c r="C742" s="77" t="s">
        <v>4208</v>
      </c>
      <c r="D742" s="77" t="s">
        <v>4209</v>
      </c>
      <c r="E742" s="77" t="s">
        <v>4210</v>
      </c>
      <c r="F742" s="77"/>
      <c r="G742" s="77"/>
      <c r="H742" s="77"/>
      <c r="I742" s="208"/>
      <c r="J742" s="212"/>
      <c r="K742" s="211" t="s">
        <v>4564</v>
      </c>
      <c r="L742" s="208"/>
      <c r="M742" s="208"/>
      <c r="N742" s="208"/>
      <c r="O742" s="208"/>
      <c r="P742" s="208"/>
      <c r="Q742" s="208" t="s">
        <v>268</v>
      </c>
      <c r="R742" s="208"/>
      <c r="S742" s="208"/>
      <c r="T742" s="208"/>
      <c r="U742" s="208"/>
      <c r="V742" s="208"/>
      <c r="W742" s="208"/>
      <c r="X742" s="208"/>
      <c r="Y742" s="208"/>
      <c r="Z742" s="208"/>
      <c r="AA742" s="208"/>
      <c r="AB742" s="208"/>
      <c r="AC742" s="208"/>
      <c r="AD742" s="125"/>
      <c r="AE742" s="125"/>
      <c r="AF742" s="125"/>
      <c r="AG742" s="125"/>
      <c r="AH742" s="125"/>
      <c r="AI742" s="125"/>
      <c r="AJ742" s="125"/>
      <c r="AK742" s="125"/>
      <c r="AL742" s="125"/>
      <c r="AM742" s="125"/>
      <c r="AN742" s="125"/>
      <c r="AO742" s="102"/>
      <c r="AP742" s="102"/>
      <c r="AQ742" s="102"/>
      <c r="AR742" s="102"/>
      <c r="AS742" s="102"/>
      <c r="AT742" s="102"/>
    </row>
    <row r="743" ht="15.75" customHeight="1">
      <c r="A743" s="249" t="s">
        <v>2279</v>
      </c>
      <c r="B743" s="250" t="s">
        <v>5665</v>
      </c>
      <c r="C743" s="250" t="s">
        <v>4579</v>
      </c>
      <c r="D743" s="251" t="s">
        <v>4580</v>
      </c>
      <c r="E743" s="251" t="s">
        <v>4581</v>
      </c>
      <c r="F743" s="252"/>
      <c r="G743" s="252"/>
      <c r="H743" s="252"/>
      <c r="I743" s="252"/>
      <c r="J743" s="252"/>
      <c r="K743" s="252"/>
      <c r="L743" s="252"/>
      <c r="M743" s="253"/>
      <c r="N743" s="253"/>
      <c r="O743" s="254" t="s">
        <v>5666</v>
      </c>
      <c r="P743" s="255"/>
      <c r="Q743" s="255"/>
      <c r="R743" s="252"/>
      <c r="S743" s="252"/>
      <c r="T743" s="252"/>
      <c r="U743" s="254" t="s">
        <v>5667</v>
      </c>
      <c r="V743" s="255"/>
      <c r="W743" s="252"/>
      <c r="X743" s="252"/>
      <c r="Y743" s="252"/>
      <c r="Z743" s="252"/>
      <c r="AA743" s="252"/>
      <c r="AB743" s="252"/>
      <c r="AC743" s="252"/>
      <c r="AD743" s="343"/>
      <c r="AE743" s="343"/>
      <c r="AF743" s="343"/>
      <c r="AG743" s="343"/>
      <c r="AH743" s="343"/>
      <c r="AI743" s="343"/>
      <c r="AJ743" s="343"/>
      <c r="AK743" s="343"/>
      <c r="AL743" s="343"/>
      <c r="AM743" s="343"/>
      <c r="AN743" s="343"/>
      <c r="AO743" s="102"/>
      <c r="AP743" s="102"/>
      <c r="AQ743" s="102"/>
      <c r="AR743" s="102"/>
      <c r="AS743" s="102"/>
      <c r="AT743" s="102"/>
    </row>
    <row r="744" ht="15.75" customHeight="1">
      <c r="A744" s="259" t="s">
        <v>116</v>
      </c>
      <c r="B744" s="260" t="s">
        <v>5668</v>
      </c>
      <c r="C744" s="261" t="s">
        <v>4585</v>
      </c>
      <c r="D744" s="261" t="s">
        <v>4586</v>
      </c>
      <c r="E744" s="261" t="s">
        <v>4587</v>
      </c>
      <c r="F744" s="262"/>
      <c r="G744" s="262"/>
      <c r="H744" s="262"/>
      <c r="I744" s="262"/>
      <c r="J744" s="262"/>
      <c r="K744" s="262"/>
      <c r="L744" s="262"/>
      <c r="M744" s="262"/>
      <c r="N744" s="262"/>
      <c r="O744" s="262"/>
      <c r="P744" s="262"/>
      <c r="Q744" s="262"/>
      <c r="R744" s="262"/>
      <c r="S744" s="262"/>
      <c r="T744" s="363" t="s">
        <v>5669</v>
      </c>
      <c r="U744" s="264"/>
      <c r="V744" s="264"/>
      <c r="W744" s="264"/>
      <c r="X744" s="264"/>
      <c r="Y744" s="262"/>
      <c r="Z744" s="262"/>
      <c r="AA744" s="262"/>
      <c r="AB744" s="262"/>
      <c r="AC744" s="262"/>
      <c r="AD744" s="147"/>
      <c r="AE744" s="147"/>
      <c r="AF744" s="147"/>
      <c r="AG744" s="147"/>
      <c r="AH744" s="147"/>
      <c r="AI744" s="147"/>
      <c r="AJ744" s="147"/>
      <c r="AK744" s="147"/>
      <c r="AL744" s="147"/>
      <c r="AM744" s="147"/>
      <c r="AN744" s="147"/>
      <c r="AO744" s="102"/>
      <c r="AP744" s="102"/>
      <c r="AQ744" s="102"/>
      <c r="AR744" s="102"/>
      <c r="AS744" s="102"/>
      <c r="AT744" s="102"/>
    </row>
    <row r="745" ht="15.75" customHeight="1">
      <c r="A745" s="265" t="s">
        <v>396</v>
      </c>
      <c r="B745" s="266" t="s">
        <v>4213</v>
      </c>
      <c r="C745" s="77" t="s">
        <v>4218</v>
      </c>
      <c r="D745" s="77" t="s">
        <v>4219</v>
      </c>
      <c r="E745" s="77" t="s">
        <v>4220</v>
      </c>
      <c r="F745" s="77"/>
      <c r="G745" s="77"/>
      <c r="H745" s="77"/>
      <c r="I745" s="267"/>
      <c r="J745" s="267"/>
      <c r="K745" s="344" t="s">
        <v>4576</v>
      </c>
      <c r="L745" s="268"/>
      <c r="M745" s="267"/>
      <c r="N745" s="267"/>
      <c r="O745" s="267"/>
      <c r="P745" s="267"/>
      <c r="Q745" s="267" t="s">
        <v>268</v>
      </c>
      <c r="R745" s="267"/>
      <c r="S745" s="267"/>
      <c r="T745" s="267"/>
      <c r="U745" s="267"/>
      <c r="V745" s="267"/>
      <c r="W745" s="267"/>
      <c r="X745" s="267"/>
      <c r="Y745" s="267"/>
      <c r="Z745" s="267"/>
      <c r="AA745" s="267"/>
      <c r="AB745" s="267"/>
      <c r="AC745" s="267"/>
      <c r="AD745" s="294"/>
      <c r="AE745" s="294"/>
      <c r="AF745" s="294"/>
      <c r="AG745" s="294"/>
      <c r="AH745" s="294"/>
      <c r="AI745" s="294"/>
      <c r="AJ745" s="294"/>
      <c r="AK745" s="294"/>
      <c r="AL745" s="294"/>
      <c r="AM745" s="294"/>
      <c r="AN745" s="294"/>
      <c r="AO745" s="102"/>
      <c r="AP745" s="102"/>
      <c r="AQ745" s="102"/>
      <c r="AR745" s="102"/>
      <c r="AS745" s="102"/>
      <c r="AT745" s="102"/>
    </row>
    <row r="746" ht="15.75" customHeight="1">
      <c r="A746" s="249" t="s">
        <v>2336</v>
      </c>
      <c r="B746" s="251" t="s">
        <v>5665</v>
      </c>
      <c r="C746" s="251" t="s">
        <v>4579</v>
      </c>
      <c r="D746" s="251" t="s">
        <v>4580</v>
      </c>
      <c r="E746" s="251" t="s">
        <v>4581</v>
      </c>
      <c r="F746" s="255"/>
      <c r="G746" s="255"/>
      <c r="H746" s="255"/>
      <c r="I746" s="252"/>
      <c r="J746" s="252"/>
      <c r="K746" s="252"/>
      <c r="L746" s="252"/>
      <c r="M746" s="255"/>
      <c r="N746" s="255"/>
      <c r="O746" s="252"/>
      <c r="P746" s="252"/>
      <c r="Q746" s="252"/>
      <c r="R746" s="252"/>
      <c r="S746" s="252"/>
      <c r="T746" s="252"/>
      <c r="U746" s="252"/>
      <c r="V746" s="252"/>
      <c r="W746" s="252"/>
      <c r="X746" s="252"/>
      <c r="Y746" s="252"/>
      <c r="Z746" s="252"/>
      <c r="AA746" s="252"/>
      <c r="AB746" s="255"/>
      <c r="AC746" s="255"/>
      <c r="AD746" s="343"/>
      <c r="AE746" s="343"/>
      <c r="AF746" s="343"/>
      <c r="AG746" s="343"/>
      <c r="AH746" s="343"/>
      <c r="AI746" s="343"/>
      <c r="AJ746" s="343"/>
      <c r="AK746" s="343"/>
      <c r="AL746" s="343"/>
      <c r="AM746" s="343"/>
      <c r="AN746" s="343"/>
      <c r="AO746" s="102"/>
      <c r="AP746" s="102"/>
      <c r="AQ746" s="102"/>
      <c r="AR746" s="102"/>
      <c r="AS746" s="102"/>
      <c r="AT746" s="102"/>
    </row>
    <row r="747" ht="15.75" customHeight="1">
      <c r="A747" s="197" t="s">
        <v>227</v>
      </c>
      <c r="B747" s="91" t="s">
        <v>5670</v>
      </c>
      <c r="C747" s="93"/>
      <c r="D747" s="96"/>
      <c r="E747" s="96"/>
      <c r="F747" s="97"/>
      <c r="G747" s="97"/>
      <c r="H747" s="97"/>
      <c r="I747" s="97"/>
      <c r="J747" s="98" t="s">
        <v>3246</v>
      </c>
      <c r="K747" s="97"/>
      <c r="L747" s="97"/>
      <c r="M747" s="98"/>
      <c r="N747" s="98"/>
      <c r="O747" s="98"/>
      <c r="P747" s="97"/>
      <c r="Q747" s="97"/>
      <c r="R747" s="97"/>
      <c r="S747" s="97"/>
      <c r="T747" s="97"/>
      <c r="U747" s="97"/>
      <c r="V747" s="97"/>
      <c r="W747" s="97"/>
      <c r="X747" s="97"/>
      <c r="Y747" s="97"/>
      <c r="Z747" s="97"/>
      <c r="AA747" s="97"/>
      <c r="AB747" s="97"/>
      <c r="AC747" s="97"/>
      <c r="AD747" s="102"/>
      <c r="AE747" s="102"/>
      <c r="AF747" s="102"/>
      <c r="AG747" s="102"/>
      <c r="AH747" s="102"/>
      <c r="AI747" s="102"/>
      <c r="AJ747" s="102"/>
      <c r="AK747" s="102"/>
      <c r="AL747" s="102"/>
      <c r="AM747" s="102"/>
      <c r="AN747" s="102"/>
      <c r="AO747" s="102"/>
      <c r="AP747" s="102"/>
      <c r="AQ747" s="102"/>
      <c r="AR747" s="102"/>
      <c r="AS747" s="102"/>
      <c r="AT747" s="102"/>
    </row>
    <row r="748" ht="15.75" customHeight="1">
      <c r="A748" s="206" t="s">
        <v>277</v>
      </c>
      <c r="B748" s="245" t="s">
        <v>4228</v>
      </c>
      <c r="C748" s="77" t="s">
        <v>4230</v>
      </c>
      <c r="D748" s="77" t="s">
        <v>5671</v>
      </c>
      <c r="E748" s="77" t="s">
        <v>5672</v>
      </c>
      <c r="F748" s="77"/>
      <c r="G748" s="77"/>
      <c r="H748" s="77"/>
      <c r="I748" s="208"/>
      <c r="J748" s="212" t="s">
        <v>10</v>
      </c>
      <c r="K748" s="208"/>
      <c r="L748" s="208"/>
      <c r="M748" s="208"/>
      <c r="N748" s="208"/>
      <c r="O748" s="208"/>
      <c r="P748" s="208"/>
      <c r="Q748" s="208"/>
      <c r="R748" s="208"/>
      <c r="S748" s="208"/>
      <c r="T748" s="208"/>
      <c r="U748" s="208"/>
      <c r="V748" s="208"/>
      <c r="W748" s="208"/>
      <c r="X748" s="208"/>
      <c r="Y748" s="208"/>
      <c r="Z748" s="208"/>
      <c r="AA748" s="208"/>
      <c r="AB748" s="208"/>
      <c r="AC748" s="208"/>
      <c r="AD748" s="102"/>
      <c r="AE748" s="102"/>
      <c r="AF748" s="102"/>
      <c r="AG748" s="102"/>
      <c r="AH748" s="102"/>
      <c r="AI748" s="102"/>
      <c r="AJ748" s="102"/>
      <c r="AK748" s="102"/>
      <c r="AL748" s="102"/>
      <c r="AM748" s="102"/>
      <c r="AN748" s="102"/>
      <c r="AO748" s="102"/>
      <c r="AP748" s="102"/>
      <c r="AQ748" s="102"/>
      <c r="AR748" s="102"/>
      <c r="AS748" s="102"/>
      <c r="AT748" s="102"/>
    </row>
    <row r="749" ht="15.75" customHeight="1">
      <c r="A749" s="206" t="s">
        <v>277</v>
      </c>
      <c r="B749" s="245" t="s">
        <v>4232</v>
      </c>
      <c r="C749" s="77" t="s">
        <v>4238</v>
      </c>
      <c r="D749" s="77" t="s">
        <v>4239</v>
      </c>
      <c r="E749" s="77" t="s">
        <v>4240</v>
      </c>
      <c r="F749" s="77"/>
      <c r="G749" s="77"/>
      <c r="H749" s="77"/>
      <c r="I749" s="208"/>
      <c r="J749" s="212" t="s">
        <v>3286</v>
      </c>
      <c r="K749" s="208"/>
      <c r="L749" s="208"/>
      <c r="M749" s="208"/>
      <c r="N749" s="208"/>
      <c r="O749" s="208"/>
      <c r="P749" s="208"/>
      <c r="Q749" s="208" t="s">
        <v>268</v>
      </c>
      <c r="R749" s="208"/>
      <c r="S749" s="208"/>
      <c r="T749" s="208"/>
      <c r="U749" s="208"/>
      <c r="V749" s="208"/>
      <c r="W749" s="208"/>
      <c r="X749" s="208"/>
      <c r="Y749" s="208"/>
      <c r="Z749" s="208"/>
      <c r="AA749" s="208"/>
      <c r="AB749" s="208"/>
      <c r="AC749" s="208"/>
      <c r="AD749" s="102"/>
      <c r="AE749" s="102"/>
      <c r="AF749" s="102"/>
      <c r="AG749" s="102"/>
      <c r="AH749" s="102"/>
      <c r="AI749" s="102"/>
      <c r="AJ749" s="102"/>
      <c r="AK749" s="102"/>
      <c r="AL749" s="102"/>
      <c r="AM749" s="102"/>
      <c r="AN749" s="102"/>
      <c r="AO749" s="102"/>
      <c r="AP749" s="102"/>
      <c r="AQ749" s="102"/>
      <c r="AR749" s="102"/>
      <c r="AS749" s="102"/>
      <c r="AT749" s="102"/>
    </row>
    <row r="750" ht="15.75" customHeight="1">
      <c r="A750" s="206" t="s">
        <v>277</v>
      </c>
      <c r="B750" s="245" t="s">
        <v>4241</v>
      </c>
      <c r="C750" s="77" t="s">
        <v>4245</v>
      </c>
      <c r="D750" s="77" t="s">
        <v>4246</v>
      </c>
      <c r="E750" s="77" t="s">
        <v>4247</v>
      </c>
      <c r="F750" s="77"/>
      <c r="G750" s="77"/>
      <c r="H750" s="77"/>
      <c r="I750" s="208"/>
      <c r="J750" s="212" t="s">
        <v>3286</v>
      </c>
      <c r="K750" s="208"/>
      <c r="L750" s="208"/>
      <c r="M750" s="208"/>
      <c r="N750" s="208"/>
      <c r="O750" s="208"/>
      <c r="P750" s="208"/>
      <c r="Q750" s="208" t="s">
        <v>268</v>
      </c>
      <c r="R750" s="208"/>
      <c r="S750" s="208"/>
      <c r="T750" s="208"/>
      <c r="U750" s="208"/>
      <c r="V750" s="208"/>
      <c r="W750" s="208"/>
      <c r="X750" s="208"/>
      <c r="Y750" s="208"/>
      <c r="Z750" s="208"/>
      <c r="AA750" s="208"/>
      <c r="AB750" s="208"/>
      <c r="AC750" s="208"/>
      <c r="AD750" s="102"/>
      <c r="AE750" s="102"/>
      <c r="AF750" s="102"/>
      <c r="AG750" s="102"/>
      <c r="AH750" s="102"/>
      <c r="AI750" s="102"/>
      <c r="AJ750" s="102"/>
      <c r="AK750" s="102"/>
      <c r="AL750" s="102"/>
      <c r="AM750" s="102"/>
      <c r="AN750" s="102"/>
      <c r="AO750" s="102"/>
      <c r="AP750" s="102"/>
      <c r="AQ750" s="102"/>
      <c r="AR750" s="102"/>
      <c r="AS750" s="102"/>
      <c r="AT750" s="102"/>
    </row>
    <row r="751" ht="15.75" customHeight="1">
      <c r="A751" s="206" t="s">
        <v>277</v>
      </c>
      <c r="B751" s="245" t="s">
        <v>4248</v>
      </c>
      <c r="C751" s="77" t="s">
        <v>4253</v>
      </c>
      <c r="D751" s="77" t="s">
        <v>4254</v>
      </c>
      <c r="E751" s="77" t="s">
        <v>4255</v>
      </c>
      <c r="F751" s="77"/>
      <c r="G751" s="77"/>
      <c r="H751" s="77"/>
      <c r="I751" s="208"/>
      <c r="J751" s="212" t="s">
        <v>3286</v>
      </c>
      <c r="K751" s="208"/>
      <c r="L751" s="208"/>
      <c r="M751" s="208"/>
      <c r="N751" s="208"/>
      <c r="O751" s="208"/>
      <c r="P751" s="208"/>
      <c r="Q751" s="208" t="s">
        <v>268</v>
      </c>
      <c r="R751" s="208"/>
      <c r="S751" s="208"/>
      <c r="T751" s="208"/>
      <c r="U751" s="208"/>
      <c r="V751" s="208"/>
      <c r="W751" s="208"/>
      <c r="X751" s="208"/>
      <c r="Y751" s="208"/>
      <c r="Z751" s="208"/>
      <c r="AA751" s="208"/>
      <c r="AB751" s="208"/>
      <c r="AC751" s="208"/>
      <c r="AD751" s="102"/>
      <c r="AE751" s="102"/>
      <c r="AF751" s="102"/>
      <c r="AG751" s="102"/>
      <c r="AH751" s="102"/>
      <c r="AI751" s="102"/>
      <c r="AJ751" s="102"/>
      <c r="AK751" s="102"/>
      <c r="AL751" s="102"/>
      <c r="AM751" s="102"/>
      <c r="AN751" s="102"/>
      <c r="AO751" s="102"/>
      <c r="AP751" s="102"/>
      <c r="AQ751" s="102"/>
      <c r="AR751" s="102"/>
      <c r="AS751" s="102"/>
      <c r="AT751" s="102"/>
    </row>
    <row r="752" ht="15.75" customHeight="1">
      <c r="A752" s="206" t="s">
        <v>277</v>
      </c>
      <c r="B752" s="245" t="s">
        <v>4256</v>
      </c>
      <c r="C752" s="77" t="s">
        <v>4260</v>
      </c>
      <c r="D752" s="77" t="s">
        <v>4261</v>
      </c>
      <c r="E752" s="77" t="s">
        <v>4262</v>
      </c>
      <c r="F752" s="77"/>
      <c r="G752" s="77"/>
      <c r="H752" s="77"/>
      <c r="I752" s="208"/>
      <c r="J752" s="212" t="s">
        <v>3286</v>
      </c>
      <c r="K752" s="208"/>
      <c r="L752" s="208"/>
      <c r="M752" s="208"/>
      <c r="N752" s="208"/>
      <c r="O752" s="208"/>
      <c r="P752" s="208"/>
      <c r="Q752" s="208" t="s">
        <v>268</v>
      </c>
      <c r="R752" s="208"/>
      <c r="S752" s="208"/>
      <c r="T752" s="208"/>
      <c r="U752" s="208"/>
      <c r="V752" s="208"/>
      <c r="W752" s="208"/>
      <c r="X752" s="208"/>
      <c r="Y752" s="208"/>
      <c r="Z752" s="208"/>
      <c r="AA752" s="208"/>
      <c r="AB752" s="208"/>
      <c r="AC752" s="208"/>
      <c r="AD752" s="102"/>
      <c r="AE752" s="102"/>
      <c r="AF752" s="102"/>
      <c r="AG752" s="102"/>
      <c r="AH752" s="102"/>
      <c r="AI752" s="102"/>
      <c r="AJ752" s="102"/>
      <c r="AK752" s="102"/>
      <c r="AL752" s="102"/>
      <c r="AM752" s="102"/>
      <c r="AN752" s="102"/>
      <c r="AO752" s="102"/>
      <c r="AP752" s="102"/>
      <c r="AQ752" s="102"/>
      <c r="AR752" s="102"/>
      <c r="AS752" s="102"/>
      <c r="AT752" s="102"/>
    </row>
    <row r="753" ht="15.75" customHeight="1">
      <c r="A753" s="197" t="s">
        <v>735</v>
      </c>
      <c r="B753" s="91" t="s">
        <v>5670</v>
      </c>
      <c r="C753" s="96"/>
      <c r="D753" s="96"/>
      <c r="E753" s="96"/>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102"/>
      <c r="AE753" s="102"/>
      <c r="AF753" s="102"/>
      <c r="AG753" s="102"/>
      <c r="AH753" s="102"/>
      <c r="AI753" s="102"/>
      <c r="AJ753" s="102"/>
      <c r="AK753" s="102"/>
      <c r="AL753" s="102"/>
      <c r="AM753" s="102"/>
      <c r="AN753" s="102"/>
      <c r="AO753" s="102"/>
      <c r="AP753" s="102"/>
      <c r="AQ753" s="102"/>
      <c r="AR753" s="102"/>
      <c r="AS753" s="102"/>
      <c r="AT753" s="102"/>
    </row>
    <row r="754" ht="15.75" customHeight="1">
      <c r="A754" s="197" t="s">
        <v>735</v>
      </c>
      <c r="B754" s="96" t="s">
        <v>5658</v>
      </c>
      <c r="C754" s="96"/>
      <c r="D754" s="96"/>
      <c r="E754" s="96"/>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102"/>
      <c r="AE754" s="102"/>
      <c r="AF754" s="102"/>
      <c r="AG754" s="102"/>
      <c r="AH754" s="102"/>
      <c r="AI754" s="102"/>
      <c r="AJ754" s="102"/>
      <c r="AK754" s="102"/>
      <c r="AL754" s="102"/>
      <c r="AM754" s="102"/>
      <c r="AN754" s="102"/>
      <c r="AO754" s="102"/>
      <c r="AP754" s="102"/>
      <c r="AQ754" s="102"/>
      <c r="AR754" s="102"/>
      <c r="AS754" s="102"/>
      <c r="AT754" s="102"/>
    </row>
    <row r="755" ht="15.75" customHeight="1">
      <c r="A755" s="142" t="s">
        <v>183</v>
      </c>
      <c r="B755" s="239" t="s">
        <v>5673</v>
      </c>
      <c r="C755" s="144"/>
      <c r="D755" s="144"/>
      <c r="E755" s="144"/>
      <c r="F755" s="145"/>
      <c r="G755" s="145"/>
      <c r="H755" s="145"/>
      <c r="I755" s="145"/>
      <c r="J755" s="145"/>
      <c r="K755" s="145"/>
      <c r="L755" s="145"/>
      <c r="M755" s="145"/>
      <c r="N755" s="145"/>
      <c r="O755" s="146"/>
      <c r="P755" s="146"/>
      <c r="Q755" s="146"/>
      <c r="R755" s="146"/>
      <c r="S755" s="145"/>
      <c r="T755" s="402" t="s">
        <v>211</v>
      </c>
      <c r="U755" s="146"/>
      <c r="V755" s="145"/>
      <c r="W755" s="145"/>
      <c r="X755" s="145"/>
      <c r="Y755" s="145"/>
      <c r="Z755" s="145"/>
      <c r="AA755" s="145"/>
      <c r="AB755" s="145"/>
      <c r="AC755" s="145"/>
      <c r="AD755" s="102"/>
      <c r="AE755" s="102"/>
      <c r="AF755" s="102"/>
      <c r="AG755" s="102"/>
      <c r="AH755" s="102"/>
      <c r="AI755" s="102"/>
      <c r="AJ755" s="102"/>
      <c r="AK755" s="102"/>
      <c r="AL755" s="102"/>
      <c r="AM755" s="102"/>
      <c r="AN755" s="102"/>
      <c r="AO755" s="102"/>
      <c r="AP755" s="102"/>
      <c r="AQ755" s="102"/>
      <c r="AR755" s="102"/>
      <c r="AS755" s="102"/>
      <c r="AT755" s="102"/>
    </row>
    <row r="756" ht="15.75" customHeight="1">
      <c r="A756" s="90" t="s">
        <v>116</v>
      </c>
      <c r="B756" s="91" t="s">
        <v>5674</v>
      </c>
      <c r="C756" s="93"/>
      <c r="D756" s="96"/>
      <c r="E756" s="96"/>
      <c r="F756" s="97"/>
      <c r="G756" s="97"/>
      <c r="H756" s="97"/>
      <c r="I756" s="98"/>
      <c r="J756" s="98"/>
      <c r="K756" s="97"/>
      <c r="L756" s="98"/>
      <c r="M756" s="98"/>
      <c r="N756" s="98"/>
      <c r="O756" s="236"/>
      <c r="P756" s="100"/>
      <c r="Q756" s="100"/>
      <c r="R756" s="100"/>
      <c r="S756" s="97"/>
      <c r="T756" s="238" t="s">
        <v>5675</v>
      </c>
      <c r="U756" s="97"/>
      <c r="V756" s="97"/>
      <c r="W756" s="97"/>
      <c r="X756" s="97"/>
      <c r="Y756" s="97"/>
      <c r="Z756" s="97"/>
      <c r="AA756" s="97"/>
      <c r="AB756" s="97"/>
      <c r="AC756" s="97"/>
      <c r="AD756" s="102"/>
      <c r="AE756" s="102"/>
      <c r="AF756" s="102"/>
      <c r="AG756" s="102"/>
      <c r="AH756" s="102"/>
      <c r="AI756" s="102"/>
      <c r="AJ756" s="102"/>
      <c r="AK756" s="102"/>
      <c r="AL756" s="102"/>
      <c r="AM756" s="102"/>
      <c r="AN756" s="102"/>
      <c r="AO756" s="102"/>
      <c r="AP756" s="102"/>
      <c r="AQ756" s="102"/>
      <c r="AR756" s="102"/>
      <c r="AS756" s="102"/>
      <c r="AT756" s="102"/>
    </row>
    <row r="757" ht="15.75" customHeight="1">
      <c r="A757" s="197" t="s">
        <v>735</v>
      </c>
      <c r="B757" s="96" t="s">
        <v>5363</v>
      </c>
      <c r="C757" s="96"/>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102"/>
      <c r="AE757" s="102"/>
      <c r="AF757" s="102"/>
      <c r="AG757" s="102"/>
      <c r="AH757" s="102"/>
      <c r="AI757" s="102"/>
      <c r="AJ757" s="102"/>
      <c r="AK757" s="102"/>
      <c r="AL757" s="102"/>
      <c r="AM757" s="102"/>
      <c r="AN757" s="102"/>
      <c r="AO757" s="102"/>
      <c r="AP757" s="102"/>
      <c r="AQ757" s="102"/>
      <c r="AR757" s="102"/>
      <c r="AS757" s="102"/>
      <c r="AT757" s="102"/>
    </row>
    <row r="758" ht="15.75" customHeight="1">
      <c r="A758" s="197" t="s">
        <v>735</v>
      </c>
      <c r="B758" s="168" t="s">
        <v>5085</v>
      </c>
      <c r="C758" s="96" t="s">
        <v>5086</v>
      </c>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102"/>
      <c r="AE758" s="102"/>
      <c r="AF758" s="102"/>
      <c r="AG758" s="102"/>
      <c r="AH758" s="102"/>
      <c r="AI758" s="102"/>
      <c r="AJ758" s="102"/>
      <c r="AK758" s="102"/>
      <c r="AL758" s="102"/>
      <c r="AM758" s="102"/>
      <c r="AN758" s="102"/>
      <c r="AO758" s="102"/>
      <c r="AP758" s="102"/>
      <c r="AQ758" s="102"/>
      <c r="AR758" s="102"/>
      <c r="AS758" s="102"/>
      <c r="AT758" s="102"/>
    </row>
    <row r="759" ht="15.75" customHeight="1">
      <c r="A759" s="90" t="s">
        <v>183</v>
      </c>
      <c r="B759" s="91" t="s">
        <v>5676</v>
      </c>
      <c r="C759" s="93"/>
      <c r="D759" s="96"/>
      <c r="E759" s="96"/>
      <c r="F759" s="97"/>
      <c r="G759" s="97"/>
      <c r="H759" s="97"/>
      <c r="I759" s="97"/>
      <c r="J759" s="98"/>
      <c r="K759" s="97"/>
      <c r="L759" s="97"/>
      <c r="M759" s="98"/>
      <c r="N759" s="98"/>
      <c r="O759" s="99"/>
      <c r="P759" s="100"/>
      <c r="Q759" s="100"/>
      <c r="R759" s="100"/>
      <c r="S759" s="97"/>
      <c r="T759" s="101" t="s">
        <v>211</v>
      </c>
      <c r="U759" s="97"/>
      <c r="V759" s="97"/>
      <c r="W759" s="97"/>
      <c r="X759" s="97"/>
      <c r="Y759" s="97"/>
      <c r="Z759" s="97"/>
      <c r="AA759" s="97"/>
      <c r="AB759" s="97"/>
      <c r="AC759" s="97"/>
      <c r="AD759" s="102"/>
      <c r="AE759" s="102"/>
      <c r="AF759" s="102"/>
      <c r="AG759" s="102"/>
      <c r="AH759" s="102"/>
      <c r="AI759" s="102"/>
      <c r="AJ759" s="102"/>
      <c r="AK759" s="102"/>
      <c r="AL759" s="102"/>
      <c r="AM759" s="102"/>
      <c r="AN759" s="102"/>
      <c r="AO759" s="102"/>
      <c r="AP759" s="102"/>
      <c r="AQ759" s="102"/>
      <c r="AR759" s="102"/>
      <c r="AS759" s="102"/>
      <c r="AT759" s="102"/>
    </row>
    <row r="760" ht="15.75" customHeight="1">
      <c r="A760" s="90" t="s">
        <v>116</v>
      </c>
      <c r="B760" s="91" t="s">
        <v>5677</v>
      </c>
      <c r="C760" s="93"/>
      <c r="D760" s="96"/>
      <c r="E760" s="96"/>
      <c r="F760" s="97"/>
      <c r="G760" s="97"/>
      <c r="H760" s="97"/>
      <c r="I760" s="98"/>
      <c r="J760" s="98"/>
      <c r="K760" s="97"/>
      <c r="L760" s="98"/>
      <c r="M760" s="98"/>
      <c r="N760" s="98"/>
      <c r="O760" s="236"/>
      <c r="P760" s="100"/>
      <c r="Q760" s="100"/>
      <c r="R760" s="100"/>
      <c r="S760" s="97"/>
      <c r="T760" s="238" t="s">
        <v>5678</v>
      </c>
      <c r="U760" s="97"/>
      <c r="V760" s="97"/>
      <c r="W760" s="97"/>
      <c r="X760" s="97"/>
      <c r="Y760" s="97"/>
      <c r="Z760" s="97"/>
      <c r="AA760" s="97"/>
      <c r="AB760" s="97"/>
      <c r="AC760" s="97"/>
      <c r="AD760" s="102"/>
      <c r="AE760" s="102"/>
      <c r="AF760" s="102"/>
      <c r="AG760" s="102"/>
      <c r="AH760" s="102"/>
      <c r="AI760" s="102"/>
      <c r="AJ760" s="102"/>
      <c r="AK760" s="102"/>
      <c r="AL760" s="102"/>
      <c r="AM760" s="102"/>
      <c r="AN760" s="102"/>
      <c r="AO760" s="102"/>
      <c r="AP760" s="102"/>
      <c r="AQ760" s="102"/>
      <c r="AR760" s="102"/>
      <c r="AS760" s="102"/>
      <c r="AT760" s="102"/>
    </row>
    <row r="761" ht="15.75" customHeight="1">
      <c r="A761" s="76" t="s">
        <v>735</v>
      </c>
      <c r="B761" s="76" t="s">
        <v>1889</v>
      </c>
      <c r="C761" s="39"/>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49"/>
      <c r="AE761" s="49"/>
      <c r="AF761" s="49"/>
      <c r="AG761" s="49"/>
      <c r="AH761" s="49"/>
      <c r="AI761" s="49"/>
      <c r="AJ761" s="49"/>
      <c r="AK761" s="49"/>
      <c r="AL761" s="49"/>
      <c r="AM761" s="49"/>
      <c r="AN761" s="49"/>
      <c r="AO761" s="49"/>
      <c r="AP761" s="49"/>
      <c r="AQ761" s="49"/>
      <c r="AR761" s="49"/>
      <c r="AS761" s="49"/>
      <c r="AT761" s="49"/>
    </row>
    <row r="762" ht="15.75" customHeight="1">
      <c r="A762" s="37"/>
      <c r="B762" s="37"/>
      <c r="C762" s="39"/>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49"/>
      <c r="AE762" s="49"/>
      <c r="AF762" s="49"/>
      <c r="AG762" s="49"/>
      <c r="AH762" s="49"/>
      <c r="AI762" s="49"/>
      <c r="AJ762" s="49"/>
      <c r="AK762" s="49"/>
      <c r="AL762" s="49"/>
      <c r="AM762" s="49"/>
      <c r="AN762" s="49"/>
      <c r="AO762" s="49"/>
      <c r="AP762" s="49"/>
      <c r="AQ762" s="49"/>
      <c r="AR762" s="49"/>
      <c r="AS762" s="49"/>
      <c r="AT762" s="49"/>
    </row>
    <row r="763" ht="15.75" customHeight="1">
      <c r="A763" s="430"/>
      <c r="B763" s="431"/>
      <c r="C763" s="432"/>
      <c r="D763" s="431"/>
      <c r="E763" s="431"/>
      <c r="F763" s="431"/>
      <c r="G763" s="431"/>
      <c r="H763" s="431"/>
      <c r="I763" s="431"/>
      <c r="J763" s="431"/>
      <c r="K763" s="431"/>
      <c r="L763" s="431"/>
      <c r="M763" s="431"/>
      <c r="N763" s="431"/>
      <c r="O763" s="431"/>
      <c r="P763" s="431"/>
      <c r="Q763" s="431"/>
      <c r="R763" s="431"/>
      <c r="S763" s="431"/>
      <c r="T763" s="431"/>
      <c r="U763" s="431"/>
      <c r="V763" s="431"/>
      <c r="W763" s="431"/>
      <c r="X763" s="431"/>
      <c r="Y763" s="431"/>
      <c r="Z763" s="431"/>
      <c r="AA763" s="431"/>
      <c r="AB763" s="431"/>
      <c r="AC763" s="431"/>
      <c r="AD763" s="102"/>
      <c r="AE763" s="102"/>
      <c r="AF763" s="102"/>
      <c r="AG763" s="102"/>
      <c r="AH763" s="102"/>
      <c r="AI763" s="102"/>
      <c r="AJ763" s="102"/>
      <c r="AK763" s="102"/>
      <c r="AL763" s="102"/>
      <c r="AM763" s="102"/>
      <c r="AN763" s="102"/>
      <c r="AO763" s="102"/>
      <c r="AP763" s="102"/>
      <c r="AQ763" s="102"/>
      <c r="AR763" s="102"/>
      <c r="AS763" s="102"/>
      <c r="AT763" s="102"/>
    </row>
    <row r="764" ht="15.75" customHeight="1">
      <c r="A764" s="433" t="s">
        <v>227</v>
      </c>
      <c r="B764" s="299" t="s">
        <v>5679</v>
      </c>
      <c r="C764" s="296" t="s">
        <v>5680</v>
      </c>
      <c r="D764" s="298" t="s">
        <v>5681</v>
      </c>
      <c r="E764" s="298" t="s">
        <v>5682</v>
      </c>
      <c r="F764" s="298"/>
      <c r="G764" s="298"/>
      <c r="H764" s="298"/>
      <c r="I764" s="298"/>
      <c r="J764" s="299"/>
      <c r="K764" s="298"/>
      <c r="L764" s="298"/>
      <c r="M764" s="299"/>
      <c r="N764" s="299"/>
      <c r="O764" s="299"/>
      <c r="P764" s="298"/>
      <c r="Q764" s="298"/>
      <c r="R764" s="298"/>
      <c r="S764" s="298"/>
      <c r="T764" s="298"/>
      <c r="U764" s="298"/>
      <c r="V764" s="298"/>
      <c r="W764" s="298"/>
      <c r="X764" s="298"/>
      <c r="Y764" s="298"/>
      <c r="Z764" s="298"/>
      <c r="AA764" s="298"/>
      <c r="AB764" s="298"/>
      <c r="AC764" s="298"/>
      <c r="AD764" s="102"/>
      <c r="AE764" s="102"/>
      <c r="AF764" s="102"/>
      <c r="AG764" s="102"/>
      <c r="AH764" s="102"/>
      <c r="AI764" s="102"/>
      <c r="AJ764" s="102"/>
      <c r="AK764" s="102"/>
      <c r="AL764" s="102"/>
      <c r="AM764" s="102"/>
      <c r="AN764" s="102"/>
      <c r="AO764" s="102"/>
      <c r="AP764" s="102"/>
      <c r="AQ764" s="102"/>
      <c r="AR764" s="102"/>
      <c r="AS764" s="102"/>
      <c r="AT764" s="102"/>
    </row>
    <row r="765" ht="15.75" customHeight="1">
      <c r="A765" s="90" t="s">
        <v>183</v>
      </c>
      <c r="B765" s="91" t="s">
        <v>5683</v>
      </c>
      <c r="C765" s="93"/>
      <c r="D765" s="96"/>
      <c r="E765" s="96"/>
      <c r="F765" s="97"/>
      <c r="G765" s="97"/>
      <c r="H765" s="97"/>
      <c r="I765" s="97"/>
      <c r="J765" s="98"/>
      <c r="K765" s="97"/>
      <c r="L765" s="97"/>
      <c r="M765" s="98"/>
      <c r="N765" s="98"/>
      <c r="O765" s="99"/>
      <c r="P765" s="100"/>
      <c r="Q765" s="100"/>
      <c r="R765" s="100"/>
      <c r="S765" s="97"/>
      <c r="T765" s="101" t="s">
        <v>211</v>
      </c>
      <c r="U765" s="97"/>
      <c r="V765" s="97"/>
      <c r="W765" s="97"/>
      <c r="X765" s="97"/>
      <c r="Y765" s="97"/>
      <c r="Z765" s="97"/>
      <c r="AA765" s="97"/>
      <c r="AB765" s="97"/>
      <c r="AC765" s="97"/>
      <c r="AD765" s="102"/>
      <c r="AE765" s="102"/>
      <c r="AF765" s="102"/>
      <c r="AG765" s="102"/>
      <c r="AH765" s="102"/>
      <c r="AI765" s="102"/>
      <c r="AJ765" s="102"/>
      <c r="AK765" s="102"/>
      <c r="AL765" s="102"/>
      <c r="AM765" s="102"/>
      <c r="AN765" s="102"/>
      <c r="AO765" s="102"/>
      <c r="AP765" s="102"/>
      <c r="AQ765" s="102"/>
      <c r="AR765" s="102"/>
      <c r="AS765" s="102"/>
      <c r="AT765" s="102"/>
    </row>
    <row r="766" ht="15.75" customHeight="1">
      <c r="A766" s="434" t="s">
        <v>42</v>
      </c>
      <c r="B766" s="435" t="s">
        <v>4299</v>
      </c>
      <c r="C766" s="77" t="s">
        <v>4303</v>
      </c>
      <c r="D766" s="77" t="s">
        <v>4304</v>
      </c>
      <c r="E766" s="77" t="s">
        <v>4305</v>
      </c>
      <c r="F766" s="77"/>
      <c r="G766" s="77"/>
      <c r="H766" s="77"/>
      <c r="I766" s="200"/>
      <c r="J766" s="200"/>
      <c r="K766" s="200"/>
      <c r="L766" s="200"/>
      <c r="M766" s="200"/>
      <c r="N766" s="200"/>
      <c r="O766" s="200"/>
      <c r="P766" s="200"/>
      <c r="Q766" s="200"/>
      <c r="R766" s="200"/>
      <c r="S766" s="200"/>
      <c r="T766" s="200"/>
      <c r="U766" s="200"/>
      <c r="V766" s="200"/>
      <c r="W766" s="200"/>
      <c r="X766" s="200"/>
      <c r="Y766" s="200"/>
      <c r="Z766" s="200"/>
      <c r="AA766" s="200"/>
      <c r="AB766" s="200"/>
      <c r="AC766" s="200"/>
      <c r="AD766" s="102"/>
      <c r="AE766" s="102"/>
      <c r="AF766" s="102"/>
      <c r="AG766" s="102"/>
      <c r="AH766" s="102"/>
      <c r="AI766" s="102"/>
      <c r="AJ766" s="102"/>
      <c r="AK766" s="102"/>
      <c r="AL766" s="102"/>
      <c r="AM766" s="102"/>
      <c r="AN766" s="102"/>
      <c r="AO766" s="102"/>
      <c r="AP766" s="102"/>
      <c r="AQ766" s="102"/>
      <c r="AR766" s="102"/>
      <c r="AS766" s="102"/>
      <c r="AT766" s="102"/>
    </row>
    <row r="767" ht="15.75" customHeight="1">
      <c r="A767" s="436" t="s">
        <v>299</v>
      </c>
      <c r="B767" s="217" t="s">
        <v>4306</v>
      </c>
      <c r="C767" s="77" t="s">
        <v>4308</v>
      </c>
      <c r="D767" s="77" t="s">
        <v>4309</v>
      </c>
      <c r="E767" s="77" t="s">
        <v>4310</v>
      </c>
      <c r="F767" s="77" t="s">
        <v>5684</v>
      </c>
      <c r="G767" s="77" t="s">
        <v>5685</v>
      </c>
      <c r="H767" s="77" t="s">
        <v>5686</v>
      </c>
      <c r="I767" s="216"/>
      <c r="J767" s="217" t="s">
        <v>5687</v>
      </c>
      <c r="K767" s="229" t="s">
        <v>5688</v>
      </c>
      <c r="L767" s="216"/>
      <c r="M767" s="216"/>
      <c r="N767" s="216"/>
      <c r="O767" s="216"/>
      <c r="P767" s="216"/>
      <c r="Q767" s="216" t="s">
        <v>268</v>
      </c>
      <c r="R767" s="216"/>
      <c r="S767" s="216"/>
      <c r="T767" s="216"/>
      <c r="U767" s="216"/>
      <c r="V767" s="216"/>
      <c r="W767" s="216"/>
      <c r="X767" s="216"/>
      <c r="Y767" s="216"/>
      <c r="Z767" s="216"/>
      <c r="AA767" s="216"/>
      <c r="AB767" s="216"/>
      <c r="AC767" s="216"/>
      <c r="AD767" s="102"/>
      <c r="AE767" s="102"/>
      <c r="AF767" s="102"/>
      <c r="AG767" s="102"/>
      <c r="AH767" s="102"/>
      <c r="AI767" s="102"/>
      <c r="AJ767" s="102"/>
      <c r="AK767" s="102"/>
      <c r="AL767" s="102"/>
      <c r="AM767" s="102"/>
      <c r="AN767" s="102"/>
      <c r="AO767" s="102"/>
      <c r="AP767" s="102"/>
      <c r="AQ767" s="102"/>
      <c r="AR767" s="102"/>
      <c r="AS767" s="102"/>
      <c r="AT767" s="102"/>
    </row>
    <row r="768" ht="15.75" customHeight="1">
      <c r="A768" s="437" t="s">
        <v>194</v>
      </c>
      <c r="B768" s="212" t="s">
        <v>4311</v>
      </c>
      <c r="C768" s="77" t="s">
        <v>4312</v>
      </c>
      <c r="D768" s="77" t="s">
        <v>4313</v>
      </c>
      <c r="E768" s="77" t="s">
        <v>4314</v>
      </c>
      <c r="F768" s="77"/>
      <c r="G768" s="77"/>
      <c r="H768" s="77"/>
      <c r="I768" s="208"/>
      <c r="J768" s="212"/>
      <c r="K768" s="208"/>
      <c r="L768" s="208"/>
      <c r="M768" s="208"/>
      <c r="N768" s="208"/>
      <c r="O768" s="208"/>
      <c r="P768" s="208"/>
      <c r="Q768" s="208" t="s">
        <v>268</v>
      </c>
      <c r="R768" s="208"/>
      <c r="S768" s="208"/>
      <c r="T768" s="208"/>
      <c r="U768" s="208"/>
      <c r="V768" s="208"/>
      <c r="W768" s="208"/>
      <c r="X768" s="208"/>
      <c r="Y768" s="208"/>
      <c r="Z768" s="208"/>
      <c r="AA768" s="208"/>
      <c r="AB768" s="208"/>
      <c r="AC768" s="208"/>
      <c r="AD768" s="102"/>
      <c r="AE768" s="102"/>
      <c r="AF768" s="102"/>
      <c r="AG768" s="102"/>
      <c r="AH768" s="102"/>
      <c r="AI768" s="102"/>
      <c r="AJ768" s="102"/>
      <c r="AK768" s="102"/>
      <c r="AL768" s="102"/>
      <c r="AM768" s="102"/>
      <c r="AN768" s="102"/>
      <c r="AO768" s="102"/>
      <c r="AP768" s="102"/>
      <c r="AQ768" s="102"/>
      <c r="AR768" s="102"/>
      <c r="AS768" s="102"/>
      <c r="AT768" s="102"/>
    </row>
    <row r="769" ht="15.75" customHeight="1">
      <c r="A769" s="434" t="s">
        <v>42</v>
      </c>
      <c r="B769" s="435" t="s">
        <v>4315</v>
      </c>
      <c r="C769" s="77" t="s">
        <v>4319</v>
      </c>
      <c r="D769" s="77" t="s">
        <v>4320</v>
      </c>
      <c r="E769" s="77" t="s">
        <v>4321</v>
      </c>
      <c r="F769" s="77"/>
      <c r="G769" s="77"/>
      <c r="H769" s="77"/>
      <c r="I769" s="200"/>
      <c r="J769" s="200"/>
      <c r="K769" s="200"/>
      <c r="L769" s="200"/>
      <c r="M769" s="200"/>
      <c r="N769" s="200"/>
      <c r="O769" s="287" t="s">
        <v>5689</v>
      </c>
      <c r="P769" s="200"/>
      <c r="Q769" s="200" t="s">
        <v>268</v>
      </c>
      <c r="R769" s="200"/>
      <c r="S769" s="200"/>
      <c r="T769" s="200"/>
      <c r="U769" s="200"/>
      <c r="V769" s="200"/>
      <c r="W769" s="200"/>
      <c r="X769" s="200"/>
      <c r="Y769" s="200"/>
      <c r="Z769" s="200"/>
      <c r="AA769" s="200"/>
      <c r="AB769" s="200"/>
      <c r="AC769" s="200"/>
      <c r="AD769" s="102"/>
      <c r="AE769" s="102"/>
      <c r="AF769" s="102"/>
      <c r="AG769" s="102"/>
      <c r="AH769" s="102"/>
      <c r="AI769" s="102"/>
      <c r="AJ769" s="102"/>
      <c r="AK769" s="102"/>
      <c r="AL769" s="102"/>
      <c r="AM769" s="102"/>
      <c r="AN769" s="102"/>
      <c r="AO769" s="102"/>
      <c r="AP769" s="102"/>
      <c r="AQ769" s="102"/>
      <c r="AR769" s="102"/>
      <c r="AS769" s="102"/>
      <c r="AT769" s="102"/>
    </row>
    <row r="770" ht="15.75" customHeight="1">
      <c r="A770" s="437" t="s">
        <v>4322</v>
      </c>
      <c r="B770" s="212" t="s">
        <v>4323</v>
      </c>
      <c r="C770" s="77" t="s">
        <v>4328</v>
      </c>
      <c r="D770" s="77" t="s">
        <v>4329</v>
      </c>
      <c r="E770" s="77" t="s">
        <v>4330</v>
      </c>
      <c r="F770" s="77" t="s">
        <v>5690</v>
      </c>
      <c r="G770" s="77" t="s">
        <v>5691</v>
      </c>
      <c r="H770" s="77" t="s">
        <v>5692</v>
      </c>
      <c r="I770" s="208"/>
      <c r="J770" s="212"/>
      <c r="K770" s="208"/>
      <c r="L770" s="208"/>
      <c r="M770" s="208"/>
      <c r="N770" s="208"/>
      <c r="O770" s="208"/>
      <c r="P770" s="208"/>
      <c r="Q770" s="208" t="s">
        <v>268</v>
      </c>
      <c r="R770" s="208"/>
      <c r="S770" s="208"/>
      <c r="T770" s="208"/>
      <c r="U770" s="208"/>
      <c r="V770" s="208"/>
      <c r="W770" s="208"/>
      <c r="X770" s="208"/>
      <c r="Y770" s="208"/>
      <c r="Z770" s="208"/>
      <c r="AA770" s="208"/>
      <c r="AB770" s="208"/>
      <c r="AC770" s="208"/>
      <c r="AD770" s="102"/>
      <c r="AE770" s="102"/>
      <c r="AF770" s="102"/>
      <c r="AG770" s="102"/>
      <c r="AH770" s="102"/>
      <c r="AI770" s="102"/>
      <c r="AJ770" s="102"/>
      <c r="AK770" s="102"/>
      <c r="AL770" s="102"/>
      <c r="AM770" s="102"/>
      <c r="AN770" s="102"/>
      <c r="AO770" s="102"/>
      <c r="AP770" s="102"/>
      <c r="AQ770" s="102"/>
      <c r="AR770" s="102"/>
      <c r="AS770" s="102"/>
      <c r="AT770" s="102"/>
    </row>
    <row r="771" ht="15.75" customHeight="1">
      <c r="A771" s="434" t="s">
        <v>42</v>
      </c>
      <c r="B771" s="435" t="s">
        <v>4331</v>
      </c>
      <c r="C771" s="77" t="s">
        <v>4335</v>
      </c>
      <c r="D771" s="77" t="s">
        <v>4336</v>
      </c>
      <c r="E771" s="77" t="s">
        <v>4337</v>
      </c>
      <c r="F771" s="77"/>
      <c r="G771" s="77"/>
      <c r="H771" s="77"/>
      <c r="I771" s="200"/>
      <c r="J771" s="200"/>
      <c r="K771" s="200"/>
      <c r="L771" s="200"/>
      <c r="M771" s="200"/>
      <c r="N771" s="200"/>
      <c r="O771" s="287" t="s">
        <v>5693</v>
      </c>
      <c r="P771" s="200"/>
      <c r="Q771" s="200" t="s">
        <v>268</v>
      </c>
      <c r="R771" s="200"/>
      <c r="S771" s="200"/>
      <c r="T771" s="200"/>
      <c r="U771" s="200"/>
      <c r="V771" s="200"/>
      <c r="W771" s="200"/>
      <c r="X771" s="200"/>
      <c r="Y771" s="200"/>
      <c r="Z771" s="200"/>
      <c r="AA771" s="200"/>
      <c r="AB771" s="200"/>
      <c r="AC771" s="200"/>
      <c r="AD771" s="102"/>
      <c r="AE771" s="102"/>
      <c r="AF771" s="102"/>
      <c r="AG771" s="102"/>
      <c r="AH771" s="102"/>
      <c r="AI771" s="102"/>
      <c r="AJ771" s="102"/>
      <c r="AK771" s="102"/>
      <c r="AL771" s="102"/>
      <c r="AM771" s="102"/>
      <c r="AN771" s="102"/>
      <c r="AO771" s="102"/>
      <c r="AP771" s="102"/>
      <c r="AQ771" s="102"/>
      <c r="AR771" s="102"/>
      <c r="AS771" s="102"/>
      <c r="AT771" s="102"/>
    </row>
    <row r="772" ht="15.75" customHeight="1">
      <c r="A772" s="438" t="s">
        <v>194</v>
      </c>
      <c r="B772" s="222" t="s">
        <v>4338</v>
      </c>
      <c r="C772" s="77" t="s">
        <v>4343</v>
      </c>
      <c r="D772" s="77" t="s">
        <v>4344</v>
      </c>
      <c r="E772" s="77" t="s">
        <v>4345</v>
      </c>
      <c r="F772" s="77"/>
      <c r="G772" s="77"/>
      <c r="H772" s="77"/>
      <c r="I772" s="128"/>
      <c r="J772" s="222"/>
      <c r="K772" s="128"/>
      <c r="L772" s="128"/>
      <c r="M772" s="128"/>
      <c r="N772" s="128"/>
      <c r="O772" s="128"/>
      <c r="P772" s="128"/>
      <c r="Q772" s="128" t="s">
        <v>268</v>
      </c>
      <c r="R772" s="128"/>
      <c r="S772" s="128"/>
      <c r="T772" s="128"/>
      <c r="U772" s="128"/>
      <c r="V772" s="128"/>
      <c r="W772" s="128"/>
      <c r="X772" s="128"/>
      <c r="Y772" s="128"/>
      <c r="Z772" s="128"/>
      <c r="AA772" s="128"/>
      <c r="AB772" s="128"/>
      <c r="AC772" s="128"/>
      <c r="AD772" s="102"/>
      <c r="AE772" s="102"/>
      <c r="AF772" s="102"/>
      <c r="AG772" s="102"/>
      <c r="AH772" s="102"/>
      <c r="AI772" s="102"/>
      <c r="AJ772" s="102"/>
      <c r="AK772" s="102"/>
      <c r="AL772" s="102"/>
      <c r="AM772" s="102"/>
      <c r="AN772" s="102"/>
      <c r="AO772" s="102"/>
      <c r="AP772" s="102"/>
      <c r="AQ772" s="102"/>
      <c r="AR772" s="102"/>
      <c r="AS772" s="102"/>
      <c r="AT772" s="102"/>
    </row>
    <row r="773" ht="15.75" customHeight="1">
      <c r="A773" s="437" t="s">
        <v>194</v>
      </c>
      <c r="B773" s="212" t="s">
        <v>4346</v>
      </c>
      <c r="C773" s="77" t="s">
        <v>4350</v>
      </c>
      <c r="D773" s="77" t="s">
        <v>4351</v>
      </c>
      <c r="E773" s="77" t="s">
        <v>4352</v>
      </c>
      <c r="F773" s="77"/>
      <c r="G773" s="77"/>
      <c r="H773" s="77"/>
      <c r="I773" s="208"/>
      <c r="J773" s="212"/>
      <c r="K773" s="208"/>
      <c r="L773" s="208"/>
      <c r="M773" s="208"/>
      <c r="N773" s="208"/>
      <c r="O773" s="208" t="s">
        <v>5694</v>
      </c>
      <c r="P773" s="208"/>
      <c r="Q773" s="208" t="s">
        <v>268</v>
      </c>
      <c r="R773" s="208"/>
      <c r="S773" s="208"/>
      <c r="T773" s="208"/>
      <c r="U773" s="208"/>
      <c r="V773" s="208"/>
      <c r="W773" s="208"/>
      <c r="X773" s="208"/>
      <c r="Y773" s="208"/>
      <c r="Z773" s="208"/>
      <c r="AA773" s="208"/>
      <c r="AB773" s="208"/>
      <c r="AC773" s="208"/>
      <c r="AD773" s="102"/>
      <c r="AE773" s="102"/>
      <c r="AF773" s="102"/>
      <c r="AG773" s="102"/>
      <c r="AH773" s="102"/>
      <c r="AI773" s="102"/>
      <c r="AJ773" s="102"/>
      <c r="AK773" s="102"/>
      <c r="AL773" s="102"/>
      <c r="AM773" s="102"/>
      <c r="AN773" s="102"/>
      <c r="AO773" s="102"/>
      <c r="AP773" s="102"/>
      <c r="AQ773" s="102"/>
      <c r="AR773" s="102"/>
      <c r="AS773" s="102"/>
      <c r="AT773" s="102"/>
    </row>
    <row r="774" ht="15.75" customHeight="1">
      <c r="A774" s="436" t="s">
        <v>299</v>
      </c>
      <c r="B774" s="217" t="s">
        <v>4353</v>
      </c>
      <c r="C774" s="77" t="s">
        <v>4354</v>
      </c>
      <c r="D774" s="77" t="s">
        <v>4356</v>
      </c>
      <c r="E774" s="77" t="s">
        <v>4357</v>
      </c>
      <c r="F774" s="77" t="s">
        <v>5684</v>
      </c>
      <c r="G774" s="77" t="s">
        <v>5685</v>
      </c>
      <c r="H774" s="77" t="s">
        <v>5686</v>
      </c>
      <c r="I774" s="216"/>
      <c r="J774" s="217" t="s">
        <v>5687</v>
      </c>
      <c r="K774" s="229" t="s">
        <v>5688</v>
      </c>
      <c r="L774" s="216"/>
      <c r="M774" s="216"/>
      <c r="N774" s="216"/>
      <c r="O774" s="229" t="s">
        <v>5695</v>
      </c>
      <c r="P774" s="216"/>
      <c r="Q774" s="216" t="s">
        <v>268</v>
      </c>
      <c r="R774" s="216"/>
      <c r="S774" s="216"/>
      <c r="T774" s="216"/>
      <c r="U774" s="216"/>
      <c r="V774" s="216"/>
      <c r="W774" s="216"/>
      <c r="X774" s="216"/>
      <c r="Y774" s="216"/>
      <c r="Z774" s="216"/>
      <c r="AA774" s="216"/>
      <c r="AB774" s="216"/>
      <c r="AC774" s="216"/>
      <c r="AD774" s="102"/>
      <c r="AE774" s="102"/>
      <c r="AF774" s="102"/>
      <c r="AG774" s="102"/>
      <c r="AH774" s="102"/>
      <c r="AI774" s="102"/>
      <c r="AJ774" s="102"/>
      <c r="AK774" s="102"/>
      <c r="AL774" s="102"/>
      <c r="AM774" s="102"/>
      <c r="AN774" s="102"/>
      <c r="AO774" s="102"/>
      <c r="AP774" s="102"/>
      <c r="AQ774" s="102"/>
      <c r="AR774" s="102"/>
      <c r="AS774" s="102"/>
      <c r="AT774" s="102"/>
    </row>
    <row r="775" ht="15.75" customHeight="1">
      <c r="A775" s="437" t="s">
        <v>194</v>
      </c>
      <c r="B775" s="212" t="s">
        <v>4358</v>
      </c>
      <c r="C775" s="77" t="s">
        <v>4359</v>
      </c>
      <c r="D775" s="77" t="s">
        <v>4360</v>
      </c>
      <c r="E775" s="77" t="s">
        <v>4361</v>
      </c>
      <c r="F775" s="77"/>
      <c r="G775" s="77"/>
      <c r="H775" s="77"/>
      <c r="I775" s="208"/>
      <c r="J775" s="212"/>
      <c r="K775" s="208"/>
      <c r="L775" s="208"/>
      <c r="M775" s="208"/>
      <c r="N775" s="208"/>
      <c r="O775" s="211" t="s">
        <v>5695</v>
      </c>
      <c r="P775" s="208"/>
      <c r="Q775" s="208" t="s">
        <v>268</v>
      </c>
      <c r="R775" s="208"/>
      <c r="S775" s="208"/>
      <c r="T775" s="208"/>
      <c r="U775" s="208"/>
      <c r="V775" s="208"/>
      <c r="W775" s="208"/>
      <c r="X775" s="208"/>
      <c r="Y775" s="208"/>
      <c r="Z775" s="208"/>
      <c r="AA775" s="208"/>
      <c r="AB775" s="208"/>
      <c r="AC775" s="208"/>
      <c r="AD775" s="102"/>
      <c r="AE775" s="102"/>
      <c r="AF775" s="102"/>
      <c r="AG775" s="102"/>
      <c r="AH775" s="102"/>
      <c r="AI775" s="102"/>
      <c r="AJ775" s="102"/>
      <c r="AK775" s="102"/>
      <c r="AL775" s="102"/>
      <c r="AM775" s="102"/>
      <c r="AN775" s="102"/>
      <c r="AO775" s="102"/>
      <c r="AP775" s="102"/>
      <c r="AQ775" s="102"/>
      <c r="AR775" s="102"/>
      <c r="AS775" s="102"/>
      <c r="AT775" s="102"/>
    </row>
    <row r="776" ht="15.75" customHeight="1">
      <c r="A776" s="434" t="s">
        <v>42</v>
      </c>
      <c r="B776" s="435" t="s">
        <v>4362</v>
      </c>
      <c r="C776" s="77" t="s">
        <v>4364</v>
      </c>
      <c r="D776" s="77" t="s">
        <v>4365</v>
      </c>
      <c r="E776" s="77" t="s">
        <v>4367</v>
      </c>
      <c r="F776" s="77"/>
      <c r="G776" s="77"/>
      <c r="H776" s="77"/>
      <c r="I776" s="200"/>
      <c r="J776" s="200"/>
      <c r="K776" s="200"/>
      <c r="L776" s="200"/>
      <c r="M776" s="200"/>
      <c r="N776" s="200"/>
      <c r="O776" s="287" t="s">
        <v>5696</v>
      </c>
      <c r="P776" s="200"/>
      <c r="Q776" s="200" t="s">
        <v>268</v>
      </c>
      <c r="R776" s="200"/>
      <c r="S776" s="200"/>
      <c r="T776" s="200"/>
      <c r="U776" s="200"/>
      <c r="V776" s="200"/>
      <c r="W776" s="200"/>
      <c r="X776" s="200"/>
      <c r="Y776" s="200"/>
      <c r="Z776" s="200"/>
      <c r="AA776" s="200"/>
      <c r="AB776" s="200"/>
      <c r="AC776" s="200"/>
      <c r="AD776" s="102"/>
      <c r="AE776" s="102"/>
      <c r="AF776" s="102"/>
      <c r="AG776" s="102"/>
      <c r="AH776" s="102"/>
      <c r="AI776" s="102"/>
      <c r="AJ776" s="102"/>
      <c r="AK776" s="102"/>
      <c r="AL776" s="102"/>
      <c r="AM776" s="102"/>
      <c r="AN776" s="102"/>
      <c r="AO776" s="102"/>
      <c r="AP776" s="102"/>
      <c r="AQ776" s="102"/>
      <c r="AR776" s="102"/>
      <c r="AS776" s="102"/>
      <c r="AT776" s="102"/>
    </row>
    <row r="777" ht="15.75" customHeight="1">
      <c r="A777" s="437" t="s">
        <v>194</v>
      </c>
      <c r="B777" s="212" t="s">
        <v>4369</v>
      </c>
      <c r="C777" s="77" t="s">
        <v>4370</v>
      </c>
      <c r="D777" s="77" t="s">
        <v>4371</v>
      </c>
      <c r="E777" s="77" t="s">
        <v>4372</v>
      </c>
      <c r="F777" s="77"/>
      <c r="G777" s="77"/>
      <c r="H777" s="77"/>
      <c r="I777" s="208"/>
      <c r="J777" s="212"/>
      <c r="K777" s="208"/>
      <c r="L777" s="208"/>
      <c r="M777" s="208"/>
      <c r="N777" s="208"/>
      <c r="O777" s="208"/>
      <c r="P777" s="208"/>
      <c r="Q777" s="208" t="s">
        <v>268</v>
      </c>
      <c r="R777" s="208"/>
      <c r="S777" s="208"/>
      <c r="T777" s="208"/>
      <c r="U777" s="208"/>
      <c r="V777" s="208"/>
      <c r="W777" s="208"/>
      <c r="X777" s="208"/>
      <c r="Y777" s="208"/>
      <c r="Z777" s="208"/>
      <c r="AA777" s="208"/>
      <c r="AB777" s="208"/>
      <c r="AC777" s="208"/>
      <c r="AD777" s="102"/>
      <c r="AE777" s="102"/>
      <c r="AF777" s="102"/>
      <c r="AG777" s="102"/>
      <c r="AH777" s="102"/>
      <c r="AI777" s="102"/>
      <c r="AJ777" s="102"/>
      <c r="AK777" s="102"/>
      <c r="AL777" s="102"/>
      <c r="AM777" s="102"/>
      <c r="AN777" s="102"/>
      <c r="AO777" s="102"/>
      <c r="AP777" s="102"/>
      <c r="AQ777" s="102"/>
      <c r="AR777" s="102"/>
      <c r="AS777" s="102"/>
      <c r="AT777" s="102"/>
    </row>
    <row r="778" ht="15.75" customHeight="1">
      <c r="A778" s="439" t="s">
        <v>396</v>
      </c>
      <c r="B778" s="268" t="s">
        <v>4373</v>
      </c>
      <c r="C778" s="77" t="s">
        <v>4374</v>
      </c>
      <c r="D778" s="77" t="s">
        <v>4375</v>
      </c>
      <c r="E778" s="77" t="s">
        <v>4376</v>
      </c>
      <c r="F778" s="77"/>
      <c r="G778" s="77"/>
      <c r="H778" s="77"/>
      <c r="I778" s="267"/>
      <c r="J778" s="267"/>
      <c r="K778" s="268"/>
      <c r="L778" s="268"/>
      <c r="M778" s="267"/>
      <c r="N778" s="267"/>
      <c r="O778" s="293" t="s">
        <v>5697</v>
      </c>
      <c r="P778" s="267"/>
      <c r="Q778" s="267" t="s">
        <v>268</v>
      </c>
      <c r="R778" s="267"/>
      <c r="S778" s="267"/>
      <c r="T778" s="267"/>
      <c r="U778" s="267"/>
      <c r="V778" s="267"/>
      <c r="W778" s="267"/>
      <c r="X778" s="267"/>
      <c r="Y778" s="267"/>
      <c r="Z778" s="267"/>
      <c r="AA778" s="267"/>
      <c r="AB778" s="267"/>
      <c r="AC778" s="267"/>
      <c r="AD778" s="102"/>
      <c r="AE778" s="102"/>
      <c r="AF778" s="102"/>
      <c r="AG778" s="102"/>
      <c r="AH778" s="102"/>
      <c r="AI778" s="102"/>
      <c r="AJ778" s="102"/>
      <c r="AK778" s="102"/>
      <c r="AL778" s="102"/>
      <c r="AM778" s="102"/>
      <c r="AN778" s="102"/>
      <c r="AO778" s="102"/>
      <c r="AP778" s="102"/>
      <c r="AQ778" s="102"/>
      <c r="AR778" s="102"/>
      <c r="AS778" s="102"/>
      <c r="AT778" s="102"/>
    </row>
    <row r="779" ht="15.75" customHeight="1">
      <c r="A779" s="440" t="s">
        <v>2279</v>
      </c>
      <c r="B779" s="253" t="s">
        <v>5698</v>
      </c>
      <c r="C779" s="250" t="s">
        <v>5699</v>
      </c>
      <c r="D779" s="252"/>
      <c r="E779" s="252"/>
      <c r="F779" s="252"/>
      <c r="G779" s="252"/>
      <c r="H779" s="252"/>
      <c r="I779" s="252"/>
      <c r="J779" s="252"/>
      <c r="K779" s="252"/>
      <c r="L779" s="252"/>
      <c r="M779" s="253"/>
      <c r="N779" s="253"/>
      <c r="O779" s="254" t="s">
        <v>5697</v>
      </c>
      <c r="P779" s="252"/>
      <c r="Q779" s="252"/>
      <c r="R779" s="252"/>
      <c r="S779" s="252"/>
      <c r="T779" s="252"/>
      <c r="U779" s="254" t="s">
        <v>5700</v>
      </c>
      <c r="V779" s="252"/>
      <c r="W779" s="252"/>
      <c r="X779" s="252"/>
      <c r="Y779" s="252"/>
      <c r="Z779" s="252"/>
      <c r="AA779" s="252"/>
      <c r="AB779" s="252"/>
      <c r="AC779" s="252"/>
      <c r="AD779" s="102"/>
      <c r="AE779" s="102"/>
      <c r="AF779" s="102"/>
      <c r="AG779" s="102"/>
      <c r="AH779" s="102"/>
      <c r="AI779" s="102"/>
      <c r="AJ779" s="102"/>
      <c r="AK779" s="102"/>
      <c r="AL779" s="102"/>
      <c r="AM779" s="102"/>
      <c r="AN779" s="102"/>
      <c r="AO779" s="102"/>
      <c r="AP779" s="102"/>
      <c r="AQ779" s="102"/>
      <c r="AR779" s="102"/>
      <c r="AS779" s="102"/>
      <c r="AT779" s="102"/>
    </row>
    <row r="780" ht="15.75" customHeight="1">
      <c r="A780" s="436" t="s">
        <v>299</v>
      </c>
      <c r="B780" s="217" t="s">
        <v>4381</v>
      </c>
      <c r="C780" s="77" t="s">
        <v>4382</v>
      </c>
      <c r="D780" s="77" t="s">
        <v>4383</v>
      </c>
      <c r="E780" s="77" t="s">
        <v>4384</v>
      </c>
      <c r="F780" s="77" t="s">
        <v>5684</v>
      </c>
      <c r="G780" s="77" t="s">
        <v>5685</v>
      </c>
      <c r="H780" s="77" t="s">
        <v>5686</v>
      </c>
      <c r="I780" s="216"/>
      <c r="J780" s="217" t="s">
        <v>5687</v>
      </c>
      <c r="K780" s="229" t="s">
        <v>5688</v>
      </c>
      <c r="L780" s="216"/>
      <c r="M780" s="216"/>
      <c r="N780" s="216"/>
      <c r="O780" s="216"/>
      <c r="P780" s="216"/>
      <c r="Q780" s="216" t="s">
        <v>268</v>
      </c>
      <c r="R780" s="216"/>
      <c r="S780" s="216"/>
      <c r="T780" s="216"/>
      <c r="U780" s="216"/>
      <c r="V780" s="216"/>
      <c r="W780" s="216"/>
      <c r="X780" s="216"/>
      <c r="Y780" s="216"/>
      <c r="Z780" s="216"/>
      <c r="AA780" s="216"/>
      <c r="AB780" s="216"/>
      <c r="AC780" s="216"/>
      <c r="AD780" s="102"/>
      <c r="AE780" s="102"/>
      <c r="AF780" s="102"/>
      <c r="AG780" s="102"/>
      <c r="AH780" s="102"/>
      <c r="AI780" s="102"/>
      <c r="AJ780" s="102"/>
      <c r="AK780" s="102"/>
      <c r="AL780" s="102"/>
      <c r="AM780" s="102"/>
      <c r="AN780" s="102"/>
      <c r="AO780" s="102"/>
      <c r="AP780" s="102"/>
      <c r="AQ780" s="102"/>
      <c r="AR780" s="102"/>
      <c r="AS780" s="102"/>
      <c r="AT780" s="102"/>
    </row>
    <row r="781" ht="15.75" customHeight="1">
      <c r="A781" s="440" t="s">
        <v>2336</v>
      </c>
      <c r="B781" s="252" t="s">
        <v>5698</v>
      </c>
      <c r="C781" s="251" t="s">
        <v>5699</v>
      </c>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c r="AA781" s="252"/>
      <c r="AB781" s="252"/>
      <c r="AC781" s="252"/>
      <c r="AD781" s="102"/>
      <c r="AE781" s="102"/>
      <c r="AF781" s="102"/>
      <c r="AG781" s="102"/>
      <c r="AH781" s="102"/>
      <c r="AI781" s="102"/>
      <c r="AJ781" s="102"/>
      <c r="AK781" s="102"/>
      <c r="AL781" s="102"/>
      <c r="AM781" s="102"/>
      <c r="AN781" s="102"/>
      <c r="AO781" s="102"/>
      <c r="AP781" s="102"/>
      <c r="AQ781" s="102"/>
      <c r="AR781" s="102"/>
      <c r="AS781" s="102"/>
      <c r="AT781" s="102"/>
    </row>
    <row r="782" ht="15.75" customHeight="1">
      <c r="A782" s="437" t="s">
        <v>194</v>
      </c>
      <c r="B782" s="212" t="s">
        <v>4389</v>
      </c>
      <c r="C782" s="77" t="s">
        <v>5701</v>
      </c>
      <c r="D782" s="77" t="s">
        <v>5702</v>
      </c>
      <c r="E782" s="77" t="s">
        <v>5703</v>
      </c>
      <c r="F782" s="77"/>
      <c r="G782" s="77"/>
      <c r="H782" s="77"/>
      <c r="I782" s="208"/>
      <c r="J782" s="212"/>
      <c r="K782" s="208"/>
      <c r="L782" s="208"/>
      <c r="M782" s="208"/>
      <c r="N782" s="208"/>
      <c r="O782" s="208"/>
      <c r="P782" s="208"/>
      <c r="Q782" s="208" t="s">
        <v>268</v>
      </c>
      <c r="R782" s="208"/>
      <c r="S782" s="208"/>
      <c r="T782" s="208"/>
      <c r="U782" s="208"/>
      <c r="V782" s="208"/>
      <c r="W782" s="208"/>
      <c r="X782" s="208"/>
      <c r="Y782" s="208"/>
      <c r="Z782" s="208"/>
      <c r="AA782" s="208"/>
      <c r="AB782" s="208"/>
      <c r="AC782" s="208"/>
      <c r="AD782" s="102"/>
      <c r="AE782" s="102"/>
      <c r="AF782" s="102"/>
      <c r="AG782" s="102"/>
      <c r="AH782" s="102"/>
      <c r="AI782" s="102"/>
      <c r="AJ782" s="102"/>
      <c r="AK782" s="102"/>
      <c r="AL782" s="102"/>
      <c r="AM782" s="102"/>
      <c r="AN782" s="102"/>
      <c r="AO782" s="102"/>
      <c r="AP782" s="102"/>
      <c r="AQ782" s="102"/>
      <c r="AR782" s="102"/>
      <c r="AS782" s="102"/>
      <c r="AT782" s="102"/>
    </row>
    <row r="783" ht="15.75" customHeight="1">
      <c r="A783" s="441" t="s">
        <v>227</v>
      </c>
      <c r="B783" s="98" t="s">
        <v>5704</v>
      </c>
      <c r="C783" s="93" t="s">
        <v>5705</v>
      </c>
      <c r="D783" s="97"/>
      <c r="E783" s="170"/>
      <c r="F783" s="97"/>
      <c r="G783" s="97"/>
      <c r="H783" s="97"/>
      <c r="I783" s="97"/>
      <c r="J783" s="98" t="s">
        <v>3246</v>
      </c>
      <c r="K783" s="97"/>
      <c r="L783" s="97"/>
      <c r="M783" s="98"/>
      <c r="N783" s="98"/>
      <c r="O783" s="236"/>
      <c r="P783" s="97"/>
      <c r="Q783" s="97"/>
      <c r="R783" s="97"/>
      <c r="S783" s="97"/>
      <c r="T783" s="97"/>
      <c r="U783" s="97"/>
      <c r="V783" s="97"/>
      <c r="W783" s="97"/>
      <c r="X783" s="97"/>
      <c r="Y783" s="97"/>
      <c r="Z783" s="97"/>
      <c r="AA783" s="97"/>
      <c r="AB783" s="97"/>
      <c r="AC783" s="97"/>
      <c r="AD783" s="102"/>
      <c r="AE783" s="102"/>
      <c r="AF783" s="102"/>
      <c r="AG783" s="102"/>
      <c r="AH783" s="102"/>
      <c r="AI783" s="102"/>
      <c r="AJ783" s="102"/>
      <c r="AK783" s="102"/>
      <c r="AL783" s="102"/>
      <c r="AM783" s="102"/>
      <c r="AN783" s="102"/>
      <c r="AO783" s="102"/>
      <c r="AP783" s="102"/>
      <c r="AQ783" s="102"/>
      <c r="AR783" s="102"/>
      <c r="AS783" s="102"/>
      <c r="AT783" s="102"/>
    </row>
    <row r="784" ht="15.75" customHeight="1">
      <c r="A784" s="436" t="s">
        <v>299</v>
      </c>
      <c r="B784" s="217" t="s">
        <v>4398</v>
      </c>
      <c r="C784" s="77" t="s">
        <v>4400</v>
      </c>
      <c r="D784" s="77" t="s">
        <v>4401</v>
      </c>
      <c r="E784" s="77" t="s">
        <v>4402</v>
      </c>
      <c r="F784" s="77"/>
      <c r="G784" s="77"/>
      <c r="H784" s="77"/>
      <c r="I784" s="216"/>
      <c r="J784" s="217"/>
      <c r="K784" s="216"/>
      <c r="L784" s="216"/>
      <c r="M784" s="216"/>
      <c r="N784" s="216"/>
      <c r="O784" s="229" t="s">
        <v>5706</v>
      </c>
      <c r="P784" s="216"/>
      <c r="Q784" s="216" t="s">
        <v>268</v>
      </c>
      <c r="R784" s="216"/>
      <c r="S784" s="216"/>
      <c r="T784" s="216"/>
      <c r="U784" s="216"/>
      <c r="V784" s="216"/>
      <c r="W784" s="216"/>
      <c r="X784" s="216"/>
      <c r="Y784" s="216"/>
      <c r="Z784" s="216"/>
      <c r="AA784" s="216"/>
      <c r="AB784" s="216"/>
      <c r="AC784" s="216"/>
      <c r="AD784" s="102"/>
      <c r="AE784" s="102"/>
      <c r="AF784" s="102"/>
      <c r="AG784" s="102"/>
      <c r="AH784" s="102"/>
      <c r="AI784" s="102"/>
      <c r="AJ784" s="102"/>
      <c r="AK784" s="102"/>
      <c r="AL784" s="102"/>
      <c r="AM784" s="102"/>
      <c r="AN784" s="102"/>
      <c r="AO784" s="102"/>
      <c r="AP784" s="102"/>
      <c r="AQ784" s="102"/>
      <c r="AR784" s="102"/>
      <c r="AS784" s="102"/>
      <c r="AT784" s="102"/>
    </row>
    <row r="785" ht="15.75" customHeight="1">
      <c r="A785" s="436" t="s">
        <v>299</v>
      </c>
      <c r="B785" s="217" t="s">
        <v>4403</v>
      </c>
      <c r="C785" s="77" t="s">
        <v>4404</v>
      </c>
      <c r="D785" s="77" t="s">
        <v>4405</v>
      </c>
      <c r="E785" s="77" t="s">
        <v>4406</v>
      </c>
      <c r="F785" s="77"/>
      <c r="G785" s="77"/>
      <c r="H785" s="77"/>
      <c r="I785" s="216"/>
      <c r="J785" s="217"/>
      <c r="K785" s="216"/>
      <c r="L785" s="216"/>
      <c r="M785" s="216"/>
      <c r="N785" s="216"/>
      <c r="O785" s="229" t="s">
        <v>5706</v>
      </c>
      <c r="P785" s="216"/>
      <c r="Q785" s="216" t="s">
        <v>268</v>
      </c>
      <c r="R785" s="216"/>
      <c r="S785" s="216"/>
      <c r="T785" s="216"/>
      <c r="U785" s="216"/>
      <c r="V785" s="216"/>
      <c r="W785" s="216"/>
      <c r="X785" s="216"/>
      <c r="Y785" s="216"/>
      <c r="Z785" s="216"/>
      <c r="AA785" s="216"/>
      <c r="AB785" s="216"/>
      <c r="AC785" s="216"/>
      <c r="AD785" s="102"/>
      <c r="AE785" s="102"/>
      <c r="AF785" s="102"/>
      <c r="AG785" s="102"/>
      <c r="AH785" s="102"/>
      <c r="AI785" s="102"/>
      <c r="AJ785" s="102"/>
      <c r="AK785" s="102"/>
      <c r="AL785" s="102"/>
      <c r="AM785" s="102"/>
      <c r="AN785" s="102"/>
      <c r="AO785" s="102"/>
      <c r="AP785" s="102"/>
      <c r="AQ785" s="102"/>
      <c r="AR785" s="102"/>
      <c r="AS785" s="102"/>
      <c r="AT785" s="102"/>
    </row>
    <row r="786" ht="15.75" customHeight="1">
      <c r="A786" s="441" t="s">
        <v>735</v>
      </c>
      <c r="B786" s="97" t="s">
        <v>5704</v>
      </c>
      <c r="C786" s="96" t="s">
        <v>5705</v>
      </c>
      <c r="D786" s="97"/>
      <c r="E786" s="170"/>
      <c r="F786" s="97"/>
      <c r="G786" s="97"/>
      <c r="H786" s="97"/>
      <c r="I786" s="97"/>
      <c r="J786" s="97"/>
      <c r="K786" s="97"/>
      <c r="L786" s="97"/>
      <c r="M786" s="97"/>
      <c r="N786" s="97"/>
      <c r="O786" s="100"/>
      <c r="P786" s="97"/>
      <c r="Q786" s="97"/>
      <c r="R786" s="97"/>
      <c r="S786" s="97"/>
      <c r="T786" s="100"/>
      <c r="U786" s="100"/>
      <c r="V786" s="100"/>
      <c r="W786" s="97"/>
      <c r="X786" s="97"/>
      <c r="Y786" s="97"/>
      <c r="Z786" s="97"/>
      <c r="AA786" s="97"/>
      <c r="AB786" s="97"/>
      <c r="AC786" s="97"/>
      <c r="AD786" s="102"/>
      <c r="AE786" s="102"/>
      <c r="AF786" s="102"/>
      <c r="AG786" s="102"/>
      <c r="AH786" s="102"/>
      <c r="AI786" s="102"/>
      <c r="AJ786" s="102"/>
      <c r="AK786" s="102"/>
      <c r="AL786" s="102"/>
      <c r="AM786" s="102"/>
      <c r="AN786" s="102"/>
      <c r="AO786" s="102"/>
      <c r="AP786" s="102"/>
      <c r="AQ786" s="102"/>
      <c r="AR786" s="102"/>
      <c r="AS786" s="102"/>
      <c r="AT786" s="102"/>
    </row>
    <row r="787" ht="15.75" customHeight="1">
      <c r="A787" s="442" t="s">
        <v>116</v>
      </c>
      <c r="B787" s="263" t="s">
        <v>5707</v>
      </c>
      <c r="C787" s="261"/>
      <c r="D787" s="262"/>
      <c r="E787" s="262"/>
      <c r="F787" s="262"/>
      <c r="G787" s="262"/>
      <c r="H787" s="262"/>
      <c r="I787" s="262"/>
      <c r="J787" s="262"/>
      <c r="K787" s="262"/>
      <c r="L787" s="262"/>
      <c r="M787" s="262"/>
      <c r="N787" s="262"/>
      <c r="O787" s="262"/>
      <c r="P787" s="262"/>
      <c r="Q787" s="262"/>
      <c r="R787" s="262"/>
      <c r="S787" s="262"/>
      <c r="T787" s="363" t="s">
        <v>5708</v>
      </c>
      <c r="U787" s="264"/>
      <c r="V787" s="264"/>
      <c r="W787" s="262"/>
      <c r="X787" s="262"/>
      <c r="Y787" s="262"/>
      <c r="Z787" s="262"/>
      <c r="AA787" s="262"/>
      <c r="AB787" s="262"/>
      <c r="AC787" s="262"/>
      <c r="AD787" s="102"/>
      <c r="AE787" s="102"/>
      <c r="AF787" s="102"/>
      <c r="AG787" s="102"/>
      <c r="AH787" s="102"/>
      <c r="AI787" s="102"/>
      <c r="AJ787" s="102"/>
      <c r="AK787" s="102"/>
      <c r="AL787" s="102"/>
      <c r="AM787" s="102"/>
      <c r="AN787" s="102"/>
      <c r="AO787" s="102"/>
      <c r="AP787" s="102"/>
      <c r="AQ787" s="102"/>
      <c r="AR787" s="102"/>
      <c r="AS787" s="102"/>
      <c r="AT787" s="102"/>
    </row>
    <row r="788" ht="15.75" customHeight="1">
      <c r="A788" s="436" t="s">
        <v>299</v>
      </c>
      <c r="B788" s="217" t="s">
        <v>4411</v>
      </c>
      <c r="C788" s="77" t="s">
        <v>4416</v>
      </c>
      <c r="D788" s="77" t="s">
        <v>4417</v>
      </c>
      <c r="E788" s="77" t="s">
        <v>4418</v>
      </c>
      <c r="F788" s="77" t="s">
        <v>5684</v>
      </c>
      <c r="G788" s="77" t="s">
        <v>5685</v>
      </c>
      <c r="H788" s="77" t="s">
        <v>5686</v>
      </c>
      <c r="I788" s="216"/>
      <c r="J788" s="217" t="s">
        <v>5687</v>
      </c>
      <c r="K788" s="229" t="s">
        <v>5688</v>
      </c>
      <c r="L788" s="216"/>
      <c r="M788" s="216"/>
      <c r="N788" s="216"/>
      <c r="O788" s="229" t="s">
        <v>5706</v>
      </c>
      <c r="P788" s="216"/>
      <c r="Q788" s="216" t="s">
        <v>268</v>
      </c>
      <c r="R788" s="216"/>
      <c r="S788" s="216"/>
      <c r="T788" s="216"/>
      <c r="U788" s="216"/>
      <c r="V788" s="216"/>
      <c r="W788" s="216"/>
      <c r="X788" s="216"/>
      <c r="Y788" s="216"/>
      <c r="Z788" s="216"/>
      <c r="AA788" s="216"/>
      <c r="AB788" s="216"/>
      <c r="AC788" s="216"/>
      <c r="AD788" s="102"/>
      <c r="AE788" s="102"/>
      <c r="AF788" s="102"/>
      <c r="AG788" s="102"/>
      <c r="AH788" s="102"/>
      <c r="AI788" s="102"/>
      <c r="AJ788" s="102"/>
      <c r="AK788" s="102"/>
      <c r="AL788" s="102"/>
      <c r="AM788" s="102"/>
      <c r="AN788" s="102"/>
      <c r="AO788" s="102"/>
      <c r="AP788" s="102"/>
      <c r="AQ788" s="102"/>
      <c r="AR788" s="102"/>
      <c r="AS788" s="102"/>
      <c r="AT788" s="102"/>
    </row>
    <row r="789" ht="15.75" customHeight="1">
      <c r="A789" s="437" t="s">
        <v>1430</v>
      </c>
      <c r="B789" s="212" t="s">
        <v>4419</v>
      </c>
      <c r="C789" s="77" t="s">
        <v>4423</v>
      </c>
      <c r="D789" s="77" t="s">
        <v>4424</v>
      </c>
      <c r="E789" s="77" t="s">
        <v>4425</v>
      </c>
      <c r="F789" s="77"/>
      <c r="G789" s="77"/>
      <c r="H789" s="77"/>
      <c r="I789" s="208"/>
      <c r="J789" s="212"/>
      <c r="K789" s="208"/>
      <c r="L789" s="208"/>
      <c r="M789" s="208"/>
      <c r="N789" s="208"/>
      <c r="O789" s="211" t="s">
        <v>5706</v>
      </c>
      <c r="P789" s="208"/>
      <c r="Q789" s="208" t="s">
        <v>268</v>
      </c>
      <c r="R789" s="208"/>
      <c r="S789" s="208"/>
      <c r="T789" s="208"/>
      <c r="U789" s="208"/>
      <c r="V789" s="208"/>
      <c r="W789" s="208"/>
      <c r="X789" s="208"/>
      <c r="Y789" s="208"/>
      <c r="Z789" s="208"/>
      <c r="AA789" s="208"/>
      <c r="AB789" s="208"/>
      <c r="AC789" s="208"/>
      <c r="AD789" s="102"/>
      <c r="AE789" s="102"/>
      <c r="AF789" s="102"/>
      <c r="AG789" s="102"/>
      <c r="AH789" s="102"/>
      <c r="AI789" s="102"/>
      <c r="AJ789" s="102"/>
      <c r="AK789" s="102"/>
      <c r="AL789" s="102"/>
      <c r="AM789" s="102"/>
      <c r="AN789" s="102"/>
      <c r="AO789" s="102"/>
      <c r="AP789" s="102"/>
      <c r="AQ789" s="102"/>
      <c r="AR789" s="102"/>
      <c r="AS789" s="102"/>
      <c r="AT789" s="102"/>
    </row>
    <row r="790" ht="15.75" customHeight="1">
      <c r="A790" s="437" t="s">
        <v>194</v>
      </c>
      <c r="B790" s="212" t="s">
        <v>4426</v>
      </c>
      <c r="C790" s="77" t="s">
        <v>5709</v>
      </c>
      <c r="D790" s="77" t="s">
        <v>5710</v>
      </c>
      <c r="E790" s="77" t="s">
        <v>5711</v>
      </c>
      <c r="F790" s="77"/>
      <c r="G790" s="77"/>
      <c r="H790" s="77"/>
      <c r="I790" s="208"/>
      <c r="J790" s="212"/>
      <c r="K790" s="208"/>
      <c r="L790" s="208"/>
      <c r="M790" s="208"/>
      <c r="N790" s="208"/>
      <c r="O790" s="211" t="s">
        <v>5706</v>
      </c>
      <c r="P790" s="208"/>
      <c r="Q790" s="208" t="s">
        <v>268</v>
      </c>
      <c r="R790" s="208"/>
      <c r="S790" s="208"/>
      <c r="T790" s="208"/>
      <c r="U790" s="208"/>
      <c r="V790" s="208"/>
      <c r="W790" s="208"/>
      <c r="X790" s="208"/>
      <c r="Y790" s="208"/>
      <c r="Z790" s="208"/>
      <c r="AA790" s="208"/>
      <c r="AB790" s="208"/>
      <c r="AC790" s="208"/>
      <c r="AD790" s="102"/>
      <c r="AE790" s="102"/>
      <c r="AF790" s="102"/>
      <c r="AG790" s="102"/>
      <c r="AH790" s="102"/>
      <c r="AI790" s="102"/>
      <c r="AJ790" s="102"/>
      <c r="AK790" s="102"/>
      <c r="AL790" s="102"/>
      <c r="AM790" s="102"/>
      <c r="AN790" s="102"/>
      <c r="AO790" s="102"/>
      <c r="AP790" s="102"/>
      <c r="AQ790" s="102"/>
      <c r="AR790" s="102"/>
      <c r="AS790" s="102"/>
      <c r="AT790" s="102"/>
    </row>
    <row r="791" ht="15.75" customHeight="1">
      <c r="A791" s="443" t="s">
        <v>42</v>
      </c>
      <c r="B791" s="444" t="s">
        <v>4434</v>
      </c>
      <c r="C791" s="77" t="s">
        <v>4438</v>
      </c>
      <c r="D791" s="77" t="s">
        <v>4439</v>
      </c>
      <c r="E791" s="77" t="s">
        <v>4440</v>
      </c>
      <c r="F791" s="77"/>
      <c r="G791" s="77"/>
      <c r="H791" s="77"/>
      <c r="I791" s="445"/>
      <c r="J791" s="445"/>
      <c r="K791" s="445"/>
      <c r="L791" s="445"/>
      <c r="M791" s="445"/>
      <c r="N791" s="445"/>
      <c r="O791" s="287" t="s">
        <v>5712</v>
      </c>
      <c r="P791" s="445"/>
      <c r="Q791" s="445" t="s">
        <v>268</v>
      </c>
      <c r="R791" s="445"/>
      <c r="S791" s="445"/>
      <c r="T791" s="445"/>
      <c r="U791" s="445"/>
      <c r="V791" s="445"/>
      <c r="W791" s="445"/>
      <c r="X791" s="445"/>
      <c r="Y791" s="445"/>
      <c r="Z791" s="445"/>
      <c r="AA791" s="445"/>
      <c r="AB791" s="445"/>
      <c r="AC791" s="445"/>
      <c r="AD791" s="102"/>
      <c r="AE791" s="102"/>
      <c r="AF791" s="102"/>
      <c r="AG791" s="102"/>
      <c r="AH791" s="102"/>
      <c r="AI791" s="102"/>
      <c r="AJ791" s="102"/>
      <c r="AK791" s="102"/>
      <c r="AL791" s="102"/>
      <c r="AM791" s="102"/>
      <c r="AN791" s="102"/>
      <c r="AO791" s="102"/>
      <c r="AP791" s="102"/>
      <c r="AQ791" s="102"/>
      <c r="AR791" s="102"/>
      <c r="AS791" s="102"/>
      <c r="AT791" s="102"/>
    </row>
    <row r="792" ht="15.75" customHeight="1">
      <c r="A792" s="446" t="s">
        <v>4322</v>
      </c>
      <c r="B792" s="447" t="s">
        <v>4441</v>
      </c>
      <c r="C792" s="77" t="s">
        <v>4446</v>
      </c>
      <c r="D792" s="77" t="s">
        <v>4447</v>
      </c>
      <c r="E792" s="77" t="s">
        <v>4448</v>
      </c>
      <c r="F792" s="77"/>
      <c r="G792" s="77"/>
      <c r="H792" s="77"/>
      <c r="I792" s="448"/>
      <c r="J792" s="447"/>
      <c r="K792" s="448"/>
      <c r="L792" s="448"/>
      <c r="M792" s="448"/>
      <c r="N792" s="448"/>
      <c r="O792" s="211" t="s">
        <v>5706</v>
      </c>
      <c r="P792" s="448"/>
      <c r="Q792" s="448" t="s">
        <v>268</v>
      </c>
      <c r="R792" s="448"/>
      <c r="S792" s="448"/>
      <c r="T792" s="448"/>
      <c r="U792" s="448"/>
      <c r="V792" s="448"/>
      <c r="W792" s="448"/>
      <c r="X792" s="448"/>
      <c r="Y792" s="448"/>
      <c r="Z792" s="448"/>
      <c r="AA792" s="448"/>
      <c r="AB792" s="448"/>
      <c r="AC792" s="448"/>
      <c r="AD792" s="102"/>
      <c r="AE792" s="102"/>
      <c r="AF792" s="102"/>
      <c r="AG792" s="102"/>
      <c r="AH792" s="102"/>
      <c r="AI792" s="102"/>
      <c r="AJ792" s="102"/>
      <c r="AK792" s="102"/>
      <c r="AL792" s="102"/>
      <c r="AM792" s="102"/>
      <c r="AN792" s="102"/>
      <c r="AO792" s="102"/>
      <c r="AP792" s="102"/>
      <c r="AQ792" s="102"/>
      <c r="AR792" s="102"/>
      <c r="AS792" s="102"/>
      <c r="AT792" s="102"/>
    </row>
    <row r="793" ht="15.75" customHeight="1">
      <c r="A793" s="449" t="s">
        <v>42</v>
      </c>
      <c r="B793" s="450" t="s">
        <v>4450</v>
      </c>
      <c r="C793" s="77" t="s">
        <v>4454</v>
      </c>
      <c r="D793" s="77" t="s">
        <v>4455</v>
      </c>
      <c r="E793" s="77" t="s">
        <v>4456</v>
      </c>
      <c r="F793" s="77"/>
      <c r="G793" s="77"/>
      <c r="H793" s="77"/>
      <c r="I793" s="449"/>
      <c r="J793" s="449"/>
      <c r="K793" s="449"/>
      <c r="L793" s="449"/>
      <c r="M793" s="449"/>
      <c r="N793" s="449"/>
      <c r="O793" s="451" t="s">
        <v>5713</v>
      </c>
      <c r="P793" s="449"/>
      <c r="Q793" s="449" t="s">
        <v>268</v>
      </c>
      <c r="R793" s="449"/>
      <c r="S793" s="449"/>
      <c r="T793" s="449"/>
      <c r="U793" s="449"/>
      <c r="V793" s="449"/>
      <c r="W793" s="449"/>
      <c r="X793" s="449"/>
      <c r="Y793" s="449"/>
      <c r="Z793" s="449"/>
      <c r="AA793" s="449"/>
      <c r="AB793" s="449"/>
      <c r="AC793" s="449"/>
      <c r="AD793" s="102"/>
      <c r="AE793" s="102"/>
      <c r="AF793" s="102"/>
      <c r="AG793" s="102"/>
      <c r="AH793" s="102"/>
      <c r="AI793" s="102"/>
      <c r="AJ793" s="102"/>
      <c r="AK793" s="102"/>
      <c r="AL793" s="102"/>
      <c r="AM793" s="102"/>
      <c r="AN793" s="102"/>
      <c r="AO793" s="102"/>
      <c r="AP793" s="102"/>
      <c r="AQ793" s="102"/>
      <c r="AR793" s="102"/>
      <c r="AS793" s="102"/>
      <c r="AT793" s="102"/>
    </row>
    <row r="794" ht="15.75" customHeight="1">
      <c r="A794" s="437" t="s">
        <v>194</v>
      </c>
      <c r="B794" s="212" t="s">
        <v>4457</v>
      </c>
      <c r="C794" s="77" t="s">
        <v>4461</v>
      </c>
      <c r="D794" s="77" t="s">
        <v>4462</v>
      </c>
      <c r="E794" s="77" t="s">
        <v>4463</v>
      </c>
      <c r="F794" s="77"/>
      <c r="G794" s="77"/>
      <c r="H794" s="77"/>
      <c r="I794" s="208"/>
      <c r="J794" s="212"/>
      <c r="K794" s="208"/>
      <c r="L794" s="208"/>
      <c r="M794" s="208"/>
      <c r="N794" s="208"/>
      <c r="O794" s="211" t="s">
        <v>5706</v>
      </c>
      <c r="P794" s="208"/>
      <c r="Q794" s="208" t="s">
        <v>268</v>
      </c>
      <c r="R794" s="208"/>
      <c r="S794" s="208"/>
      <c r="T794" s="208"/>
      <c r="U794" s="208"/>
      <c r="V794" s="208"/>
      <c r="W794" s="208"/>
      <c r="X794" s="208"/>
      <c r="Y794" s="208"/>
      <c r="Z794" s="208"/>
      <c r="AA794" s="208"/>
      <c r="AB794" s="208"/>
      <c r="AC794" s="208"/>
      <c r="AD794" s="102"/>
      <c r="AE794" s="102"/>
      <c r="AF794" s="102"/>
      <c r="AG794" s="102"/>
      <c r="AH794" s="102"/>
      <c r="AI794" s="102"/>
      <c r="AJ794" s="102"/>
      <c r="AK794" s="102"/>
      <c r="AL794" s="102"/>
      <c r="AM794" s="102"/>
      <c r="AN794" s="102"/>
      <c r="AO794" s="102"/>
      <c r="AP794" s="102"/>
      <c r="AQ794" s="102"/>
      <c r="AR794" s="102"/>
      <c r="AS794" s="102"/>
      <c r="AT794" s="102"/>
    </row>
    <row r="795" ht="15.75" customHeight="1">
      <c r="A795" s="441" t="s">
        <v>227</v>
      </c>
      <c r="B795" s="98" t="s">
        <v>5714</v>
      </c>
      <c r="C795" s="93" t="s">
        <v>5715</v>
      </c>
      <c r="D795" s="97"/>
      <c r="E795" s="170"/>
      <c r="F795" s="97"/>
      <c r="G795" s="97"/>
      <c r="H795" s="98"/>
      <c r="I795" s="97"/>
      <c r="J795" s="98" t="s">
        <v>3246</v>
      </c>
      <c r="K795" s="97"/>
      <c r="L795" s="97"/>
      <c r="M795" s="98"/>
      <c r="N795" s="98"/>
      <c r="O795" s="236"/>
      <c r="P795" s="97"/>
      <c r="Q795" s="97"/>
      <c r="R795" s="97"/>
      <c r="S795" s="97"/>
      <c r="T795" s="97"/>
      <c r="U795" s="97"/>
      <c r="V795" s="97"/>
      <c r="W795" s="97"/>
      <c r="X795" s="97"/>
      <c r="Y795" s="97"/>
      <c r="Z795" s="97"/>
      <c r="AA795" s="97"/>
      <c r="AB795" s="97"/>
      <c r="AC795" s="97"/>
      <c r="AD795" s="102"/>
      <c r="AE795" s="102"/>
      <c r="AF795" s="102"/>
      <c r="AG795" s="102"/>
      <c r="AH795" s="102"/>
      <c r="AI795" s="102"/>
      <c r="AJ795" s="102"/>
      <c r="AK795" s="102"/>
      <c r="AL795" s="102"/>
      <c r="AM795" s="102"/>
      <c r="AN795" s="102"/>
      <c r="AO795" s="102"/>
      <c r="AP795" s="102"/>
      <c r="AQ795" s="102"/>
      <c r="AR795" s="102"/>
      <c r="AS795" s="102"/>
      <c r="AT795" s="102"/>
    </row>
    <row r="796" ht="15.75" customHeight="1">
      <c r="A796" s="436" t="s">
        <v>299</v>
      </c>
      <c r="B796" s="217" t="s">
        <v>4465</v>
      </c>
      <c r="C796" s="77" t="s">
        <v>4469</v>
      </c>
      <c r="D796" s="77" t="s">
        <v>4470</v>
      </c>
      <c r="E796" s="77" t="s">
        <v>4471</v>
      </c>
      <c r="F796" s="77"/>
      <c r="G796" s="77"/>
      <c r="H796" s="77"/>
      <c r="I796" s="216"/>
      <c r="J796" s="217"/>
      <c r="K796" s="216"/>
      <c r="L796" s="216"/>
      <c r="M796" s="216"/>
      <c r="N796" s="216"/>
      <c r="O796" s="229" t="s">
        <v>5716</v>
      </c>
      <c r="P796" s="216"/>
      <c r="Q796" s="216" t="s">
        <v>268</v>
      </c>
      <c r="R796" s="216"/>
      <c r="S796" s="216"/>
      <c r="T796" s="216"/>
      <c r="U796" s="216"/>
      <c r="V796" s="216"/>
      <c r="W796" s="216"/>
      <c r="X796" s="216"/>
      <c r="Y796" s="216"/>
      <c r="Z796" s="216"/>
      <c r="AA796" s="216"/>
      <c r="AB796" s="216"/>
      <c r="AC796" s="216"/>
      <c r="AD796" s="102"/>
      <c r="AE796" s="102"/>
      <c r="AF796" s="102"/>
      <c r="AG796" s="102"/>
      <c r="AH796" s="102"/>
      <c r="AI796" s="102"/>
      <c r="AJ796" s="102"/>
      <c r="AK796" s="102"/>
      <c r="AL796" s="102"/>
      <c r="AM796" s="102"/>
      <c r="AN796" s="102"/>
      <c r="AO796" s="102"/>
      <c r="AP796" s="102"/>
      <c r="AQ796" s="102"/>
      <c r="AR796" s="102"/>
      <c r="AS796" s="102"/>
      <c r="AT796" s="102"/>
    </row>
    <row r="797" ht="15.75" customHeight="1">
      <c r="A797" s="436" t="s">
        <v>299</v>
      </c>
      <c r="B797" s="217" t="s">
        <v>4472</v>
      </c>
      <c r="C797" s="77" t="s">
        <v>4477</v>
      </c>
      <c r="D797" s="77" t="s">
        <v>4478</v>
      </c>
      <c r="E797" s="77" t="s">
        <v>4479</v>
      </c>
      <c r="F797" s="77"/>
      <c r="G797" s="77"/>
      <c r="H797" s="77"/>
      <c r="I797" s="216"/>
      <c r="J797" s="217"/>
      <c r="K797" s="216"/>
      <c r="L797" s="216"/>
      <c r="M797" s="216"/>
      <c r="N797" s="216"/>
      <c r="O797" s="229" t="s">
        <v>5716</v>
      </c>
      <c r="P797" s="216"/>
      <c r="Q797" s="216" t="s">
        <v>268</v>
      </c>
      <c r="R797" s="216"/>
      <c r="S797" s="216"/>
      <c r="T797" s="216"/>
      <c r="U797" s="216"/>
      <c r="V797" s="216"/>
      <c r="W797" s="216"/>
      <c r="X797" s="216"/>
      <c r="Y797" s="216"/>
      <c r="Z797" s="216"/>
      <c r="AA797" s="216"/>
      <c r="AB797" s="216"/>
      <c r="AC797" s="216"/>
      <c r="AD797" s="102"/>
      <c r="AE797" s="102"/>
      <c r="AF797" s="102"/>
      <c r="AG797" s="102"/>
      <c r="AH797" s="102"/>
      <c r="AI797" s="102"/>
      <c r="AJ797" s="102"/>
      <c r="AK797" s="102"/>
      <c r="AL797" s="102"/>
      <c r="AM797" s="102"/>
      <c r="AN797" s="102"/>
      <c r="AO797" s="102"/>
      <c r="AP797" s="102"/>
      <c r="AQ797" s="102"/>
      <c r="AR797" s="102"/>
      <c r="AS797" s="102"/>
      <c r="AT797" s="102"/>
    </row>
    <row r="798" ht="15.75" customHeight="1">
      <c r="A798" s="441" t="s">
        <v>735</v>
      </c>
      <c r="B798" s="97" t="s">
        <v>5714</v>
      </c>
      <c r="C798" s="96" t="s">
        <v>5715</v>
      </c>
      <c r="D798" s="97"/>
      <c r="E798" s="170"/>
      <c r="F798" s="97"/>
      <c r="G798" s="97"/>
      <c r="H798" s="97"/>
      <c r="I798" s="97"/>
      <c r="J798" s="97"/>
      <c r="K798" s="97"/>
      <c r="L798" s="97"/>
      <c r="M798" s="97"/>
      <c r="N798" s="97"/>
      <c r="O798" s="100"/>
      <c r="P798" s="97"/>
      <c r="Q798" s="97"/>
      <c r="R798" s="97"/>
      <c r="S798" s="97"/>
      <c r="T798" s="100"/>
      <c r="U798" s="100"/>
      <c r="V798" s="100"/>
      <c r="W798" s="97"/>
      <c r="X798" s="97"/>
      <c r="Y798" s="97"/>
      <c r="Z798" s="97"/>
      <c r="AA798" s="97"/>
      <c r="AB798" s="97"/>
      <c r="AC798" s="97"/>
      <c r="AD798" s="102"/>
      <c r="AE798" s="102"/>
      <c r="AF798" s="102"/>
      <c r="AG798" s="102"/>
      <c r="AH798" s="102"/>
      <c r="AI798" s="102"/>
      <c r="AJ798" s="102"/>
      <c r="AK798" s="102"/>
      <c r="AL798" s="102"/>
      <c r="AM798" s="102"/>
      <c r="AN798" s="102"/>
      <c r="AO798" s="102"/>
      <c r="AP798" s="102"/>
      <c r="AQ798" s="102"/>
      <c r="AR798" s="102"/>
      <c r="AS798" s="102"/>
      <c r="AT798" s="102"/>
    </row>
    <row r="799" ht="15.75" customHeight="1">
      <c r="A799" s="442" t="s">
        <v>116</v>
      </c>
      <c r="B799" s="263" t="s">
        <v>5717</v>
      </c>
      <c r="C799" s="261"/>
      <c r="D799" s="262"/>
      <c r="E799" s="262"/>
      <c r="F799" s="262"/>
      <c r="G799" s="262"/>
      <c r="H799" s="262"/>
      <c r="I799" s="262"/>
      <c r="J799" s="262"/>
      <c r="K799" s="262"/>
      <c r="L799" s="262"/>
      <c r="M799" s="262"/>
      <c r="N799" s="262"/>
      <c r="O799" s="262"/>
      <c r="P799" s="262"/>
      <c r="Q799" s="262"/>
      <c r="R799" s="262"/>
      <c r="S799" s="262"/>
      <c r="T799" s="363" t="s">
        <v>5718</v>
      </c>
      <c r="U799" s="264"/>
      <c r="V799" s="264"/>
      <c r="W799" s="262"/>
      <c r="X799" s="262"/>
      <c r="Y799" s="262"/>
      <c r="Z799" s="262"/>
      <c r="AA799" s="262"/>
      <c r="AB799" s="262"/>
      <c r="AC799" s="262"/>
      <c r="AD799" s="102"/>
      <c r="AE799" s="102"/>
      <c r="AF799" s="102"/>
      <c r="AG799" s="102"/>
      <c r="AH799" s="102"/>
      <c r="AI799" s="102"/>
      <c r="AJ799" s="102"/>
      <c r="AK799" s="102"/>
      <c r="AL799" s="102"/>
      <c r="AM799" s="102"/>
      <c r="AN799" s="102"/>
      <c r="AO799" s="102"/>
      <c r="AP799" s="102"/>
      <c r="AQ799" s="102"/>
      <c r="AR799" s="102"/>
      <c r="AS799" s="102"/>
      <c r="AT799" s="102"/>
    </row>
    <row r="800" ht="15.75" customHeight="1">
      <c r="A800" s="436" t="s">
        <v>299</v>
      </c>
      <c r="B800" s="217" t="s">
        <v>4484</v>
      </c>
      <c r="C800" s="77" t="s">
        <v>4488</v>
      </c>
      <c r="D800" s="77" t="s">
        <v>4489</v>
      </c>
      <c r="E800" s="77" t="s">
        <v>4490</v>
      </c>
      <c r="F800" s="77" t="s">
        <v>5684</v>
      </c>
      <c r="G800" s="77" t="s">
        <v>5719</v>
      </c>
      <c r="H800" s="77" t="s">
        <v>5686</v>
      </c>
      <c r="I800" s="216"/>
      <c r="J800" s="217" t="s">
        <v>5687</v>
      </c>
      <c r="K800" s="229" t="s">
        <v>5688</v>
      </c>
      <c r="L800" s="216"/>
      <c r="M800" s="216"/>
      <c r="N800" s="216"/>
      <c r="O800" s="229" t="s">
        <v>5716</v>
      </c>
      <c r="P800" s="216"/>
      <c r="Q800" s="216" t="s">
        <v>268</v>
      </c>
      <c r="R800" s="216"/>
      <c r="S800" s="216"/>
      <c r="T800" s="216"/>
      <c r="U800" s="216"/>
      <c r="V800" s="216"/>
      <c r="W800" s="216"/>
      <c r="X800" s="216"/>
      <c r="Y800" s="216"/>
      <c r="Z800" s="216"/>
      <c r="AA800" s="216"/>
      <c r="AB800" s="216"/>
      <c r="AC800" s="216"/>
      <c r="AD800" s="102"/>
      <c r="AE800" s="102"/>
      <c r="AF800" s="102"/>
      <c r="AG800" s="102"/>
      <c r="AH800" s="102"/>
      <c r="AI800" s="102"/>
      <c r="AJ800" s="102"/>
      <c r="AK800" s="102"/>
      <c r="AL800" s="102"/>
      <c r="AM800" s="102"/>
      <c r="AN800" s="102"/>
      <c r="AO800" s="102"/>
      <c r="AP800" s="102"/>
      <c r="AQ800" s="102"/>
      <c r="AR800" s="102"/>
      <c r="AS800" s="102"/>
      <c r="AT800" s="102"/>
    </row>
    <row r="801" ht="15.75" customHeight="1">
      <c r="A801" s="437" t="s">
        <v>1430</v>
      </c>
      <c r="B801" s="212" t="s">
        <v>4491</v>
      </c>
      <c r="C801" s="77" t="s">
        <v>4493</v>
      </c>
      <c r="D801" s="77" t="s">
        <v>4494</v>
      </c>
      <c r="E801" s="77" t="s">
        <v>4495</v>
      </c>
      <c r="F801" s="77"/>
      <c r="G801" s="77"/>
      <c r="H801" s="77"/>
      <c r="I801" s="208"/>
      <c r="J801" s="212"/>
      <c r="K801" s="208"/>
      <c r="L801" s="208"/>
      <c r="M801" s="208"/>
      <c r="N801" s="208"/>
      <c r="O801" s="211" t="s">
        <v>5716</v>
      </c>
      <c r="P801" s="208"/>
      <c r="Q801" s="208" t="s">
        <v>268</v>
      </c>
      <c r="R801" s="208"/>
      <c r="S801" s="208"/>
      <c r="T801" s="208"/>
      <c r="U801" s="208"/>
      <c r="V801" s="208"/>
      <c r="W801" s="208"/>
      <c r="X801" s="208"/>
      <c r="Y801" s="208"/>
      <c r="Z801" s="208"/>
      <c r="AA801" s="208"/>
      <c r="AB801" s="208"/>
      <c r="AC801" s="208"/>
      <c r="AD801" s="102"/>
      <c r="AE801" s="102"/>
      <c r="AF801" s="102"/>
      <c r="AG801" s="102"/>
      <c r="AH801" s="102"/>
      <c r="AI801" s="102"/>
      <c r="AJ801" s="102"/>
      <c r="AK801" s="102"/>
      <c r="AL801" s="102"/>
      <c r="AM801" s="102"/>
      <c r="AN801" s="102"/>
      <c r="AO801" s="102"/>
      <c r="AP801" s="102"/>
      <c r="AQ801" s="102"/>
      <c r="AR801" s="102"/>
      <c r="AS801" s="102"/>
      <c r="AT801" s="102"/>
    </row>
    <row r="802" ht="15.75" customHeight="1">
      <c r="A802" s="437" t="s">
        <v>194</v>
      </c>
      <c r="B802" s="212" t="s">
        <v>4496</v>
      </c>
      <c r="C802" s="77" t="s">
        <v>5720</v>
      </c>
      <c r="D802" s="77" t="s">
        <v>5721</v>
      </c>
      <c r="E802" s="77" t="s">
        <v>5722</v>
      </c>
      <c r="F802" s="77"/>
      <c r="G802" s="77"/>
      <c r="H802" s="77"/>
      <c r="I802" s="208"/>
      <c r="J802" s="212"/>
      <c r="K802" s="208"/>
      <c r="L802" s="208"/>
      <c r="M802" s="208"/>
      <c r="N802" s="208"/>
      <c r="O802" s="211" t="s">
        <v>5716</v>
      </c>
      <c r="P802" s="208"/>
      <c r="Q802" s="208" t="s">
        <v>268</v>
      </c>
      <c r="R802" s="208"/>
      <c r="S802" s="208"/>
      <c r="T802" s="208"/>
      <c r="U802" s="208"/>
      <c r="V802" s="208"/>
      <c r="W802" s="208"/>
      <c r="X802" s="208"/>
      <c r="Y802" s="208"/>
      <c r="Z802" s="208"/>
      <c r="AA802" s="208"/>
      <c r="AB802" s="208"/>
      <c r="AC802" s="208"/>
      <c r="AD802" s="102"/>
      <c r="AE802" s="102"/>
      <c r="AF802" s="102"/>
      <c r="AG802" s="102"/>
      <c r="AH802" s="102"/>
      <c r="AI802" s="102"/>
      <c r="AJ802" s="102"/>
      <c r="AK802" s="102"/>
      <c r="AL802" s="102"/>
      <c r="AM802" s="102"/>
      <c r="AN802" s="102"/>
      <c r="AO802" s="102"/>
      <c r="AP802" s="102"/>
      <c r="AQ802" s="102"/>
      <c r="AR802" s="102"/>
      <c r="AS802" s="102"/>
      <c r="AT802" s="102"/>
    </row>
    <row r="803" ht="15.75" customHeight="1">
      <c r="A803" s="443" t="s">
        <v>42</v>
      </c>
      <c r="B803" s="444" t="s">
        <v>4503</v>
      </c>
      <c r="C803" s="77" t="s">
        <v>4504</v>
      </c>
      <c r="D803" s="77" t="s">
        <v>4505</v>
      </c>
      <c r="E803" s="77" t="s">
        <v>4506</v>
      </c>
      <c r="F803" s="77"/>
      <c r="G803" s="77"/>
      <c r="H803" s="77"/>
      <c r="I803" s="445"/>
      <c r="J803" s="445"/>
      <c r="K803" s="445"/>
      <c r="L803" s="445"/>
      <c r="M803" s="445"/>
      <c r="N803" s="445"/>
      <c r="O803" s="287" t="s">
        <v>5723</v>
      </c>
      <c r="P803" s="445"/>
      <c r="Q803" s="445" t="s">
        <v>268</v>
      </c>
      <c r="R803" s="445"/>
      <c r="S803" s="445"/>
      <c r="T803" s="445"/>
      <c r="U803" s="445"/>
      <c r="V803" s="445"/>
      <c r="W803" s="445"/>
      <c r="X803" s="445"/>
      <c r="Y803" s="445"/>
      <c r="Z803" s="445"/>
      <c r="AA803" s="445"/>
      <c r="AB803" s="445"/>
      <c r="AC803" s="445"/>
      <c r="AD803" s="102"/>
      <c r="AE803" s="102"/>
      <c r="AF803" s="102"/>
      <c r="AG803" s="102"/>
      <c r="AH803" s="102"/>
      <c r="AI803" s="102"/>
      <c r="AJ803" s="102"/>
      <c r="AK803" s="102"/>
      <c r="AL803" s="102"/>
      <c r="AM803" s="102"/>
      <c r="AN803" s="102"/>
      <c r="AO803" s="102"/>
      <c r="AP803" s="102"/>
      <c r="AQ803" s="102"/>
      <c r="AR803" s="102"/>
      <c r="AS803" s="102"/>
      <c r="AT803" s="102"/>
    </row>
    <row r="804" ht="15.75" customHeight="1">
      <c r="A804" s="446" t="s">
        <v>4322</v>
      </c>
      <c r="B804" s="447" t="s">
        <v>4508</v>
      </c>
      <c r="C804" s="77" t="s">
        <v>4512</v>
      </c>
      <c r="D804" s="77" t="s">
        <v>4513</v>
      </c>
      <c r="E804" s="77" t="s">
        <v>4514</v>
      </c>
      <c r="F804" s="77"/>
      <c r="G804" s="77"/>
      <c r="H804" s="77"/>
      <c r="I804" s="448"/>
      <c r="J804" s="447"/>
      <c r="K804" s="448"/>
      <c r="L804" s="448"/>
      <c r="M804" s="448"/>
      <c r="N804" s="448"/>
      <c r="O804" s="211" t="s">
        <v>5716</v>
      </c>
      <c r="P804" s="448"/>
      <c r="Q804" s="448" t="s">
        <v>268</v>
      </c>
      <c r="R804" s="448"/>
      <c r="S804" s="448"/>
      <c r="T804" s="448"/>
      <c r="U804" s="448"/>
      <c r="V804" s="448"/>
      <c r="W804" s="448"/>
      <c r="X804" s="448"/>
      <c r="Y804" s="448"/>
      <c r="Z804" s="448"/>
      <c r="AA804" s="448"/>
      <c r="AB804" s="448"/>
      <c r="AC804" s="448"/>
      <c r="AD804" s="102"/>
      <c r="AE804" s="102"/>
      <c r="AF804" s="102"/>
      <c r="AG804" s="102"/>
      <c r="AH804" s="102"/>
      <c r="AI804" s="102"/>
      <c r="AJ804" s="102"/>
      <c r="AK804" s="102"/>
      <c r="AL804" s="102"/>
      <c r="AM804" s="102"/>
      <c r="AN804" s="102"/>
      <c r="AO804" s="102"/>
      <c r="AP804" s="102"/>
      <c r="AQ804" s="102"/>
      <c r="AR804" s="102"/>
      <c r="AS804" s="102"/>
      <c r="AT804" s="102"/>
    </row>
    <row r="805" ht="15.75" customHeight="1">
      <c r="A805" s="449" t="s">
        <v>42</v>
      </c>
      <c r="B805" s="450" t="s">
        <v>4515</v>
      </c>
      <c r="C805" s="77" t="s">
        <v>4518</v>
      </c>
      <c r="D805" s="77" t="s">
        <v>4519</v>
      </c>
      <c r="E805" s="77" t="s">
        <v>5724</v>
      </c>
      <c r="F805" s="77"/>
      <c r="G805" s="77"/>
      <c r="H805" s="77"/>
      <c r="I805" s="449"/>
      <c r="J805" s="449"/>
      <c r="K805" s="449"/>
      <c r="L805" s="449"/>
      <c r="M805" s="449"/>
      <c r="N805" s="449"/>
      <c r="O805" s="451" t="s">
        <v>5725</v>
      </c>
      <c r="P805" s="449"/>
      <c r="Q805" s="449" t="s">
        <v>268</v>
      </c>
      <c r="R805" s="449"/>
      <c r="S805" s="449"/>
      <c r="T805" s="449"/>
      <c r="U805" s="449"/>
      <c r="V805" s="449"/>
      <c r="W805" s="449"/>
      <c r="X805" s="449"/>
      <c r="Y805" s="449"/>
      <c r="Z805" s="449"/>
      <c r="AA805" s="449"/>
      <c r="AB805" s="449"/>
      <c r="AC805" s="449"/>
      <c r="AD805" s="102"/>
      <c r="AE805" s="102"/>
      <c r="AF805" s="102"/>
      <c r="AG805" s="102"/>
      <c r="AH805" s="102"/>
      <c r="AI805" s="102"/>
      <c r="AJ805" s="102"/>
      <c r="AK805" s="102"/>
      <c r="AL805" s="102"/>
      <c r="AM805" s="102"/>
      <c r="AN805" s="102"/>
      <c r="AO805" s="102"/>
      <c r="AP805" s="102"/>
      <c r="AQ805" s="102"/>
      <c r="AR805" s="102"/>
      <c r="AS805" s="102"/>
      <c r="AT805" s="102"/>
    </row>
    <row r="806" ht="15.75" customHeight="1">
      <c r="A806" s="441" t="s">
        <v>735</v>
      </c>
      <c r="B806" s="97" t="s">
        <v>5679</v>
      </c>
      <c r="C806" s="96" t="s">
        <v>5680</v>
      </c>
      <c r="D806" s="97" t="s">
        <v>5681</v>
      </c>
      <c r="E806" s="97" t="s">
        <v>5682</v>
      </c>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102"/>
      <c r="AE806" s="102"/>
      <c r="AF806" s="102"/>
      <c r="AG806" s="102"/>
      <c r="AH806" s="102"/>
      <c r="AI806" s="102"/>
      <c r="AJ806" s="102"/>
      <c r="AK806" s="102"/>
      <c r="AL806" s="102"/>
      <c r="AM806" s="102"/>
      <c r="AN806" s="102"/>
      <c r="AO806" s="102"/>
      <c r="AP806" s="102"/>
      <c r="AQ806" s="102"/>
      <c r="AR806" s="102"/>
      <c r="AS806" s="102"/>
      <c r="AT806" s="102"/>
    </row>
    <row r="807" ht="15.75" customHeight="1">
      <c r="A807" s="452"/>
      <c r="B807" s="339"/>
      <c r="C807" s="338"/>
      <c r="D807" s="339"/>
      <c r="E807" s="339"/>
      <c r="F807" s="339"/>
      <c r="G807" s="339"/>
      <c r="H807" s="339"/>
      <c r="I807" s="339"/>
      <c r="J807" s="339"/>
      <c r="K807" s="339"/>
      <c r="L807" s="339"/>
      <c r="M807" s="339"/>
      <c r="N807" s="339"/>
      <c r="O807" s="339"/>
      <c r="P807" s="339"/>
      <c r="Q807" s="339"/>
      <c r="R807" s="339"/>
      <c r="S807" s="339"/>
      <c r="T807" s="339"/>
      <c r="U807" s="339"/>
      <c r="V807" s="339"/>
      <c r="W807" s="339"/>
      <c r="X807" s="339"/>
      <c r="Y807" s="339"/>
      <c r="Z807" s="339"/>
      <c r="AA807" s="339"/>
      <c r="AB807" s="339"/>
      <c r="AC807" s="339"/>
      <c r="AD807" s="102"/>
      <c r="AE807" s="102"/>
      <c r="AF807" s="102"/>
      <c r="AG807" s="102"/>
      <c r="AH807" s="102"/>
      <c r="AI807" s="102"/>
      <c r="AJ807" s="102"/>
      <c r="AK807" s="102"/>
      <c r="AL807" s="102"/>
      <c r="AM807" s="102"/>
      <c r="AN807" s="102"/>
      <c r="AO807" s="102"/>
      <c r="AP807" s="102"/>
      <c r="AQ807" s="102"/>
      <c r="AR807" s="102"/>
      <c r="AS807" s="102"/>
      <c r="AT807" s="102"/>
    </row>
    <row r="808" ht="15.75" customHeight="1">
      <c r="A808" s="441" t="s">
        <v>227</v>
      </c>
      <c r="B808" s="98" t="s">
        <v>5726</v>
      </c>
      <c r="C808" s="93" t="s">
        <v>5727</v>
      </c>
      <c r="D808" s="97" t="s">
        <v>5728</v>
      </c>
      <c r="E808" s="97" t="s">
        <v>5729</v>
      </c>
      <c r="F808" s="97"/>
      <c r="G808" s="97"/>
      <c r="H808" s="97"/>
      <c r="I808" s="97"/>
      <c r="J808" s="98"/>
      <c r="K808" s="97"/>
      <c r="L808" s="97"/>
      <c r="M808" s="98"/>
      <c r="N808" s="98"/>
      <c r="O808" s="98"/>
      <c r="P808" s="97"/>
      <c r="Q808" s="97"/>
      <c r="R808" s="97"/>
      <c r="S808" s="97"/>
      <c r="T808" s="97"/>
      <c r="U808" s="97"/>
      <c r="V808" s="97"/>
      <c r="W808" s="97"/>
      <c r="X808" s="97"/>
      <c r="Y808" s="97"/>
      <c r="Z808" s="97"/>
      <c r="AA808" s="97"/>
      <c r="AB808" s="97"/>
      <c r="AC808" s="97"/>
      <c r="AD808" s="102"/>
      <c r="AE808" s="102"/>
      <c r="AF808" s="102"/>
      <c r="AG808" s="102"/>
      <c r="AH808" s="102"/>
      <c r="AI808" s="102"/>
      <c r="AJ808" s="102"/>
      <c r="AK808" s="102"/>
      <c r="AL808" s="102"/>
      <c r="AM808" s="102"/>
      <c r="AN808" s="102"/>
      <c r="AO808" s="102"/>
      <c r="AP808" s="102"/>
      <c r="AQ808" s="102"/>
      <c r="AR808" s="102"/>
      <c r="AS808" s="102"/>
      <c r="AT808" s="102"/>
    </row>
    <row r="809" ht="15.75" customHeight="1">
      <c r="A809" s="437" t="s">
        <v>4521</v>
      </c>
      <c r="B809" s="212" t="s">
        <v>4522</v>
      </c>
      <c r="C809" s="77" t="s">
        <v>4524</v>
      </c>
      <c r="D809" s="77" t="s">
        <v>4525</v>
      </c>
      <c r="E809" s="77" t="s">
        <v>4526</v>
      </c>
      <c r="F809" s="77"/>
      <c r="G809" s="77"/>
      <c r="H809" s="77"/>
      <c r="I809" s="208"/>
      <c r="J809" s="212"/>
      <c r="K809" s="208"/>
      <c r="L809" s="208"/>
      <c r="M809" s="208"/>
      <c r="N809" s="208"/>
      <c r="O809" s="208"/>
      <c r="P809" s="208"/>
      <c r="Q809" s="208" t="s">
        <v>268</v>
      </c>
      <c r="R809" s="208"/>
      <c r="S809" s="208"/>
      <c r="T809" s="208"/>
      <c r="U809" s="208"/>
      <c r="V809" s="208"/>
      <c r="W809" s="208"/>
      <c r="X809" s="208"/>
      <c r="Y809" s="208"/>
      <c r="Z809" s="208"/>
      <c r="AA809" s="208"/>
      <c r="AB809" s="208"/>
      <c r="AC809" s="208"/>
      <c r="AD809" s="102"/>
      <c r="AE809" s="102"/>
      <c r="AF809" s="102"/>
      <c r="AG809" s="102"/>
      <c r="AH809" s="102"/>
      <c r="AI809" s="102"/>
      <c r="AJ809" s="102"/>
      <c r="AK809" s="102"/>
      <c r="AL809" s="102"/>
      <c r="AM809" s="102"/>
      <c r="AN809" s="102"/>
      <c r="AO809" s="102"/>
      <c r="AP809" s="102"/>
      <c r="AQ809" s="102"/>
      <c r="AR809" s="102"/>
      <c r="AS809" s="102"/>
      <c r="AT809" s="102"/>
    </row>
    <row r="810" ht="15.75" customHeight="1">
      <c r="A810" s="437" t="s">
        <v>4527</v>
      </c>
      <c r="B810" s="212" t="s">
        <v>4528</v>
      </c>
      <c r="C810" s="77" t="s">
        <v>4532</v>
      </c>
      <c r="D810" s="77" t="s">
        <v>4533</v>
      </c>
      <c r="E810" s="77" t="s">
        <v>4534</v>
      </c>
      <c r="F810" s="77"/>
      <c r="G810" s="77"/>
      <c r="H810" s="77"/>
      <c r="I810" s="208"/>
      <c r="J810" s="212"/>
      <c r="K810" s="208"/>
      <c r="L810" s="208"/>
      <c r="M810" s="208"/>
      <c r="N810" s="208"/>
      <c r="O810" s="208"/>
      <c r="P810" s="208"/>
      <c r="Q810" s="208" t="s">
        <v>268</v>
      </c>
      <c r="R810" s="208"/>
      <c r="S810" s="208"/>
      <c r="T810" s="208"/>
      <c r="U810" s="208"/>
      <c r="V810" s="208"/>
      <c r="W810" s="208"/>
      <c r="X810" s="208"/>
      <c r="Y810" s="208"/>
      <c r="Z810" s="208"/>
      <c r="AA810" s="208"/>
      <c r="AB810" s="208"/>
      <c r="AC810" s="208"/>
      <c r="AD810" s="102"/>
      <c r="AE810" s="102"/>
      <c r="AF810" s="102"/>
      <c r="AG810" s="102"/>
      <c r="AH810" s="102"/>
      <c r="AI810" s="102"/>
      <c r="AJ810" s="102"/>
      <c r="AK810" s="102"/>
      <c r="AL810" s="102"/>
      <c r="AM810" s="102"/>
      <c r="AN810" s="102"/>
      <c r="AO810" s="102"/>
      <c r="AP810" s="102"/>
      <c r="AQ810" s="102"/>
      <c r="AR810" s="102"/>
      <c r="AS810" s="102"/>
      <c r="AT810" s="102"/>
    </row>
    <row r="811" ht="15.75" customHeight="1">
      <c r="A811" s="437" t="s">
        <v>4535</v>
      </c>
      <c r="B811" s="212" t="s">
        <v>4536</v>
      </c>
      <c r="C811" s="77" t="s">
        <v>4540</v>
      </c>
      <c r="D811" s="77" t="s">
        <v>4541</v>
      </c>
      <c r="E811" s="77" t="s">
        <v>4542</v>
      </c>
      <c r="F811" s="77"/>
      <c r="G811" s="77"/>
      <c r="H811" s="77"/>
      <c r="I811" s="208"/>
      <c r="J811" s="212"/>
      <c r="K811" s="208"/>
      <c r="L811" s="208"/>
      <c r="M811" s="208"/>
      <c r="N811" s="208"/>
      <c r="O811" s="208"/>
      <c r="P811" s="208"/>
      <c r="Q811" s="208" t="s">
        <v>268</v>
      </c>
      <c r="R811" s="208"/>
      <c r="S811" s="208"/>
      <c r="T811" s="208"/>
      <c r="U811" s="208"/>
      <c r="V811" s="208"/>
      <c r="W811" s="208"/>
      <c r="X811" s="208"/>
      <c r="Y811" s="208"/>
      <c r="Z811" s="208"/>
      <c r="AA811" s="208"/>
      <c r="AB811" s="208"/>
      <c r="AC811" s="208"/>
      <c r="AD811" s="102"/>
      <c r="AE811" s="102"/>
      <c r="AF811" s="102"/>
      <c r="AG811" s="102"/>
      <c r="AH811" s="102"/>
      <c r="AI811" s="102"/>
      <c r="AJ811" s="102"/>
      <c r="AK811" s="102"/>
      <c r="AL811" s="102"/>
      <c r="AM811" s="102"/>
      <c r="AN811" s="102"/>
      <c r="AO811" s="102"/>
      <c r="AP811" s="102"/>
      <c r="AQ811" s="102"/>
      <c r="AR811" s="102"/>
      <c r="AS811" s="102"/>
      <c r="AT811" s="102"/>
    </row>
    <row r="812" ht="15.75" customHeight="1">
      <c r="A812" s="437" t="s">
        <v>4543</v>
      </c>
      <c r="B812" s="212" t="s">
        <v>4544</v>
      </c>
      <c r="C812" s="77" t="s">
        <v>4548</v>
      </c>
      <c r="D812" s="77" t="s">
        <v>4549</v>
      </c>
      <c r="E812" s="77" t="s">
        <v>4550</v>
      </c>
      <c r="F812" s="77"/>
      <c r="G812" s="77"/>
      <c r="H812" s="77"/>
      <c r="I812" s="208"/>
      <c r="J812" s="212"/>
      <c r="K812" s="208"/>
      <c r="L812" s="208"/>
      <c r="M812" s="208"/>
      <c r="N812" s="208"/>
      <c r="O812" s="208"/>
      <c r="P812" s="208"/>
      <c r="Q812" s="208" t="s">
        <v>268</v>
      </c>
      <c r="R812" s="208"/>
      <c r="S812" s="208"/>
      <c r="T812" s="208"/>
      <c r="U812" s="208"/>
      <c r="V812" s="208"/>
      <c r="W812" s="208"/>
      <c r="X812" s="208"/>
      <c r="Y812" s="208"/>
      <c r="Z812" s="208"/>
      <c r="AA812" s="208"/>
      <c r="AB812" s="208"/>
      <c r="AC812" s="208"/>
      <c r="AD812" s="102"/>
      <c r="AE812" s="102"/>
      <c r="AF812" s="102"/>
      <c r="AG812" s="102"/>
      <c r="AH812" s="102"/>
      <c r="AI812" s="102"/>
      <c r="AJ812" s="102"/>
      <c r="AK812" s="102"/>
      <c r="AL812" s="102"/>
      <c r="AM812" s="102"/>
      <c r="AN812" s="102"/>
      <c r="AO812" s="102"/>
      <c r="AP812" s="102"/>
      <c r="AQ812" s="102"/>
      <c r="AR812" s="102"/>
      <c r="AS812" s="102"/>
      <c r="AT812" s="102"/>
    </row>
    <row r="813" ht="15.75" customHeight="1">
      <c r="A813" s="436" t="s">
        <v>299</v>
      </c>
      <c r="B813" s="217" t="s">
        <v>4551</v>
      </c>
      <c r="C813" s="77" t="s">
        <v>4555</v>
      </c>
      <c r="D813" s="77" t="s">
        <v>4556</v>
      </c>
      <c r="E813" s="77" t="s">
        <v>5730</v>
      </c>
      <c r="F813" s="77"/>
      <c r="G813" s="77" t="s">
        <v>5731</v>
      </c>
      <c r="H813" s="77"/>
      <c r="I813" s="216"/>
      <c r="J813" s="217"/>
      <c r="K813" s="216"/>
      <c r="L813" s="216"/>
      <c r="M813" s="216"/>
      <c r="N813" s="216"/>
      <c r="O813" s="216"/>
      <c r="P813" s="216"/>
      <c r="Q813" s="216"/>
      <c r="R813" s="216"/>
      <c r="S813" s="216"/>
      <c r="T813" s="216"/>
      <c r="U813" s="216"/>
      <c r="V813" s="216"/>
      <c r="W813" s="216"/>
      <c r="X813" s="216"/>
      <c r="Y813" s="216"/>
      <c r="Z813" s="216"/>
      <c r="AA813" s="216"/>
      <c r="AB813" s="219"/>
      <c r="AC813" s="219"/>
      <c r="AD813" s="102"/>
      <c r="AE813" s="102"/>
      <c r="AF813" s="102"/>
      <c r="AG813" s="102"/>
      <c r="AH813" s="102"/>
      <c r="AI813" s="102"/>
      <c r="AJ813" s="102"/>
      <c r="AK813" s="102"/>
      <c r="AL813" s="102"/>
      <c r="AM813" s="102"/>
      <c r="AN813" s="102"/>
      <c r="AO813" s="102"/>
      <c r="AP813" s="102"/>
      <c r="AQ813" s="102"/>
      <c r="AR813" s="102"/>
      <c r="AS813" s="102"/>
      <c r="AT813" s="102"/>
    </row>
    <row r="814" ht="15.75" customHeight="1">
      <c r="A814" s="453" t="s">
        <v>1192</v>
      </c>
      <c r="B814" s="454" t="s">
        <v>5732</v>
      </c>
      <c r="C814" s="455" t="s">
        <v>5733</v>
      </c>
      <c r="D814" s="456" t="s">
        <v>5734</v>
      </c>
      <c r="E814" s="456" t="s">
        <v>5735</v>
      </c>
      <c r="F814" s="457" t="s">
        <v>5736</v>
      </c>
      <c r="G814" s="458" t="s">
        <v>5737</v>
      </c>
      <c r="H814" s="459"/>
      <c r="I814" s="456"/>
      <c r="J814" s="456"/>
      <c r="K814" s="456"/>
      <c r="L814" s="456"/>
      <c r="M814" s="456"/>
      <c r="N814" s="456"/>
      <c r="O814" s="456"/>
      <c r="P814" s="456"/>
      <c r="Q814" s="456"/>
      <c r="R814" s="456"/>
      <c r="S814" s="456"/>
      <c r="T814" s="456"/>
      <c r="U814" s="456"/>
      <c r="V814" s="456"/>
      <c r="W814" s="456"/>
      <c r="X814" s="456"/>
      <c r="Y814" s="456"/>
      <c r="Z814" s="456"/>
      <c r="AA814" s="456"/>
      <c r="AB814" s="456"/>
      <c r="AC814" s="456"/>
      <c r="AD814" s="102"/>
      <c r="AE814" s="102"/>
      <c r="AF814" s="102"/>
      <c r="AG814" s="102"/>
      <c r="AH814" s="102"/>
      <c r="AI814" s="102"/>
      <c r="AJ814" s="102"/>
      <c r="AK814" s="102"/>
      <c r="AL814" s="102"/>
      <c r="AM814" s="102"/>
      <c r="AN814" s="102"/>
      <c r="AO814" s="102"/>
      <c r="AP814" s="102"/>
      <c r="AQ814" s="102"/>
      <c r="AR814" s="102"/>
      <c r="AS814" s="102"/>
      <c r="AT814" s="102"/>
    </row>
    <row r="815" ht="15.75" customHeight="1">
      <c r="A815" s="90" t="s">
        <v>183</v>
      </c>
      <c r="B815" s="91" t="s">
        <v>5738</v>
      </c>
      <c r="C815" s="93"/>
      <c r="D815" s="96"/>
      <c r="E815" s="96"/>
      <c r="F815" s="97"/>
      <c r="G815" s="97"/>
      <c r="H815" s="97"/>
      <c r="I815" s="97"/>
      <c r="J815" s="98"/>
      <c r="K815" s="97"/>
      <c r="L815" s="97"/>
      <c r="M815" s="98"/>
      <c r="N815" s="98"/>
      <c r="O815" s="99"/>
      <c r="P815" s="100"/>
      <c r="Q815" s="100"/>
      <c r="R815" s="100"/>
      <c r="S815" s="97"/>
      <c r="T815" s="101" t="s">
        <v>211</v>
      </c>
      <c r="U815" s="97"/>
      <c r="V815" s="97"/>
      <c r="W815" s="97"/>
      <c r="X815" s="97"/>
      <c r="Y815" s="97"/>
      <c r="Z815" s="97"/>
      <c r="AA815" s="97"/>
      <c r="AB815" s="97"/>
      <c r="AC815" s="97"/>
      <c r="AD815" s="102"/>
      <c r="AE815" s="102"/>
      <c r="AF815" s="102"/>
      <c r="AG815" s="102"/>
      <c r="AH815" s="102"/>
      <c r="AI815" s="102"/>
      <c r="AJ815" s="102"/>
      <c r="AK815" s="102"/>
      <c r="AL815" s="102"/>
      <c r="AM815" s="102"/>
      <c r="AN815" s="102"/>
      <c r="AO815" s="102"/>
      <c r="AP815" s="102"/>
      <c r="AQ815" s="102"/>
      <c r="AR815" s="102"/>
      <c r="AS815" s="102"/>
      <c r="AT815" s="102"/>
    </row>
    <row r="816" ht="15.75" customHeight="1">
      <c r="A816" s="76" t="s">
        <v>116</v>
      </c>
      <c r="B816" s="76" t="s">
        <v>5739</v>
      </c>
      <c r="C816" s="77"/>
      <c r="D816" s="37"/>
      <c r="E816" s="37"/>
      <c r="F816" s="37"/>
      <c r="G816" s="37"/>
      <c r="H816" s="37"/>
      <c r="I816" s="37"/>
      <c r="J816" s="37"/>
      <c r="K816" s="37"/>
      <c r="L816" s="37"/>
      <c r="M816" s="37"/>
      <c r="N816" s="37"/>
      <c r="O816" s="76"/>
      <c r="P816" s="37"/>
      <c r="Q816" s="37"/>
      <c r="R816" s="37"/>
      <c r="S816" s="37"/>
      <c r="T816" s="76" t="s">
        <v>5740</v>
      </c>
      <c r="U816" s="37"/>
      <c r="V816" s="37"/>
      <c r="W816" s="37"/>
      <c r="X816" s="37"/>
      <c r="Y816" s="37"/>
      <c r="Z816" s="37"/>
      <c r="AA816" s="37"/>
      <c r="AB816" s="37"/>
      <c r="AC816" s="37"/>
      <c r="AD816" s="49"/>
      <c r="AE816" s="49"/>
      <c r="AF816" s="49"/>
      <c r="AG816" s="49"/>
      <c r="AH816" s="49"/>
      <c r="AI816" s="49"/>
      <c r="AJ816" s="49"/>
      <c r="AK816" s="49"/>
      <c r="AL816" s="49"/>
      <c r="AM816" s="49"/>
      <c r="AN816" s="49"/>
      <c r="AO816" s="49"/>
      <c r="AP816" s="49"/>
      <c r="AQ816" s="49"/>
      <c r="AR816" s="49"/>
      <c r="AS816" s="49"/>
      <c r="AT816" s="49"/>
    </row>
    <row r="817" ht="15.75" customHeight="1">
      <c r="A817" s="441" t="s">
        <v>735</v>
      </c>
      <c r="B817" s="97" t="s">
        <v>5726</v>
      </c>
      <c r="C817" s="96" t="s">
        <v>5727</v>
      </c>
      <c r="D817" s="97" t="s">
        <v>5728</v>
      </c>
      <c r="E817" s="97" t="s">
        <v>5741</v>
      </c>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102"/>
      <c r="AE817" s="102"/>
      <c r="AF817" s="102"/>
      <c r="AG817" s="102"/>
      <c r="AH817" s="102"/>
      <c r="AI817" s="102"/>
      <c r="AJ817" s="102"/>
      <c r="AK817" s="102"/>
      <c r="AL817" s="102"/>
      <c r="AM817" s="102"/>
      <c r="AN817" s="102"/>
      <c r="AO817" s="102"/>
      <c r="AP817" s="102"/>
      <c r="AQ817" s="102"/>
      <c r="AR817" s="102"/>
      <c r="AS817" s="102"/>
      <c r="AT817" s="102"/>
    </row>
    <row r="818" ht="15.75" customHeight="1">
      <c r="A818" s="452"/>
      <c r="B818" s="339"/>
      <c r="C818" s="338"/>
      <c r="D818" s="339"/>
      <c r="E818" s="339"/>
      <c r="F818" s="339"/>
      <c r="G818" s="339"/>
      <c r="H818" s="339"/>
      <c r="I818" s="339"/>
      <c r="J818" s="339"/>
      <c r="K818" s="339"/>
      <c r="L818" s="339"/>
      <c r="M818" s="339"/>
      <c r="N818" s="339"/>
      <c r="O818" s="339"/>
      <c r="P818" s="339"/>
      <c r="Q818" s="339"/>
      <c r="R818" s="339"/>
      <c r="S818" s="339"/>
      <c r="T818" s="339"/>
      <c r="U818" s="339"/>
      <c r="V818" s="339"/>
      <c r="W818" s="339"/>
      <c r="X818" s="339"/>
      <c r="Y818" s="339"/>
      <c r="Z818" s="339"/>
      <c r="AA818" s="339"/>
      <c r="AB818" s="339"/>
      <c r="AC818" s="339"/>
      <c r="AD818" s="102"/>
      <c r="AE818" s="102"/>
      <c r="AF818" s="102"/>
      <c r="AG818" s="102"/>
      <c r="AH818" s="102"/>
      <c r="AI818" s="102"/>
      <c r="AJ818" s="102"/>
      <c r="AK818" s="102"/>
      <c r="AL818" s="102"/>
      <c r="AM818" s="102"/>
      <c r="AN818" s="102"/>
      <c r="AO818" s="102"/>
      <c r="AP818" s="102"/>
      <c r="AQ818" s="102"/>
      <c r="AR818" s="102"/>
      <c r="AS818" s="102"/>
      <c r="AT818" s="102"/>
    </row>
    <row r="819" ht="15.75" customHeight="1">
      <c r="A819" s="441" t="s">
        <v>735</v>
      </c>
      <c r="B819" s="97" t="s">
        <v>1858</v>
      </c>
      <c r="C819" s="96"/>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102"/>
      <c r="AE819" s="102"/>
      <c r="AF819" s="102"/>
      <c r="AG819" s="102"/>
      <c r="AH819" s="102"/>
      <c r="AI819" s="102"/>
      <c r="AJ819" s="102"/>
      <c r="AK819" s="102"/>
      <c r="AL819" s="102"/>
      <c r="AM819" s="102"/>
      <c r="AN819" s="102"/>
      <c r="AO819" s="102"/>
      <c r="AP819" s="102"/>
      <c r="AQ819" s="102"/>
      <c r="AR819" s="102"/>
      <c r="AS819" s="102"/>
      <c r="AT819" s="102"/>
    </row>
    <row r="820" ht="15.75" customHeight="1">
      <c r="A820" s="434" t="s">
        <v>42</v>
      </c>
      <c r="B820" s="435" t="s">
        <v>4558</v>
      </c>
      <c r="C820" s="77" t="s">
        <v>4560</v>
      </c>
      <c r="D820" s="77" t="s">
        <v>4561</v>
      </c>
      <c r="E820" s="77" t="s">
        <v>4562</v>
      </c>
      <c r="F820" s="77"/>
      <c r="G820" s="77"/>
      <c r="H820" s="77"/>
      <c r="I820" s="200"/>
      <c r="J820" s="200"/>
      <c r="K820" s="200"/>
      <c r="L820" s="200"/>
      <c r="M820" s="200"/>
      <c r="N820" s="200"/>
      <c r="O820" s="200"/>
      <c r="P820" s="200"/>
      <c r="Q820" s="200"/>
      <c r="R820" s="200"/>
      <c r="S820" s="200"/>
      <c r="T820" s="200"/>
      <c r="U820" s="200"/>
      <c r="V820" s="200"/>
      <c r="W820" s="200"/>
      <c r="X820" s="200"/>
      <c r="Y820" s="200"/>
      <c r="Z820" s="200"/>
      <c r="AA820" s="200"/>
      <c r="AB820" s="200"/>
      <c r="AC820" s="200"/>
      <c r="AD820" s="102"/>
      <c r="AE820" s="102"/>
      <c r="AF820" s="102"/>
      <c r="AG820" s="102"/>
      <c r="AH820" s="102"/>
      <c r="AI820" s="102"/>
      <c r="AJ820" s="102"/>
      <c r="AK820" s="102"/>
      <c r="AL820" s="102"/>
      <c r="AM820" s="102"/>
      <c r="AN820" s="102"/>
      <c r="AO820" s="102"/>
      <c r="AP820" s="102"/>
      <c r="AQ820" s="102"/>
      <c r="AR820" s="102"/>
      <c r="AS820" s="102"/>
      <c r="AT820" s="102"/>
    </row>
    <row r="821" ht="15.75" customHeight="1">
      <c r="A821" s="76" t="s">
        <v>735</v>
      </c>
      <c r="B821" s="185" t="s">
        <v>1431</v>
      </c>
      <c r="C821" s="338"/>
      <c r="D821" s="339"/>
      <c r="E821" s="339"/>
      <c r="F821" s="339"/>
      <c r="G821" s="339"/>
      <c r="H821" s="339"/>
      <c r="I821" s="339"/>
      <c r="J821" s="339"/>
      <c r="K821" s="339"/>
      <c r="L821" s="339"/>
      <c r="M821" s="339"/>
      <c r="N821" s="339"/>
      <c r="O821" s="339"/>
      <c r="P821" s="339"/>
      <c r="Q821" s="339"/>
      <c r="R821" s="339"/>
      <c r="S821" s="339"/>
      <c r="T821" s="339"/>
      <c r="U821" s="339"/>
      <c r="V821" s="339"/>
      <c r="W821" s="339"/>
      <c r="X821" s="339"/>
      <c r="Y821" s="339"/>
      <c r="Z821" s="339"/>
      <c r="AA821" s="339"/>
      <c r="AB821" s="339"/>
      <c r="AC821" s="339"/>
      <c r="AD821" s="102"/>
      <c r="AE821" s="102"/>
      <c r="AF821" s="102"/>
      <c r="AG821" s="102"/>
      <c r="AH821" s="102"/>
      <c r="AI821" s="102"/>
      <c r="AJ821" s="102"/>
      <c r="AK821" s="102"/>
      <c r="AL821" s="102"/>
      <c r="AM821" s="102"/>
      <c r="AN821" s="102"/>
      <c r="AO821" s="102"/>
      <c r="AP821" s="102"/>
      <c r="AQ821" s="102"/>
      <c r="AR821" s="102"/>
      <c r="AS821" s="102"/>
      <c r="AT821" s="102"/>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c r="AE822" s="165"/>
      <c r="AF822" s="165"/>
      <c r="AG822" s="165"/>
      <c r="AH822" s="165"/>
      <c r="AI822" s="165"/>
      <c r="AJ822" s="165"/>
      <c r="AK822" s="165"/>
      <c r="AL822" s="165"/>
      <c r="AM822" s="165"/>
      <c r="AN822" s="165"/>
      <c r="AO822" s="165"/>
      <c r="AP822" s="165"/>
      <c r="AQ822" s="165"/>
      <c r="AR822" s="165"/>
      <c r="AS822" s="165"/>
      <c r="AT822" s="165"/>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c r="AE823" s="165"/>
      <c r="AF823" s="165"/>
      <c r="AG823" s="165"/>
      <c r="AH823" s="165"/>
      <c r="AI823" s="165"/>
      <c r="AJ823" s="165"/>
      <c r="AK823" s="165"/>
      <c r="AL823" s="165"/>
      <c r="AM823" s="165"/>
      <c r="AN823" s="165"/>
      <c r="AO823" s="165"/>
      <c r="AP823" s="165"/>
      <c r="AQ823" s="165"/>
      <c r="AR823" s="165"/>
      <c r="AS823" s="165"/>
      <c r="AT823" s="165"/>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c r="AE824" s="165"/>
      <c r="AF824" s="165"/>
      <c r="AG824" s="165"/>
      <c r="AH824" s="165"/>
      <c r="AI824" s="165"/>
      <c r="AJ824" s="165"/>
      <c r="AK824" s="165"/>
      <c r="AL824" s="165"/>
      <c r="AM824" s="165"/>
      <c r="AN824" s="165"/>
      <c r="AO824" s="165"/>
      <c r="AP824" s="165"/>
      <c r="AQ824" s="165"/>
      <c r="AR824" s="165"/>
      <c r="AS824" s="165"/>
      <c r="AT824" s="165"/>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c r="AE825" s="165"/>
      <c r="AF825" s="165"/>
      <c r="AG825" s="165"/>
      <c r="AH825" s="165"/>
      <c r="AI825" s="165"/>
      <c r="AJ825" s="165"/>
      <c r="AK825" s="165"/>
      <c r="AL825" s="165"/>
      <c r="AM825" s="165"/>
      <c r="AN825" s="165"/>
      <c r="AO825" s="165"/>
      <c r="AP825" s="165"/>
      <c r="AQ825" s="165"/>
      <c r="AR825" s="165"/>
      <c r="AS825" s="165"/>
      <c r="AT825" s="165"/>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c r="AE826" s="165"/>
      <c r="AF826" s="165"/>
      <c r="AG826" s="165"/>
      <c r="AH826" s="165"/>
      <c r="AI826" s="165"/>
      <c r="AJ826" s="165"/>
      <c r="AK826" s="165"/>
      <c r="AL826" s="165"/>
      <c r="AM826" s="165"/>
      <c r="AN826" s="165"/>
      <c r="AO826" s="165"/>
      <c r="AP826" s="165"/>
      <c r="AQ826" s="165"/>
      <c r="AR826" s="165"/>
      <c r="AS826" s="165"/>
      <c r="AT826" s="165"/>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c r="AE827" s="165"/>
      <c r="AF827" s="165"/>
      <c r="AG827" s="165"/>
      <c r="AH827" s="165"/>
      <c r="AI827" s="165"/>
      <c r="AJ827" s="165"/>
      <c r="AK827" s="165"/>
      <c r="AL827" s="165"/>
      <c r="AM827" s="165"/>
      <c r="AN827" s="165"/>
      <c r="AO827" s="165"/>
      <c r="AP827" s="165"/>
      <c r="AQ827" s="165"/>
      <c r="AR827" s="165"/>
      <c r="AS827" s="165"/>
      <c r="AT827" s="165"/>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c r="AE828" s="165"/>
      <c r="AF828" s="165"/>
      <c r="AG828" s="165"/>
      <c r="AH828" s="165"/>
      <c r="AI828" s="165"/>
      <c r="AJ828" s="165"/>
      <c r="AK828" s="165"/>
      <c r="AL828" s="165"/>
      <c r="AM828" s="165"/>
      <c r="AN828" s="165"/>
      <c r="AO828" s="165"/>
      <c r="AP828" s="165"/>
      <c r="AQ828" s="165"/>
      <c r="AR828" s="165"/>
      <c r="AS828" s="165"/>
      <c r="AT828" s="165"/>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c r="AE829" s="165"/>
      <c r="AF829" s="165"/>
      <c r="AG829" s="165"/>
      <c r="AH829" s="165"/>
      <c r="AI829" s="165"/>
      <c r="AJ829" s="165"/>
      <c r="AK829" s="165"/>
      <c r="AL829" s="165"/>
      <c r="AM829" s="165"/>
      <c r="AN829" s="165"/>
      <c r="AO829" s="165"/>
      <c r="AP829" s="165"/>
      <c r="AQ829" s="165"/>
      <c r="AR829" s="165"/>
      <c r="AS829" s="165"/>
      <c r="AT829" s="165"/>
    </row>
    <row r="830" ht="15.75" customHeight="1">
      <c r="A830" s="37"/>
      <c r="B830" s="37"/>
      <c r="C830" s="39"/>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49"/>
      <c r="AE830" s="49"/>
      <c r="AF830" s="49"/>
      <c r="AG830" s="49"/>
      <c r="AH830" s="49"/>
      <c r="AI830" s="49"/>
      <c r="AJ830" s="49"/>
      <c r="AK830" s="49"/>
      <c r="AL830" s="49"/>
      <c r="AM830" s="49"/>
      <c r="AN830" s="49"/>
      <c r="AO830" s="49"/>
      <c r="AP830" s="49"/>
      <c r="AQ830" s="49"/>
      <c r="AR830" s="49"/>
      <c r="AS830" s="49"/>
      <c r="AT830" s="49"/>
    </row>
    <row r="831" ht="15.75" customHeight="1">
      <c r="A831" s="37"/>
      <c r="B831" s="37"/>
      <c r="C831" s="39"/>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49"/>
      <c r="AE831" s="49"/>
      <c r="AF831" s="49"/>
      <c r="AG831" s="49"/>
      <c r="AH831" s="49"/>
      <c r="AI831" s="49"/>
      <c r="AJ831" s="49"/>
      <c r="AK831" s="49"/>
      <c r="AL831" s="49"/>
      <c r="AM831" s="49"/>
      <c r="AN831" s="49"/>
      <c r="AO831" s="49"/>
      <c r="AP831" s="49"/>
      <c r="AQ831" s="49"/>
      <c r="AR831" s="49"/>
      <c r="AS831" s="49"/>
      <c r="AT831" s="49"/>
    </row>
    <row r="832" ht="15.75" customHeight="1">
      <c r="A832" s="37"/>
      <c r="B832" s="37"/>
      <c r="C832" s="39"/>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49"/>
      <c r="AE832" s="49"/>
      <c r="AF832" s="49"/>
      <c r="AG832" s="49"/>
      <c r="AH832" s="49"/>
      <c r="AI832" s="49"/>
      <c r="AJ832" s="49"/>
      <c r="AK832" s="49"/>
      <c r="AL832" s="49"/>
      <c r="AM832" s="49"/>
      <c r="AN832" s="49"/>
      <c r="AO832" s="49"/>
      <c r="AP832" s="49"/>
      <c r="AQ832" s="49"/>
      <c r="AR832" s="49"/>
      <c r="AS832" s="49"/>
      <c r="AT832" s="49"/>
    </row>
    <row r="833" ht="15.75" customHeight="1">
      <c r="A833" s="37"/>
      <c r="B833" s="37"/>
      <c r="C833" s="39"/>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49"/>
      <c r="AE833" s="49"/>
      <c r="AF833" s="49"/>
      <c r="AG833" s="49"/>
      <c r="AH833" s="49"/>
      <c r="AI833" s="49"/>
      <c r="AJ833" s="49"/>
      <c r="AK833" s="49"/>
      <c r="AL833" s="49"/>
      <c r="AM833" s="49"/>
      <c r="AN833" s="49"/>
      <c r="AO833" s="49"/>
      <c r="AP833" s="49"/>
      <c r="AQ833" s="49"/>
      <c r="AR833" s="49"/>
      <c r="AS833" s="49"/>
      <c r="AT833" s="49"/>
    </row>
    <row r="834" ht="15.75" customHeight="1">
      <c r="A834" s="37"/>
      <c r="B834" s="37"/>
      <c r="C834" s="39"/>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49"/>
      <c r="AE834" s="49"/>
      <c r="AF834" s="49"/>
      <c r="AG834" s="49"/>
      <c r="AH834" s="49"/>
      <c r="AI834" s="49"/>
      <c r="AJ834" s="49"/>
      <c r="AK834" s="49"/>
      <c r="AL834" s="49"/>
      <c r="AM834" s="49"/>
      <c r="AN834" s="49"/>
      <c r="AO834" s="49"/>
      <c r="AP834" s="49"/>
      <c r="AQ834" s="49"/>
      <c r="AR834" s="49"/>
      <c r="AS834" s="49"/>
      <c r="AT834" s="49"/>
    </row>
    <row r="835" ht="15.75" customHeight="1">
      <c r="A835" s="37"/>
      <c r="B835" s="37"/>
      <c r="C835" s="39"/>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49"/>
      <c r="AE835" s="49"/>
      <c r="AF835" s="49"/>
      <c r="AG835" s="49"/>
      <c r="AH835" s="49"/>
      <c r="AI835" s="49"/>
      <c r="AJ835" s="49"/>
      <c r="AK835" s="49"/>
      <c r="AL835" s="49"/>
      <c r="AM835" s="49"/>
      <c r="AN835" s="49"/>
      <c r="AO835" s="49"/>
      <c r="AP835" s="49"/>
      <c r="AQ835" s="49"/>
      <c r="AR835" s="49"/>
      <c r="AS835" s="49"/>
      <c r="AT835" s="49"/>
    </row>
    <row r="836" ht="15.75" customHeight="1">
      <c r="A836" s="37"/>
      <c r="B836" s="37"/>
      <c r="C836" s="39"/>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49"/>
      <c r="AE836" s="49"/>
      <c r="AF836" s="49"/>
      <c r="AG836" s="49"/>
      <c r="AH836" s="49"/>
      <c r="AI836" s="49"/>
      <c r="AJ836" s="49"/>
      <c r="AK836" s="49"/>
      <c r="AL836" s="49"/>
      <c r="AM836" s="49"/>
      <c r="AN836" s="49"/>
      <c r="AO836" s="49"/>
      <c r="AP836" s="49"/>
      <c r="AQ836" s="49"/>
      <c r="AR836" s="49"/>
      <c r="AS836" s="49"/>
      <c r="AT836" s="49"/>
    </row>
    <row r="837" ht="15.75" customHeight="1">
      <c r="A837" s="37"/>
      <c r="B837" s="37"/>
      <c r="C837" s="39"/>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49"/>
      <c r="AE837" s="49"/>
      <c r="AF837" s="49"/>
      <c r="AG837" s="49"/>
      <c r="AH837" s="49"/>
      <c r="AI837" s="49"/>
      <c r="AJ837" s="49"/>
      <c r="AK837" s="49"/>
      <c r="AL837" s="49"/>
      <c r="AM837" s="49"/>
      <c r="AN837" s="49"/>
      <c r="AO837" s="49"/>
      <c r="AP837" s="49"/>
      <c r="AQ837" s="49"/>
      <c r="AR837" s="49"/>
      <c r="AS837" s="49"/>
      <c r="AT837" s="49"/>
    </row>
    <row r="838" ht="15.75" customHeight="1">
      <c r="A838" s="37"/>
      <c r="B838" s="37"/>
      <c r="C838" s="39"/>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49"/>
      <c r="AE838" s="49"/>
      <c r="AF838" s="49"/>
      <c r="AG838" s="49"/>
      <c r="AH838" s="49"/>
      <c r="AI838" s="49"/>
      <c r="AJ838" s="49"/>
      <c r="AK838" s="49"/>
      <c r="AL838" s="49"/>
      <c r="AM838" s="49"/>
      <c r="AN838" s="49"/>
      <c r="AO838" s="49"/>
      <c r="AP838" s="49"/>
      <c r="AQ838" s="49"/>
      <c r="AR838" s="49"/>
      <c r="AS838" s="49"/>
      <c r="AT838" s="49"/>
    </row>
    <row r="839" ht="15.75" customHeight="1">
      <c r="A839" s="37"/>
      <c r="B839" s="37"/>
      <c r="C839" s="39"/>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49"/>
      <c r="AE839" s="49"/>
      <c r="AF839" s="49"/>
      <c r="AG839" s="49"/>
      <c r="AH839" s="49"/>
      <c r="AI839" s="49"/>
      <c r="AJ839" s="49"/>
      <c r="AK839" s="49"/>
      <c r="AL839" s="49"/>
      <c r="AM839" s="49"/>
      <c r="AN839" s="49"/>
      <c r="AO839" s="49"/>
      <c r="AP839" s="49"/>
      <c r="AQ839" s="49"/>
      <c r="AR839" s="49"/>
      <c r="AS839" s="49"/>
      <c r="AT839" s="49"/>
    </row>
    <row r="840" ht="15.75" customHeight="1">
      <c r="A840" s="37"/>
      <c r="B840" s="37"/>
      <c r="C840" s="39"/>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49"/>
      <c r="AE840" s="49"/>
      <c r="AF840" s="49"/>
      <c r="AG840" s="49"/>
      <c r="AH840" s="49"/>
      <c r="AI840" s="49"/>
      <c r="AJ840" s="49"/>
      <c r="AK840" s="49"/>
      <c r="AL840" s="49"/>
      <c r="AM840" s="49"/>
      <c r="AN840" s="49"/>
      <c r="AO840" s="49"/>
      <c r="AP840" s="49"/>
      <c r="AQ840" s="49"/>
      <c r="AR840" s="49"/>
      <c r="AS840" s="49"/>
      <c r="AT840" s="49"/>
    </row>
    <row r="841" ht="15.75" customHeight="1">
      <c r="A841" s="37"/>
      <c r="B841" s="37"/>
      <c r="C841" s="39"/>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49"/>
      <c r="AE841" s="49"/>
      <c r="AF841" s="49"/>
      <c r="AG841" s="49"/>
      <c r="AH841" s="49"/>
      <c r="AI841" s="49"/>
      <c r="AJ841" s="49"/>
      <c r="AK841" s="49"/>
      <c r="AL841" s="49"/>
      <c r="AM841" s="49"/>
      <c r="AN841" s="49"/>
      <c r="AO841" s="49"/>
      <c r="AP841" s="49"/>
      <c r="AQ841" s="49"/>
      <c r="AR841" s="49"/>
      <c r="AS841" s="49"/>
      <c r="AT841" s="49"/>
    </row>
    <row r="842" ht="15.75" customHeight="1">
      <c r="A842" s="37"/>
      <c r="B842" s="37"/>
      <c r="C842" s="39"/>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49"/>
      <c r="AE842" s="49"/>
      <c r="AF842" s="49"/>
      <c r="AG842" s="49"/>
      <c r="AH842" s="49"/>
      <c r="AI842" s="49"/>
      <c r="AJ842" s="49"/>
      <c r="AK842" s="49"/>
      <c r="AL842" s="49"/>
      <c r="AM842" s="49"/>
      <c r="AN842" s="49"/>
      <c r="AO842" s="49"/>
      <c r="AP842" s="49"/>
      <c r="AQ842" s="49"/>
      <c r="AR842" s="49"/>
      <c r="AS842" s="49"/>
      <c r="AT842" s="49"/>
    </row>
    <row r="843" ht="15.75" customHeight="1">
      <c r="A843" s="37"/>
      <c r="B843" s="37"/>
      <c r="C843" s="39"/>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49"/>
      <c r="AE843" s="49"/>
      <c r="AF843" s="49"/>
      <c r="AG843" s="49"/>
      <c r="AH843" s="49"/>
      <c r="AI843" s="49"/>
      <c r="AJ843" s="49"/>
      <c r="AK843" s="49"/>
      <c r="AL843" s="49"/>
      <c r="AM843" s="49"/>
      <c r="AN843" s="49"/>
      <c r="AO843" s="49"/>
      <c r="AP843" s="49"/>
      <c r="AQ843" s="49"/>
      <c r="AR843" s="49"/>
      <c r="AS843" s="49"/>
      <c r="AT843" s="49"/>
    </row>
    <row r="844" ht="15.75" customHeight="1">
      <c r="A844" s="37"/>
      <c r="B844" s="37"/>
      <c r="C844" s="39"/>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49"/>
      <c r="AE844" s="49"/>
      <c r="AF844" s="49"/>
      <c r="AG844" s="49"/>
      <c r="AH844" s="49"/>
      <c r="AI844" s="49"/>
      <c r="AJ844" s="49"/>
      <c r="AK844" s="49"/>
      <c r="AL844" s="49"/>
      <c r="AM844" s="49"/>
      <c r="AN844" s="49"/>
      <c r="AO844" s="49"/>
      <c r="AP844" s="49"/>
      <c r="AQ844" s="49"/>
      <c r="AR844" s="49"/>
      <c r="AS844" s="49"/>
      <c r="AT844" s="49"/>
    </row>
    <row r="845" ht="15.75" customHeight="1">
      <c r="A845" s="37"/>
      <c r="B845" s="37"/>
      <c r="C845" s="39"/>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49"/>
      <c r="AE845" s="49"/>
      <c r="AF845" s="49"/>
      <c r="AG845" s="49"/>
      <c r="AH845" s="49"/>
      <c r="AI845" s="49"/>
      <c r="AJ845" s="49"/>
      <c r="AK845" s="49"/>
      <c r="AL845" s="49"/>
      <c r="AM845" s="49"/>
      <c r="AN845" s="49"/>
      <c r="AO845" s="49"/>
      <c r="AP845" s="49"/>
      <c r="AQ845" s="49"/>
      <c r="AR845" s="49"/>
      <c r="AS845" s="49"/>
      <c r="AT845" s="49"/>
    </row>
    <row r="846" ht="15.75" customHeight="1">
      <c r="A846" s="37"/>
      <c r="B846" s="37"/>
      <c r="C846" s="39"/>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49"/>
      <c r="AE846" s="49"/>
      <c r="AF846" s="49"/>
      <c r="AG846" s="49"/>
      <c r="AH846" s="49"/>
      <c r="AI846" s="49"/>
      <c r="AJ846" s="49"/>
      <c r="AK846" s="49"/>
      <c r="AL846" s="49"/>
      <c r="AM846" s="49"/>
      <c r="AN846" s="49"/>
      <c r="AO846" s="49"/>
      <c r="AP846" s="49"/>
      <c r="AQ846" s="49"/>
      <c r="AR846" s="49"/>
      <c r="AS846" s="49"/>
      <c r="AT846" s="49"/>
    </row>
    <row r="847" ht="15.75" customHeight="1">
      <c r="A847" s="37"/>
      <c r="B847" s="37"/>
      <c r="C847" s="39"/>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49"/>
      <c r="AE847" s="49"/>
      <c r="AF847" s="49"/>
      <c r="AG847" s="49"/>
      <c r="AH847" s="49"/>
      <c r="AI847" s="49"/>
      <c r="AJ847" s="49"/>
      <c r="AK847" s="49"/>
      <c r="AL847" s="49"/>
      <c r="AM847" s="49"/>
      <c r="AN847" s="49"/>
      <c r="AO847" s="49"/>
      <c r="AP847" s="49"/>
      <c r="AQ847" s="49"/>
      <c r="AR847" s="49"/>
      <c r="AS847" s="49"/>
      <c r="AT847" s="49"/>
    </row>
    <row r="848" ht="15.75" customHeight="1">
      <c r="A848" s="37"/>
      <c r="B848" s="37"/>
      <c r="C848" s="39"/>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49"/>
      <c r="AE848" s="49"/>
      <c r="AF848" s="49"/>
      <c r="AG848" s="49"/>
      <c r="AH848" s="49"/>
      <c r="AI848" s="49"/>
      <c r="AJ848" s="49"/>
      <c r="AK848" s="49"/>
      <c r="AL848" s="49"/>
      <c r="AM848" s="49"/>
      <c r="AN848" s="49"/>
      <c r="AO848" s="49"/>
      <c r="AP848" s="49"/>
      <c r="AQ848" s="49"/>
      <c r="AR848" s="49"/>
      <c r="AS848" s="49"/>
      <c r="AT848" s="49"/>
    </row>
    <row r="849" ht="15.75" customHeight="1">
      <c r="A849" s="37"/>
      <c r="B849" s="37"/>
      <c r="C849" s="39"/>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49"/>
      <c r="AE849" s="49"/>
      <c r="AF849" s="49"/>
      <c r="AG849" s="49"/>
      <c r="AH849" s="49"/>
      <c r="AI849" s="49"/>
      <c r="AJ849" s="49"/>
      <c r="AK849" s="49"/>
      <c r="AL849" s="49"/>
      <c r="AM849" s="49"/>
      <c r="AN849" s="49"/>
      <c r="AO849" s="49"/>
      <c r="AP849" s="49"/>
      <c r="AQ849" s="49"/>
      <c r="AR849" s="49"/>
      <c r="AS849" s="49"/>
      <c r="AT849" s="49"/>
    </row>
    <row r="850" ht="15.75" customHeight="1">
      <c r="A850" s="37"/>
      <c r="B850" s="37"/>
      <c r="C850" s="39"/>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49"/>
      <c r="AE850" s="49"/>
      <c r="AF850" s="49"/>
      <c r="AG850" s="49"/>
      <c r="AH850" s="49"/>
      <c r="AI850" s="49"/>
      <c r="AJ850" s="49"/>
      <c r="AK850" s="49"/>
      <c r="AL850" s="49"/>
      <c r="AM850" s="49"/>
      <c r="AN850" s="49"/>
      <c r="AO850" s="49"/>
      <c r="AP850" s="49"/>
      <c r="AQ850" s="49"/>
      <c r="AR850" s="49"/>
      <c r="AS850" s="49"/>
      <c r="AT850" s="49"/>
    </row>
    <row r="851" ht="15.75" customHeight="1">
      <c r="A851" s="37"/>
      <c r="B851" s="37"/>
      <c r="C851" s="39"/>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49"/>
      <c r="AE851" s="49"/>
      <c r="AF851" s="49"/>
      <c r="AG851" s="49"/>
      <c r="AH851" s="49"/>
      <c r="AI851" s="49"/>
      <c r="AJ851" s="49"/>
      <c r="AK851" s="49"/>
      <c r="AL851" s="49"/>
      <c r="AM851" s="49"/>
      <c r="AN851" s="49"/>
      <c r="AO851" s="49"/>
      <c r="AP851" s="49"/>
      <c r="AQ851" s="49"/>
      <c r="AR851" s="49"/>
      <c r="AS851" s="49"/>
      <c r="AT851" s="49"/>
    </row>
    <row r="852" ht="15.75" customHeight="1">
      <c r="A852" s="37"/>
      <c r="B852" s="37"/>
      <c r="C852" s="39"/>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49"/>
      <c r="AE852" s="49"/>
      <c r="AF852" s="49"/>
      <c r="AG852" s="49"/>
      <c r="AH852" s="49"/>
      <c r="AI852" s="49"/>
      <c r="AJ852" s="49"/>
      <c r="AK852" s="49"/>
      <c r="AL852" s="49"/>
      <c r="AM852" s="49"/>
      <c r="AN852" s="49"/>
      <c r="AO852" s="49"/>
      <c r="AP852" s="49"/>
      <c r="AQ852" s="49"/>
      <c r="AR852" s="49"/>
      <c r="AS852" s="49"/>
      <c r="AT852" s="49"/>
    </row>
    <row r="853" ht="15.75" customHeight="1">
      <c r="A853" s="37"/>
      <c r="B853" s="37"/>
      <c r="C853" s="39"/>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49"/>
      <c r="AE853" s="49"/>
      <c r="AF853" s="49"/>
      <c r="AG853" s="49"/>
      <c r="AH853" s="49"/>
      <c r="AI853" s="49"/>
      <c r="AJ853" s="49"/>
      <c r="AK853" s="49"/>
      <c r="AL853" s="49"/>
      <c r="AM853" s="49"/>
      <c r="AN853" s="49"/>
      <c r="AO853" s="49"/>
      <c r="AP853" s="49"/>
      <c r="AQ853" s="49"/>
      <c r="AR853" s="49"/>
      <c r="AS853" s="49"/>
      <c r="AT853" s="49"/>
    </row>
    <row r="854" ht="15.75" customHeight="1">
      <c r="A854" s="37"/>
      <c r="B854" s="37"/>
      <c r="C854" s="39"/>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49"/>
      <c r="AE854" s="49"/>
      <c r="AF854" s="49"/>
      <c r="AG854" s="49"/>
      <c r="AH854" s="49"/>
      <c r="AI854" s="49"/>
      <c r="AJ854" s="49"/>
      <c r="AK854" s="49"/>
      <c r="AL854" s="49"/>
      <c r="AM854" s="49"/>
      <c r="AN854" s="49"/>
      <c r="AO854" s="49"/>
      <c r="AP854" s="49"/>
      <c r="AQ854" s="49"/>
      <c r="AR854" s="49"/>
      <c r="AS854" s="49"/>
      <c r="AT854" s="49"/>
    </row>
    <row r="855" ht="15.75" customHeight="1">
      <c r="A855" s="37"/>
      <c r="B855" s="37"/>
      <c r="C855" s="39"/>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49"/>
      <c r="AE855" s="49"/>
      <c r="AF855" s="49"/>
      <c r="AG855" s="49"/>
      <c r="AH855" s="49"/>
      <c r="AI855" s="49"/>
      <c r="AJ855" s="49"/>
      <c r="AK855" s="49"/>
      <c r="AL855" s="49"/>
      <c r="AM855" s="49"/>
      <c r="AN855" s="49"/>
      <c r="AO855" s="49"/>
      <c r="AP855" s="49"/>
      <c r="AQ855" s="49"/>
      <c r="AR855" s="49"/>
      <c r="AS855" s="49"/>
      <c r="AT855" s="49"/>
    </row>
    <row r="856" ht="15.75" customHeight="1">
      <c r="A856" s="37"/>
      <c r="B856" s="37"/>
      <c r="C856" s="39"/>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49"/>
      <c r="AE856" s="49"/>
      <c r="AF856" s="49"/>
      <c r="AG856" s="49"/>
      <c r="AH856" s="49"/>
      <c r="AI856" s="49"/>
      <c r="AJ856" s="49"/>
      <c r="AK856" s="49"/>
      <c r="AL856" s="49"/>
      <c r="AM856" s="49"/>
      <c r="AN856" s="49"/>
      <c r="AO856" s="49"/>
      <c r="AP856" s="49"/>
      <c r="AQ856" s="49"/>
      <c r="AR856" s="49"/>
      <c r="AS856" s="49"/>
      <c r="AT856" s="49"/>
    </row>
    <row r="857" ht="15.75" customHeight="1">
      <c r="A857" s="37"/>
      <c r="B857" s="37"/>
      <c r="C857" s="39"/>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49"/>
      <c r="AE857" s="49"/>
      <c r="AF857" s="49"/>
      <c r="AG857" s="49"/>
      <c r="AH857" s="49"/>
      <c r="AI857" s="49"/>
      <c r="AJ857" s="49"/>
      <c r="AK857" s="49"/>
      <c r="AL857" s="49"/>
      <c r="AM857" s="49"/>
      <c r="AN857" s="49"/>
      <c r="AO857" s="49"/>
      <c r="AP857" s="49"/>
      <c r="AQ857" s="49"/>
      <c r="AR857" s="49"/>
      <c r="AS857" s="49"/>
      <c r="AT857" s="49"/>
    </row>
    <row r="858" ht="15.75" customHeight="1">
      <c r="A858" s="37"/>
      <c r="B858" s="37"/>
      <c r="C858" s="39"/>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49"/>
      <c r="AE858" s="49"/>
      <c r="AF858" s="49"/>
      <c r="AG858" s="49"/>
      <c r="AH858" s="49"/>
      <c r="AI858" s="49"/>
      <c r="AJ858" s="49"/>
      <c r="AK858" s="49"/>
      <c r="AL858" s="49"/>
      <c r="AM858" s="49"/>
      <c r="AN858" s="49"/>
      <c r="AO858" s="49"/>
      <c r="AP858" s="49"/>
      <c r="AQ858" s="49"/>
      <c r="AR858" s="49"/>
      <c r="AS858" s="49"/>
      <c r="AT858" s="49"/>
    </row>
    <row r="859" ht="15.75" customHeight="1">
      <c r="A859" s="37"/>
      <c r="B859" s="37"/>
      <c r="C859" s="39"/>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49"/>
      <c r="AE859" s="49"/>
      <c r="AF859" s="49"/>
      <c r="AG859" s="49"/>
      <c r="AH859" s="49"/>
      <c r="AI859" s="49"/>
      <c r="AJ859" s="49"/>
      <c r="AK859" s="49"/>
      <c r="AL859" s="49"/>
      <c r="AM859" s="49"/>
      <c r="AN859" s="49"/>
      <c r="AO859" s="49"/>
      <c r="AP859" s="49"/>
      <c r="AQ859" s="49"/>
      <c r="AR859" s="49"/>
      <c r="AS859" s="49"/>
      <c r="AT859" s="49"/>
    </row>
    <row r="860" ht="15.75" customHeight="1">
      <c r="A860" s="37"/>
      <c r="B860" s="37"/>
      <c r="C860" s="39"/>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49"/>
      <c r="AE860" s="49"/>
      <c r="AF860" s="49"/>
      <c r="AG860" s="49"/>
      <c r="AH860" s="49"/>
      <c r="AI860" s="49"/>
      <c r="AJ860" s="49"/>
      <c r="AK860" s="49"/>
      <c r="AL860" s="49"/>
      <c r="AM860" s="49"/>
      <c r="AN860" s="49"/>
      <c r="AO860" s="49"/>
      <c r="AP860" s="49"/>
      <c r="AQ860" s="49"/>
      <c r="AR860" s="49"/>
      <c r="AS860" s="49"/>
      <c r="AT860" s="49"/>
    </row>
    <row r="861" ht="15.75" customHeight="1">
      <c r="A861" s="37"/>
      <c r="B861" s="37"/>
      <c r="C861" s="39"/>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49"/>
      <c r="AE861" s="49"/>
      <c r="AF861" s="49"/>
      <c r="AG861" s="49"/>
      <c r="AH861" s="49"/>
      <c r="AI861" s="49"/>
      <c r="AJ861" s="49"/>
      <c r="AK861" s="49"/>
      <c r="AL861" s="49"/>
      <c r="AM861" s="49"/>
      <c r="AN861" s="49"/>
      <c r="AO861" s="49"/>
      <c r="AP861" s="49"/>
      <c r="AQ861" s="49"/>
      <c r="AR861" s="49"/>
      <c r="AS861" s="49"/>
      <c r="AT861" s="49"/>
    </row>
    <row r="862" ht="15.75" customHeight="1">
      <c r="A862" s="37"/>
      <c r="B862" s="37"/>
      <c r="C862" s="39"/>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49"/>
      <c r="AE862" s="49"/>
      <c r="AF862" s="49"/>
      <c r="AG862" s="49"/>
      <c r="AH862" s="49"/>
      <c r="AI862" s="49"/>
      <c r="AJ862" s="49"/>
      <c r="AK862" s="49"/>
      <c r="AL862" s="49"/>
      <c r="AM862" s="49"/>
      <c r="AN862" s="49"/>
      <c r="AO862" s="49"/>
      <c r="AP862" s="49"/>
      <c r="AQ862" s="49"/>
      <c r="AR862" s="49"/>
      <c r="AS862" s="49"/>
      <c r="AT862" s="49"/>
    </row>
    <row r="863" ht="15.75" customHeight="1">
      <c r="A863" s="37"/>
      <c r="B863" s="37"/>
      <c r="C863" s="39"/>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49"/>
      <c r="AE863" s="49"/>
      <c r="AF863" s="49"/>
      <c r="AG863" s="49"/>
      <c r="AH863" s="49"/>
      <c r="AI863" s="49"/>
      <c r="AJ863" s="49"/>
      <c r="AK863" s="49"/>
      <c r="AL863" s="49"/>
      <c r="AM863" s="49"/>
      <c r="AN863" s="49"/>
      <c r="AO863" s="49"/>
      <c r="AP863" s="49"/>
      <c r="AQ863" s="49"/>
      <c r="AR863" s="49"/>
      <c r="AS863" s="49"/>
      <c r="AT863" s="49"/>
    </row>
    <row r="864" ht="15.75" customHeight="1">
      <c r="A864" s="37"/>
      <c r="B864" s="37"/>
      <c r="C864" s="39"/>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49"/>
      <c r="AE864" s="49"/>
      <c r="AF864" s="49"/>
      <c r="AG864" s="49"/>
      <c r="AH864" s="49"/>
      <c r="AI864" s="49"/>
      <c r="AJ864" s="49"/>
      <c r="AK864" s="49"/>
      <c r="AL864" s="49"/>
      <c r="AM864" s="49"/>
      <c r="AN864" s="49"/>
      <c r="AO864" s="49"/>
      <c r="AP864" s="49"/>
      <c r="AQ864" s="49"/>
      <c r="AR864" s="49"/>
      <c r="AS864" s="49"/>
      <c r="AT864" s="49"/>
    </row>
    <row r="865" ht="15.75" customHeight="1">
      <c r="A865" s="37"/>
      <c r="B865" s="37"/>
      <c r="C865" s="39"/>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49"/>
      <c r="AE865" s="49"/>
      <c r="AF865" s="49"/>
      <c r="AG865" s="49"/>
      <c r="AH865" s="49"/>
      <c r="AI865" s="49"/>
      <c r="AJ865" s="49"/>
      <c r="AK865" s="49"/>
      <c r="AL865" s="49"/>
      <c r="AM865" s="49"/>
      <c r="AN865" s="49"/>
      <c r="AO865" s="49"/>
      <c r="AP865" s="49"/>
      <c r="AQ865" s="49"/>
      <c r="AR865" s="49"/>
      <c r="AS865" s="49"/>
      <c r="AT865" s="49"/>
    </row>
    <row r="866" ht="15.75" customHeight="1">
      <c r="A866" s="37"/>
      <c r="B866" s="37"/>
      <c r="C866" s="39"/>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49"/>
      <c r="AE866" s="49"/>
      <c r="AF866" s="49"/>
      <c r="AG866" s="49"/>
      <c r="AH866" s="49"/>
      <c r="AI866" s="49"/>
      <c r="AJ866" s="49"/>
      <c r="AK866" s="49"/>
      <c r="AL866" s="49"/>
      <c r="AM866" s="49"/>
      <c r="AN866" s="49"/>
      <c r="AO866" s="49"/>
      <c r="AP866" s="49"/>
      <c r="AQ866" s="49"/>
      <c r="AR866" s="49"/>
      <c r="AS866" s="49"/>
      <c r="AT866" s="49"/>
    </row>
    <row r="867" ht="15.75" customHeight="1">
      <c r="A867" s="37"/>
      <c r="B867" s="37"/>
      <c r="C867" s="39"/>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49"/>
      <c r="AE867" s="49"/>
      <c r="AF867" s="49"/>
      <c r="AG867" s="49"/>
      <c r="AH867" s="49"/>
      <c r="AI867" s="49"/>
      <c r="AJ867" s="49"/>
      <c r="AK867" s="49"/>
      <c r="AL867" s="49"/>
      <c r="AM867" s="49"/>
      <c r="AN867" s="49"/>
      <c r="AO867" s="49"/>
      <c r="AP867" s="49"/>
      <c r="AQ867" s="49"/>
      <c r="AR867" s="49"/>
      <c r="AS867" s="49"/>
      <c r="AT867" s="49"/>
    </row>
    <row r="868" ht="15.75" customHeight="1">
      <c r="A868" s="37"/>
      <c r="B868" s="37"/>
      <c r="C868" s="39"/>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49"/>
      <c r="AE868" s="49"/>
      <c r="AF868" s="49"/>
      <c r="AG868" s="49"/>
      <c r="AH868" s="49"/>
      <c r="AI868" s="49"/>
      <c r="AJ868" s="49"/>
      <c r="AK868" s="49"/>
      <c r="AL868" s="49"/>
      <c r="AM868" s="49"/>
      <c r="AN868" s="49"/>
      <c r="AO868" s="49"/>
      <c r="AP868" s="49"/>
      <c r="AQ868" s="49"/>
      <c r="AR868" s="49"/>
      <c r="AS868" s="49"/>
      <c r="AT868" s="49"/>
    </row>
    <row r="869" ht="15.75" customHeight="1">
      <c r="A869" s="37"/>
      <c r="B869" s="37"/>
      <c r="C869" s="39"/>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49"/>
      <c r="AE869" s="49"/>
      <c r="AF869" s="49"/>
      <c r="AG869" s="49"/>
      <c r="AH869" s="49"/>
      <c r="AI869" s="49"/>
      <c r="AJ869" s="49"/>
      <c r="AK869" s="49"/>
      <c r="AL869" s="49"/>
      <c r="AM869" s="49"/>
      <c r="AN869" s="49"/>
      <c r="AO869" s="49"/>
      <c r="AP869" s="49"/>
      <c r="AQ869" s="49"/>
      <c r="AR869" s="49"/>
      <c r="AS869" s="49"/>
      <c r="AT869" s="49"/>
    </row>
    <row r="870" ht="15.75" customHeight="1">
      <c r="A870" s="37"/>
      <c r="B870" s="37"/>
      <c r="C870" s="39"/>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49"/>
      <c r="AE870" s="49"/>
      <c r="AF870" s="49"/>
      <c r="AG870" s="49"/>
      <c r="AH870" s="49"/>
      <c r="AI870" s="49"/>
      <c r="AJ870" s="49"/>
      <c r="AK870" s="49"/>
      <c r="AL870" s="49"/>
      <c r="AM870" s="49"/>
      <c r="AN870" s="49"/>
      <c r="AO870" s="49"/>
      <c r="AP870" s="49"/>
      <c r="AQ870" s="49"/>
      <c r="AR870" s="49"/>
      <c r="AS870" s="49"/>
      <c r="AT870" s="49"/>
    </row>
    <row r="871" ht="15.75" customHeight="1">
      <c r="A871" s="37"/>
      <c r="B871" s="37"/>
      <c r="C871" s="39"/>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49"/>
      <c r="AE871" s="49"/>
      <c r="AF871" s="49"/>
      <c r="AG871" s="49"/>
      <c r="AH871" s="49"/>
      <c r="AI871" s="49"/>
      <c r="AJ871" s="49"/>
      <c r="AK871" s="49"/>
      <c r="AL871" s="49"/>
      <c r="AM871" s="49"/>
      <c r="AN871" s="49"/>
      <c r="AO871" s="49"/>
      <c r="AP871" s="49"/>
      <c r="AQ871" s="49"/>
      <c r="AR871" s="49"/>
      <c r="AS871" s="49"/>
      <c r="AT871" s="49"/>
    </row>
    <row r="872" ht="15.75" customHeight="1">
      <c r="A872" s="37"/>
      <c r="B872" s="37"/>
      <c r="C872" s="39"/>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49"/>
      <c r="AE872" s="49"/>
      <c r="AF872" s="49"/>
      <c r="AG872" s="49"/>
      <c r="AH872" s="49"/>
      <c r="AI872" s="49"/>
      <c r="AJ872" s="49"/>
      <c r="AK872" s="49"/>
      <c r="AL872" s="49"/>
      <c r="AM872" s="49"/>
      <c r="AN872" s="49"/>
      <c r="AO872" s="49"/>
      <c r="AP872" s="49"/>
      <c r="AQ872" s="49"/>
      <c r="AR872" s="49"/>
      <c r="AS872" s="49"/>
      <c r="AT872" s="49"/>
    </row>
    <row r="873" ht="15.75" customHeight="1">
      <c r="A873" s="37"/>
      <c r="B873" s="37"/>
      <c r="C873" s="39"/>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49"/>
      <c r="AE873" s="49"/>
      <c r="AF873" s="49"/>
      <c r="AG873" s="49"/>
      <c r="AH873" s="49"/>
      <c r="AI873" s="49"/>
      <c r="AJ873" s="49"/>
      <c r="AK873" s="49"/>
      <c r="AL873" s="49"/>
      <c r="AM873" s="49"/>
      <c r="AN873" s="49"/>
      <c r="AO873" s="49"/>
      <c r="AP873" s="49"/>
      <c r="AQ873" s="49"/>
      <c r="AR873" s="49"/>
      <c r="AS873" s="49"/>
      <c r="AT873" s="49"/>
    </row>
    <row r="874" ht="15.75" customHeight="1">
      <c r="A874" s="37"/>
      <c r="B874" s="37"/>
      <c r="C874" s="39"/>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49"/>
      <c r="AE874" s="49"/>
      <c r="AF874" s="49"/>
      <c r="AG874" s="49"/>
      <c r="AH874" s="49"/>
      <c r="AI874" s="49"/>
      <c r="AJ874" s="49"/>
      <c r="AK874" s="49"/>
      <c r="AL874" s="49"/>
      <c r="AM874" s="49"/>
      <c r="AN874" s="49"/>
      <c r="AO874" s="49"/>
      <c r="AP874" s="49"/>
      <c r="AQ874" s="49"/>
      <c r="AR874" s="49"/>
      <c r="AS874" s="49"/>
      <c r="AT874" s="49"/>
    </row>
    <row r="875" ht="15.75" customHeight="1">
      <c r="A875" s="37"/>
      <c r="B875" s="37"/>
      <c r="C875" s="39"/>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49"/>
      <c r="AE875" s="49"/>
      <c r="AF875" s="49"/>
      <c r="AG875" s="49"/>
      <c r="AH875" s="49"/>
      <c r="AI875" s="49"/>
      <c r="AJ875" s="49"/>
      <c r="AK875" s="49"/>
      <c r="AL875" s="49"/>
      <c r="AM875" s="49"/>
      <c r="AN875" s="49"/>
      <c r="AO875" s="49"/>
      <c r="AP875" s="49"/>
      <c r="AQ875" s="49"/>
      <c r="AR875" s="49"/>
      <c r="AS875" s="49"/>
      <c r="AT875" s="49"/>
    </row>
    <row r="876" ht="15.75" customHeight="1">
      <c r="A876" s="37"/>
      <c r="B876" s="37"/>
      <c r="C876" s="39"/>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49"/>
      <c r="AE876" s="49"/>
      <c r="AF876" s="49"/>
      <c r="AG876" s="49"/>
      <c r="AH876" s="49"/>
      <c r="AI876" s="49"/>
      <c r="AJ876" s="49"/>
      <c r="AK876" s="49"/>
      <c r="AL876" s="49"/>
      <c r="AM876" s="49"/>
      <c r="AN876" s="49"/>
      <c r="AO876" s="49"/>
      <c r="AP876" s="49"/>
      <c r="AQ876" s="49"/>
      <c r="AR876" s="49"/>
      <c r="AS876" s="49"/>
      <c r="AT876" s="49"/>
    </row>
    <row r="877" ht="15.75" customHeight="1">
      <c r="A877" s="37"/>
      <c r="B877" s="37"/>
      <c r="C877" s="39"/>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49"/>
      <c r="AE877" s="49"/>
      <c r="AF877" s="49"/>
      <c r="AG877" s="49"/>
      <c r="AH877" s="49"/>
      <c r="AI877" s="49"/>
      <c r="AJ877" s="49"/>
      <c r="AK877" s="49"/>
      <c r="AL877" s="49"/>
      <c r="AM877" s="49"/>
      <c r="AN877" s="49"/>
      <c r="AO877" s="49"/>
      <c r="AP877" s="49"/>
      <c r="AQ877" s="49"/>
      <c r="AR877" s="49"/>
      <c r="AS877" s="49"/>
      <c r="AT877" s="49"/>
    </row>
    <row r="878" ht="15.75" customHeight="1">
      <c r="A878" s="37"/>
      <c r="B878" s="37"/>
      <c r="C878" s="39"/>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49"/>
      <c r="AE878" s="49"/>
      <c r="AF878" s="49"/>
      <c r="AG878" s="49"/>
      <c r="AH878" s="49"/>
      <c r="AI878" s="49"/>
      <c r="AJ878" s="49"/>
      <c r="AK878" s="49"/>
      <c r="AL878" s="49"/>
      <c r="AM878" s="49"/>
      <c r="AN878" s="49"/>
      <c r="AO878" s="49"/>
      <c r="AP878" s="49"/>
      <c r="AQ878" s="49"/>
      <c r="AR878" s="49"/>
      <c r="AS878" s="49"/>
      <c r="AT878" s="49"/>
    </row>
    <row r="879" ht="15.75" customHeight="1">
      <c r="A879" s="37"/>
      <c r="B879" s="37"/>
      <c r="C879" s="39"/>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49"/>
      <c r="AE879" s="49"/>
      <c r="AF879" s="49"/>
      <c r="AG879" s="49"/>
      <c r="AH879" s="49"/>
      <c r="AI879" s="49"/>
      <c r="AJ879" s="49"/>
      <c r="AK879" s="49"/>
      <c r="AL879" s="49"/>
      <c r="AM879" s="49"/>
      <c r="AN879" s="49"/>
      <c r="AO879" s="49"/>
      <c r="AP879" s="49"/>
      <c r="AQ879" s="49"/>
      <c r="AR879" s="49"/>
      <c r="AS879" s="49"/>
      <c r="AT879" s="49"/>
    </row>
    <row r="880" ht="15.75" customHeight="1">
      <c r="A880" s="37"/>
      <c r="B880" s="37"/>
      <c r="C880" s="39"/>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49"/>
      <c r="AE880" s="49"/>
      <c r="AF880" s="49"/>
      <c r="AG880" s="49"/>
      <c r="AH880" s="49"/>
      <c r="AI880" s="49"/>
      <c r="AJ880" s="49"/>
      <c r="AK880" s="49"/>
      <c r="AL880" s="49"/>
      <c r="AM880" s="49"/>
      <c r="AN880" s="49"/>
      <c r="AO880" s="49"/>
      <c r="AP880" s="49"/>
      <c r="AQ880" s="49"/>
      <c r="AR880" s="49"/>
      <c r="AS880" s="49"/>
      <c r="AT880" s="49"/>
    </row>
    <row r="881" ht="15.75" customHeight="1">
      <c r="A881" s="37"/>
      <c r="B881" s="37"/>
      <c r="C881" s="39"/>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49"/>
      <c r="AE881" s="49"/>
      <c r="AF881" s="49"/>
      <c r="AG881" s="49"/>
      <c r="AH881" s="49"/>
      <c r="AI881" s="49"/>
      <c r="AJ881" s="49"/>
      <c r="AK881" s="49"/>
      <c r="AL881" s="49"/>
      <c r="AM881" s="49"/>
      <c r="AN881" s="49"/>
      <c r="AO881" s="49"/>
      <c r="AP881" s="49"/>
      <c r="AQ881" s="49"/>
      <c r="AR881" s="49"/>
      <c r="AS881" s="49"/>
      <c r="AT881" s="49"/>
    </row>
    <row r="882" ht="15.75" customHeight="1">
      <c r="A882" s="37"/>
      <c r="B882" s="37"/>
      <c r="C882" s="39"/>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49"/>
      <c r="AE882" s="49"/>
      <c r="AF882" s="49"/>
      <c r="AG882" s="49"/>
      <c r="AH882" s="49"/>
      <c r="AI882" s="49"/>
      <c r="AJ882" s="49"/>
      <c r="AK882" s="49"/>
      <c r="AL882" s="49"/>
      <c r="AM882" s="49"/>
      <c r="AN882" s="49"/>
      <c r="AO882" s="49"/>
      <c r="AP882" s="49"/>
      <c r="AQ882" s="49"/>
      <c r="AR882" s="49"/>
      <c r="AS882" s="49"/>
      <c r="AT882" s="49"/>
    </row>
    <row r="883" ht="15.75" customHeight="1">
      <c r="A883" s="37"/>
      <c r="B883" s="37"/>
      <c r="C883" s="39"/>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49"/>
      <c r="AE883" s="49"/>
      <c r="AF883" s="49"/>
      <c r="AG883" s="49"/>
      <c r="AH883" s="49"/>
      <c r="AI883" s="49"/>
      <c r="AJ883" s="49"/>
      <c r="AK883" s="49"/>
      <c r="AL883" s="49"/>
      <c r="AM883" s="49"/>
      <c r="AN883" s="49"/>
      <c r="AO883" s="49"/>
      <c r="AP883" s="49"/>
      <c r="AQ883" s="49"/>
      <c r="AR883" s="49"/>
      <c r="AS883" s="49"/>
      <c r="AT883" s="49"/>
    </row>
    <row r="884" ht="15.75" customHeight="1">
      <c r="A884" s="37"/>
      <c r="B884" s="37"/>
      <c r="C884" s="39"/>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49"/>
      <c r="AE884" s="49"/>
      <c r="AF884" s="49"/>
      <c r="AG884" s="49"/>
      <c r="AH884" s="49"/>
      <c r="AI884" s="49"/>
      <c r="AJ884" s="49"/>
      <c r="AK884" s="49"/>
      <c r="AL884" s="49"/>
      <c r="AM884" s="49"/>
      <c r="AN884" s="49"/>
      <c r="AO884" s="49"/>
      <c r="AP884" s="49"/>
      <c r="AQ884" s="49"/>
      <c r="AR884" s="49"/>
      <c r="AS884" s="49"/>
      <c r="AT884" s="49"/>
    </row>
    <row r="885" ht="15.75" customHeight="1">
      <c r="A885" s="37"/>
      <c r="B885" s="37"/>
      <c r="C885" s="39"/>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49"/>
      <c r="AE885" s="49"/>
      <c r="AF885" s="49"/>
      <c r="AG885" s="49"/>
      <c r="AH885" s="49"/>
      <c r="AI885" s="49"/>
      <c r="AJ885" s="49"/>
      <c r="AK885" s="49"/>
      <c r="AL885" s="49"/>
      <c r="AM885" s="49"/>
      <c r="AN885" s="49"/>
      <c r="AO885" s="49"/>
      <c r="AP885" s="49"/>
      <c r="AQ885" s="49"/>
      <c r="AR885" s="49"/>
      <c r="AS885" s="49"/>
      <c r="AT885" s="49"/>
    </row>
    <row r="886" ht="15.75" customHeight="1">
      <c r="A886" s="37"/>
      <c r="B886" s="37"/>
      <c r="C886" s="39"/>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49"/>
      <c r="AE886" s="49"/>
      <c r="AF886" s="49"/>
      <c r="AG886" s="49"/>
      <c r="AH886" s="49"/>
      <c r="AI886" s="49"/>
      <c r="AJ886" s="49"/>
      <c r="AK886" s="49"/>
      <c r="AL886" s="49"/>
      <c r="AM886" s="49"/>
      <c r="AN886" s="49"/>
      <c r="AO886" s="49"/>
      <c r="AP886" s="49"/>
      <c r="AQ886" s="49"/>
      <c r="AR886" s="49"/>
      <c r="AS886" s="49"/>
      <c r="AT886" s="49"/>
    </row>
    <row r="887" ht="15.75" customHeight="1">
      <c r="A887" s="37"/>
      <c r="B887" s="37"/>
      <c r="C887" s="39"/>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49"/>
      <c r="AE887" s="49"/>
      <c r="AF887" s="49"/>
      <c r="AG887" s="49"/>
      <c r="AH887" s="49"/>
      <c r="AI887" s="49"/>
      <c r="AJ887" s="49"/>
      <c r="AK887" s="49"/>
      <c r="AL887" s="49"/>
      <c r="AM887" s="49"/>
      <c r="AN887" s="49"/>
      <c r="AO887" s="49"/>
      <c r="AP887" s="49"/>
      <c r="AQ887" s="49"/>
      <c r="AR887" s="49"/>
      <c r="AS887" s="49"/>
      <c r="AT887" s="49"/>
    </row>
    <row r="888" ht="15.75" customHeight="1">
      <c r="A888" s="37"/>
      <c r="B888" s="37"/>
      <c r="C888" s="39"/>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49"/>
      <c r="AE888" s="49"/>
      <c r="AF888" s="49"/>
      <c r="AG888" s="49"/>
      <c r="AH888" s="49"/>
      <c r="AI888" s="49"/>
      <c r="AJ888" s="49"/>
      <c r="AK888" s="49"/>
      <c r="AL888" s="49"/>
      <c r="AM888" s="49"/>
      <c r="AN888" s="49"/>
      <c r="AO888" s="49"/>
      <c r="AP888" s="49"/>
      <c r="AQ888" s="49"/>
      <c r="AR888" s="49"/>
      <c r="AS888" s="49"/>
      <c r="AT888" s="49"/>
    </row>
    <row r="889" ht="15.75" customHeight="1">
      <c r="A889" s="37"/>
      <c r="B889" s="37"/>
      <c r="C889" s="39"/>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49"/>
      <c r="AE889" s="49"/>
      <c r="AF889" s="49"/>
      <c r="AG889" s="49"/>
      <c r="AH889" s="49"/>
      <c r="AI889" s="49"/>
      <c r="AJ889" s="49"/>
      <c r="AK889" s="49"/>
      <c r="AL889" s="49"/>
      <c r="AM889" s="49"/>
      <c r="AN889" s="49"/>
      <c r="AO889" s="49"/>
      <c r="AP889" s="49"/>
      <c r="AQ889" s="49"/>
      <c r="AR889" s="49"/>
      <c r="AS889" s="49"/>
      <c r="AT889" s="49"/>
    </row>
    <row r="890" ht="15.75" customHeight="1">
      <c r="A890" s="37"/>
      <c r="B890" s="37"/>
      <c r="C890" s="39"/>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49"/>
      <c r="AE890" s="49"/>
      <c r="AF890" s="49"/>
      <c r="AG890" s="49"/>
      <c r="AH890" s="49"/>
      <c r="AI890" s="49"/>
      <c r="AJ890" s="49"/>
      <c r="AK890" s="49"/>
      <c r="AL890" s="49"/>
      <c r="AM890" s="49"/>
      <c r="AN890" s="49"/>
      <c r="AO890" s="49"/>
      <c r="AP890" s="49"/>
      <c r="AQ890" s="49"/>
      <c r="AR890" s="49"/>
      <c r="AS890" s="49"/>
      <c r="AT890" s="49"/>
    </row>
    <row r="891" ht="15.75" customHeight="1">
      <c r="A891" s="37"/>
      <c r="B891" s="37"/>
      <c r="C891" s="39"/>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49"/>
      <c r="AE891" s="49"/>
      <c r="AF891" s="49"/>
      <c r="AG891" s="49"/>
      <c r="AH891" s="49"/>
      <c r="AI891" s="49"/>
      <c r="AJ891" s="49"/>
      <c r="AK891" s="49"/>
      <c r="AL891" s="49"/>
      <c r="AM891" s="49"/>
      <c r="AN891" s="49"/>
      <c r="AO891" s="49"/>
      <c r="AP891" s="49"/>
      <c r="AQ891" s="49"/>
      <c r="AR891" s="49"/>
      <c r="AS891" s="49"/>
      <c r="AT891" s="49"/>
    </row>
    <row r="892" ht="15.75" customHeight="1">
      <c r="A892" s="37"/>
      <c r="B892" s="37"/>
      <c r="C892" s="39"/>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49"/>
      <c r="AE892" s="49"/>
      <c r="AF892" s="49"/>
      <c r="AG892" s="49"/>
      <c r="AH892" s="49"/>
      <c r="AI892" s="49"/>
      <c r="AJ892" s="49"/>
      <c r="AK892" s="49"/>
      <c r="AL892" s="49"/>
      <c r="AM892" s="49"/>
      <c r="AN892" s="49"/>
      <c r="AO892" s="49"/>
      <c r="AP892" s="49"/>
      <c r="AQ892" s="49"/>
      <c r="AR892" s="49"/>
      <c r="AS892" s="49"/>
      <c r="AT892" s="49"/>
    </row>
    <row r="893" ht="15.75" customHeight="1">
      <c r="A893" s="37"/>
      <c r="B893" s="37"/>
      <c r="C893" s="39"/>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49"/>
      <c r="AE893" s="49"/>
      <c r="AF893" s="49"/>
      <c r="AG893" s="49"/>
      <c r="AH893" s="49"/>
      <c r="AI893" s="49"/>
      <c r="AJ893" s="49"/>
      <c r="AK893" s="49"/>
      <c r="AL893" s="49"/>
      <c r="AM893" s="49"/>
      <c r="AN893" s="49"/>
      <c r="AO893" s="49"/>
      <c r="AP893" s="49"/>
      <c r="AQ893" s="49"/>
      <c r="AR893" s="49"/>
      <c r="AS893" s="49"/>
      <c r="AT893" s="49"/>
    </row>
    <row r="894" ht="15.75" customHeight="1">
      <c r="A894" s="37"/>
      <c r="B894" s="37"/>
      <c r="C894" s="39"/>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49"/>
      <c r="AE894" s="49"/>
      <c r="AF894" s="49"/>
      <c r="AG894" s="49"/>
      <c r="AH894" s="49"/>
      <c r="AI894" s="49"/>
      <c r="AJ894" s="49"/>
      <c r="AK894" s="49"/>
      <c r="AL894" s="49"/>
      <c r="AM894" s="49"/>
      <c r="AN894" s="49"/>
      <c r="AO894" s="49"/>
      <c r="AP894" s="49"/>
      <c r="AQ894" s="49"/>
      <c r="AR894" s="49"/>
      <c r="AS894" s="49"/>
      <c r="AT894" s="49"/>
    </row>
    <row r="895" ht="15.75" customHeight="1">
      <c r="A895" s="37"/>
      <c r="B895" s="37"/>
      <c r="C895" s="39"/>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49"/>
      <c r="AE895" s="49"/>
      <c r="AF895" s="49"/>
      <c r="AG895" s="49"/>
      <c r="AH895" s="49"/>
      <c r="AI895" s="49"/>
      <c r="AJ895" s="49"/>
      <c r="AK895" s="49"/>
      <c r="AL895" s="49"/>
      <c r="AM895" s="49"/>
      <c r="AN895" s="49"/>
      <c r="AO895" s="49"/>
      <c r="AP895" s="49"/>
      <c r="AQ895" s="49"/>
      <c r="AR895" s="49"/>
      <c r="AS895" s="49"/>
      <c r="AT895" s="49"/>
    </row>
    <row r="896" ht="15.75" customHeight="1">
      <c r="A896" s="37"/>
      <c r="B896" s="37"/>
      <c r="C896" s="39"/>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49"/>
      <c r="AE896" s="49"/>
      <c r="AF896" s="49"/>
      <c r="AG896" s="49"/>
      <c r="AH896" s="49"/>
      <c r="AI896" s="49"/>
      <c r="AJ896" s="49"/>
      <c r="AK896" s="49"/>
      <c r="AL896" s="49"/>
      <c r="AM896" s="49"/>
      <c r="AN896" s="49"/>
      <c r="AO896" s="49"/>
      <c r="AP896" s="49"/>
      <c r="AQ896" s="49"/>
      <c r="AR896" s="49"/>
      <c r="AS896" s="49"/>
      <c r="AT896" s="49"/>
    </row>
    <row r="897" ht="15.75" customHeight="1">
      <c r="A897" s="37"/>
      <c r="B897" s="37"/>
      <c r="C897" s="39"/>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49"/>
      <c r="AE897" s="49"/>
      <c r="AF897" s="49"/>
      <c r="AG897" s="49"/>
      <c r="AH897" s="49"/>
      <c r="AI897" s="49"/>
      <c r="AJ897" s="49"/>
      <c r="AK897" s="49"/>
      <c r="AL897" s="49"/>
      <c r="AM897" s="49"/>
      <c r="AN897" s="49"/>
      <c r="AO897" s="49"/>
      <c r="AP897" s="49"/>
      <c r="AQ897" s="49"/>
      <c r="AR897" s="49"/>
      <c r="AS897" s="49"/>
      <c r="AT897" s="49"/>
    </row>
    <row r="898" ht="15.75" customHeight="1">
      <c r="A898" s="37"/>
      <c r="B898" s="37"/>
      <c r="C898" s="39"/>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49"/>
      <c r="AE898" s="49"/>
      <c r="AF898" s="49"/>
      <c r="AG898" s="49"/>
      <c r="AH898" s="49"/>
      <c r="AI898" s="49"/>
      <c r="AJ898" s="49"/>
      <c r="AK898" s="49"/>
      <c r="AL898" s="49"/>
      <c r="AM898" s="49"/>
      <c r="AN898" s="49"/>
      <c r="AO898" s="49"/>
      <c r="AP898" s="49"/>
      <c r="AQ898" s="49"/>
      <c r="AR898" s="49"/>
      <c r="AS898" s="49"/>
      <c r="AT898" s="49"/>
    </row>
    <row r="899" ht="15.75" customHeight="1">
      <c r="A899" s="37"/>
      <c r="B899" s="37"/>
      <c r="C899" s="39"/>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49"/>
      <c r="AE899" s="49"/>
      <c r="AF899" s="49"/>
      <c r="AG899" s="49"/>
      <c r="AH899" s="49"/>
      <c r="AI899" s="49"/>
      <c r="AJ899" s="49"/>
      <c r="AK899" s="49"/>
      <c r="AL899" s="49"/>
      <c r="AM899" s="49"/>
      <c r="AN899" s="49"/>
      <c r="AO899" s="49"/>
      <c r="AP899" s="49"/>
      <c r="AQ899" s="49"/>
      <c r="AR899" s="49"/>
      <c r="AS899" s="49"/>
      <c r="AT899" s="49"/>
    </row>
    <row r="900" ht="15.75" customHeight="1">
      <c r="A900" s="37"/>
      <c r="B900" s="37"/>
      <c r="C900" s="39"/>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49"/>
      <c r="AE900" s="49"/>
      <c r="AF900" s="49"/>
      <c r="AG900" s="49"/>
      <c r="AH900" s="49"/>
      <c r="AI900" s="49"/>
      <c r="AJ900" s="49"/>
      <c r="AK900" s="49"/>
      <c r="AL900" s="49"/>
      <c r="AM900" s="49"/>
      <c r="AN900" s="49"/>
      <c r="AO900" s="49"/>
      <c r="AP900" s="49"/>
      <c r="AQ900" s="49"/>
      <c r="AR900" s="49"/>
      <c r="AS900" s="49"/>
      <c r="AT900" s="49"/>
    </row>
    <row r="901" ht="15.75" customHeight="1">
      <c r="A901" s="37"/>
      <c r="B901" s="37"/>
      <c r="C901" s="39"/>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49"/>
      <c r="AE901" s="49"/>
      <c r="AF901" s="49"/>
      <c r="AG901" s="49"/>
      <c r="AH901" s="49"/>
      <c r="AI901" s="49"/>
      <c r="AJ901" s="49"/>
      <c r="AK901" s="49"/>
      <c r="AL901" s="49"/>
      <c r="AM901" s="49"/>
      <c r="AN901" s="49"/>
      <c r="AO901" s="49"/>
      <c r="AP901" s="49"/>
      <c r="AQ901" s="49"/>
      <c r="AR901" s="49"/>
      <c r="AS901" s="49"/>
      <c r="AT901" s="49"/>
    </row>
    <row r="902" ht="15.75" customHeight="1">
      <c r="A902" s="37"/>
      <c r="B902" s="37"/>
      <c r="C902" s="39"/>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49"/>
      <c r="AE902" s="49"/>
      <c r="AF902" s="49"/>
      <c r="AG902" s="49"/>
      <c r="AH902" s="49"/>
      <c r="AI902" s="49"/>
      <c r="AJ902" s="49"/>
      <c r="AK902" s="49"/>
      <c r="AL902" s="49"/>
      <c r="AM902" s="49"/>
      <c r="AN902" s="49"/>
      <c r="AO902" s="49"/>
      <c r="AP902" s="49"/>
      <c r="AQ902" s="49"/>
      <c r="AR902" s="49"/>
      <c r="AS902" s="49"/>
      <c r="AT902" s="49"/>
    </row>
    <row r="903" ht="15.75" customHeight="1">
      <c r="A903" s="37"/>
      <c r="B903" s="37"/>
      <c r="C903" s="39"/>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49"/>
      <c r="AE903" s="49"/>
      <c r="AF903" s="49"/>
      <c r="AG903" s="49"/>
      <c r="AH903" s="49"/>
      <c r="AI903" s="49"/>
      <c r="AJ903" s="49"/>
      <c r="AK903" s="49"/>
      <c r="AL903" s="49"/>
      <c r="AM903" s="49"/>
      <c r="AN903" s="49"/>
      <c r="AO903" s="49"/>
      <c r="AP903" s="49"/>
      <c r="AQ903" s="49"/>
      <c r="AR903" s="49"/>
      <c r="AS903" s="49"/>
      <c r="AT903" s="49"/>
    </row>
    <row r="904" ht="15.75" customHeight="1">
      <c r="A904" s="37"/>
      <c r="B904" s="37"/>
      <c r="C904" s="39"/>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49"/>
      <c r="AE904" s="49"/>
      <c r="AF904" s="49"/>
      <c r="AG904" s="49"/>
      <c r="AH904" s="49"/>
      <c r="AI904" s="49"/>
      <c r="AJ904" s="49"/>
      <c r="AK904" s="49"/>
      <c r="AL904" s="49"/>
      <c r="AM904" s="49"/>
      <c r="AN904" s="49"/>
      <c r="AO904" s="49"/>
      <c r="AP904" s="49"/>
      <c r="AQ904" s="49"/>
      <c r="AR904" s="49"/>
      <c r="AS904" s="49"/>
      <c r="AT904" s="49"/>
    </row>
    <row r="905" ht="15.75" customHeight="1">
      <c r="A905" s="37"/>
      <c r="B905" s="37"/>
      <c r="C905" s="39"/>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49"/>
      <c r="AE905" s="49"/>
      <c r="AF905" s="49"/>
      <c r="AG905" s="49"/>
      <c r="AH905" s="49"/>
      <c r="AI905" s="49"/>
      <c r="AJ905" s="49"/>
      <c r="AK905" s="49"/>
      <c r="AL905" s="49"/>
      <c r="AM905" s="49"/>
      <c r="AN905" s="49"/>
      <c r="AO905" s="49"/>
      <c r="AP905" s="49"/>
      <c r="AQ905" s="49"/>
      <c r="AR905" s="49"/>
      <c r="AS905" s="49"/>
      <c r="AT905" s="49"/>
    </row>
    <row r="906" ht="15.75" customHeight="1">
      <c r="A906" s="37"/>
      <c r="B906" s="37"/>
      <c r="C906" s="39"/>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49"/>
      <c r="AE906" s="49"/>
      <c r="AF906" s="49"/>
      <c r="AG906" s="49"/>
      <c r="AH906" s="49"/>
      <c r="AI906" s="49"/>
      <c r="AJ906" s="49"/>
      <c r="AK906" s="49"/>
      <c r="AL906" s="49"/>
      <c r="AM906" s="49"/>
      <c r="AN906" s="49"/>
      <c r="AO906" s="49"/>
      <c r="AP906" s="49"/>
      <c r="AQ906" s="49"/>
      <c r="AR906" s="49"/>
      <c r="AS906" s="49"/>
      <c r="AT906" s="49"/>
    </row>
    <row r="907" ht="15.75" customHeight="1">
      <c r="A907" s="37"/>
      <c r="B907" s="37"/>
      <c r="C907" s="39"/>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49"/>
      <c r="AE907" s="49"/>
      <c r="AF907" s="49"/>
      <c r="AG907" s="49"/>
      <c r="AH907" s="49"/>
      <c r="AI907" s="49"/>
      <c r="AJ907" s="49"/>
      <c r="AK907" s="49"/>
      <c r="AL907" s="49"/>
      <c r="AM907" s="49"/>
      <c r="AN907" s="49"/>
      <c r="AO907" s="49"/>
      <c r="AP907" s="49"/>
      <c r="AQ907" s="49"/>
      <c r="AR907" s="49"/>
      <c r="AS907" s="49"/>
      <c r="AT907" s="49"/>
    </row>
    <row r="908" ht="15.75" customHeight="1">
      <c r="A908" s="37"/>
      <c r="B908" s="37"/>
      <c r="C908" s="39"/>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49"/>
      <c r="AE908" s="49"/>
      <c r="AF908" s="49"/>
      <c r="AG908" s="49"/>
      <c r="AH908" s="49"/>
      <c r="AI908" s="49"/>
      <c r="AJ908" s="49"/>
      <c r="AK908" s="49"/>
      <c r="AL908" s="49"/>
      <c r="AM908" s="49"/>
      <c r="AN908" s="49"/>
      <c r="AO908" s="49"/>
      <c r="AP908" s="49"/>
      <c r="AQ908" s="49"/>
      <c r="AR908" s="49"/>
      <c r="AS908" s="49"/>
      <c r="AT908" s="49"/>
    </row>
    <row r="909" ht="15.75" customHeight="1">
      <c r="A909" s="37"/>
      <c r="B909" s="37"/>
      <c r="C909" s="39"/>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49"/>
      <c r="AE909" s="49"/>
      <c r="AF909" s="49"/>
      <c r="AG909" s="49"/>
      <c r="AH909" s="49"/>
      <c r="AI909" s="49"/>
      <c r="AJ909" s="49"/>
      <c r="AK909" s="49"/>
      <c r="AL909" s="49"/>
      <c r="AM909" s="49"/>
      <c r="AN909" s="49"/>
      <c r="AO909" s="49"/>
      <c r="AP909" s="49"/>
      <c r="AQ909" s="49"/>
      <c r="AR909" s="49"/>
      <c r="AS909" s="49"/>
      <c r="AT909" s="49"/>
    </row>
    <row r="910" ht="15.75" customHeight="1">
      <c r="A910" s="37"/>
      <c r="B910" s="37"/>
      <c r="C910" s="39"/>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49"/>
      <c r="AE910" s="49"/>
      <c r="AF910" s="49"/>
      <c r="AG910" s="49"/>
      <c r="AH910" s="49"/>
      <c r="AI910" s="49"/>
      <c r="AJ910" s="49"/>
      <c r="AK910" s="49"/>
      <c r="AL910" s="49"/>
      <c r="AM910" s="49"/>
      <c r="AN910" s="49"/>
      <c r="AO910" s="49"/>
      <c r="AP910" s="49"/>
      <c r="AQ910" s="49"/>
      <c r="AR910" s="49"/>
      <c r="AS910" s="49"/>
      <c r="AT910" s="49"/>
    </row>
    <row r="911" ht="15.75" customHeight="1">
      <c r="A911" s="37"/>
      <c r="B911" s="37"/>
      <c r="C911" s="39"/>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49"/>
      <c r="AE911" s="49"/>
      <c r="AF911" s="49"/>
      <c r="AG911" s="49"/>
      <c r="AH911" s="49"/>
      <c r="AI911" s="49"/>
      <c r="AJ911" s="49"/>
      <c r="AK911" s="49"/>
      <c r="AL911" s="49"/>
      <c r="AM911" s="49"/>
      <c r="AN911" s="49"/>
      <c r="AO911" s="49"/>
      <c r="AP911" s="49"/>
      <c r="AQ911" s="49"/>
      <c r="AR911" s="49"/>
      <c r="AS911" s="49"/>
      <c r="AT911" s="49"/>
    </row>
    <row r="912" ht="15.75" customHeight="1">
      <c r="A912" s="37"/>
      <c r="B912" s="37"/>
      <c r="C912" s="39"/>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49"/>
      <c r="AE912" s="49"/>
      <c r="AF912" s="49"/>
      <c r="AG912" s="49"/>
      <c r="AH912" s="49"/>
      <c r="AI912" s="49"/>
      <c r="AJ912" s="49"/>
      <c r="AK912" s="49"/>
      <c r="AL912" s="49"/>
      <c r="AM912" s="49"/>
      <c r="AN912" s="49"/>
      <c r="AO912" s="49"/>
      <c r="AP912" s="49"/>
      <c r="AQ912" s="49"/>
      <c r="AR912" s="49"/>
      <c r="AS912" s="49"/>
      <c r="AT912" s="49"/>
    </row>
    <row r="913" ht="15.75" customHeight="1">
      <c r="A913" s="37"/>
      <c r="B913" s="37"/>
      <c r="C913" s="39"/>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49"/>
      <c r="AE913" s="49"/>
      <c r="AF913" s="49"/>
      <c r="AG913" s="49"/>
      <c r="AH913" s="49"/>
      <c r="AI913" s="49"/>
      <c r="AJ913" s="49"/>
      <c r="AK913" s="49"/>
      <c r="AL913" s="49"/>
      <c r="AM913" s="49"/>
      <c r="AN913" s="49"/>
      <c r="AO913" s="49"/>
      <c r="AP913" s="49"/>
      <c r="AQ913" s="49"/>
      <c r="AR913" s="49"/>
      <c r="AS913" s="49"/>
      <c r="AT913" s="49"/>
    </row>
    <row r="914" ht="15.75" customHeight="1">
      <c r="A914" s="37"/>
      <c r="B914" s="37"/>
      <c r="C914" s="39"/>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49"/>
      <c r="AE914" s="49"/>
      <c r="AF914" s="49"/>
      <c r="AG914" s="49"/>
      <c r="AH914" s="49"/>
      <c r="AI914" s="49"/>
      <c r="AJ914" s="49"/>
      <c r="AK914" s="49"/>
      <c r="AL914" s="49"/>
      <c r="AM914" s="49"/>
      <c r="AN914" s="49"/>
      <c r="AO914" s="49"/>
      <c r="AP914" s="49"/>
      <c r="AQ914" s="49"/>
      <c r="AR914" s="49"/>
      <c r="AS914" s="49"/>
      <c r="AT914" s="49"/>
    </row>
    <row r="915" ht="15.75" customHeight="1">
      <c r="A915" s="37"/>
      <c r="B915" s="37"/>
      <c r="C915" s="39"/>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49"/>
      <c r="AE915" s="49"/>
      <c r="AF915" s="49"/>
      <c r="AG915" s="49"/>
      <c r="AH915" s="49"/>
      <c r="AI915" s="49"/>
      <c r="AJ915" s="49"/>
      <c r="AK915" s="49"/>
      <c r="AL915" s="49"/>
      <c r="AM915" s="49"/>
      <c r="AN915" s="49"/>
      <c r="AO915" s="49"/>
      <c r="AP915" s="49"/>
      <c r="AQ915" s="49"/>
      <c r="AR915" s="49"/>
      <c r="AS915" s="49"/>
      <c r="AT915" s="49"/>
    </row>
    <row r="916" ht="15.75" customHeight="1">
      <c r="A916" s="37"/>
      <c r="B916" s="37"/>
      <c r="C916" s="39"/>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49"/>
      <c r="AE916" s="49"/>
      <c r="AF916" s="49"/>
      <c r="AG916" s="49"/>
      <c r="AH916" s="49"/>
      <c r="AI916" s="49"/>
      <c r="AJ916" s="49"/>
      <c r="AK916" s="49"/>
      <c r="AL916" s="49"/>
      <c r="AM916" s="49"/>
      <c r="AN916" s="49"/>
      <c r="AO916" s="49"/>
      <c r="AP916" s="49"/>
      <c r="AQ916" s="49"/>
      <c r="AR916" s="49"/>
      <c r="AS916" s="49"/>
      <c r="AT916" s="49"/>
    </row>
    <row r="917" ht="15.75" customHeight="1">
      <c r="A917" s="37"/>
      <c r="B917" s="37"/>
      <c r="C917" s="39"/>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49"/>
      <c r="AE917" s="49"/>
      <c r="AF917" s="49"/>
      <c r="AG917" s="49"/>
      <c r="AH917" s="49"/>
      <c r="AI917" s="49"/>
      <c r="AJ917" s="49"/>
      <c r="AK917" s="49"/>
      <c r="AL917" s="49"/>
      <c r="AM917" s="49"/>
      <c r="AN917" s="49"/>
      <c r="AO917" s="49"/>
      <c r="AP917" s="49"/>
      <c r="AQ917" s="49"/>
      <c r="AR917" s="49"/>
      <c r="AS917" s="49"/>
      <c r="AT917" s="49"/>
    </row>
    <row r="918" ht="15.75" customHeight="1">
      <c r="A918" s="37"/>
      <c r="B918" s="37"/>
      <c r="C918" s="39"/>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49"/>
      <c r="AE918" s="49"/>
      <c r="AF918" s="49"/>
      <c r="AG918" s="49"/>
      <c r="AH918" s="49"/>
      <c r="AI918" s="49"/>
      <c r="AJ918" s="49"/>
      <c r="AK918" s="49"/>
      <c r="AL918" s="49"/>
      <c r="AM918" s="49"/>
      <c r="AN918" s="49"/>
      <c r="AO918" s="49"/>
      <c r="AP918" s="49"/>
      <c r="AQ918" s="49"/>
      <c r="AR918" s="49"/>
      <c r="AS918" s="49"/>
      <c r="AT918" s="49"/>
    </row>
    <row r="919" ht="15.75" customHeight="1">
      <c r="A919" s="37"/>
      <c r="B919" s="37"/>
      <c r="C919" s="39"/>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49"/>
      <c r="AE919" s="49"/>
      <c r="AF919" s="49"/>
      <c r="AG919" s="49"/>
      <c r="AH919" s="49"/>
      <c r="AI919" s="49"/>
      <c r="AJ919" s="49"/>
      <c r="AK919" s="49"/>
      <c r="AL919" s="49"/>
      <c r="AM919" s="49"/>
      <c r="AN919" s="49"/>
      <c r="AO919" s="49"/>
      <c r="AP919" s="49"/>
      <c r="AQ919" s="49"/>
      <c r="AR919" s="49"/>
      <c r="AS919" s="49"/>
      <c r="AT919" s="49"/>
    </row>
    <row r="920" ht="15.75" customHeight="1">
      <c r="A920" s="37"/>
      <c r="B920" s="37"/>
      <c r="C920" s="39"/>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49"/>
      <c r="AE920" s="49"/>
      <c r="AF920" s="49"/>
      <c r="AG920" s="49"/>
      <c r="AH920" s="49"/>
      <c r="AI920" s="49"/>
      <c r="AJ920" s="49"/>
      <c r="AK920" s="49"/>
      <c r="AL920" s="49"/>
      <c r="AM920" s="49"/>
      <c r="AN920" s="49"/>
      <c r="AO920" s="49"/>
      <c r="AP920" s="49"/>
      <c r="AQ920" s="49"/>
      <c r="AR920" s="49"/>
      <c r="AS920" s="49"/>
      <c r="AT920" s="49"/>
    </row>
    <row r="921" ht="15.75" customHeight="1">
      <c r="A921" s="37"/>
      <c r="B921" s="37"/>
      <c r="C921" s="39"/>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49"/>
      <c r="AE921" s="49"/>
      <c r="AF921" s="49"/>
      <c r="AG921" s="49"/>
      <c r="AH921" s="49"/>
      <c r="AI921" s="49"/>
      <c r="AJ921" s="49"/>
      <c r="AK921" s="49"/>
      <c r="AL921" s="49"/>
      <c r="AM921" s="49"/>
      <c r="AN921" s="49"/>
      <c r="AO921" s="49"/>
      <c r="AP921" s="49"/>
      <c r="AQ921" s="49"/>
      <c r="AR921" s="49"/>
      <c r="AS921" s="49"/>
      <c r="AT921" s="49"/>
    </row>
    <row r="922" ht="15.75" customHeight="1">
      <c r="A922" s="37"/>
      <c r="B922" s="37"/>
      <c r="C922" s="39"/>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49"/>
      <c r="AE922" s="49"/>
      <c r="AF922" s="49"/>
      <c r="AG922" s="49"/>
      <c r="AH922" s="49"/>
      <c r="AI922" s="49"/>
      <c r="AJ922" s="49"/>
      <c r="AK922" s="49"/>
      <c r="AL922" s="49"/>
      <c r="AM922" s="49"/>
      <c r="AN922" s="49"/>
      <c r="AO922" s="49"/>
      <c r="AP922" s="49"/>
      <c r="AQ922" s="49"/>
      <c r="AR922" s="49"/>
      <c r="AS922" s="49"/>
      <c r="AT922" s="49"/>
    </row>
    <row r="923" ht="15.75" customHeight="1">
      <c r="A923" s="37"/>
      <c r="B923" s="37"/>
      <c r="C923" s="39"/>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49"/>
      <c r="AE923" s="49"/>
      <c r="AF923" s="49"/>
      <c r="AG923" s="49"/>
      <c r="AH923" s="49"/>
      <c r="AI923" s="49"/>
      <c r="AJ923" s="49"/>
      <c r="AK923" s="49"/>
      <c r="AL923" s="49"/>
      <c r="AM923" s="49"/>
      <c r="AN923" s="49"/>
      <c r="AO923" s="49"/>
      <c r="AP923" s="49"/>
      <c r="AQ923" s="49"/>
      <c r="AR923" s="49"/>
      <c r="AS923" s="49"/>
      <c r="AT923" s="49"/>
    </row>
    <row r="924" ht="15.75" customHeight="1">
      <c r="A924" s="37"/>
      <c r="B924" s="37"/>
      <c r="C924" s="39"/>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49"/>
      <c r="AE924" s="49"/>
      <c r="AF924" s="49"/>
      <c r="AG924" s="49"/>
      <c r="AH924" s="49"/>
      <c r="AI924" s="49"/>
      <c r="AJ924" s="49"/>
      <c r="AK924" s="49"/>
      <c r="AL924" s="49"/>
      <c r="AM924" s="49"/>
      <c r="AN924" s="49"/>
      <c r="AO924" s="49"/>
      <c r="AP924" s="49"/>
      <c r="AQ924" s="49"/>
      <c r="AR924" s="49"/>
      <c r="AS924" s="49"/>
      <c r="AT924" s="49"/>
    </row>
    <row r="925" ht="15.75" customHeight="1">
      <c r="A925" s="37"/>
      <c r="B925" s="37"/>
      <c r="C925" s="39"/>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49"/>
      <c r="AE925" s="49"/>
      <c r="AF925" s="49"/>
      <c r="AG925" s="49"/>
      <c r="AH925" s="49"/>
      <c r="AI925" s="49"/>
      <c r="AJ925" s="49"/>
      <c r="AK925" s="49"/>
      <c r="AL925" s="49"/>
      <c r="AM925" s="49"/>
      <c r="AN925" s="49"/>
      <c r="AO925" s="49"/>
      <c r="AP925" s="49"/>
      <c r="AQ925" s="49"/>
      <c r="AR925" s="49"/>
      <c r="AS925" s="49"/>
      <c r="AT925" s="49"/>
    </row>
    <row r="926" ht="15.75" customHeight="1">
      <c r="A926" s="37"/>
      <c r="B926" s="37"/>
      <c r="C926" s="39"/>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49"/>
      <c r="AE926" s="49"/>
      <c r="AF926" s="49"/>
      <c r="AG926" s="49"/>
      <c r="AH926" s="49"/>
      <c r="AI926" s="49"/>
      <c r="AJ926" s="49"/>
      <c r="AK926" s="49"/>
      <c r="AL926" s="49"/>
      <c r="AM926" s="49"/>
      <c r="AN926" s="49"/>
      <c r="AO926" s="49"/>
      <c r="AP926" s="49"/>
      <c r="AQ926" s="49"/>
      <c r="AR926" s="49"/>
      <c r="AS926" s="49"/>
      <c r="AT926" s="49"/>
    </row>
    <row r="927" ht="15.75" customHeight="1">
      <c r="A927" s="37"/>
      <c r="B927" s="37"/>
      <c r="C927" s="39"/>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49"/>
      <c r="AE927" s="49"/>
      <c r="AF927" s="49"/>
      <c r="AG927" s="49"/>
      <c r="AH927" s="49"/>
      <c r="AI927" s="49"/>
      <c r="AJ927" s="49"/>
      <c r="AK927" s="49"/>
      <c r="AL927" s="49"/>
      <c r="AM927" s="49"/>
      <c r="AN927" s="49"/>
      <c r="AO927" s="49"/>
      <c r="AP927" s="49"/>
      <c r="AQ927" s="49"/>
      <c r="AR927" s="49"/>
      <c r="AS927" s="49"/>
      <c r="AT927" s="49"/>
    </row>
    <row r="928" ht="15.75" customHeight="1">
      <c r="A928" s="37"/>
      <c r="B928" s="37"/>
      <c r="C928" s="39"/>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49"/>
      <c r="AE928" s="49"/>
      <c r="AF928" s="49"/>
      <c r="AG928" s="49"/>
      <c r="AH928" s="49"/>
      <c r="AI928" s="49"/>
      <c r="AJ928" s="49"/>
      <c r="AK928" s="49"/>
      <c r="AL928" s="49"/>
      <c r="AM928" s="49"/>
      <c r="AN928" s="49"/>
      <c r="AO928" s="49"/>
      <c r="AP928" s="49"/>
      <c r="AQ928" s="49"/>
      <c r="AR928" s="49"/>
      <c r="AS928" s="49"/>
      <c r="AT928" s="49"/>
    </row>
    <row r="929" ht="15.75" customHeight="1">
      <c r="A929" s="37"/>
      <c r="B929" s="37"/>
      <c r="C929" s="39"/>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49"/>
      <c r="AE929" s="49"/>
      <c r="AF929" s="49"/>
      <c r="AG929" s="49"/>
      <c r="AH929" s="49"/>
      <c r="AI929" s="49"/>
      <c r="AJ929" s="49"/>
      <c r="AK929" s="49"/>
      <c r="AL929" s="49"/>
      <c r="AM929" s="49"/>
      <c r="AN929" s="49"/>
      <c r="AO929" s="49"/>
      <c r="AP929" s="49"/>
      <c r="AQ929" s="49"/>
      <c r="AR929" s="49"/>
      <c r="AS929" s="49"/>
      <c r="AT929" s="49"/>
    </row>
    <row r="930" ht="15.75" customHeight="1">
      <c r="A930" s="37"/>
      <c r="B930" s="37"/>
      <c r="C930" s="39"/>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49"/>
      <c r="AE930" s="49"/>
      <c r="AF930" s="49"/>
      <c r="AG930" s="49"/>
      <c r="AH930" s="49"/>
      <c r="AI930" s="49"/>
      <c r="AJ930" s="49"/>
      <c r="AK930" s="49"/>
      <c r="AL930" s="49"/>
      <c r="AM930" s="49"/>
      <c r="AN930" s="49"/>
      <c r="AO930" s="49"/>
      <c r="AP930" s="49"/>
      <c r="AQ930" s="49"/>
      <c r="AR930" s="49"/>
      <c r="AS930" s="49"/>
      <c r="AT930" s="49"/>
    </row>
    <row r="931" ht="15.75" customHeight="1">
      <c r="A931" s="37"/>
      <c r="B931" s="37"/>
      <c r="C931" s="39"/>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49"/>
      <c r="AE931" s="49"/>
      <c r="AF931" s="49"/>
      <c r="AG931" s="49"/>
      <c r="AH931" s="49"/>
      <c r="AI931" s="49"/>
      <c r="AJ931" s="49"/>
      <c r="AK931" s="49"/>
      <c r="AL931" s="49"/>
      <c r="AM931" s="49"/>
      <c r="AN931" s="49"/>
      <c r="AO931" s="49"/>
      <c r="AP931" s="49"/>
      <c r="AQ931" s="49"/>
      <c r="AR931" s="49"/>
      <c r="AS931" s="49"/>
      <c r="AT931" s="49"/>
    </row>
    <row r="932" ht="15.75" customHeight="1">
      <c r="A932" s="37"/>
      <c r="B932" s="37"/>
      <c r="C932" s="39"/>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49"/>
      <c r="AE932" s="49"/>
      <c r="AF932" s="49"/>
      <c r="AG932" s="49"/>
      <c r="AH932" s="49"/>
      <c r="AI932" s="49"/>
      <c r="AJ932" s="49"/>
      <c r="AK932" s="49"/>
      <c r="AL932" s="49"/>
      <c r="AM932" s="49"/>
      <c r="AN932" s="49"/>
      <c r="AO932" s="49"/>
      <c r="AP932" s="49"/>
      <c r="AQ932" s="49"/>
      <c r="AR932" s="49"/>
      <c r="AS932" s="49"/>
      <c r="AT932" s="49"/>
    </row>
    <row r="933" ht="15.75" customHeight="1">
      <c r="A933" s="37"/>
      <c r="B933" s="37"/>
      <c r="C933" s="39"/>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49"/>
      <c r="AE933" s="49"/>
      <c r="AF933" s="49"/>
      <c r="AG933" s="49"/>
      <c r="AH933" s="49"/>
      <c r="AI933" s="49"/>
      <c r="AJ933" s="49"/>
      <c r="AK933" s="49"/>
      <c r="AL933" s="49"/>
      <c r="AM933" s="49"/>
      <c r="AN933" s="49"/>
      <c r="AO933" s="49"/>
      <c r="AP933" s="49"/>
      <c r="AQ933" s="49"/>
      <c r="AR933" s="49"/>
      <c r="AS933" s="49"/>
      <c r="AT933" s="49"/>
    </row>
    <row r="934" ht="15.75" customHeight="1">
      <c r="A934" s="37"/>
      <c r="B934" s="37"/>
      <c r="C934" s="39"/>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49"/>
      <c r="AE934" s="49"/>
      <c r="AF934" s="49"/>
      <c r="AG934" s="49"/>
      <c r="AH934" s="49"/>
      <c r="AI934" s="49"/>
      <c r="AJ934" s="49"/>
      <c r="AK934" s="49"/>
      <c r="AL934" s="49"/>
      <c r="AM934" s="49"/>
      <c r="AN934" s="49"/>
      <c r="AO934" s="49"/>
      <c r="AP934" s="49"/>
      <c r="AQ934" s="49"/>
      <c r="AR934" s="49"/>
      <c r="AS934" s="49"/>
      <c r="AT934" s="49"/>
    </row>
    <row r="935" ht="15.75" customHeight="1">
      <c r="A935" s="37"/>
      <c r="B935" s="37"/>
      <c r="C935" s="39"/>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49"/>
      <c r="AE935" s="49"/>
      <c r="AF935" s="49"/>
      <c r="AG935" s="49"/>
      <c r="AH935" s="49"/>
      <c r="AI935" s="49"/>
      <c r="AJ935" s="49"/>
      <c r="AK935" s="49"/>
      <c r="AL935" s="49"/>
      <c r="AM935" s="49"/>
      <c r="AN935" s="49"/>
      <c r="AO935" s="49"/>
      <c r="AP935" s="49"/>
      <c r="AQ935" s="49"/>
      <c r="AR935" s="49"/>
      <c r="AS935" s="49"/>
      <c r="AT935" s="49"/>
    </row>
    <row r="936" ht="15.75" customHeight="1">
      <c r="A936" s="37"/>
      <c r="B936" s="37"/>
      <c r="C936" s="39"/>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49"/>
      <c r="AE936" s="49"/>
      <c r="AF936" s="49"/>
      <c r="AG936" s="49"/>
      <c r="AH936" s="49"/>
      <c r="AI936" s="49"/>
      <c r="AJ936" s="49"/>
      <c r="AK936" s="49"/>
      <c r="AL936" s="49"/>
      <c r="AM936" s="49"/>
      <c r="AN936" s="49"/>
      <c r="AO936" s="49"/>
      <c r="AP936" s="49"/>
      <c r="AQ936" s="49"/>
      <c r="AR936" s="49"/>
      <c r="AS936" s="49"/>
      <c r="AT936" s="49"/>
    </row>
    <row r="937" ht="15.75" customHeight="1">
      <c r="A937" s="37"/>
      <c r="B937" s="37"/>
      <c r="C937" s="39"/>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49"/>
      <c r="AE937" s="49"/>
      <c r="AF937" s="49"/>
      <c r="AG937" s="49"/>
      <c r="AH937" s="49"/>
      <c r="AI937" s="49"/>
      <c r="AJ937" s="49"/>
      <c r="AK937" s="49"/>
      <c r="AL937" s="49"/>
      <c r="AM937" s="49"/>
      <c r="AN937" s="49"/>
      <c r="AO937" s="49"/>
      <c r="AP937" s="49"/>
      <c r="AQ937" s="49"/>
      <c r="AR937" s="49"/>
      <c r="AS937" s="49"/>
      <c r="AT937" s="49"/>
    </row>
    <row r="938" ht="15.75" customHeight="1">
      <c r="A938" s="37"/>
      <c r="B938" s="37"/>
      <c r="C938" s="39"/>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49"/>
      <c r="AE938" s="49"/>
      <c r="AF938" s="49"/>
      <c r="AG938" s="49"/>
      <c r="AH938" s="49"/>
      <c r="AI938" s="49"/>
      <c r="AJ938" s="49"/>
      <c r="AK938" s="49"/>
      <c r="AL938" s="49"/>
      <c r="AM938" s="49"/>
      <c r="AN938" s="49"/>
      <c r="AO938" s="49"/>
      <c r="AP938" s="49"/>
      <c r="AQ938" s="49"/>
      <c r="AR938" s="49"/>
      <c r="AS938" s="49"/>
      <c r="AT938" s="49"/>
    </row>
    <row r="939" ht="15.75" customHeight="1">
      <c r="A939" s="37"/>
      <c r="B939" s="37"/>
      <c r="C939" s="39"/>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49"/>
      <c r="AE939" s="49"/>
      <c r="AF939" s="49"/>
      <c r="AG939" s="49"/>
      <c r="AH939" s="49"/>
      <c r="AI939" s="49"/>
      <c r="AJ939" s="49"/>
      <c r="AK939" s="49"/>
      <c r="AL939" s="49"/>
      <c r="AM939" s="49"/>
      <c r="AN939" s="49"/>
      <c r="AO939" s="49"/>
      <c r="AP939" s="49"/>
      <c r="AQ939" s="49"/>
      <c r="AR939" s="49"/>
      <c r="AS939" s="49"/>
      <c r="AT939" s="49"/>
    </row>
    <row r="940" ht="15.75" customHeight="1">
      <c r="A940" s="37"/>
      <c r="B940" s="37"/>
      <c r="C940" s="39"/>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49"/>
      <c r="AE940" s="49"/>
      <c r="AF940" s="49"/>
      <c r="AG940" s="49"/>
      <c r="AH940" s="49"/>
      <c r="AI940" s="49"/>
      <c r="AJ940" s="49"/>
      <c r="AK940" s="49"/>
      <c r="AL940" s="49"/>
      <c r="AM940" s="49"/>
      <c r="AN940" s="49"/>
      <c r="AO940" s="49"/>
      <c r="AP940" s="49"/>
      <c r="AQ940" s="49"/>
      <c r="AR940" s="49"/>
      <c r="AS940" s="49"/>
      <c r="AT940" s="49"/>
    </row>
    <row r="941" ht="15.75" customHeight="1">
      <c r="A941" s="37"/>
      <c r="B941" s="37"/>
      <c r="C941" s="39"/>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49"/>
      <c r="AE941" s="49"/>
      <c r="AF941" s="49"/>
      <c r="AG941" s="49"/>
      <c r="AH941" s="49"/>
      <c r="AI941" s="49"/>
      <c r="AJ941" s="49"/>
      <c r="AK941" s="49"/>
      <c r="AL941" s="49"/>
      <c r="AM941" s="49"/>
      <c r="AN941" s="49"/>
      <c r="AO941" s="49"/>
      <c r="AP941" s="49"/>
      <c r="AQ941" s="49"/>
      <c r="AR941" s="49"/>
      <c r="AS941" s="49"/>
      <c r="AT941" s="49"/>
    </row>
    <row r="942" ht="15.75" customHeight="1">
      <c r="A942" s="37"/>
      <c r="B942" s="37"/>
      <c r="C942" s="39"/>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49"/>
      <c r="AE942" s="49"/>
      <c r="AF942" s="49"/>
      <c r="AG942" s="49"/>
      <c r="AH942" s="49"/>
      <c r="AI942" s="49"/>
      <c r="AJ942" s="49"/>
      <c r="AK942" s="49"/>
      <c r="AL942" s="49"/>
      <c r="AM942" s="49"/>
      <c r="AN942" s="49"/>
      <c r="AO942" s="49"/>
      <c r="AP942" s="49"/>
      <c r="AQ942" s="49"/>
      <c r="AR942" s="49"/>
      <c r="AS942" s="49"/>
      <c r="AT942" s="49"/>
    </row>
    <row r="943" ht="15.75" customHeight="1">
      <c r="A943" s="37"/>
      <c r="B943" s="37"/>
      <c r="C943" s="39"/>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49"/>
      <c r="AE943" s="49"/>
      <c r="AF943" s="49"/>
      <c r="AG943" s="49"/>
      <c r="AH943" s="49"/>
      <c r="AI943" s="49"/>
      <c r="AJ943" s="49"/>
      <c r="AK943" s="49"/>
      <c r="AL943" s="49"/>
      <c r="AM943" s="49"/>
      <c r="AN943" s="49"/>
      <c r="AO943" s="49"/>
      <c r="AP943" s="49"/>
      <c r="AQ943" s="49"/>
      <c r="AR943" s="49"/>
      <c r="AS943" s="49"/>
      <c r="AT943" s="49"/>
    </row>
    <row r="944" ht="15.75" customHeight="1">
      <c r="A944" s="37"/>
      <c r="B944" s="37"/>
      <c r="C944" s="39"/>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49"/>
      <c r="AE944" s="49"/>
      <c r="AF944" s="49"/>
      <c r="AG944" s="49"/>
      <c r="AH944" s="49"/>
      <c r="AI944" s="49"/>
      <c r="AJ944" s="49"/>
      <c r="AK944" s="49"/>
      <c r="AL944" s="49"/>
      <c r="AM944" s="49"/>
      <c r="AN944" s="49"/>
      <c r="AO944" s="49"/>
      <c r="AP944" s="49"/>
      <c r="AQ944" s="49"/>
      <c r="AR944" s="49"/>
      <c r="AS944" s="49"/>
      <c r="AT944" s="49"/>
    </row>
    <row r="945" ht="15.75" customHeight="1">
      <c r="A945" s="37"/>
      <c r="B945" s="37"/>
      <c r="C945" s="39"/>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49"/>
      <c r="AE945" s="49"/>
      <c r="AF945" s="49"/>
      <c r="AG945" s="49"/>
      <c r="AH945" s="49"/>
      <c r="AI945" s="49"/>
      <c r="AJ945" s="49"/>
      <c r="AK945" s="49"/>
      <c r="AL945" s="49"/>
      <c r="AM945" s="49"/>
      <c r="AN945" s="49"/>
      <c r="AO945" s="49"/>
      <c r="AP945" s="49"/>
      <c r="AQ945" s="49"/>
      <c r="AR945" s="49"/>
      <c r="AS945" s="49"/>
      <c r="AT945" s="49"/>
    </row>
    <row r="946" ht="15.75" customHeight="1">
      <c r="A946" s="37"/>
      <c r="B946" s="37"/>
      <c r="C946" s="39"/>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49"/>
      <c r="AE946" s="49"/>
      <c r="AF946" s="49"/>
      <c r="AG946" s="49"/>
      <c r="AH946" s="49"/>
      <c r="AI946" s="49"/>
      <c r="AJ946" s="49"/>
      <c r="AK946" s="49"/>
      <c r="AL946" s="49"/>
      <c r="AM946" s="49"/>
      <c r="AN946" s="49"/>
      <c r="AO946" s="49"/>
      <c r="AP946" s="49"/>
      <c r="AQ946" s="49"/>
      <c r="AR946" s="49"/>
      <c r="AS946" s="49"/>
      <c r="AT946" s="49"/>
    </row>
    <row r="947" ht="15.75" customHeight="1">
      <c r="A947" s="37"/>
      <c r="B947" s="37"/>
      <c r="C947" s="39"/>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49"/>
      <c r="AE947" s="49"/>
      <c r="AF947" s="49"/>
      <c r="AG947" s="49"/>
      <c r="AH947" s="49"/>
      <c r="AI947" s="49"/>
      <c r="AJ947" s="49"/>
      <c r="AK947" s="49"/>
      <c r="AL947" s="49"/>
      <c r="AM947" s="49"/>
      <c r="AN947" s="49"/>
      <c r="AO947" s="49"/>
      <c r="AP947" s="49"/>
      <c r="AQ947" s="49"/>
      <c r="AR947" s="49"/>
      <c r="AS947" s="49"/>
      <c r="AT947" s="49"/>
    </row>
    <row r="948" ht="15.75" customHeight="1">
      <c r="A948" s="37"/>
      <c r="B948" s="37"/>
      <c r="C948" s="39"/>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49"/>
      <c r="AE948" s="49"/>
      <c r="AF948" s="49"/>
      <c r="AG948" s="49"/>
      <c r="AH948" s="49"/>
      <c r="AI948" s="49"/>
      <c r="AJ948" s="49"/>
      <c r="AK948" s="49"/>
      <c r="AL948" s="49"/>
      <c r="AM948" s="49"/>
      <c r="AN948" s="49"/>
      <c r="AO948" s="49"/>
      <c r="AP948" s="49"/>
      <c r="AQ948" s="49"/>
      <c r="AR948" s="49"/>
      <c r="AS948" s="49"/>
      <c r="AT948" s="49"/>
    </row>
    <row r="949" ht="15.75" customHeight="1">
      <c r="A949" s="37"/>
      <c r="B949" s="37"/>
      <c r="C949" s="39"/>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49"/>
      <c r="AE949" s="49"/>
      <c r="AF949" s="49"/>
      <c r="AG949" s="49"/>
      <c r="AH949" s="49"/>
      <c r="AI949" s="49"/>
      <c r="AJ949" s="49"/>
      <c r="AK949" s="49"/>
      <c r="AL949" s="49"/>
      <c r="AM949" s="49"/>
      <c r="AN949" s="49"/>
      <c r="AO949" s="49"/>
      <c r="AP949" s="49"/>
      <c r="AQ949" s="49"/>
      <c r="AR949" s="49"/>
      <c r="AS949" s="49"/>
      <c r="AT949" s="49"/>
    </row>
    <row r="950" ht="15.75" customHeight="1">
      <c r="A950" s="37"/>
      <c r="B950" s="37"/>
      <c r="C950" s="39"/>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49"/>
      <c r="AE950" s="49"/>
      <c r="AF950" s="49"/>
      <c r="AG950" s="49"/>
      <c r="AH950" s="49"/>
      <c r="AI950" s="49"/>
      <c r="AJ950" s="49"/>
      <c r="AK950" s="49"/>
      <c r="AL950" s="49"/>
      <c r="AM950" s="49"/>
      <c r="AN950" s="49"/>
      <c r="AO950" s="49"/>
      <c r="AP950" s="49"/>
      <c r="AQ950" s="49"/>
      <c r="AR950" s="49"/>
      <c r="AS950" s="49"/>
      <c r="AT950" s="49"/>
    </row>
    <row r="951" ht="15.75" customHeight="1">
      <c r="A951" s="37"/>
      <c r="B951" s="37"/>
      <c r="C951" s="39"/>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49"/>
      <c r="AE951" s="49"/>
      <c r="AF951" s="49"/>
      <c r="AG951" s="49"/>
      <c r="AH951" s="49"/>
      <c r="AI951" s="49"/>
      <c r="AJ951" s="49"/>
      <c r="AK951" s="49"/>
      <c r="AL951" s="49"/>
      <c r="AM951" s="49"/>
      <c r="AN951" s="49"/>
      <c r="AO951" s="49"/>
      <c r="AP951" s="49"/>
      <c r="AQ951" s="49"/>
      <c r="AR951" s="49"/>
      <c r="AS951" s="49"/>
      <c r="AT951" s="49"/>
    </row>
    <row r="952" ht="15.75" customHeight="1">
      <c r="A952" s="37"/>
      <c r="B952" s="37"/>
      <c r="C952" s="39"/>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49"/>
      <c r="AE952" s="49"/>
      <c r="AF952" s="49"/>
      <c r="AG952" s="49"/>
      <c r="AH952" s="49"/>
      <c r="AI952" s="49"/>
      <c r="AJ952" s="49"/>
      <c r="AK952" s="49"/>
      <c r="AL952" s="49"/>
      <c r="AM952" s="49"/>
      <c r="AN952" s="49"/>
      <c r="AO952" s="49"/>
      <c r="AP952" s="49"/>
      <c r="AQ952" s="49"/>
      <c r="AR952" s="49"/>
      <c r="AS952" s="49"/>
      <c r="AT952" s="49"/>
    </row>
    <row r="953" ht="15.75" customHeight="1">
      <c r="A953" s="37"/>
      <c r="B953" s="37"/>
      <c r="C953" s="39"/>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49"/>
      <c r="AE953" s="49"/>
      <c r="AF953" s="49"/>
      <c r="AG953" s="49"/>
      <c r="AH953" s="49"/>
      <c r="AI953" s="49"/>
      <c r="AJ953" s="49"/>
      <c r="AK953" s="49"/>
      <c r="AL953" s="49"/>
      <c r="AM953" s="49"/>
      <c r="AN953" s="49"/>
      <c r="AO953" s="49"/>
      <c r="AP953" s="49"/>
      <c r="AQ953" s="49"/>
      <c r="AR953" s="49"/>
      <c r="AS953" s="49"/>
      <c r="AT953" s="49"/>
    </row>
    <row r="954" ht="15.75" customHeight="1">
      <c r="A954" s="37"/>
      <c r="B954" s="37"/>
      <c r="C954" s="39"/>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49"/>
      <c r="AE954" s="49"/>
      <c r="AF954" s="49"/>
      <c r="AG954" s="49"/>
      <c r="AH954" s="49"/>
      <c r="AI954" s="49"/>
      <c r="AJ954" s="49"/>
      <c r="AK954" s="49"/>
      <c r="AL954" s="49"/>
      <c r="AM954" s="49"/>
      <c r="AN954" s="49"/>
      <c r="AO954" s="49"/>
      <c r="AP954" s="49"/>
      <c r="AQ954" s="49"/>
      <c r="AR954" s="49"/>
      <c r="AS954" s="49"/>
      <c r="AT954" s="49"/>
    </row>
    <row r="955" ht="15.75" customHeight="1">
      <c r="A955" s="37"/>
      <c r="B955" s="37"/>
      <c r="C955" s="39"/>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49"/>
      <c r="AE955" s="49"/>
      <c r="AF955" s="49"/>
      <c r="AG955" s="49"/>
      <c r="AH955" s="49"/>
      <c r="AI955" s="49"/>
      <c r="AJ955" s="49"/>
      <c r="AK955" s="49"/>
      <c r="AL955" s="49"/>
      <c r="AM955" s="49"/>
      <c r="AN955" s="49"/>
      <c r="AO955" s="49"/>
      <c r="AP955" s="49"/>
      <c r="AQ955" s="49"/>
      <c r="AR955" s="49"/>
      <c r="AS955" s="49"/>
      <c r="AT955" s="49"/>
    </row>
    <row r="956" ht="15.75" customHeight="1">
      <c r="A956" s="37"/>
      <c r="B956" s="37"/>
      <c r="C956" s="39"/>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49"/>
      <c r="AE956" s="49"/>
      <c r="AF956" s="49"/>
      <c r="AG956" s="49"/>
      <c r="AH956" s="49"/>
      <c r="AI956" s="49"/>
      <c r="AJ956" s="49"/>
      <c r="AK956" s="49"/>
      <c r="AL956" s="49"/>
      <c r="AM956" s="49"/>
      <c r="AN956" s="49"/>
      <c r="AO956" s="49"/>
      <c r="AP956" s="49"/>
      <c r="AQ956" s="49"/>
      <c r="AR956" s="49"/>
      <c r="AS956" s="49"/>
      <c r="AT956" s="49"/>
    </row>
    <row r="957" ht="15.75" customHeight="1">
      <c r="A957" s="37"/>
      <c r="B957" s="37"/>
      <c r="C957" s="39"/>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49"/>
      <c r="AE957" s="49"/>
      <c r="AF957" s="49"/>
      <c r="AG957" s="49"/>
      <c r="AH957" s="49"/>
      <c r="AI957" s="49"/>
      <c r="AJ957" s="49"/>
      <c r="AK957" s="49"/>
      <c r="AL957" s="49"/>
      <c r="AM957" s="49"/>
      <c r="AN957" s="49"/>
      <c r="AO957" s="49"/>
      <c r="AP957" s="49"/>
      <c r="AQ957" s="49"/>
      <c r="AR957" s="49"/>
      <c r="AS957" s="49"/>
      <c r="AT957" s="49"/>
    </row>
    <row r="958" ht="15.75" customHeight="1">
      <c r="A958" s="37"/>
      <c r="B958" s="37"/>
      <c r="C958" s="39"/>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49"/>
      <c r="AE958" s="49"/>
      <c r="AF958" s="49"/>
      <c r="AG958" s="49"/>
      <c r="AH958" s="49"/>
      <c r="AI958" s="49"/>
      <c r="AJ958" s="49"/>
      <c r="AK958" s="49"/>
      <c r="AL958" s="49"/>
      <c r="AM958" s="49"/>
      <c r="AN958" s="49"/>
      <c r="AO958" s="49"/>
      <c r="AP958" s="49"/>
      <c r="AQ958" s="49"/>
      <c r="AR958" s="49"/>
      <c r="AS958" s="49"/>
      <c r="AT958" s="49"/>
    </row>
    <row r="959" ht="15.75" customHeight="1">
      <c r="A959" s="37"/>
      <c r="B959" s="37"/>
      <c r="C959" s="39"/>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49"/>
      <c r="AE959" s="49"/>
      <c r="AF959" s="49"/>
      <c r="AG959" s="49"/>
      <c r="AH959" s="49"/>
      <c r="AI959" s="49"/>
      <c r="AJ959" s="49"/>
      <c r="AK959" s="49"/>
      <c r="AL959" s="49"/>
      <c r="AM959" s="49"/>
      <c r="AN959" s="49"/>
      <c r="AO959" s="49"/>
      <c r="AP959" s="49"/>
      <c r="AQ959" s="49"/>
      <c r="AR959" s="49"/>
      <c r="AS959" s="49"/>
      <c r="AT959" s="49"/>
    </row>
    <row r="960" ht="15.75" customHeight="1">
      <c r="A960" s="37"/>
      <c r="B960" s="37"/>
      <c r="C960" s="39"/>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49"/>
      <c r="AE960" s="49"/>
      <c r="AF960" s="49"/>
      <c r="AG960" s="49"/>
      <c r="AH960" s="49"/>
      <c r="AI960" s="49"/>
      <c r="AJ960" s="49"/>
      <c r="AK960" s="49"/>
      <c r="AL960" s="49"/>
      <c r="AM960" s="49"/>
      <c r="AN960" s="49"/>
      <c r="AO960" s="49"/>
      <c r="AP960" s="49"/>
      <c r="AQ960" s="49"/>
      <c r="AR960" s="49"/>
      <c r="AS960" s="49"/>
      <c r="AT960" s="49"/>
    </row>
    <row r="961" ht="15.75" customHeight="1">
      <c r="A961" s="37"/>
      <c r="B961" s="37"/>
      <c r="C961" s="39"/>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49"/>
      <c r="AE961" s="49"/>
      <c r="AF961" s="49"/>
      <c r="AG961" s="49"/>
      <c r="AH961" s="49"/>
      <c r="AI961" s="49"/>
      <c r="AJ961" s="49"/>
      <c r="AK961" s="49"/>
      <c r="AL961" s="49"/>
      <c r="AM961" s="49"/>
      <c r="AN961" s="49"/>
      <c r="AO961" s="49"/>
      <c r="AP961" s="49"/>
      <c r="AQ961" s="49"/>
      <c r="AR961" s="49"/>
      <c r="AS961" s="49"/>
      <c r="AT961" s="49"/>
    </row>
    <row r="962" ht="15.75" customHeight="1">
      <c r="A962" s="37"/>
      <c r="B962" s="37"/>
      <c r="C962" s="39"/>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49"/>
      <c r="AE962" s="49"/>
      <c r="AF962" s="49"/>
      <c r="AG962" s="49"/>
      <c r="AH962" s="49"/>
      <c r="AI962" s="49"/>
      <c r="AJ962" s="49"/>
      <c r="AK962" s="49"/>
      <c r="AL962" s="49"/>
      <c r="AM962" s="49"/>
      <c r="AN962" s="49"/>
      <c r="AO962" s="49"/>
      <c r="AP962" s="49"/>
      <c r="AQ962" s="49"/>
      <c r="AR962" s="49"/>
      <c r="AS962" s="49"/>
      <c r="AT962" s="49"/>
    </row>
    <row r="963" ht="15.75" customHeight="1">
      <c r="A963" s="37"/>
      <c r="B963" s="37"/>
      <c r="C963" s="39"/>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49"/>
      <c r="AE963" s="49"/>
      <c r="AF963" s="49"/>
      <c r="AG963" s="49"/>
      <c r="AH963" s="49"/>
      <c r="AI963" s="49"/>
      <c r="AJ963" s="49"/>
      <c r="AK963" s="49"/>
      <c r="AL963" s="49"/>
      <c r="AM963" s="49"/>
      <c r="AN963" s="49"/>
      <c r="AO963" s="49"/>
      <c r="AP963" s="49"/>
      <c r="AQ963" s="49"/>
      <c r="AR963" s="49"/>
      <c r="AS963" s="49"/>
      <c r="AT963" s="49"/>
    </row>
    <row r="964" ht="15.75" customHeight="1">
      <c r="A964" s="37"/>
      <c r="B964" s="37"/>
      <c r="C964" s="39"/>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49"/>
      <c r="AE964" s="49"/>
      <c r="AF964" s="49"/>
      <c r="AG964" s="49"/>
      <c r="AH964" s="49"/>
      <c r="AI964" s="49"/>
      <c r="AJ964" s="49"/>
      <c r="AK964" s="49"/>
      <c r="AL964" s="49"/>
      <c r="AM964" s="49"/>
      <c r="AN964" s="49"/>
      <c r="AO964" s="49"/>
      <c r="AP964" s="49"/>
      <c r="AQ964" s="49"/>
      <c r="AR964" s="49"/>
      <c r="AS964" s="49"/>
      <c r="AT964" s="49"/>
    </row>
    <row r="965" ht="15.75" customHeight="1">
      <c r="A965" s="37"/>
      <c r="B965" s="37"/>
      <c r="C965" s="39"/>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49"/>
      <c r="AE965" s="49"/>
      <c r="AF965" s="49"/>
      <c r="AG965" s="49"/>
      <c r="AH965" s="49"/>
      <c r="AI965" s="49"/>
      <c r="AJ965" s="49"/>
      <c r="AK965" s="49"/>
      <c r="AL965" s="49"/>
      <c r="AM965" s="49"/>
      <c r="AN965" s="49"/>
      <c r="AO965" s="49"/>
      <c r="AP965" s="49"/>
      <c r="AQ965" s="49"/>
      <c r="AR965" s="49"/>
      <c r="AS965" s="49"/>
      <c r="AT965" s="49"/>
    </row>
    <row r="966" ht="15.75" customHeight="1">
      <c r="A966" s="37"/>
      <c r="B966" s="37"/>
      <c r="C966" s="39"/>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49"/>
      <c r="AE966" s="49"/>
      <c r="AF966" s="49"/>
      <c r="AG966" s="49"/>
      <c r="AH966" s="49"/>
      <c r="AI966" s="49"/>
      <c r="AJ966" s="49"/>
      <c r="AK966" s="49"/>
      <c r="AL966" s="49"/>
      <c r="AM966" s="49"/>
      <c r="AN966" s="49"/>
      <c r="AO966" s="49"/>
      <c r="AP966" s="49"/>
      <c r="AQ966" s="49"/>
      <c r="AR966" s="49"/>
      <c r="AS966" s="49"/>
      <c r="AT966" s="49"/>
    </row>
    <row r="967" ht="15.75" customHeight="1">
      <c r="A967" s="37"/>
      <c r="B967" s="37"/>
      <c r="C967" s="39"/>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49"/>
      <c r="AE967" s="49"/>
      <c r="AF967" s="49"/>
      <c r="AG967" s="49"/>
      <c r="AH967" s="49"/>
      <c r="AI967" s="49"/>
      <c r="AJ967" s="49"/>
      <c r="AK967" s="49"/>
      <c r="AL967" s="49"/>
      <c r="AM967" s="49"/>
      <c r="AN967" s="49"/>
      <c r="AO967" s="49"/>
      <c r="AP967" s="49"/>
      <c r="AQ967" s="49"/>
      <c r="AR967" s="49"/>
      <c r="AS967" s="49"/>
      <c r="AT967" s="49"/>
    </row>
    <row r="968" ht="15.75" customHeight="1">
      <c r="A968" s="37"/>
      <c r="B968" s="37"/>
      <c r="C968" s="39"/>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49"/>
      <c r="AE968" s="49"/>
      <c r="AF968" s="49"/>
      <c r="AG968" s="49"/>
      <c r="AH968" s="49"/>
      <c r="AI968" s="49"/>
      <c r="AJ968" s="49"/>
      <c r="AK968" s="49"/>
      <c r="AL968" s="49"/>
      <c r="AM968" s="49"/>
      <c r="AN968" s="49"/>
      <c r="AO968" s="49"/>
      <c r="AP968" s="49"/>
      <c r="AQ968" s="49"/>
      <c r="AR968" s="49"/>
      <c r="AS968" s="49"/>
      <c r="AT968" s="49"/>
    </row>
    <row r="969" ht="15.75" customHeight="1">
      <c r="A969" s="37"/>
      <c r="B969" s="37"/>
      <c r="C969" s="39"/>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49"/>
      <c r="AE969" s="49"/>
      <c r="AF969" s="49"/>
      <c r="AG969" s="49"/>
      <c r="AH969" s="49"/>
      <c r="AI969" s="49"/>
      <c r="AJ969" s="49"/>
      <c r="AK969" s="49"/>
      <c r="AL969" s="49"/>
      <c r="AM969" s="49"/>
      <c r="AN969" s="49"/>
      <c r="AO969" s="49"/>
      <c r="AP969" s="49"/>
      <c r="AQ969" s="49"/>
      <c r="AR969" s="49"/>
      <c r="AS969" s="49"/>
      <c r="AT969" s="49"/>
    </row>
    <row r="970" ht="15.75" customHeight="1">
      <c r="A970" s="37"/>
      <c r="B970" s="37"/>
      <c r="C970" s="39"/>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49"/>
      <c r="AE970" s="49"/>
      <c r="AF970" s="49"/>
      <c r="AG970" s="49"/>
      <c r="AH970" s="49"/>
      <c r="AI970" s="49"/>
      <c r="AJ970" s="49"/>
      <c r="AK970" s="49"/>
      <c r="AL970" s="49"/>
      <c r="AM970" s="49"/>
      <c r="AN970" s="49"/>
      <c r="AO970" s="49"/>
      <c r="AP970" s="49"/>
      <c r="AQ970" s="49"/>
      <c r="AR970" s="49"/>
      <c r="AS970" s="49"/>
      <c r="AT970" s="49"/>
    </row>
    <row r="971" ht="15.75" customHeight="1">
      <c r="A971" s="37"/>
      <c r="B971" s="37"/>
      <c r="C971" s="39"/>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49"/>
      <c r="AE971" s="49"/>
      <c r="AF971" s="49"/>
      <c r="AG971" s="49"/>
      <c r="AH971" s="49"/>
      <c r="AI971" s="49"/>
      <c r="AJ971" s="49"/>
      <c r="AK971" s="49"/>
      <c r="AL971" s="49"/>
      <c r="AM971" s="49"/>
      <c r="AN971" s="49"/>
      <c r="AO971" s="49"/>
      <c r="AP971" s="49"/>
      <c r="AQ971" s="49"/>
      <c r="AR971" s="49"/>
      <c r="AS971" s="49"/>
      <c r="AT971" s="49"/>
    </row>
    <row r="972" ht="15.75" customHeight="1">
      <c r="A972" s="37"/>
      <c r="B972" s="37"/>
      <c r="C972" s="39"/>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49"/>
      <c r="AE972" s="49"/>
      <c r="AF972" s="49"/>
      <c r="AG972" s="49"/>
      <c r="AH972" s="49"/>
      <c r="AI972" s="49"/>
      <c r="AJ972" s="49"/>
      <c r="AK972" s="49"/>
      <c r="AL972" s="49"/>
      <c r="AM972" s="49"/>
      <c r="AN972" s="49"/>
      <c r="AO972" s="49"/>
      <c r="AP972" s="49"/>
      <c r="AQ972" s="49"/>
      <c r="AR972" s="49"/>
      <c r="AS972" s="49"/>
      <c r="AT972" s="49"/>
    </row>
    <row r="973" ht="15.75" customHeight="1">
      <c r="A973" s="37"/>
      <c r="B973" s="37"/>
      <c r="C973" s="39"/>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49"/>
      <c r="AE973" s="49"/>
      <c r="AF973" s="49"/>
      <c r="AG973" s="49"/>
      <c r="AH973" s="49"/>
      <c r="AI973" s="49"/>
      <c r="AJ973" s="49"/>
      <c r="AK973" s="49"/>
      <c r="AL973" s="49"/>
      <c r="AM973" s="49"/>
      <c r="AN973" s="49"/>
      <c r="AO973" s="49"/>
      <c r="AP973" s="49"/>
      <c r="AQ973" s="49"/>
      <c r="AR973" s="49"/>
      <c r="AS973" s="49"/>
      <c r="AT973" s="49"/>
    </row>
    <row r="974" ht="15.75" customHeight="1">
      <c r="A974" s="37"/>
      <c r="B974" s="37"/>
      <c r="C974" s="39"/>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49"/>
      <c r="AE974" s="49"/>
      <c r="AF974" s="49"/>
      <c r="AG974" s="49"/>
      <c r="AH974" s="49"/>
      <c r="AI974" s="49"/>
      <c r="AJ974" s="49"/>
      <c r="AK974" s="49"/>
      <c r="AL974" s="49"/>
      <c r="AM974" s="49"/>
      <c r="AN974" s="49"/>
      <c r="AO974" s="49"/>
      <c r="AP974" s="49"/>
      <c r="AQ974" s="49"/>
      <c r="AR974" s="49"/>
      <c r="AS974" s="49"/>
      <c r="AT974" s="49"/>
    </row>
    <row r="975" ht="15.75" customHeight="1">
      <c r="A975" s="37"/>
      <c r="B975" s="37"/>
      <c r="C975" s="39"/>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49"/>
      <c r="AE975" s="49"/>
      <c r="AF975" s="49"/>
      <c r="AG975" s="49"/>
      <c r="AH975" s="49"/>
      <c r="AI975" s="49"/>
      <c r="AJ975" s="49"/>
      <c r="AK975" s="49"/>
      <c r="AL975" s="49"/>
      <c r="AM975" s="49"/>
      <c r="AN975" s="49"/>
      <c r="AO975" s="49"/>
      <c r="AP975" s="49"/>
      <c r="AQ975" s="49"/>
      <c r="AR975" s="49"/>
      <c r="AS975" s="49"/>
      <c r="AT975" s="49"/>
    </row>
    <row r="976" ht="15.75" customHeight="1">
      <c r="A976" s="37"/>
      <c r="B976" s="37"/>
      <c r="C976" s="39"/>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49"/>
      <c r="AE976" s="49"/>
      <c r="AF976" s="49"/>
      <c r="AG976" s="49"/>
      <c r="AH976" s="49"/>
      <c r="AI976" s="49"/>
      <c r="AJ976" s="49"/>
      <c r="AK976" s="49"/>
      <c r="AL976" s="49"/>
      <c r="AM976" s="49"/>
      <c r="AN976" s="49"/>
      <c r="AO976" s="49"/>
      <c r="AP976" s="49"/>
      <c r="AQ976" s="49"/>
      <c r="AR976" s="49"/>
      <c r="AS976" s="49"/>
      <c r="AT976" s="49"/>
    </row>
    <row r="977" ht="15.75" customHeight="1">
      <c r="A977" s="37"/>
      <c r="B977" s="37"/>
      <c r="C977" s="39"/>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49"/>
      <c r="AE977" s="49"/>
      <c r="AF977" s="49"/>
      <c r="AG977" s="49"/>
      <c r="AH977" s="49"/>
      <c r="AI977" s="49"/>
      <c r="AJ977" s="49"/>
      <c r="AK977" s="49"/>
      <c r="AL977" s="49"/>
      <c r="AM977" s="49"/>
      <c r="AN977" s="49"/>
      <c r="AO977" s="49"/>
      <c r="AP977" s="49"/>
      <c r="AQ977" s="49"/>
      <c r="AR977" s="49"/>
      <c r="AS977" s="49"/>
      <c r="AT977" s="49"/>
    </row>
    <row r="978" ht="15.75" customHeight="1">
      <c r="A978" s="37"/>
      <c r="B978" s="37"/>
      <c r="C978" s="39"/>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49"/>
      <c r="AE978" s="49"/>
      <c r="AF978" s="49"/>
      <c r="AG978" s="49"/>
      <c r="AH978" s="49"/>
      <c r="AI978" s="49"/>
      <c r="AJ978" s="49"/>
      <c r="AK978" s="49"/>
      <c r="AL978" s="49"/>
      <c r="AM978" s="49"/>
      <c r="AN978" s="49"/>
      <c r="AO978" s="49"/>
      <c r="AP978" s="49"/>
      <c r="AQ978" s="49"/>
      <c r="AR978" s="49"/>
      <c r="AS978" s="49"/>
      <c r="AT978" s="49"/>
    </row>
    <row r="979" ht="15.75" customHeight="1">
      <c r="A979" s="37"/>
      <c r="B979" s="37"/>
      <c r="C979" s="39"/>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49"/>
      <c r="AE979" s="49"/>
      <c r="AF979" s="49"/>
      <c r="AG979" s="49"/>
      <c r="AH979" s="49"/>
      <c r="AI979" s="49"/>
      <c r="AJ979" s="49"/>
      <c r="AK979" s="49"/>
      <c r="AL979" s="49"/>
      <c r="AM979" s="49"/>
      <c r="AN979" s="49"/>
      <c r="AO979" s="49"/>
      <c r="AP979" s="49"/>
      <c r="AQ979" s="49"/>
      <c r="AR979" s="49"/>
      <c r="AS979" s="49"/>
      <c r="AT979" s="49"/>
    </row>
    <row r="980" ht="15.75" customHeight="1">
      <c r="A980" s="37"/>
      <c r="B980" s="37"/>
      <c r="C980" s="39"/>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49"/>
      <c r="AE980" s="49"/>
      <c r="AF980" s="49"/>
      <c r="AG980" s="49"/>
      <c r="AH980" s="49"/>
      <c r="AI980" s="49"/>
      <c r="AJ980" s="49"/>
      <c r="AK980" s="49"/>
      <c r="AL980" s="49"/>
      <c r="AM980" s="49"/>
      <c r="AN980" s="49"/>
      <c r="AO980" s="49"/>
      <c r="AP980" s="49"/>
      <c r="AQ980" s="49"/>
      <c r="AR980" s="49"/>
      <c r="AS980" s="49"/>
      <c r="AT980" s="49"/>
    </row>
    <row r="981" ht="15.75" customHeight="1">
      <c r="A981" s="37"/>
      <c r="B981" s="37"/>
      <c r="C981" s="39"/>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49"/>
      <c r="AE981" s="49"/>
      <c r="AF981" s="49"/>
      <c r="AG981" s="49"/>
      <c r="AH981" s="49"/>
      <c r="AI981" s="49"/>
      <c r="AJ981" s="49"/>
      <c r="AK981" s="49"/>
      <c r="AL981" s="49"/>
      <c r="AM981" s="49"/>
      <c r="AN981" s="49"/>
      <c r="AO981" s="49"/>
      <c r="AP981" s="49"/>
      <c r="AQ981" s="49"/>
      <c r="AR981" s="49"/>
      <c r="AS981" s="49"/>
      <c r="AT981" s="49"/>
    </row>
    <row r="982" ht="15.75" customHeight="1">
      <c r="A982" s="37"/>
      <c r="B982" s="37"/>
      <c r="C982" s="39"/>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49"/>
      <c r="AE982" s="49"/>
      <c r="AF982" s="49"/>
      <c r="AG982" s="49"/>
      <c r="AH982" s="49"/>
      <c r="AI982" s="49"/>
      <c r="AJ982" s="49"/>
      <c r="AK982" s="49"/>
      <c r="AL982" s="49"/>
      <c r="AM982" s="49"/>
      <c r="AN982" s="49"/>
      <c r="AO982" s="49"/>
      <c r="AP982" s="49"/>
      <c r="AQ982" s="49"/>
      <c r="AR982" s="49"/>
      <c r="AS982" s="49"/>
      <c r="AT982" s="49"/>
    </row>
    <row r="983" ht="15.75" customHeight="1">
      <c r="A983" s="37"/>
      <c r="B983" s="37"/>
      <c r="C983" s="39"/>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49"/>
      <c r="AE983" s="49"/>
      <c r="AF983" s="49"/>
      <c r="AG983" s="49"/>
      <c r="AH983" s="49"/>
      <c r="AI983" s="49"/>
      <c r="AJ983" s="49"/>
      <c r="AK983" s="49"/>
      <c r="AL983" s="49"/>
      <c r="AM983" s="49"/>
      <c r="AN983" s="49"/>
      <c r="AO983" s="49"/>
      <c r="AP983" s="49"/>
      <c r="AQ983" s="49"/>
      <c r="AR983" s="49"/>
      <c r="AS983" s="49"/>
      <c r="AT983" s="49"/>
    </row>
    <row r="984" ht="15.75" customHeight="1">
      <c r="A984" s="37"/>
      <c r="B984" s="37"/>
      <c r="C984" s="39"/>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49"/>
      <c r="AE984" s="49"/>
      <c r="AF984" s="49"/>
      <c r="AG984" s="49"/>
      <c r="AH984" s="49"/>
      <c r="AI984" s="49"/>
      <c r="AJ984" s="49"/>
      <c r="AK984" s="49"/>
      <c r="AL984" s="49"/>
      <c r="AM984" s="49"/>
      <c r="AN984" s="49"/>
      <c r="AO984" s="49"/>
      <c r="AP984" s="49"/>
      <c r="AQ984" s="49"/>
      <c r="AR984" s="49"/>
      <c r="AS984" s="49"/>
      <c r="AT984" s="49"/>
    </row>
    <row r="985" ht="15.75" customHeight="1">
      <c r="A985" s="37"/>
      <c r="B985" s="37"/>
      <c r="C985" s="39"/>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49"/>
      <c r="AE985" s="49"/>
      <c r="AF985" s="49"/>
      <c r="AG985" s="49"/>
      <c r="AH985" s="49"/>
      <c r="AI985" s="49"/>
      <c r="AJ985" s="49"/>
      <c r="AK985" s="49"/>
      <c r="AL985" s="49"/>
      <c r="AM985" s="49"/>
      <c r="AN985" s="49"/>
      <c r="AO985" s="49"/>
      <c r="AP985" s="49"/>
      <c r="AQ985" s="49"/>
      <c r="AR985" s="49"/>
      <c r="AS985" s="49"/>
      <c r="AT985" s="49"/>
    </row>
    <row r="986" ht="15.75" customHeight="1">
      <c r="A986" s="37"/>
      <c r="B986" s="37"/>
      <c r="C986" s="39"/>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49"/>
      <c r="AE986" s="49"/>
      <c r="AF986" s="49"/>
      <c r="AG986" s="49"/>
      <c r="AH986" s="49"/>
      <c r="AI986" s="49"/>
      <c r="AJ986" s="49"/>
      <c r="AK986" s="49"/>
      <c r="AL986" s="49"/>
      <c r="AM986" s="49"/>
      <c r="AN986" s="49"/>
      <c r="AO986" s="49"/>
      <c r="AP986" s="49"/>
      <c r="AQ986" s="49"/>
      <c r="AR986" s="49"/>
      <c r="AS986" s="49"/>
      <c r="AT986" s="49"/>
    </row>
    <row r="987" ht="15.75" customHeight="1">
      <c r="A987" s="37"/>
      <c r="B987" s="37"/>
      <c r="C987" s="39"/>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49"/>
      <c r="AE987" s="49"/>
      <c r="AF987" s="49"/>
      <c r="AG987" s="49"/>
      <c r="AH987" s="49"/>
      <c r="AI987" s="49"/>
      <c r="AJ987" s="49"/>
      <c r="AK987" s="49"/>
      <c r="AL987" s="49"/>
      <c r="AM987" s="49"/>
      <c r="AN987" s="49"/>
      <c r="AO987" s="49"/>
      <c r="AP987" s="49"/>
      <c r="AQ987" s="49"/>
      <c r="AR987" s="49"/>
      <c r="AS987" s="49"/>
      <c r="AT987" s="49"/>
    </row>
    <row r="988" ht="15.75" customHeight="1">
      <c r="A988" s="37"/>
      <c r="B988" s="37"/>
      <c r="C988" s="39"/>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49"/>
      <c r="AE988" s="49"/>
      <c r="AF988" s="49"/>
      <c r="AG988" s="49"/>
      <c r="AH988" s="49"/>
      <c r="AI988" s="49"/>
      <c r="AJ988" s="49"/>
      <c r="AK988" s="49"/>
      <c r="AL988" s="49"/>
      <c r="AM988" s="49"/>
      <c r="AN988" s="49"/>
      <c r="AO988" s="49"/>
      <c r="AP988" s="49"/>
      <c r="AQ988" s="49"/>
      <c r="AR988" s="49"/>
      <c r="AS988" s="49"/>
      <c r="AT988" s="49"/>
    </row>
    <row r="989" ht="15.75" customHeight="1">
      <c r="A989" s="37"/>
      <c r="B989" s="37"/>
      <c r="C989" s="39"/>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49"/>
      <c r="AE989" s="49"/>
      <c r="AF989" s="49"/>
      <c r="AG989" s="49"/>
      <c r="AH989" s="49"/>
      <c r="AI989" s="49"/>
      <c r="AJ989" s="49"/>
      <c r="AK989" s="49"/>
      <c r="AL989" s="49"/>
      <c r="AM989" s="49"/>
      <c r="AN989" s="49"/>
      <c r="AO989" s="49"/>
      <c r="AP989" s="49"/>
      <c r="AQ989" s="49"/>
      <c r="AR989" s="49"/>
      <c r="AS989" s="49"/>
      <c r="AT989" s="49"/>
    </row>
    <row r="990" ht="15.75" customHeight="1">
      <c r="A990" s="37"/>
      <c r="B990" s="37"/>
      <c r="C990" s="39"/>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49"/>
      <c r="AE990" s="49"/>
      <c r="AF990" s="49"/>
      <c r="AG990" s="49"/>
      <c r="AH990" s="49"/>
      <c r="AI990" s="49"/>
      <c r="AJ990" s="49"/>
      <c r="AK990" s="49"/>
      <c r="AL990" s="49"/>
      <c r="AM990" s="49"/>
      <c r="AN990" s="49"/>
      <c r="AO990" s="49"/>
      <c r="AP990" s="49"/>
      <c r="AQ990" s="49"/>
      <c r="AR990" s="49"/>
      <c r="AS990" s="49"/>
      <c r="AT990" s="49"/>
    </row>
    <row r="991" ht="15.75" customHeight="1">
      <c r="A991" s="37"/>
      <c r="B991" s="37"/>
      <c r="C991" s="39"/>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49"/>
      <c r="AE991" s="49"/>
      <c r="AF991" s="49"/>
      <c r="AG991" s="49"/>
      <c r="AH991" s="49"/>
      <c r="AI991" s="49"/>
      <c r="AJ991" s="49"/>
      <c r="AK991" s="49"/>
      <c r="AL991" s="49"/>
      <c r="AM991" s="49"/>
      <c r="AN991" s="49"/>
      <c r="AO991" s="49"/>
      <c r="AP991" s="49"/>
      <c r="AQ991" s="49"/>
      <c r="AR991" s="49"/>
      <c r="AS991" s="49"/>
      <c r="AT991" s="49"/>
    </row>
    <row r="992" ht="15.75" customHeight="1">
      <c r="A992" s="37"/>
      <c r="B992" s="37"/>
      <c r="C992" s="39"/>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49"/>
      <c r="AE992" s="49"/>
      <c r="AF992" s="49"/>
      <c r="AG992" s="49"/>
      <c r="AH992" s="49"/>
      <c r="AI992" s="49"/>
      <c r="AJ992" s="49"/>
      <c r="AK992" s="49"/>
      <c r="AL992" s="49"/>
      <c r="AM992" s="49"/>
      <c r="AN992" s="49"/>
      <c r="AO992" s="49"/>
      <c r="AP992" s="49"/>
      <c r="AQ992" s="49"/>
      <c r="AR992" s="49"/>
      <c r="AS992" s="49"/>
      <c r="AT992" s="49"/>
    </row>
    <row r="993" ht="15.75" customHeight="1">
      <c r="A993" s="37"/>
      <c r="B993" s="37"/>
      <c r="C993" s="39"/>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49"/>
      <c r="AE993" s="49"/>
      <c r="AF993" s="49"/>
      <c r="AG993" s="49"/>
      <c r="AH993" s="49"/>
      <c r="AI993" s="49"/>
      <c r="AJ993" s="49"/>
      <c r="AK993" s="49"/>
      <c r="AL993" s="49"/>
      <c r="AM993" s="49"/>
      <c r="AN993" s="49"/>
      <c r="AO993" s="49"/>
      <c r="AP993" s="49"/>
      <c r="AQ993" s="49"/>
      <c r="AR993" s="49"/>
      <c r="AS993" s="49"/>
      <c r="AT993" s="49"/>
    </row>
    <row r="994" ht="15.75" customHeight="1">
      <c r="A994" s="37"/>
      <c r="B994" s="37"/>
      <c r="C994" s="39"/>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49"/>
      <c r="AE994" s="49"/>
      <c r="AF994" s="49"/>
      <c r="AG994" s="49"/>
      <c r="AH994" s="49"/>
      <c r="AI994" s="49"/>
      <c r="AJ994" s="49"/>
      <c r="AK994" s="49"/>
      <c r="AL994" s="49"/>
      <c r="AM994" s="49"/>
      <c r="AN994" s="49"/>
      <c r="AO994" s="49"/>
      <c r="AP994" s="49"/>
      <c r="AQ994" s="49"/>
      <c r="AR994" s="49"/>
      <c r="AS994" s="49"/>
      <c r="AT994" s="49"/>
    </row>
    <row r="995" ht="15.75" customHeight="1">
      <c r="A995" s="37"/>
      <c r="B995" s="37"/>
      <c r="C995" s="39"/>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49"/>
      <c r="AE995" s="49"/>
      <c r="AF995" s="49"/>
      <c r="AG995" s="49"/>
      <c r="AH995" s="49"/>
      <c r="AI995" s="49"/>
      <c r="AJ995" s="49"/>
      <c r="AK995" s="49"/>
      <c r="AL995" s="49"/>
      <c r="AM995" s="49"/>
      <c r="AN995" s="49"/>
      <c r="AO995" s="49"/>
      <c r="AP995" s="49"/>
      <c r="AQ995" s="49"/>
      <c r="AR995" s="49"/>
      <c r="AS995" s="49"/>
      <c r="AT995" s="49"/>
    </row>
    <row r="996" ht="15.75" customHeight="1">
      <c r="A996" s="37"/>
      <c r="B996" s="37"/>
      <c r="C996" s="39"/>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49"/>
      <c r="AE996" s="49"/>
      <c r="AF996" s="49"/>
      <c r="AG996" s="49"/>
      <c r="AH996" s="49"/>
      <c r="AI996" s="49"/>
      <c r="AJ996" s="49"/>
      <c r="AK996" s="49"/>
      <c r="AL996" s="49"/>
      <c r="AM996" s="49"/>
      <c r="AN996" s="49"/>
      <c r="AO996" s="49"/>
      <c r="AP996" s="49"/>
      <c r="AQ996" s="49"/>
      <c r="AR996" s="49"/>
      <c r="AS996" s="49"/>
      <c r="AT996" s="49"/>
    </row>
    <row r="997" ht="15.75" customHeight="1">
      <c r="A997" s="37"/>
      <c r="B997" s="37"/>
      <c r="C997" s="39"/>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49"/>
      <c r="AE997" s="49"/>
      <c r="AF997" s="49"/>
      <c r="AG997" s="49"/>
      <c r="AH997" s="49"/>
      <c r="AI997" s="49"/>
      <c r="AJ997" s="49"/>
      <c r="AK997" s="49"/>
      <c r="AL997" s="49"/>
      <c r="AM997" s="49"/>
      <c r="AN997" s="49"/>
      <c r="AO997" s="49"/>
      <c r="AP997" s="49"/>
      <c r="AQ997" s="49"/>
      <c r="AR997" s="49"/>
      <c r="AS997" s="49"/>
      <c r="AT997" s="49"/>
    </row>
    <row r="998" ht="15.75" customHeight="1">
      <c r="A998" s="37"/>
      <c r="B998" s="37"/>
      <c r="C998" s="39"/>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49"/>
      <c r="AE998" s="49"/>
      <c r="AF998" s="49"/>
      <c r="AG998" s="49"/>
      <c r="AH998" s="49"/>
      <c r="AI998" s="49"/>
      <c r="AJ998" s="49"/>
      <c r="AK998" s="49"/>
      <c r="AL998" s="49"/>
      <c r="AM998" s="49"/>
      <c r="AN998" s="49"/>
      <c r="AO998" s="49"/>
      <c r="AP998" s="49"/>
      <c r="AQ998" s="49"/>
      <c r="AR998" s="49"/>
      <c r="AS998" s="49"/>
      <c r="AT998" s="49"/>
    </row>
    <row r="999" ht="15.75" customHeight="1">
      <c r="A999" s="37"/>
      <c r="B999" s="37"/>
      <c r="C999" s="39"/>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49"/>
      <c r="AE999" s="49"/>
      <c r="AF999" s="49"/>
      <c r="AG999" s="49"/>
      <c r="AH999" s="49"/>
      <c r="AI999" s="49"/>
      <c r="AJ999" s="49"/>
      <c r="AK999" s="49"/>
      <c r="AL999" s="49"/>
      <c r="AM999" s="49"/>
      <c r="AN999" s="49"/>
      <c r="AO999" s="49"/>
      <c r="AP999" s="49"/>
      <c r="AQ999" s="49"/>
      <c r="AR999" s="49"/>
      <c r="AS999" s="49"/>
      <c r="AT999" s="49"/>
    </row>
    <row r="1000" ht="15.75" customHeight="1">
      <c r="A1000" s="37"/>
      <c r="B1000" s="37"/>
      <c r="C1000" s="39"/>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49"/>
      <c r="AE1000" s="49"/>
      <c r="AF1000" s="49"/>
      <c r="AG1000" s="49"/>
      <c r="AH1000" s="49"/>
      <c r="AI1000" s="49"/>
      <c r="AJ1000" s="49"/>
      <c r="AK1000" s="49"/>
      <c r="AL1000" s="49"/>
      <c r="AM1000" s="49"/>
      <c r="AN1000" s="49"/>
      <c r="AO1000" s="49"/>
      <c r="AP1000" s="49"/>
      <c r="AQ1000" s="49"/>
      <c r="AR1000" s="49"/>
      <c r="AS1000" s="49"/>
      <c r="AT1000" s="49"/>
    </row>
    <row r="1001" ht="15.75" customHeight="1">
      <c r="A1001" s="37"/>
      <c r="B1001" s="37"/>
      <c r="C1001" s="39"/>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49"/>
      <c r="AE1001" s="49"/>
      <c r="AF1001" s="49"/>
      <c r="AG1001" s="49"/>
      <c r="AH1001" s="49"/>
      <c r="AI1001" s="49"/>
      <c r="AJ1001" s="49"/>
      <c r="AK1001" s="49"/>
      <c r="AL1001" s="49"/>
      <c r="AM1001" s="49"/>
      <c r="AN1001" s="49"/>
      <c r="AO1001" s="49"/>
      <c r="AP1001" s="49"/>
      <c r="AQ1001" s="49"/>
      <c r="AR1001" s="49"/>
      <c r="AS1001" s="49"/>
      <c r="AT1001" s="49"/>
    </row>
    <row r="1002" ht="15.75" customHeight="1">
      <c r="A1002" s="37"/>
      <c r="B1002" s="37"/>
      <c r="C1002" s="39"/>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49"/>
      <c r="AE1002" s="49"/>
      <c r="AF1002" s="49"/>
      <c r="AG1002" s="49"/>
      <c r="AH1002" s="49"/>
      <c r="AI1002" s="49"/>
      <c r="AJ1002" s="49"/>
      <c r="AK1002" s="49"/>
      <c r="AL1002" s="49"/>
      <c r="AM1002" s="49"/>
      <c r="AN1002" s="49"/>
      <c r="AO1002" s="49"/>
      <c r="AP1002" s="49"/>
      <c r="AQ1002" s="49"/>
      <c r="AR1002" s="49"/>
      <c r="AS1002" s="49"/>
      <c r="AT1002" s="49"/>
    </row>
    <row r="1003" ht="15.75" customHeight="1">
      <c r="A1003" s="37"/>
      <c r="B1003" s="37"/>
      <c r="C1003" s="39"/>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49"/>
      <c r="AE1003" s="49"/>
      <c r="AF1003" s="49"/>
      <c r="AG1003" s="49"/>
      <c r="AH1003" s="49"/>
      <c r="AI1003" s="49"/>
      <c r="AJ1003" s="49"/>
      <c r="AK1003" s="49"/>
      <c r="AL1003" s="49"/>
      <c r="AM1003" s="49"/>
      <c r="AN1003" s="49"/>
      <c r="AO1003" s="49"/>
      <c r="AP1003" s="49"/>
      <c r="AQ1003" s="49"/>
      <c r="AR1003" s="49"/>
      <c r="AS1003" s="49"/>
      <c r="AT1003" s="49"/>
    </row>
    <row r="1004" ht="15.75" customHeight="1">
      <c r="A1004" s="37"/>
      <c r="B1004" s="37"/>
      <c r="C1004" s="39"/>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49"/>
      <c r="AE1004" s="49"/>
      <c r="AF1004" s="49"/>
      <c r="AG1004" s="49"/>
      <c r="AH1004" s="49"/>
      <c r="AI1004" s="49"/>
      <c r="AJ1004" s="49"/>
      <c r="AK1004" s="49"/>
      <c r="AL1004" s="49"/>
      <c r="AM1004" s="49"/>
      <c r="AN1004" s="49"/>
      <c r="AO1004" s="49"/>
      <c r="AP1004" s="49"/>
      <c r="AQ1004" s="49"/>
      <c r="AR1004" s="49"/>
      <c r="AS1004" s="49"/>
      <c r="AT1004" s="49"/>
    </row>
    <row r="1005" ht="15.75" customHeight="1">
      <c r="A1005" s="37"/>
      <c r="B1005" s="37"/>
      <c r="C1005" s="39"/>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49"/>
      <c r="AE1005" s="49"/>
      <c r="AF1005" s="49"/>
      <c r="AG1005" s="49"/>
      <c r="AH1005" s="49"/>
      <c r="AI1005" s="49"/>
      <c r="AJ1005" s="49"/>
      <c r="AK1005" s="49"/>
      <c r="AL1005" s="49"/>
      <c r="AM1005" s="49"/>
      <c r="AN1005" s="49"/>
      <c r="AO1005" s="49"/>
      <c r="AP1005" s="49"/>
      <c r="AQ1005" s="49"/>
      <c r="AR1005" s="49"/>
      <c r="AS1005" s="49"/>
      <c r="AT1005" s="49"/>
    </row>
    <row r="1006" ht="15.75" customHeight="1">
      <c r="A1006" s="37"/>
      <c r="B1006" s="37"/>
      <c r="C1006" s="39"/>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49"/>
      <c r="AE1006" s="49"/>
      <c r="AF1006" s="49"/>
      <c r="AG1006" s="49"/>
      <c r="AH1006" s="49"/>
      <c r="AI1006" s="49"/>
      <c r="AJ1006" s="49"/>
      <c r="AK1006" s="49"/>
      <c r="AL1006" s="49"/>
      <c r="AM1006" s="49"/>
      <c r="AN1006" s="49"/>
      <c r="AO1006" s="49"/>
      <c r="AP1006" s="49"/>
      <c r="AQ1006" s="49"/>
      <c r="AR1006" s="49"/>
      <c r="AS1006" s="49"/>
      <c r="AT1006" s="49"/>
    </row>
    <row r="1007" ht="15.75" customHeight="1">
      <c r="A1007" s="37"/>
      <c r="B1007" s="37"/>
      <c r="C1007" s="39"/>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49"/>
      <c r="AE1007" s="49"/>
      <c r="AF1007" s="49"/>
      <c r="AG1007" s="49"/>
      <c r="AH1007" s="49"/>
      <c r="AI1007" s="49"/>
      <c r="AJ1007" s="49"/>
      <c r="AK1007" s="49"/>
      <c r="AL1007" s="49"/>
      <c r="AM1007" s="49"/>
      <c r="AN1007" s="49"/>
      <c r="AO1007" s="49"/>
      <c r="AP1007" s="49"/>
      <c r="AQ1007" s="49"/>
      <c r="AR1007" s="49"/>
      <c r="AS1007" s="49"/>
      <c r="AT1007" s="49"/>
    </row>
    <row r="1008" ht="15.75" customHeight="1">
      <c r="A1008" s="37"/>
      <c r="B1008" s="37"/>
      <c r="C1008" s="39"/>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49"/>
      <c r="AE1008" s="49"/>
      <c r="AF1008" s="49"/>
      <c r="AG1008" s="49"/>
      <c r="AH1008" s="49"/>
      <c r="AI1008" s="49"/>
      <c r="AJ1008" s="49"/>
      <c r="AK1008" s="49"/>
      <c r="AL1008" s="49"/>
      <c r="AM1008" s="49"/>
      <c r="AN1008" s="49"/>
      <c r="AO1008" s="49"/>
      <c r="AP1008" s="49"/>
      <c r="AQ1008" s="49"/>
      <c r="AR1008" s="49"/>
      <c r="AS1008" s="49"/>
      <c r="AT1008" s="49"/>
    </row>
    <row r="1009" ht="15.75" customHeight="1">
      <c r="A1009" s="37"/>
      <c r="B1009" s="37"/>
      <c r="C1009" s="39"/>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49"/>
      <c r="AE1009" s="49"/>
      <c r="AF1009" s="49"/>
      <c r="AG1009" s="49"/>
      <c r="AH1009" s="49"/>
      <c r="AI1009" s="49"/>
      <c r="AJ1009" s="49"/>
      <c r="AK1009" s="49"/>
      <c r="AL1009" s="49"/>
      <c r="AM1009" s="49"/>
      <c r="AN1009" s="49"/>
      <c r="AO1009" s="49"/>
      <c r="AP1009" s="49"/>
      <c r="AQ1009" s="49"/>
      <c r="AR1009" s="49"/>
      <c r="AS1009" s="49"/>
      <c r="AT1009" s="49"/>
    </row>
    <row r="1010" ht="15.75" customHeight="1">
      <c r="A1010" s="37"/>
      <c r="B1010" s="37"/>
      <c r="C1010" s="39"/>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49"/>
      <c r="AE1010" s="49"/>
      <c r="AF1010" s="49"/>
      <c r="AG1010" s="49"/>
      <c r="AH1010" s="49"/>
      <c r="AI1010" s="49"/>
      <c r="AJ1010" s="49"/>
      <c r="AK1010" s="49"/>
      <c r="AL1010" s="49"/>
      <c r="AM1010" s="49"/>
      <c r="AN1010" s="49"/>
      <c r="AO1010" s="49"/>
      <c r="AP1010" s="49"/>
      <c r="AQ1010" s="49"/>
      <c r="AR1010" s="49"/>
      <c r="AS1010" s="49"/>
      <c r="AT1010" s="49"/>
    </row>
    <row r="1011" ht="15.75" customHeight="1">
      <c r="A1011" s="37"/>
      <c r="B1011" s="37"/>
      <c r="C1011" s="39"/>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49"/>
      <c r="AE1011" s="49"/>
      <c r="AF1011" s="49"/>
      <c r="AG1011" s="49"/>
      <c r="AH1011" s="49"/>
      <c r="AI1011" s="49"/>
      <c r="AJ1011" s="49"/>
      <c r="AK1011" s="49"/>
      <c r="AL1011" s="49"/>
      <c r="AM1011" s="49"/>
      <c r="AN1011" s="49"/>
      <c r="AO1011" s="49"/>
      <c r="AP1011" s="49"/>
      <c r="AQ1011" s="49"/>
      <c r="AR1011" s="49"/>
      <c r="AS1011" s="49"/>
      <c r="AT1011" s="49"/>
    </row>
    <row r="1012" ht="15.75" customHeight="1">
      <c r="A1012" s="37"/>
      <c r="B1012" s="37"/>
      <c r="C1012" s="39"/>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49"/>
      <c r="AE1012" s="49"/>
      <c r="AF1012" s="49"/>
      <c r="AG1012" s="49"/>
      <c r="AH1012" s="49"/>
      <c r="AI1012" s="49"/>
      <c r="AJ1012" s="49"/>
      <c r="AK1012" s="49"/>
      <c r="AL1012" s="49"/>
      <c r="AM1012" s="49"/>
      <c r="AN1012" s="49"/>
      <c r="AO1012" s="49"/>
      <c r="AP1012" s="49"/>
      <c r="AQ1012" s="49"/>
      <c r="AR1012" s="49"/>
      <c r="AS1012" s="49"/>
      <c r="AT1012" s="49"/>
    </row>
    <row r="1013" ht="15.75" customHeight="1">
      <c r="A1013" s="37"/>
      <c r="B1013" s="37"/>
      <c r="C1013" s="39"/>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49"/>
      <c r="AE1013" s="49"/>
      <c r="AF1013" s="49"/>
      <c r="AG1013" s="49"/>
      <c r="AH1013" s="49"/>
      <c r="AI1013" s="49"/>
      <c r="AJ1013" s="49"/>
      <c r="AK1013" s="49"/>
      <c r="AL1013" s="49"/>
      <c r="AM1013" s="49"/>
      <c r="AN1013" s="49"/>
      <c r="AO1013" s="49"/>
      <c r="AP1013" s="49"/>
      <c r="AQ1013" s="49"/>
      <c r="AR1013" s="49"/>
      <c r="AS1013" s="49"/>
      <c r="AT1013" s="49"/>
    </row>
    <row r="1014" ht="15.75" customHeight="1">
      <c r="A1014" s="37"/>
      <c r="B1014" s="37"/>
      <c r="C1014" s="39"/>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49"/>
      <c r="AE1014" s="49"/>
      <c r="AF1014" s="49"/>
      <c r="AG1014" s="49"/>
      <c r="AH1014" s="49"/>
      <c r="AI1014" s="49"/>
      <c r="AJ1014" s="49"/>
      <c r="AK1014" s="49"/>
      <c r="AL1014" s="49"/>
      <c r="AM1014" s="49"/>
      <c r="AN1014" s="49"/>
      <c r="AO1014" s="49"/>
      <c r="AP1014" s="49"/>
      <c r="AQ1014" s="49"/>
      <c r="AR1014" s="49"/>
      <c r="AS1014" s="49"/>
      <c r="AT1014" s="49"/>
    </row>
    <row r="1015" ht="15.75" customHeight="1">
      <c r="A1015" s="37"/>
      <c r="B1015" s="37"/>
      <c r="C1015" s="39"/>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49"/>
      <c r="AE1015" s="49"/>
      <c r="AF1015" s="49"/>
      <c r="AG1015" s="49"/>
      <c r="AH1015" s="49"/>
      <c r="AI1015" s="49"/>
      <c r="AJ1015" s="49"/>
      <c r="AK1015" s="49"/>
      <c r="AL1015" s="49"/>
      <c r="AM1015" s="49"/>
      <c r="AN1015" s="49"/>
      <c r="AO1015" s="49"/>
      <c r="AP1015" s="49"/>
      <c r="AQ1015" s="49"/>
      <c r="AR1015" s="49"/>
      <c r="AS1015" s="49"/>
      <c r="AT1015" s="49"/>
    </row>
    <row r="1016" ht="15.75" customHeight="1">
      <c r="A1016" s="37"/>
      <c r="B1016" s="37"/>
      <c r="C1016" s="39"/>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49"/>
      <c r="AE1016" s="49"/>
      <c r="AF1016" s="49"/>
      <c r="AG1016" s="49"/>
      <c r="AH1016" s="49"/>
      <c r="AI1016" s="49"/>
      <c r="AJ1016" s="49"/>
      <c r="AK1016" s="49"/>
      <c r="AL1016" s="49"/>
      <c r="AM1016" s="49"/>
      <c r="AN1016" s="49"/>
      <c r="AO1016" s="49"/>
      <c r="AP1016" s="49"/>
      <c r="AQ1016" s="49"/>
      <c r="AR1016" s="49"/>
      <c r="AS1016" s="49"/>
      <c r="AT1016" s="49"/>
    </row>
    <row r="1017" ht="15.75" customHeight="1">
      <c r="A1017" s="37"/>
      <c r="B1017" s="37"/>
      <c r="C1017" s="39"/>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49"/>
      <c r="AE1017" s="49"/>
      <c r="AF1017" s="49"/>
      <c r="AG1017" s="49"/>
      <c r="AH1017" s="49"/>
      <c r="AI1017" s="49"/>
      <c r="AJ1017" s="49"/>
      <c r="AK1017" s="49"/>
      <c r="AL1017" s="49"/>
      <c r="AM1017" s="49"/>
      <c r="AN1017" s="49"/>
      <c r="AO1017" s="49"/>
      <c r="AP1017" s="49"/>
      <c r="AQ1017" s="49"/>
      <c r="AR1017" s="49"/>
      <c r="AS1017" s="49"/>
      <c r="AT1017" s="49"/>
    </row>
    <row r="1018" ht="15.75" customHeight="1">
      <c r="A1018" s="37"/>
      <c r="B1018" s="37"/>
      <c r="C1018" s="39"/>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49"/>
      <c r="AE1018" s="49"/>
      <c r="AF1018" s="49"/>
      <c r="AG1018" s="49"/>
      <c r="AH1018" s="49"/>
      <c r="AI1018" s="49"/>
      <c r="AJ1018" s="49"/>
      <c r="AK1018" s="49"/>
      <c r="AL1018" s="49"/>
      <c r="AM1018" s="49"/>
      <c r="AN1018" s="49"/>
      <c r="AO1018" s="49"/>
      <c r="AP1018" s="49"/>
      <c r="AQ1018" s="49"/>
      <c r="AR1018" s="49"/>
      <c r="AS1018" s="49"/>
      <c r="AT1018" s="49"/>
    </row>
    <row r="1019" ht="15.75" customHeight="1">
      <c r="A1019" s="37"/>
      <c r="B1019" s="37"/>
      <c r="C1019" s="39"/>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49"/>
      <c r="AE1019" s="49"/>
      <c r="AF1019" s="49"/>
      <c r="AG1019" s="49"/>
      <c r="AH1019" s="49"/>
      <c r="AI1019" s="49"/>
      <c r="AJ1019" s="49"/>
      <c r="AK1019" s="49"/>
      <c r="AL1019" s="49"/>
      <c r="AM1019" s="49"/>
      <c r="AN1019" s="49"/>
      <c r="AO1019" s="49"/>
      <c r="AP1019" s="49"/>
      <c r="AQ1019" s="49"/>
      <c r="AR1019" s="49"/>
      <c r="AS1019" s="49"/>
      <c r="AT1019" s="49"/>
    </row>
    <row r="1020" ht="15.75" customHeight="1">
      <c r="A1020" s="37"/>
      <c r="B1020" s="37"/>
      <c r="C1020" s="39"/>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49"/>
      <c r="AE1020" s="49"/>
      <c r="AF1020" s="49"/>
      <c r="AG1020" s="49"/>
      <c r="AH1020" s="49"/>
      <c r="AI1020" s="49"/>
      <c r="AJ1020" s="49"/>
      <c r="AK1020" s="49"/>
      <c r="AL1020" s="49"/>
      <c r="AM1020" s="49"/>
      <c r="AN1020" s="49"/>
      <c r="AO1020" s="49"/>
      <c r="AP1020" s="49"/>
      <c r="AQ1020" s="49"/>
      <c r="AR1020" s="49"/>
      <c r="AS1020" s="49"/>
      <c r="AT1020" s="49"/>
    </row>
    <row r="1021" ht="15.75" customHeight="1">
      <c r="A1021" s="37"/>
      <c r="B1021" s="37"/>
      <c r="C1021" s="39"/>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49"/>
      <c r="AE1021" s="49"/>
      <c r="AF1021" s="49"/>
      <c r="AG1021" s="49"/>
      <c r="AH1021" s="49"/>
      <c r="AI1021" s="49"/>
      <c r="AJ1021" s="49"/>
      <c r="AK1021" s="49"/>
      <c r="AL1021" s="49"/>
      <c r="AM1021" s="49"/>
      <c r="AN1021" s="49"/>
      <c r="AO1021" s="49"/>
      <c r="AP1021" s="49"/>
      <c r="AQ1021" s="49"/>
      <c r="AR1021" s="49"/>
      <c r="AS1021" s="49"/>
      <c r="AT1021" s="49"/>
    </row>
    <row r="1022" ht="15.75" customHeight="1">
      <c r="A1022" s="37"/>
      <c r="B1022" s="37"/>
      <c r="C1022" s="39"/>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49"/>
      <c r="AE1022" s="49"/>
      <c r="AF1022" s="49"/>
      <c r="AG1022" s="49"/>
      <c r="AH1022" s="49"/>
      <c r="AI1022" s="49"/>
      <c r="AJ1022" s="49"/>
      <c r="AK1022" s="49"/>
      <c r="AL1022" s="49"/>
      <c r="AM1022" s="49"/>
      <c r="AN1022" s="49"/>
      <c r="AO1022" s="49"/>
      <c r="AP1022" s="49"/>
      <c r="AQ1022" s="49"/>
      <c r="AR1022" s="49"/>
      <c r="AS1022" s="49"/>
      <c r="AT1022" s="49"/>
    </row>
    <row r="1023" ht="15.75" customHeight="1">
      <c r="A1023" s="37"/>
      <c r="B1023" s="37"/>
      <c r="C1023" s="39"/>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49"/>
      <c r="AE1023" s="49"/>
      <c r="AF1023" s="49"/>
      <c r="AG1023" s="49"/>
      <c r="AH1023" s="49"/>
      <c r="AI1023" s="49"/>
      <c r="AJ1023" s="49"/>
      <c r="AK1023" s="49"/>
      <c r="AL1023" s="49"/>
      <c r="AM1023" s="49"/>
      <c r="AN1023" s="49"/>
      <c r="AO1023" s="49"/>
      <c r="AP1023" s="49"/>
      <c r="AQ1023" s="49"/>
      <c r="AR1023" s="49"/>
      <c r="AS1023" s="49"/>
      <c r="AT1023" s="49"/>
    </row>
    <row r="1024" ht="15.75" customHeight="1">
      <c r="A1024" s="37"/>
      <c r="B1024" s="37"/>
      <c r="C1024" s="39"/>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49"/>
      <c r="AE1024" s="49"/>
      <c r="AF1024" s="49"/>
      <c r="AG1024" s="49"/>
      <c r="AH1024" s="49"/>
      <c r="AI1024" s="49"/>
      <c r="AJ1024" s="49"/>
      <c r="AK1024" s="49"/>
      <c r="AL1024" s="49"/>
      <c r="AM1024" s="49"/>
      <c r="AN1024" s="49"/>
      <c r="AO1024" s="49"/>
      <c r="AP1024" s="49"/>
      <c r="AQ1024" s="49"/>
      <c r="AR1024" s="49"/>
      <c r="AS1024" s="49"/>
      <c r="AT1024" s="49"/>
    </row>
    <row r="1025" ht="15.75" customHeight="1">
      <c r="A1025" s="37"/>
      <c r="B1025" s="37"/>
      <c r="C1025" s="39"/>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49"/>
      <c r="AE1025" s="49"/>
      <c r="AF1025" s="49"/>
      <c r="AG1025" s="49"/>
      <c r="AH1025" s="49"/>
      <c r="AI1025" s="49"/>
      <c r="AJ1025" s="49"/>
      <c r="AK1025" s="49"/>
      <c r="AL1025" s="49"/>
      <c r="AM1025" s="49"/>
      <c r="AN1025" s="49"/>
      <c r="AO1025" s="49"/>
      <c r="AP1025" s="49"/>
      <c r="AQ1025" s="49"/>
      <c r="AR1025" s="49"/>
      <c r="AS1025" s="49"/>
      <c r="AT1025" s="49"/>
    </row>
    <row r="1026" ht="15.75" customHeight="1">
      <c r="A1026" s="37"/>
      <c r="B1026" s="37"/>
      <c r="C1026" s="39"/>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49"/>
      <c r="AE1026" s="49"/>
      <c r="AF1026" s="49"/>
      <c r="AG1026" s="49"/>
      <c r="AH1026" s="49"/>
      <c r="AI1026" s="49"/>
      <c r="AJ1026" s="49"/>
      <c r="AK1026" s="49"/>
      <c r="AL1026" s="49"/>
      <c r="AM1026" s="49"/>
      <c r="AN1026" s="49"/>
      <c r="AO1026" s="49"/>
      <c r="AP1026" s="49"/>
      <c r="AQ1026" s="49"/>
      <c r="AR1026" s="49"/>
      <c r="AS1026" s="49"/>
      <c r="AT1026" s="49"/>
    </row>
    <row r="1027" ht="15.75" customHeight="1">
      <c r="A1027" s="37"/>
      <c r="B1027" s="37"/>
      <c r="C1027" s="39"/>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49"/>
      <c r="AE1027" s="49"/>
      <c r="AF1027" s="49"/>
      <c r="AG1027" s="49"/>
      <c r="AH1027" s="49"/>
      <c r="AI1027" s="49"/>
      <c r="AJ1027" s="49"/>
      <c r="AK1027" s="49"/>
      <c r="AL1027" s="49"/>
      <c r="AM1027" s="49"/>
      <c r="AN1027" s="49"/>
      <c r="AO1027" s="49"/>
      <c r="AP1027" s="49"/>
      <c r="AQ1027" s="49"/>
      <c r="AR1027" s="49"/>
      <c r="AS1027" s="49"/>
      <c r="AT1027" s="49"/>
    </row>
    <row r="1028" ht="15.75" customHeight="1">
      <c r="A1028" s="37"/>
      <c r="B1028" s="37"/>
      <c r="C1028" s="39"/>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49"/>
      <c r="AE1028" s="49"/>
      <c r="AF1028" s="49"/>
      <c r="AG1028" s="49"/>
      <c r="AH1028" s="49"/>
      <c r="AI1028" s="49"/>
      <c r="AJ1028" s="49"/>
      <c r="AK1028" s="49"/>
      <c r="AL1028" s="49"/>
      <c r="AM1028" s="49"/>
      <c r="AN1028" s="49"/>
      <c r="AO1028" s="49"/>
      <c r="AP1028" s="49"/>
      <c r="AQ1028" s="49"/>
      <c r="AR1028" s="49"/>
      <c r="AS1028" s="49"/>
      <c r="AT1028" s="49"/>
    </row>
    <row r="1029" ht="15.75" customHeight="1">
      <c r="A1029" s="37"/>
      <c r="B1029" s="37"/>
      <c r="C1029" s="39"/>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49"/>
      <c r="AE1029" s="49"/>
      <c r="AF1029" s="49"/>
      <c r="AG1029" s="49"/>
      <c r="AH1029" s="49"/>
      <c r="AI1029" s="49"/>
      <c r="AJ1029" s="49"/>
      <c r="AK1029" s="49"/>
      <c r="AL1029" s="49"/>
      <c r="AM1029" s="49"/>
      <c r="AN1029" s="49"/>
      <c r="AO1029" s="49"/>
      <c r="AP1029" s="49"/>
      <c r="AQ1029" s="49"/>
      <c r="AR1029" s="49"/>
      <c r="AS1029" s="49"/>
      <c r="AT1029" s="49"/>
    </row>
    <row r="1030" ht="15.75" customHeight="1">
      <c r="A1030" s="37"/>
      <c r="B1030" s="37"/>
      <c r="C1030" s="39"/>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49"/>
      <c r="AE1030" s="49"/>
      <c r="AF1030" s="49"/>
      <c r="AG1030" s="49"/>
      <c r="AH1030" s="49"/>
      <c r="AI1030" s="49"/>
      <c r="AJ1030" s="49"/>
      <c r="AK1030" s="49"/>
      <c r="AL1030" s="49"/>
      <c r="AM1030" s="49"/>
      <c r="AN1030" s="49"/>
      <c r="AO1030" s="49"/>
      <c r="AP1030" s="49"/>
      <c r="AQ1030" s="49"/>
      <c r="AR1030" s="49"/>
      <c r="AS1030" s="49"/>
      <c r="AT1030" s="49"/>
    </row>
    <row r="1031" ht="15.75" customHeight="1">
      <c r="A1031" s="37"/>
      <c r="B1031" s="37"/>
      <c r="C1031" s="39"/>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49"/>
      <c r="AE1031" s="49"/>
      <c r="AF1031" s="49"/>
      <c r="AG1031" s="49"/>
      <c r="AH1031" s="49"/>
      <c r="AI1031" s="49"/>
      <c r="AJ1031" s="49"/>
      <c r="AK1031" s="49"/>
      <c r="AL1031" s="49"/>
      <c r="AM1031" s="49"/>
      <c r="AN1031" s="49"/>
      <c r="AO1031" s="49"/>
      <c r="AP1031" s="49"/>
      <c r="AQ1031" s="49"/>
      <c r="AR1031" s="49"/>
      <c r="AS1031" s="49"/>
      <c r="AT1031" s="49"/>
    </row>
    <row r="1032" ht="15.75" customHeight="1">
      <c r="A1032" s="37"/>
      <c r="B1032" s="37"/>
      <c r="C1032" s="39"/>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49"/>
      <c r="AE1032" s="49"/>
      <c r="AF1032" s="49"/>
      <c r="AG1032" s="49"/>
      <c r="AH1032" s="49"/>
      <c r="AI1032" s="49"/>
      <c r="AJ1032" s="49"/>
      <c r="AK1032" s="49"/>
      <c r="AL1032" s="49"/>
      <c r="AM1032" s="49"/>
      <c r="AN1032" s="49"/>
      <c r="AO1032" s="49"/>
      <c r="AP1032" s="49"/>
      <c r="AQ1032" s="49"/>
      <c r="AR1032" s="49"/>
      <c r="AS1032" s="49"/>
      <c r="AT1032" s="49"/>
    </row>
    <row r="1033" ht="15.75" customHeight="1">
      <c r="A1033" s="37"/>
      <c r="B1033" s="37"/>
      <c r="C1033" s="39"/>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49"/>
      <c r="AE1033" s="49"/>
      <c r="AF1033" s="49"/>
      <c r="AG1033" s="49"/>
      <c r="AH1033" s="49"/>
      <c r="AI1033" s="49"/>
      <c r="AJ1033" s="49"/>
      <c r="AK1033" s="49"/>
      <c r="AL1033" s="49"/>
      <c r="AM1033" s="49"/>
      <c r="AN1033" s="49"/>
      <c r="AO1033" s="49"/>
      <c r="AP1033" s="49"/>
      <c r="AQ1033" s="49"/>
      <c r="AR1033" s="49"/>
      <c r="AS1033" s="49"/>
      <c r="AT1033" s="49"/>
    </row>
    <row r="1034" ht="15.75" customHeight="1">
      <c r="A1034" s="37"/>
      <c r="B1034" s="37"/>
      <c r="C1034" s="39"/>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49"/>
      <c r="AE1034" s="49"/>
      <c r="AF1034" s="49"/>
      <c r="AG1034" s="49"/>
      <c r="AH1034" s="49"/>
      <c r="AI1034" s="49"/>
      <c r="AJ1034" s="49"/>
      <c r="AK1034" s="49"/>
      <c r="AL1034" s="49"/>
      <c r="AM1034" s="49"/>
      <c r="AN1034" s="49"/>
      <c r="AO1034" s="49"/>
      <c r="AP1034" s="49"/>
      <c r="AQ1034" s="49"/>
      <c r="AR1034" s="49"/>
      <c r="AS1034" s="49"/>
      <c r="AT1034" s="49"/>
    </row>
    <row r="1035" ht="15.75" customHeight="1">
      <c r="A1035" s="37"/>
      <c r="B1035" s="37"/>
      <c r="C1035" s="39"/>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49"/>
      <c r="AE1035" s="49"/>
      <c r="AF1035" s="49"/>
      <c r="AG1035" s="49"/>
      <c r="AH1035" s="49"/>
      <c r="AI1035" s="49"/>
      <c r="AJ1035" s="49"/>
      <c r="AK1035" s="49"/>
      <c r="AL1035" s="49"/>
      <c r="AM1035" s="49"/>
      <c r="AN1035" s="49"/>
      <c r="AO1035" s="49"/>
      <c r="AP1035" s="49"/>
      <c r="AQ1035" s="49"/>
      <c r="AR1035" s="49"/>
      <c r="AS1035" s="49"/>
      <c r="AT1035" s="49"/>
    </row>
    <row r="1036" ht="15.75" customHeight="1">
      <c r="A1036" s="37"/>
      <c r="B1036" s="37"/>
      <c r="C1036" s="39"/>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49"/>
      <c r="AE1036" s="49"/>
      <c r="AF1036" s="49"/>
      <c r="AG1036" s="49"/>
      <c r="AH1036" s="49"/>
      <c r="AI1036" s="49"/>
      <c r="AJ1036" s="49"/>
      <c r="AK1036" s="49"/>
      <c r="AL1036" s="49"/>
      <c r="AM1036" s="49"/>
      <c r="AN1036" s="49"/>
      <c r="AO1036" s="49"/>
      <c r="AP1036" s="49"/>
      <c r="AQ1036" s="49"/>
      <c r="AR1036" s="49"/>
      <c r="AS1036" s="49"/>
      <c r="AT1036" s="49"/>
    </row>
    <row r="1037" ht="15.75" customHeight="1">
      <c r="A1037" s="37"/>
      <c r="B1037" s="37"/>
      <c r="C1037" s="39"/>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49"/>
      <c r="AE1037" s="49"/>
      <c r="AF1037" s="49"/>
      <c r="AG1037" s="49"/>
      <c r="AH1037" s="49"/>
      <c r="AI1037" s="49"/>
      <c r="AJ1037" s="49"/>
      <c r="AK1037" s="49"/>
      <c r="AL1037" s="49"/>
      <c r="AM1037" s="49"/>
      <c r="AN1037" s="49"/>
      <c r="AO1037" s="49"/>
      <c r="AP1037" s="49"/>
      <c r="AQ1037" s="49"/>
      <c r="AR1037" s="49"/>
      <c r="AS1037" s="49"/>
      <c r="AT1037" s="49"/>
    </row>
    <row r="1038" ht="15.75" customHeight="1">
      <c r="A1038" s="37"/>
      <c r="B1038" s="37"/>
      <c r="C1038" s="39"/>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49"/>
      <c r="AE1038" s="49"/>
      <c r="AF1038" s="49"/>
      <c r="AG1038" s="49"/>
      <c r="AH1038" s="49"/>
      <c r="AI1038" s="49"/>
      <c r="AJ1038" s="49"/>
      <c r="AK1038" s="49"/>
      <c r="AL1038" s="49"/>
      <c r="AM1038" s="49"/>
      <c r="AN1038" s="49"/>
      <c r="AO1038" s="49"/>
      <c r="AP1038" s="49"/>
      <c r="AQ1038" s="49"/>
      <c r="AR1038" s="49"/>
      <c r="AS1038" s="49"/>
      <c r="AT1038" s="49"/>
    </row>
    <row r="1039" ht="15.75" customHeight="1">
      <c r="A1039" s="37"/>
      <c r="B1039" s="37"/>
      <c r="C1039" s="39"/>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49"/>
      <c r="AE1039" s="49"/>
      <c r="AF1039" s="49"/>
      <c r="AG1039" s="49"/>
      <c r="AH1039" s="49"/>
      <c r="AI1039" s="49"/>
      <c r="AJ1039" s="49"/>
      <c r="AK1039" s="49"/>
      <c r="AL1039" s="49"/>
      <c r="AM1039" s="49"/>
      <c r="AN1039" s="49"/>
      <c r="AO1039" s="49"/>
      <c r="AP1039" s="49"/>
      <c r="AQ1039" s="49"/>
      <c r="AR1039" s="49"/>
      <c r="AS1039" s="49"/>
      <c r="AT1039" s="49"/>
    </row>
    <row r="1040" ht="15.75" customHeight="1">
      <c r="A1040" s="37"/>
      <c r="B1040" s="37"/>
      <c r="C1040" s="39"/>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49"/>
      <c r="AE1040" s="49"/>
      <c r="AF1040" s="49"/>
      <c r="AG1040" s="49"/>
      <c r="AH1040" s="49"/>
      <c r="AI1040" s="49"/>
      <c r="AJ1040" s="49"/>
      <c r="AK1040" s="49"/>
      <c r="AL1040" s="49"/>
      <c r="AM1040" s="49"/>
      <c r="AN1040" s="49"/>
      <c r="AO1040" s="49"/>
      <c r="AP1040" s="49"/>
      <c r="AQ1040" s="49"/>
      <c r="AR1040" s="49"/>
      <c r="AS1040" s="49"/>
      <c r="AT1040" s="49"/>
    </row>
    <row r="1041" ht="15.75" customHeight="1">
      <c r="A1041" s="37"/>
      <c r="B1041" s="37"/>
      <c r="C1041" s="39"/>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49"/>
      <c r="AE1041" s="49"/>
      <c r="AF1041" s="49"/>
      <c r="AG1041" s="49"/>
      <c r="AH1041" s="49"/>
      <c r="AI1041" s="49"/>
      <c r="AJ1041" s="49"/>
      <c r="AK1041" s="49"/>
      <c r="AL1041" s="49"/>
      <c r="AM1041" s="49"/>
      <c r="AN1041" s="49"/>
      <c r="AO1041" s="49"/>
      <c r="AP1041" s="49"/>
      <c r="AQ1041" s="49"/>
      <c r="AR1041" s="49"/>
      <c r="AS1041" s="49"/>
      <c r="AT1041" s="49"/>
    </row>
    <row r="1042" ht="15.75" customHeight="1">
      <c r="A1042" s="37"/>
      <c r="B1042" s="37"/>
      <c r="C1042" s="39"/>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49"/>
      <c r="AE1042" s="49"/>
      <c r="AF1042" s="49"/>
      <c r="AG1042" s="49"/>
      <c r="AH1042" s="49"/>
      <c r="AI1042" s="49"/>
      <c r="AJ1042" s="49"/>
      <c r="AK1042" s="49"/>
      <c r="AL1042" s="49"/>
      <c r="AM1042" s="49"/>
      <c r="AN1042" s="49"/>
      <c r="AO1042" s="49"/>
      <c r="AP1042" s="49"/>
      <c r="AQ1042" s="49"/>
      <c r="AR1042" s="49"/>
      <c r="AS1042" s="49"/>
      <c r="AT1042" s="49"/>
    </row>
    <row r="1043" ht="15.75" customHeight="1">
      <c r="A1043" s="37"/>
      <c r="B1043" s="37"/>
      <c r="C1043" s="39"/>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49"/>
      <c r="AE1043" s="49"/>
      <c r="AF1043" s="49"/>
      <c r="AG1043" s="49"/>
      <c r="AH1043" s="49"/>
      <c r="AI1043" s="49"/>
      <c r="AJ1043" s="49"/>
      <c r="AK1043" s="49"/>
      <c r="AL1043" s="49"/>
      <c r="AM1043" s="49"/>
      <c r="AN1043" s="49"/>
      <c r="AO1043" s="49"/>
      <c r="AP1043" s="49"/>
      <c r="AQ1043" s="49"/>
      <c r="AR1043" s="49"/>
      <c r="AS1043" s="49"/>
      <c r="AT1043" s="49"/>
    </row>
    <row r="1044" ht="15.75" customHeight="1">
      <c r="A1044" s="37"/>
      <c r="B1044" s="37"/>
      <c r="C1044" s="39"/>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49"/>
      <c r="AE1044" s="49"/>
      <c r="AF1044" s="49"/>
      <c r="AG1044" s="49"/>
      <c r="AH1044" s="49"/>
      <c r="AI1044" s="49"/>
      <c r="AJ1044" s="49"/>
      <c r="AK1044" s="49"/>
      <c r="AL1044" s="49"/>
      <c r="AM1044" s="49"/>
      <c r="AN1044" s="49"/>
      <c r="AO1044" s="49"/>
      <c r="AP1044" s="49"/>
      <c r="AQ1044" s="49"/>
      <c r="AR1044" s="49"/>
      <c r="AS1044" s="49"/>
      <c r="AT1044" s="49"/>
    </row>
    <row r="1045" ht="15.75" customHeight="1">
      <c r="A1045" s="37"/>
      <c r="B1045" s="37"/>
      <c r="C1045" s="39"/>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49"/>
      <c r="AE1045" s="49"/>
      <c r="AF1045" s="49"/>
      <c r="AG1045" s="49"/>
      <c r="AH1045" s="49"/>
      <c r="AI1045" s="49"/>
      <c r="AJ1045" s="49"/>
      <c r="AK1045" s="49"/>
      <c r="AL1045" s="49"/>
      <c r="AM1045" s="49"/>
      <c r="AN1045" s="49"/>
      <c r="AO1045" s="49"/>
      <c r="AP1045" s="49"/>
      <c r="AQ1045" s="49"/>
      <c r="AR1045" s="49"/>
      <c r="AS1045" s="49"/>
      <c r="AT1045" s="49"/>
    </row>
    <row r="1046" ht="15.75" customHeight="1">
      <c r="A1046" s="37"/>
      <c r="B1046" s="37"/>
      <c r="C1046" s="39"/>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49"/>
      <c r="AE1046" s="49"/>
      <c r="AF1046" s="49"/>
      <c r="AG1046" s="49"/>
      <c r="AH1046" s="49"/>
      <c r="AI1046" s="49"/>
      <c r="AJ1046" s="49"/>
      <c r="AK1046" s="49"/>
      <c r="AL1046" s="49"/>
      <c r="AM1046" s="49"/>
      <c r="AN1046" s="49"/>
      <c r="AO1046" s="49"/>
      <c r="AP1046" s="49"/>
      <c r="AQ1046" s="49"/>
      <c r="AR1046" s="49"/>
      <c r="AS1046" s="49"/>
      <c r="AT1046" s="49"/>
    </row>
    <row r="1047" ht="15.75" customHeight="1">
      <c r="A1047" s="37"/>
      <c r="B1047" s="37"/>
      <c r="C1047" s="39"/>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49"/>
      <c r="AE1047" s="49"/>
      <c r="AF1047" s="49"/>
      <c r="AG1047" s="49"/>
      <c r="AH1047" s="49"/>
      <c r="AI1047" s="49"/>
      <c r="AJ1047" s="49"/>
      <c r="AK1047" s="49"/>
      <c r="AL1047" s="49"/>
      <c r="AM1047" s="49"/>
      <c r="AN1047" s="49"/>
      <c r="AO1047" s="49"/>
      <c r="AP1047" s="49"/>
      <c r="AQ1047" s="49"/>
      <c r="AR1047" s="49"/>
      <c r="AS1047" s="49"/>
      <c r="AT1047" s="49"/>
    </row>
    <row r="1048" ht="15.75" customHeight="1">
      <c r="A1048" s="37"/>
      <c r="B1048" s="37"/>
      <c r="C1048" s="39"/>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49"/>
      <c r="AE1048" s="49"/>
      <c r="AF1048" s="49"/>
      <c r="AG1048" s="49"/>
      <c r="AH1048" s="49"/>
      <c r="AI1048" s="49"/>
      <c r="AJ1048" s="49"/>
      <c r="AK1048" s="49"/>
      <c r="AL1048" s="49"/>
      <c r="AM1048" s="49"/>
      <c r="AN1048" s="49"/>
      <c r="AO1048" s="49"/>
      <c r="AP1048" s="49"/>
      <c r="AQ1048" s="49"/>
      <c r="AR1048" s="49"/>
      <c r="AS1048" s="49"/>
      <c r="AT1048" s="49"/>
    </row>
    <row r="1049" ht="15.75" customHeight="1">
      <c r="A1049" s="37"/>
      <c r="B1049" s="37"/>
      <c r="C1049" s="39"/>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49"/>
      <c r="AE1049" s="49"/>
      <c r="AF1049" s="49"/>
      <c r="AG1049" s="49"/>
      <c r="AH1049" s="49"/>
      <c r="AI1049" s="49"/>
      <c r="AJ1049" s="49"/>
      <c r="AK1049" s="49"/>
      <c r="AL1049" s="49"/>
      <c r="AM1049" s="49"/>
      <c r="AN1049" s="49"/>
      <c r="AO1049" s="49"/>
      <c r="AP1049" s="49"/>
      <c r="AQ1049" s="49"/>
      <c r="AR1049" s="49"/>
      <c r="AS1049" s="49"/>
      <c r="AT1049" s="49"/>
    </row>
    <row r="1050" ht="15.75" customHeight="1">
      <c r="A1050" s="37"/>
      <c r="B1050" s="37"/>
      <c r="C1050" s="39"/>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49"/>
      <c r="AE1050" s="49"/>
      <c r="AF1050" s="49"/>
      <c r="AG1050" s="49"/>
      <c r="AH1050" s="49"/>
      <c r="AI1050" s="49"/>
      <c r="AJ1050" s="49"/>
      <c r="AK1050" s="49"/>
      <c r="AL1050" s="49"/>
      <c r="AM1050" s="49"/>
      <c r="AN1050" s="49"/>
      <c r="AO1050" s="49"/>
      <c r="AP1050" s="49"/>
      <c r="AQ1050" s="49"/>
      <c r="AR1050" s="49"/>
      <c r="AS1050" s="49"/>
      <c r="AT1050" s="49"/>
    </row>
    <row r="1051" ht="15.75" customHeight="1">
      <c r="A1051" s="37"/>
      <c r="B1051" s="37"/>
      <c r="C1051" s="39"/>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49"/>
      <c r="AE1051" s="49"/>
      <c r="AF1051" s="49"/>
      <c r="AG1051" s="49"/>
      <c r="AH1051" s="49"/>
      <c r="AI1051" s="49"/>
      <c r="AJ1051" s="49"/>
      <c r="AK1051" s="49"/>
      <c r="AL1051" s="49"/>
      <c r="AM1051" s="49"/>
      <c r="AN1051" s="49"/>
      <c r="AO1051" s="49"/>
      <c r="AP1051" s="49"/>
      <c r="AQ1051" s="49"/>
      <c r="AR1051" s="49"/>
      <c r="AS1051" s="49"/>
      <c r="AT1051" s="49"/>
    </row>
    <row r="1052" ht="15.75" customHeight="1">
      <c r="A1052" s="37"/>
      <c r="B1052" s="37"/>
      <c r="C1052" s="39"/>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49"/>
      <c r="AE1052" s="49"/>
      <c r="AF1052" s="49"/>
      <c r="AG1052" s="49"/>
      <c r="AH1052" s="49"/>
      <c r="AI1052" s="49"/>
      <c r="AJ1052" s="49"/>
      <c r="AK1052" s="49"/>
      <c r="AL1052" s="49"/>
      <c r="AM1052" s="49"/>
      <c r="AN1052" s="49"/>
      <c r="AO1052" s="49"/>
      <c r="AP1052" s="49"/>
      <c r="AQ1052" s="49"/>
      <c r="AR1052" s="49"/>
      <c r="AS1052" s="49"/>
      <c r="AT1052" s="49"/>
    </row>
    <row r="1053" ht="15.75" customHeight="1">
      <c r="A1053" s="37"/>
      <c r="B1053" s="37"/>
      <c r="C1053" s="39"/>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49"/>
      <c r="AE1053" s="49"/>
      <c r="AF1053" s="49"/>
      <c r="AG1053" s="49"/>
      <c r="AH1053" s="49"/>
      <c r="AI1053" s="49"/>
      <c r="AJ1053" s="49"/>
      <c r="AK1053" s="49"/>
      <c r="AL1053" s="49"/>
      <c r="AM1053" s="49"/>
      <c r="AN1053" s="49"/>
      <c r="AO1053" s="49"/>
      <c r="AP1053" s="49"/>
      <c r="AQ1053" s="49"/>
      <c r="AR1053" s="49"/>
      <c r="AS1053" s="49"/>
      <c r="AT1053" s="49"/>
    </row>
    <row r="1054" ht="15.75" customHeight="1">
      <c r="A1054" s="37"/>
      <c r="B1054" s="37"/>
      <c r="C1054" s="39"/>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49"/>
      <c r="AE1054" s="49"/>
      <c r="AF1054" s="49"/>
      <c r="AG1054" s="49"/>
      <c r="AH1054" s="49"/>
      <c r="AI1054" s="49"/>
      <c r="AJ1054" s="49"/>
      <c r="AK1054" s="49"/>
      <c r="AL1054" s="49"/>
      <c r="AM1054" s="49"/>
      <c r="AN1054" s="49"/>
      <c r="AO1054" s="49"/>
      <c r="AP1054" s="49"/>
      <c r="AQ1054" s="49"/>
      <c r="AR1054" s="49"/>
      <c r="AS1054" s="49"/>
      <c r="AT1054" s="49"/>
    </row>
    <row r="1055" ht="15.75" customHeight="1">
      <c r="A1055" s="37"/>
      <c r="B1055" s="37"/>
      <c r="C1055" s="39"/>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49"/>
      <c r="AE1055" s="49"/>
      <c r="AF1055" s="49"/>
      <c r="AG1055" s="49"/>
      <c r="AH1055" s="49"/>
      <c r="AI1055" s="49"/>
      <c r="AJ1055" s="49"/>
      <c r="AK1055" s="49"/>
      <c r="AL1055" s="49"/>
      <c r="AM1055" s="49"/>
      <c r="AN1055" s="49"/>
      <c r="AO1055" s="49"/>
      <c r="AP1055" s="49"/>
      <c r="AQ1055" s="49"/>
      <c r="AR1055" s="49"/>
      <c r="AS1055" s="49"/>
      <c r="AT1055" s="49"/>
    </row>
    <row r="1056" ht="15.75" customHeight="1">
      <c r="A1056" s="37"/>
      <c r="B1056" s="37"/>
      <c r="C1056" s="39"/>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49"/>
      <c r="AE1056" s="49"/>
      <c r="AF1056" s="49"/>
      <c r="AG1056" s="49"/>
      <c r="AH1056" s="49"/>
      <c r="AI1056" s="49"/>
      <c r="AJ1056" s="49"/>
      <c r="AK1056" s="49"/>
      <c r="AL1056" s="49"/>
      <c r="AM1056" s="49"/>
      <c r="AN1056" s="49"/>
      <c r="AO1056" s="49"/>
      <c r="AP1056" s="49"/>
      <c r="AQ1056" s="49"/>
      <c r="AR1056" s="49"/>
      <c r="AS1056" s="49"/>
      <c r="AT1056" s="49"/>
    </row>
    <row r="1057" ht="15.75" customHeight="1">
      <c r="A1057" s="37"/>
      <c r="B1057" s="37"/>
      <c r="C1057" s="39"/>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49"/>
      <c r="AE1057" s="49"/>
      <c r="AF1057" s="49"/>
      <c r="AG1057" s="49"/>
      <c r="AH1057" s="49"/>
      <c r="AI1057" s="49"/>
      <c r="AJ1057" s="49"/>
      <c r="AK1057" s="49"/>
      <c r="AL1057" s="49"/>
      <c r="AM1057" s="49"/>
      <c r="AN1057" s="49"/>
      <c r="AO1057" s="49"/>
      <c r="AP1057" s="49"/>
      <c r="AQ1057" s="49"/>
      <c r="AR1057" s="49"/>
      <c r="AS1057" s="49"/>
      <c r="AT1057" s="49"/>
    </row>
    <row r="1058" ht="15.75" customHeight="1">
      <c r="A1058" s="37"/>
      <c r="B1058" s="37"/>
      <c r="C1058" s="39"/>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49"/>
      <c r="AE1058" s="49"/>
      <c r="AF1058" s="49"/>
      <c r="AG1058" s="49"/>
      <c r="AH1058" s="49"/>
      <c r="AI1058" s="49"/>
      <c r="AJ1058" s="49"/>
      <c r="AK1058" s="49"/>
      <c r="AL1058" s="49"/>
      <c r="AM1058" s="49"/>
      <c r="AN1058" s="49"/>
      <c r="AO1058" s="49"/>
      <c r="AP1058" s="49"/>
      <c r="AQ1058" s="49"/>
      <c r="AR1058" s="49"/>
      <c r="AS1058" s="49"/>
      <c r="AT1058" s="49"/>
    </row>
    <row r="1059" ht="15.75" customHeight="1">
      <c r="A1059" s="37"/>
      <c r="B1059" s="37"/>
      <c r="C1059" s="39"/>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49"/>
      <c r="AE1059" s="49"/>
      <c r="AF1059" s="49"/>
      <c r="AG1059" s="49"/>
      <c r="AH1059" s="49"/>
      <c r="AI1059" s="49"/>
      <c r="AJ1059" s="49"/>
      <c r="AK1059" s="49"/>
      <c r="AL1059" s="49"/>
      <c r="AM1059" s="49"/>
      <c r="AN1059" s="49"/>
      <c r="AO1059" s="49"/>
      <c r="AP1059" s="49"/>
      <c r="AQ1059" s="49"/>
      <c r="AR1059" s="49"/>
      <c r="AS1059" s="49"/>
      <c r="AT1059" s="49"/>
    </row>
    <row r="1060" ht="15.75" customHeight="1">
      <c r="A1060" s="37"/>
      <c r="B1060" s="37"/>
      <c r="C1060" s="39"/>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49"/>
      <c r="AE1060" s="49"/>
      <c r="AF1060" s="49"/>
      <c r="AG1060" s="49"/>
      <c r="AH1060" s="49"/>
      <c r="AI1060" s="49"/>
      <c r="AJ1060" s="49"/>
      <c r="AK1060" s="49"/>
      <c r="AL1060" s="49"/>
      <c r="AM1060" s="49"/>
      <c r="AN1060" s="49"/>
      <c r="AO1060" s="49"/>
      <c r="AP1060" s="49"/>
      <c r="AQ1060" s="49"/>
      <c r="AR1060" s="49"/>
      <c r="AS1060" s="49"/>
      <c r="AT1060" s="49"/>
    </row>
    <row r="1061" ht="15.75" customHeight="1">
      <c r="A1061" s="37"/>
      <c r="B1061" s="37"/>
      <c r="C1061" s="39"/>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49"/>
      <c r="AE1061" s="49"/>
      <c r="AF1061" s="49"/>
      <c r="AG1061" s="49"/>
      <c r="AH1061" s="49"/>
      <c r="AI1061" s="49"/>
      <c r="AJ1061" s="49"/>
      <c r="AK1061" s="49"/>
      <c r="AL1061" s="49"/>
      <c r="AM1061" s="49"/>
      <c r="AN1061" s="49"/>
      <c r="AO1061" s="49"/>
      <c r="AP1061" s="49"/>
      <c r="AQ1061" s="49"/>
      <c r="AR1061" s="49"/>
      <c r="AS1061" s="49"/>
      <c r="AT1061" s="49"/>
    </row>
    <row r="1062" ht="15.75" customHeight="1">
      <c r="A1062" s="37"/>
      <c r="B1062" s="37"/>
      <c r="C1062" s="39"/>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49"/>
      <c r="AE1062" s="49"/>
      <c r="AF1062" s="49"/>
      <c r="AG1062" s="49"/>
      <c r="AH1062" s="49"/>
      <c r="AI1062" s="49"/>
      <c r="AJ1062" s="49"/>
      <c r="AK1062" s="49"/>
      <c r="AL1062" s="49"/>
      <c r="AM1062" s="49"/>
      <c r="AN1062" s="49"/>
      <c r="AO1062" s="49"/>
      <c r="AP1062" s="49"/>
      <c r="AQ1062" s="49"/>
      <c r="AR1062" s="49"/>
      <c r="AS1062" s="49"/>
      <c r="AT1062" s="49"/>
    </row>
    <row r="1063" ht="15.75" customHeight="1">
      <c r="A1063" s="37"/>
      <c r="B1063" s="37"/>
      <c r="C1063" s="39"/>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49"/>
      <c r="AE1063" s="49"/>
      <c r="AF1063" s="49"/>
      <c r="AG1063" s="49"/>
      <c r="AH1063" s="49"/>
      <c r="AI1063" s="49"/>
      <c r="AJ1063" s="49"/>
      <c r="AK1063" s="49"/>
      <c r="AL1063" s="49"/>
      <c r="AM1063" s="49"/>
      <c r="AN1063" s="49"/>
      <c r="AO1063" s="49"/>
      <c r="AP1063" s="49"/>
      <c r="AQ1063" s="49"/>
      <c r="AR1063" s="49"/>
      <c r="AS1063" s="49"/>
      <c r="AT1063" s="49"/>
    </row>
    <row r="1064" ht="15.75" customHeight="1">
      <c r="A1064" s="37"/>
      <c r="B1064" s="37"/>
      <c r="C1064" s="39"/>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49"/>
      <c r="AE1064" s="49"/>
      <c r="AF1064" s="49"/>
      <c r="AG1064" s="49"/>
      <c r="AH1064" s="49"/>
      <c r="AI1064" s="49"/>
      <c r="AJ1064" s="49"/>
      <c r="AK1064" s="49"/>
      <c r="AL1064" s="49"/>
      <c r="AM1064" s="49"/>
      <c r="AN1064" s="49"/>
      <c r="AO1064" s="49"/>
      <c r="AP1064" s="49"/>
      <c r="AQ1064" s="49"/>
      <c r="AR1064" s="49"/>
      <c r="AS1064" s="49"/>
      <c r="AT1064" s="49"/>
    </row>
    <row r="1065" ht="15.75" customHeight="1">
      <c r="A1065" s="37"/>
      <c r="B1065" s="37"/>
      <c r="C1065" s="39"/>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49"/>
      <c r="AE1065" s="49"/>
      <c r="AF1065" s="49"/>
      <c r="AG1065" s="49"/>
      <c r="AH1065" s="49"/>
      <c r="AI1065" s="49"/>
      <c r="AJ1065" s="49"/>
      <c r="AK1065" s="49"/>
      <c r="AL1065" s="49"/>
      <c r="AM1065" s="49"/>
      <c r="AN1065" s="49"/>
      <c r="AO1065" s="49"/>
      <c r="AP1065" s="49"/>
      <c r="AQ1065" s="49"/>
      <c r="AR1065" s="49"/>
      <c r="AS1065" s="49"/>
      <c r="AT1065" s="49"/>
    </row>
    <row r="1066" ht="15.75" customHeight="1">
      <c r="A1066" s="37"/>
      <c r="B1066" s="37"/>
      <c r="C1066" s="39"/>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49"/>
      <c r="AE1066" s="49"/>
      <c r="AF1066" s="49"/>
      <c r="AG1066" s="49"/>
      <c r="AH1066" s="49"/>
      <c r="AI1066" s="49"/>
      <c r="AJ1066" s="49"/>
      <c r="AK1066" s="49"/>
      <c r="AL1066" s="49"/>
      <c r="AM1066" s="49"/>
      <c r="AN1066" s="49"/>
      <c r="AO1066" s="49"/>
      <c r="AP1066" s="49"/>
      <c r="AQ1066" s="49"/>
      <c r="AR1066" s="49"/>
      <c r="AS1066" s="49"/>
      <c r="AT1066" s="49"/>
    </row>
    <row r="1067" ht="15.75" customHeight="1">
      <c r="A1067" s="37"/>
      <c r="B1067" s="37"/>
      <c r="C1067" s="39"/>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49"/>
      <c r="AE1067" s="49"/>
      <c r="AF1067" s="49"/>
      <c r="AG1067" s="49"/>
      <c r="AH1067" s="49"/>
      <c r="AI1067" s="49"/>
      <c r="AJ1067" s="49"/>
      <c r="AK1067" s="49"/>
      <c r="AL1067" s="49"/>
      <c r="AM1067" s="49"/>
      <c r="AN1067" s="49"/>
      <c r="AO1067" s="49"/>
      <c r="AP1067" s="49"/>
      <c r="AQ1067" s="49"/>
      <c r="AR1067" s="49"/>
      <c r="AS1067" s="49"/>
      <c r="AT1067" s="49"/>
    </row>
    <row r="1068" ht="15.75" customHeight="1">
      <c r="A1068" s="37"/>
      <c r="B1068" s="37"/>
      <c r="C1068" s="39"/>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49"/>
      <c r="AE1068" s="49"/>
      <c r="AF1068" s="49"/>
      <c r="AG1068" s="49"/>
      <c r="AH1068" s="49"/>
      <c r="AI1068" s="49"/>
      <c r="AJ1068" s="49"/>
      <c r="AK1068" s="49"/>
      <c r="AL1068" s="49"/>
      <c r="AM1068" s="49"/>
      <c r="AN1068" s="49"/>
      <c r="AO1068" s="49"/>
      <c r="AP1068" s="49"/>
      <c r="AQ1068" s="49"/>
      <c r="AR1068" s="49"/>
      <c r="AS1068" s="49"/>
      <c r="AT1068" s="49"/>
    </row>
    <row r="1069" ht="15.75" customHeight="1">
      <c r="A1069" s="37"/>
      <c r="B1069" s="37"/>
      <c r="C1069" s="39"/>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49"/>
      <c r="AE1069" s="49"/>
      <c r="AF1069" s="49"/>
      <c r="AG1069" s="49"/>
      <c r="AH1069" s="49"/>
      <c r="AI1069" s="49"/>
      <c r="AJ1069" s="49"/>
      <c r="AK1069" s="49"/>
      <c r="AL1069" s="49"/>
      <c r="AM1069" s="49"/>
      <c r="AN1069" s="49"/>
      <c r="AO1069" s="49"/>
      <c r="AP1069" s="49"/>
      <c r="AQ1069" s="49"/>
      <c r="AR1069" s="49"/>
      <c r="AS1069" s="49"/>
      <c r="AT1069" s="49"/>
    </row>
    <row r="1070" ht="15.75" customHeight="1">
      <c r="A1070" s="37"/>
      <c r="B1070" s="37"/>
      <c r="C1070" s="39"/>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49"/>
      <c r="AE1070" s="49"/>
      <c r="AF1070" s="49"/>
      <c r="AG1070" s="49"/>
      <c r="AH1070" s="49"/>
      <c r="AI1070" s="49"/>
      <c r="AJ1070" s="49"/>
      <c r="AK1070" s="49"/>
      <c r="AL1070" s="49"/>
      <c r="AM1070" s="49"/>
      <c r="AN1070" s="49"/>
      <c r="AO1070" s="49"/>
      <c r="AP1070" s="49"/>
      <c r="AQ1070" s="49"/>
      <c r="AR1070" s="49"/>
      <c r="AS1070" s="49"/>
      <c r="AT1070" s="49"/>
    </row>
    <row r="1071" ht="15.75" customHeight="1">
      <c r="A1071" s="37"/>
      <c r="B1071" s="37"/>
      <c r="C1071" s="39"/>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49"/>
      <c r="AE1071" s="49"/>
      <c r="AF1071" s="49"/>
      <c r="AG1071" s="49"/>
      <c r="AH1071" s="49"/>
      <c r="AI1071" s="49"/>
      <c r="AJ1071" s="49"/>
      <c r="AK1071" s="49"/>
      <c r="AL1071" s="49"/>
      <c r="AM1071" s="49"/>
      <c r="AN1071" s="49"/>
      <c r="AO1071" s="49"/>
      <c r="AP1071" s="49"/>
      <c r="AQ1071" s="49"/>
      <c r="AR1071" s="49"/>
      <c r="AS1071" s="49"/>
      <c r="AT1071" s="49"/>
    </row>
    <row r="1072" ht="15.75" customHeight="1">
      <c r="A1072" s="37"/>
      <c r="B1072" s="37"/>
      <c r="C1072" s="39"/>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49"/>
      <c r="AE1072" s="49"/>
      <c r="AF1072" s="49"/>
      <c r="AG1072" s="49"/>
      <c r="AH1072" s="49"/>
      <c r="AI1072" s="49"/>
      <c r="AJ1072" s="49"/>
      <c r="AK1072" s="49"/>
      <c r="AL1072" s="49"/>
      <c r="AM1072" s="49"/>
      <c r="AN1072" s="49"/>
      <c r="AO1072" s="49"/>
      <c r="AP1072" s="49"/>
      <c r="AQ1072" s="49"/>
      <c r="AR1072" s="49"/>
      <c r="AS1072" s="49"/>
      <c r="AT1072" s="49"/>
    </row>
    <row r="1073" ht="15.75" customHeight="1">
      <c r="A1073" s="37"/>
      <c r="B1073" s="37"/>
      <c r="C1073" s="39"/>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49"/>
      <c r="AE1073" s="49"/>
      <c r="AF1073" s="49"/>
      <c r="AG1073" s="49"/>
      <c r="AH1073" s="49"/>
      <c r="AI1073" s="49"/>
      <c r="AJ1073" s="49"/>
      <c r="AK1073" s="49"/>
      <c r="AL1073" s="49"/>
      <c r="AM1073" s="49"/>
      <c r="AN1073" s="49"/>
      <c r="AO1073" s="49"/>
      <c r="AP1073" s="49"/>
      <c r="AQ1073" s="49"/>
      <c r="AR1073" s="49"/>
      <c r="AS1073" s="49"/>
      <c r="AT1073" s="49"/>
    </row>
    <row r="1074" ht="15.75" customHeight="1">
      <c r="A1074" s="37"/>
      <c r="B1074" s="37"/>
      <c r="C1074" s="39"/>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49"/>
      <c r="AE1074" s="49"/>
      <c r="AF1074" s="49"/>
      <c r="AG1074" s="49"/>
      <c r="AH1074" s="49"/>
      <c r="AI1074" s="49"/>
      <c r="AJ1074" s="49"/>
      <c r="AK1074" s="49"/>
      <c r="AL1074" s="49"/>
      <c r="AM1074" s="49"/>
      <c r="AN1074" s="49"/>
      <c r="AO1074" s="49"/>
      <c r="AP1074" s="49"/>
      <c r="AQ1074" s="49"/>
      <c r="AR1074" s="49"/>
      <c r="AS1074" s="49"/>
      <c r="AT1074" s="49"/>
    </row>
    <row r="1075" ht="15.75" customHeight="1">
      <c r="A1075" s="37"/>
      <c r="B1075" s="37"/>
      <c r="C1075" s="39"/>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49"/>
      <c r="AE1075" s="49"/>
      <c r="AF1075" s="49"/>
      <c r="AG1075" s="49"/>
      <c r="AH1075" s="49"/>
      <c r="AI1075" s="49"/>
      <c r="AJ1075" s="49"/>
      <c r="AK1075" s="49"/>
      <c r="AL1075" s="49"/>
      <c r="AM1075" s="49"/>
      <c r="AN1075" s="49"/>
      <c r="AO1075" s="49"/>
      <c r="AP1075" s="49"/>
      <c r="AQ1075" s="49"/>
      <c r="AR1075" s="49"/>
      <c r="AS1075" s="49"/>
      <c r="AT1075" s="49"/>
    </row>
    <row r="1076" ht="15.75" customHeight="1">
      <c r="A1076" s="37"/>
      <c r="B1076" s="37"/>
      <c r="C1076" s="39"/>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49"/>
      <c r="AE1076" s="49"/>
      <c r="AF1076" s="49"/>
      <c r="AG1076" s="49"/>
      <c r="AH1076" s="49"/>
      <c r="AI1076" s="49"/>
      <c r="AJ1076" s="49"/>
      <c r="AK1076" s="49"/>
      <c r="AL1076" s="49"/>
      <c r="AM1076" s="49"/>
      <c r="AN1076" s="49"/>
      <c r="AO1076" s="49"/>
      <c r="AP1076" s="49"/>
      <c r="AQ1076" s="49"/>
      <c r="AR1076" s="49"/>
      <c r="AS1076" s="49"/>
      <c r="AT1076" s="49"/>
    </row>
    <row r="1077" ht="15.75" customHeight="1">
      <c r="A1077" s="37"/>
      <c r="B1077" s="37"/>
      <c r="C1077" s="39"/>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49"/>
      <c r="AE1077" s="49"/>
      <c r="AF1077" s="49"/>
      <c r="AG1077" s="49"/>
      <c r="AH1077" s="49"/>
      <c r="AI1077" s="49"/>
      <c r="AJ1077" s="49"/>
      <c r="AK1077" s="49"/>
      <c r="AL1077" s="49"/>
      <c r="AM1077" s="49"/>
      <c r="AN1077" s="49"/>
      <c r="AO1077" s="49"/>
      <c r="AP1077" s="49"/>
      <c r="AQ1077" s="49"/>
      <c r="AR1077" s="49"/>
      <c r="AS1077" s="49"/>
      <c r="AT1077" s="49"/>
    </row>
    <row r="1078" ht="15.75" customHeight="1">
      <c r="A1078" s="37"/>
      <c r="B1078" s="37"/>
      <c r="C1078" s="39"/>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49"/>
      <c r="AE1078" s="49"/>
      <c r="AF1078" s="49"/>
      <c r="AG1078" s="49"/>
      <c r="AH1078" s="49"/>
      <c r="AI1078" s="49"/>
      <c r="AJ1078" s="49"/>
      <c r="AK1078" s="49"/>
      <c r="AL1078" s="49"/>
      <c r="AM1078" s="49"/>
      <c r="AN1078" s="49"/>
      <c r="AO1078" s="49"/>
      <c r="AP1078" s="49"/>
      <c r="AQ1078" s="49"/>
      <c r="AR1078" s="49"/>
      <c r="AS1078" s="49"/>
      <c r="AT1078" s="49"/>
    </row>
    <row r="1079" ht="15.75" customHeight="1">
      <c r="A1079" s="37"/>
      <c r="B1079" s="37"/>
      <c r="C1079" s="39"/>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49"/>
      <c r="AE1079" s="49"/>
      <c r="AF1079" s="49"/>
      <c r="AG1079" s="49"/>
      <c r="AH1079" s="49"/>
      <c r="AI1079" s="49"/>
      <c r="AJ1079" s="49"/>
      <c r="AK1079" s="49"/>
      <c r="AL1079" s="49"/>
      <c r="AM1079" s="49"/>
      <c r="AN1079" s="49"/>
      <c r="AO1079" s="49"/>
      <c r="AP1079" s="49"/>
      <c r="AQ1079" s="49"/>
      <c r="AR1079" s="49"/>
      <c r="AS1079" s="49"/>
      <c r="AT1079" s="49"/>
    </row>
    <row r="1080" ht="15.75" customHeight="1">
      <c r="A1080" s="37"/>
      <c r="B1080" s="37"/>
      <c r="C1080" s="39"/>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49"/>
      <c r="AE1080" s="49"/>
      <c r="AF1080" s="49"/>
      <c r="AG1080" s="49"/>
      <c r="AH1080" s="49"/>
      <c r="AI1080" s="49"/>
      <c r="AJ1080" s="49"/>
      <c r="AK1080" s="49"/>
      <c r="AL1080" s="49"/>
      <c r="AM1080" s="49"/>
      <c r="AN1080" s="49"/>
      <c r="AO1080" s="49"/>
      <c r="AP1080" s="49"/>
      <c r="AQ1080" s="49"/>
      <c r="AR1080" s="49"/>
      <c r="AS1080" s="49"/>
      <c r="AT1080" s="49"/>
    </row>
    <row r="1081" ht="15.75" customHeight="1">
      <c r="A1081" s="37"/>
      <c r="B1081" s="37"/>
      <c r="C1081" s="39"/>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49"/>
      <c r="AE1081" s="49"/>
      <c r="AF1081" s="49"/>
      <c r="AG1081" s="49"/>
      <c r="AH1081" s="49"/>
      <c r="AI1081" s="49"/>
      <c r="AJ1081" s="49"/>
      <c r="AK1081" s="49"/>
      <c r="AL1081" s="49"/>
      <c r="AM1081" s="49"/>
      <c r="AN1081" s="49"/>
      <c r="AO1081" s="49"/>
      <c r="AP1081" s="49"/>
      <c r="AQ1081" s="49"/>
      <c r="AR1081" s="49"/>
      <c r="AS1081" s="49"/>
      <c r="AT1081" s="49"/>
    </row>
    <row r="1082" ht="15.75" customHeight="1">
      <c r="A1082" s="37"/>
      <c r="B1082" s="37"/>
      <c r="C1082" s="39"/>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49"/>
      <c r="AE1082" s="49"/>
      <c r="AF1082" s="49"/>
      <c r="AG1082" s="49"/>
      <c r="AH1082" s="49"/>
      <c r="AI1082" s="49"/>
      <c r="AJ1082" s="49"/>
      <c r="AK1082" s="49"/>
      <c r="AL1082" s="49"/>
      <c r="AM1082" s="49"/>
      <c r="AN1082" s="49"/>
      <c r="AO1082" s="49"/>
      <c r="AP1082" s="49"/>
      <c r="AQ1082" s="49"/>
      <c r="AR1082" s="49"/>
      <c r="AS1082" s="49"/>
      <c r="AT1082" s="49"/>
    </row>
    <row r="1083" ht="15.75" customHeight="1">
      <c r="A1083" s="37"/>
      <c r="B1083" s="37"/>
      <c r="C1083" s="39"/>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49"/>
      <c r="AE1083" s="49"/>
      <c r="AF1083" s="49"/>
      <c r="AG1083" s="49"/>
      <c r="AH1083" s="49"/>
      <c r="AI1083" s="49"/>
      <c r="AJ1083" s="49"/>
      <c r="AK1083" s="49"/>
      <c r="AL1083" s="49"/>
      <c r="AM1083" s="49"/>
      <c r="AN1083" s="49"/>
      <c r="AO1083" s="49"/>
      <c r="AP1083" s="49"/>
      <c r="AQ1083" s="49"/>
      <c r="AR1083" s="49"/>
      <c r="AS1083" s="49"/>
      <c r="AT1083" s="49"/>
    </row>
    <row r="1084" ht="15.75" customHeight="1">
      <c r="A1084" s="37"/>
      <c r="B1084" s="37"/>
      <c r="C1084" s="39"/>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49"/>
      <c r="AE1084" s="49"/>
      <c r="AF1084" s="49"/>
      <c r="AG1084" s="49"/>
      <c r="AH1084" s="49"/>
      <c r="AI1084" s="49"/>
      <c r="AJ1084" s="49"/>
      <c r="AK1084" s="49"/>
      <c r="AL1084" s="49"/>
      <c r="AM1084" s="49"/>
      <c r="AN1084" s="49"/>
      <c r="AO1084" s="49"/>
      <c r="AP1084" s="49"/>
      <c r="AQ1084" s="49"/>
      <c r="AR1084" s="49"/>
      <c r="AS1084" s="49"/>
      <c r="AT1084" s="49"/>
    </row>
    <row r="1085" ht="15.75" customHeight="1">
      <c r="A1085" s="37"/>
      <c r="B1085" s="37"/>
      <c r="C1085" s="39"/>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49"/>
      <c r="AE1085" s="49"/>
      <c r="AF1085" s="49"/>
      <c r="AG1085" s="49"/>
      <c r="AH1085" s="49"/>
      <c r="AI1085" s="49"/>
      <c r="AJ1085" s="49"/>
      <c r="AK1085" s="49"/>
      <c r="AL1085" s="49"/>
      <c r="AM1085" s="49"/>
      <c r="AN1085" s="49"/>
      <c r="AO1085" s="49"/>
      <c r="AP1085" s="49"/>
      <c r="AQ1085" s="49"/>
      <c r="AR1085" s="49"/>
      <c r="AS1085" s="49"/>
      <c r="AT1085" s="49"/>
    </row>
    <row r="1086" ht="15.75" customHeight="1">
      <c r="A1086" s="37"/>
      <c r="B1086" s="37"/>
      <c r="C1086" s="39"/>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49"/>
      <c r="AE1086" s="49"/>
      <c r="AF1086" s="49"/>
      <c r="AG1086" s="49"/>
      <c r="AH1086" s="49"/>
      <c r="AI1086" s="49"/>
      <c r="AJ1086" s="49"/>
      <c r="AK1086" s="49"/>
      <c r="AL1086" s="49"/>
      <c r="AM1086" s="49"/>
      <c r="AN1086" s="49"/>
      <c r="AO1086" s="49"/>
      <c r="AP1086" s="49"/>
      <c r="AQ1086" s="49"/>
      <c r="AR1086" s="49"/>
      <c r="AS1086" s="49"/>
      <c r="AT1086" s="49"/>
    </row>
    <row r="1087" ht="15.75" customHeight="1">
      <c r="A1087" s="37"/>
      <c r="B1087" s="37"/>
      <c r="C1087" s="39"/>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49"/>
      <c r="AE1087" s="49"/>
      <c r="AF1087" s="49"/>
      <c r="AG1087" s="49"/>
      <c r="AH1087" s="49"/>
      <c r="AI1087" s="49"/>
      <c r="AJ1087" s="49"/>
      <c r="AK1087" s="49"/>
      <c r="AL1087" s="49"/>
      <c r="AM1087" s="49"/>
      <c r="AN1087" s="49"/>
      <c r="AO1087" s="49"/>
      <c r="AP1087" s="49"/>
      <c r="AQ1087" s="49"/>
      <c r="AR1087" s="49"/>
      <c r="AS1087" s="49"/>
      <c r="AT1087" s="49"/>
    </row>
    <row r="1088" ht="15.75" customHeight="1">
      <c r="A1088" s="37"/>
      <c r="B1088" s="37"/>
      <c r="C1088" s="39"/>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49"/>
      <c r="AE1088" s="49"/>
      <c r="AF1088" s="49"/>
      <c r="AG1088" s="49"/>
      <c r="AH1088" s="49"/>
      <c r="AI1088" s="49"/>
      <c r="AJ1088" s="49"/>
      <c r="AK1088" s="49"/>
      <c r="AL1088" s="49"/>
      <c r="AM1088" s="49"/>
      <c r="AN1088" s="49"/>
      <c r="AO1088" s="49"/>
      <c r="AP1088" s="49"/>
      <c r="AQ1088" s="49"/>
      <c r="AR1088" s="49"/>
      <c r="AS1088" s="49"/>
      <c r="AT1088" s="49"/>
    </row>
    <row r="1089" ht="15.75" customHeight="1">
      <c r="A1089" s="37"/>
      <c r="B1089" s="37"/>
      <c r="C1089" s="39"/>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49"/>
      <c r="AE1089" s="49"/>
      <c r="AF1089" s="49"/>
      <c r="AG1089" s="49"/>
      <c r="AH1089" s="49"/>
      <c r="AI1089" s="49"/>
      <c r="AJ1089" s="49"/>
      <c r="AK1089" s="49"/>
      <c r="AL1089" s="49"/>
      <c r="AM1089" s="49"/>
      <c r="AN1089" s="49"/>
      <c r="AO1089" s="49"/>
      <c r="AP1089" s="49"/>
      <c r="AQ1089" s="49"/>
      <c r="AR1089" s="49"/>
      <c r="AS1089" s="49"/>
      <c r="AT1089" s="49"/>
    </row>
    <row r="1090" ht="15.75" customHeight="1">
      <c r="A1090" s="37"/>
      <c r="B1090" s="37"/>
      <c r="C1090" s="39"/>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49"/>
      <c r="AE1090" s="49"/>
      <c r="AF1090" s="49"/>
      <c r="AG1090" s="49"/>
      <c r="AH1090" s="49"/>
      <c r="AI1090" s="49"/>
      <c r="AJ1090" s="49"/>
      <c r="AK1090" s="49"/>
      <c r="AL1090" s="49"/>
      <c r="AM1090" s="49"/>
      <c r="AN1090" s="49"/>
      <c r="AO1090" s="49"/>
      <c r="AP1090" s="49"/>
      <c r="AQ1090" s="49"/>
      <c r="AR1090" s="49"/>
      <c r="AS1090" s="49"/>
      <c r="AT1090" s="49"/>
    </row>
    <row r="1091" ht="15.75" customHeight="1">
      <c r="A1091" s="37"/>
      <c r="B1091" s="37"/>
      <c r="C1091" s="39"/>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49"/>
      <c r="AE1091" s="49"/>
      <c r="AF1091" s="49"/>
      <c r="AG1091" s="49"/>
      <c r="AH1091" s="49"/>
      <c r="AI1091" s="49"/>
      <c r="AJ1091" s="49"/>
      <c r="AK1091" s="49"/>
      <c r="AL1091" s="49"/>
      <c r="AM1091" s="49"/>
      <c r="AN1091" s="49"/>
      <c r="AO1091" s="49"/>
      <c r="AP1091" s="49"/>
      <c r="AQ1091" s="49"/>
      <c r="AR1091" s="49"/>
      <c r="AS1091" s="49"/>
      <c r="AT1091" s="49"/>
    </row>
    <row r="1092" ht="15.75" customHeight="1">
      <c r="A1092" s="37"/>
      <c r="B1092" s="37"/>
      <c r="C1092" s="39"/>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49"/>
      <c r="AE1092" s="49"/>
      <c r="AF1092" s="49"/>
      <c r="AG1092" s="49"/>
      <c r="AH1092" s="49"/>
      <c r="AI1092" s="49"/>
      <c r="AJ1092" s="49"/>
      <c r="AK1092" s="49"/>
      <c r="AL1092" s="49"/>
      <c r="AM1092" s="49"/>
      <c r="AN1092" s="49"/>
      <c r="AO1092" s="49"/>
      <c r="AP1092" s="49"/>
      <c r="AQ1092" s="49"/>
      <c r="AR1092" s="49"/>
      <c r="AS1092" s="49"/>
      <c r="AT1092" s="49"/>
    </row>
    <row r="1093" ht="15.75" customHeight="1">
      <c r="A1093" s="37"/>
      <c r="B1093" s="37"/>
      <c r="C1093" s="39"/>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49"/>
      <c r="AE1093" s="49"/>
      <c r="AF1093" s="49"/>
      <c r="AG1093" s="49"/>
      <c r="AH1093" s="49"/>
      <c r="AI1093" s="49"/>
      <c r="AJ1093" s="49"/>
      <c r="AK1093" s="49"/>
      <c r="AL1093" s="49"/>
      <c r="AM1093" s="49"/>
      <c r="AN1093" s="49"/>
      <c r="AO1093" s="49"/>
      <c r="AP1093" s="49"/>
      <c r="AQ1093" s="49"/>
      <c r="AR1093" s="49"/>
      <c r="AS1093" s="49"/>
      <c r="AT1093" s="49"/>
    </row>
    <row r="1094" ht="15.75" customHeight="1">
      <c r="A1094" s="37"/>
      <c r="B1094" s="37"/>
      <c r="C1094" s="39"/>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49"/>
      <c r="AE1094" s="49"/>
      <c r="AF1094" s="49"/>
      <c r="AG1094" s="49"/>
      <c r="AH1094" s="49"/>
      <c r="AI1094" s="49"/>
      <c r="AJ1094" s="49"/>
      <c r="AK1094" s="49"/>
      <c r="AL1094" s="49"/>
      <c r="AM1094" s="49"/>
      <c r="AN1094" s="49"/>
      <c r="AO1094" s="49"/>
      <c r="AP1094" s="49"/>
      <c r="AQ1094" s="49"/>
      <c r="AR1094" s="49"/>
      <c r="AS1094" s="49"/>
      <c r="AT1094" s="49"/>
    </row>
    <row r="1095" ht="15.75" customHeight="1">
      <c r="A1095" s="37"/>
      <c r="B1095" s="37"/>
      <c r="C1095" s="39"/>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49"/>
      <c r="AE1095" s="49"/>
      <c r="AF1095" s="49"/>
      <c r="AG1095" s="49"/>
      <c r="AH1095" s="49"/>
      <c r="AI1095" s="49"/>
      <c r="AJ1095" s="49"/>
      <c r="AK1095" s="49"/>
      <c r="AL1095" s="49"/>
      <c r="AM1095" s="49"/>
      <c r="AN1095" s="49"/>
      <c r="AO1095" s="49"/>
      <c r="AP1095" s="49"/>
      <c r="AQ1095" s="49"/>
      <c r="AR1095" s="49"/>
      <c r="AS1095" s="49"/>
      <c r="AT1095" s="49"/>
    </row>
    <row r="1096" ht="15.75" customHeight="1">
      <c r="A1096" s="37"/>
      <c r="B1096" s="37"/>
      <c r="C1096" s="39"/>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49"/>
      <c r="AE1096" s="49"/>
      <c r="AF1096" s="49"/>
      <c r="AG1096" s="49"/>
      <c r="AH1096" s="49"/>
      <c r="AI1096" s="49"/>
      <c r="AJ1096" s="49"/>
      <c r="AK1096" s="49"/>
      <c r="AL1096" s="49"/>
      <c r="AM1096" s="49"/>
      <c r="AN1096" s="49"/>
      <c r="AO1096" s="49"/>
      <c r="AP1096" s="49"/>
      <c r="AQ1096" s="49"/>
      <c r="AR1096" s="49"/>
      <c r="AS1096" s="49"/>
      <c r="AT1096" s="49"/>
    </row>
    <row r="1097" ht="15.75" customHeight="1">
      <c r="A1097" s="37"/>
      <c r="B1097" s="37"/>
      <c r="C1097" s="39"/>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49"/>
      <c r="AE1097" s="49"/>
      <c r="AF1097" s="49"/>
      <c r="AG1097" s="49"/>
      <c r="AH1097" s="49"/>
      <c r="AI1097" s="49"/>
      <c r="AJ1097" s="49"/>
      <c r="AK1097" s="49"/>
      <c r="AL1097" s="49"/>
      <c r="AM1097" s="49"/>
      <c r="AN1097" s="49"/>
      <c r="AO1097" s="49"/>
      <c r="AP1097" s="49"/>
      <c r="AQ1097" s="49"/>
      <c r="AR1097" s="49"/>
      <c r="AS1097" s="49"/>
      <c r="AT1097" s="49"/>
    </row>
    <row r="1098" ht="15.75" customHeight="1">
      <c r="A1098" s="37"/>
      <c r="B1098" s="37"/>
      <c r="C1098" s="39"/>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49"/>
      <c r="AE1098" s="49"/>
      <c r="AF1098" s="49"/>
      <c r="AG1098" s="49"/>
      <c r="AH1098" s="49"/>
      <c r="AI1098" s="49"/>
      <c r="AJ1098" s="49"/>
      <c r="AK1098" s="49"/>
      <c r="AL1098" s="49"/>
      <c r="AM1098" s="49"/>
      <c r="AN1098" s="49"/>
      <c r="AO1098" s="49"/>
      <c r="AP1098" s="49"/>
      <c r="AQ1098" s="49"/>
      <c r="AR1098" s="49"/>
      <c r="AS1098" s="49"/>
      <c r="AT1098" s="49"/>
    </row>
    <row r="1099" ht="15.75" customHeight="1">
      <c r="A1099" s="37"/>
      <c r="B1099" s="37"/>
      <c r="C1099" s="39"/>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49"/>
      <c r="AE1099" s="49"/>
      <c r="AF1099" s="49"/>
      <c r="AG1099" s="49"/>
      <c r="AH1099" s="49"/>
      <c r="AI1099" s="49"/>
      <c r="AJ1099" s="49"/>
      <c r="AK1099" s="49"/>
      <c r="AL1099" s="49"/>
      <c r="AM1099" s="49"/>
      <c r="AN1099" s="49"/>
      <c r="AO1099" s="49"/>
      <c r="AP1099" s="49"/>
      <c r="AQ1099" s="49"/>
      <c r="AR1099" s="49"/>
      <c r="AS1099" s="49"/>
      <c r="AT1099" s="49"/>
    </row>
    <row r="1100" ht="15.75" customHeight="1">
      <c r="A1100" s="37"/>
      <c r="B1100" s="37"/>
      <c r="C1100" s="39"/>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49"/>
      <c r="AE1100" s="49"/>
      <c r="AF1100" s="49"/>
      <c r="AG1100" s="49"/>
      <c r="AH1100" s="49"/>
      <c r="AI1100" s="49"/>
      <c r="AJ1100" s="49"/>
      <c r="AK1100" s="49"/>
      <c r="AL1100" s="49"/>
      <c r="AM1100" s="49"/>
      <c r="AN1100" s="49"/>
      <c r="AO1100" s="49"/>
      <c r="AP1100" s="49"/>
      <c r="AQ1100" s="49"/>
      <c r="AR1100" s="49"/>
      <c r="AS1100" s="49"/>
      <c r="AT1100" s="49"/>
    </row>
    <row r="1101" ht="15.75" customHeight="1">
      <c r="A1101" s="37"/>
      <c r="B1101" s="37"/>
      <c r="C1101" s="39"/>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49"/>
      <c r="AE1101" s="49"/>
      <c r="AF1101" s="49"/>
      <c r="AG1101" s="49"/>
      <c r="AH1101" s="49"/>
      <c r="AI1101" s="49"/>
      <c r="AJ1101" s="49"/>
      <c r="AK1101" s="49"/>
      <c r="AL1101" s="49"/>
      <c r="AM1101" s="49"/>
      <c r="AN1101" s="49"/>
      <c r="AO1101" s="49"/>
      <c r="AP1101" s="49"/>
      <c r="AQ1101" s="49"/>
      <c r="AR1101" s="49"/>
      <c r="AS1101" s="49"/>
      <c r="AT1101" s="49"/>
    </row>
    <row r="1102" ht="15.75" customHeight="1">
      <c r="A1102" s="37"/>
      <c r="B1102" s="37"/>
      <c r="C1102" s="39"/>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49"/>
      <c r="AE1102" s="49"/>
      <c r="AF1102" s="49"/>
      <c r="AG1102" s="49"/>
      <c r="AH1102" s="49"/>
      <c r="AI1102" s="49"/>
      <c r="AJ1102" s="49"/>
      <c r="AK1102" s="49"/>
      <c r="AL1102" s="49"/>
      <c r="AM1102" s="49"/>
      <c r="AN1102" s="49"/>
      <c r="AO1102" s="49"/>
      <c r="AP1102" s="49"/>
      <c r="AQ1102" s="49"/>
      <c r="AR1102" s="49"/>
      <c r="AS1102" s="49"/>
      <c r="AT1102" s="49"/>
    </row>
    <row r="1103" ht="15.75" customHeight="1">
      <c r="A1103" s="37"/>
      <c r="B1103" s="37"/>
      <c r="C1103" s="39"/>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49"/>
      <c r="AE1103" s="49"/>
      <c r="AF1103" s="49"/>
      <c r="AG1103" s="49"/>
      <c r="AH1103" s="49"/>
      <c r="AI1103" s="49"/>
      <c r="AJ1103" s="49"/>
      <c r="AK1103" s="49"/>
      <c r="AL1103" s="49"/>
      <c r="AM1103" s="49"/>
      <c r="AN1103" s="49"/>
      <c r="AO1103" s="49"/>
      <c r="AP1103" s="49"/>
      <c r="AQ1103" s="49"/>
      <c r="AR1103" s="49"/>
      <c r="AS1103" s="49"/>
      <c r="AT1103" s="49"/>
    </row>
    <row r="1104" ht="15.75" customHeight="1">
      <c r="A1104" s="37"/>
      <c r="B1104" s="37"/>
      <c r="C1104" s="39"/>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49"/>
      <c r="AE1104" s="49"/>
      <c r="AF1104" s="49"/>
      <c r="AG1104" s="49"/>
      <c r="AH1104" s="49"/>
      <c r="AI1104" s="49"/>
      <c r="AJ1104" s="49"/>
      <c r="AK1104" s="49"/>
      <c r="AL1104" s="49"/>
      <c r="AM1104" s="49"/>
      <c r="AN1104" s="49"/>
      <c r="AO1104" s="49"/>
      <c r="AP1104" s="49"/>
      <c r="AQ1104" s="49"/>
      <c r="AR1104" s="49"/>
      <c r="AS1104" s="49"/>
      <c r="AT1104" s="49"/>
    </row>
    <row r="1105" ht="15.75" customHeight="1">
      <c r="A1105" s="37"/>
      <c r="B1105" s="37"/>
      <c r="C1105" s="39"/>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49"/>
      <c r="AE1105" s="49"/>
      <c r="AF1105" s="49"/>
      <c r="AG1105" s="49"/>
      <c r="AH1105" s="49"/>
      <c r="AI1105" s="49"/>
      <c r="AJ1105" s="49"/>
      <c r="AK1105" s="49"/>
      <c r="AL1105" s="49"/>
      <c r="AM1105" s="49"/>
      <c r="AN1105" s="49"/>
      <c r="AO1105" s="49"/>
      <c r="AP1105" s="49"/>
      <c r="AQ1105" s="49"/>
      <c r="AR1105" s="49"/>
      <c r="AS1105" s="49"/>
      <c r="AT1105" s="49"/>
    </row>
    <row r="1106" ht="15.75" customHeight="1">
      <c r="A1106" s="37"/>
      <c r="B1106" s="37"/>
      <c r="C1106" s="39"/>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49"/>
      <c r="AE1106" s="49"/>
      <c r="AF1106" s="49"/>
      <c r="AG1106" s="49"/>
      <c r="AH1106" s="49"/>
      <c r="AI1106" s="49"/>
      <c r="AJ1106" s="49"/>
      <c r="AK1106" s="49"/>
      <c r="AL1106" s="49"/>
      <c r="AM1106" s="49"/>
      <c r="AN1106" s="49"/>
      <c r="AO1106" s="49"/>
      <c r="AP1106" s="49"/>
      <c r="AQ1106" s="49"/>
      <c r="AR1106" s="49"/>
      <c r="AS1106" s="49"/>
      <c r="AT1106" s="49"/>
    </row>
    <row r="1107" ht="15.75" customHeight="1">
      <c r="A1107" s="37"/>
      <c r="B1107" s="37"/>
      <c r="C1107" s="39"/>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49"/>
      <c r="AE1107" s="49"/>
      <c r="AF1107" s="49"/>
      <c r="AG1107" s="49"/>
      <c r="AH1107" s="49"/>
      <c r="AI1107" s="49"/>
      <c r="AJ1107" s="49"/>
      <c r="AK1107" s="49"/>
      <c r="AL1107" s="49"/>
      <c r="AM1107" s="49"/>
      <c r="AN1107" s="49"/>
      <c r="AO1107" s="49"/>
      <c r="AP1107" s="49"/>
      <c r="AQ1107" s="49"/>
      <c r="AR1107" s="49"/>
      <c r="AS1107" s="49"/>
      <c r="AT1107" s="49"/>
    </row>
    <row r="1108" ht="15.75" customHeight="1">
      <c r="A1108" s="37"/>
      <c r="B1108" s="37"/>
      <c r="C1108" s="39"/>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49"/>
      <c r="AE1108" s="49"/>
      <c r="AF1108" s="49"/>
      <c r="AG1108" s="49"/>
      <c r="AH1108" s="49"/>
      <c r="AI1108" s="49"/>
      <c r="AJ1108" s="49"/>
      <c r="AK1108" s="49"/>
      <c r="AL1108" s="49"/>
      <c r="AM1108" s="49"/>
      <c r="AN1108" s="49"/>
      <c r="AO1108" s="49"/>
      <c r="AP1108" s="49"/>
      <c r="AQ1108" s="49"/>
      <c r="AR1108" s="49"/>
      <c r="AS1108" s="49"/>
      <c r="AT1108" s="49"/>
    </row>
    <row r="1109" ht="15.75" customHeight="1">
      <c r="A1109" s="37"/>
      <c r="B1109" s="37"/>
      <c r="C1109" s="39"/>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49"/>
      <c r="AE1109" s="49"/>
      <c r="AF1109" s="49"/>
      <c r="AG1109" s="49"/>
      <c r="AH1109" s="49"/>
      <c r="AI1109" s="49"/>
      <c r="AJ1109" s="49"/>
      <c r="AK1109" s="49"/>
      <c r="AL1109" s="49"/>
      <c r="AM1109" s="49"/>
      <c r="AN1109" s="49"/>
      <c r="AO1109" s="49"/>
      <c r="AP1109" s="49"/>
      <c r="AQ1109" s="49"/>
      <c r="AR1109" s="49"/>
      <c r="AS1109" s="49"/>
      <c r="AT1109" s="49"/>
    </row>
    <row r="1110" ht="15.75" customHeight="1">
      <c r="A1110" s="37"/>
      <c r="B1110" s="37"/>
      <c r="C1110" s="39"/>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49"/>
      <c r="AE1110" s="49"/>
      <c r="AF1110" s="49"/>
      <c r="AG1110" s="49"/>
      <c r="AH1110" s="49"/>
      <c r="AI1110" s="49"/>
      <c r="AJ1110" s="49"/>
      <c r="AK1110" s="49"/>
      <c r="AL1110" s="49"/>
      <c r="AM1110" s="49"/>
      <c r="AN1110" s="49"/>
      <c r="AO1110" s="49"/>
      <c r="AP1110" s="49"/>
      <c r="AQ1110" s="49"/>
      <c r="AR1110" s="49"/>
      <c r="AS1110" s="49"/>
      <c r="AT1110" s="49"/>
    </row>
    <row r="1111" ht="15.75" customHeight="1">
      <c r="A1111" s="37"/>
      <c r="B1111" s="37"/>
      <c r="C1111" s="39"/>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49"/>
      <c r="AE1111" s="49"/>
      <c r="AF1111" s="49"/>
      <c r="AG1111" s="49"/>
      <c r="AH1111" s="49"/>
      <c r="AI1111" s="49"/>
      <c r="AJ1111" s="49"/>
      <c r="AK1111" s="49"/>
      <c r="AL1111" s="49"/>
      <c r="AM1111" s="49"/>
      <c r="AN1111" s="49"/>
      <c r="AO1111" s="49"/>
      <c r="AP1111" s="49"/>
      <c r="AQ1111" s="49"/>
      <c r="AR1111" s="49"/>
      <c r="AS1111" s="49"/>
      <c r="AT1111" s="49"/>
    </row>
    <row r="1112" ht="15.75" customHeight="1">
      <c r="A1112" s="37"/>
      <c r="B1112" s="37"/>
      <c r="C1112" s="39"/>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49"/>
      <c r="AE1112" s="49"/>
      <c r="AF1112" s="49"/>
      <c r="AG1112" s="49"/>
      <c r="AH1112" s="49"/>
      <c r="AI1112" s="49"/>
      <c r="AJ1112" s="49"/>
      <c r="AK1112" s="49"/>
      <c r="AL1112" s="49"/>
      <c r="AM1112" s="49"/>
      <c r="AN1112" s="49"/>
      <c r="AO1112" s="49"/>
      <c r="AP1112" s="49"/>
      <c r="AQ1112" s="49"/>
      <c r="AR1112" s="49"/>
      <c r="AS1112" s="49"/>
      <c r="AT1112" s="49"/>
    </row>
    <row r="1113" ht="15.75" customHeight="1">
      <c r="A1113" s="37"/>
      <c r="B1113" s="37"/>
      <c r="C1113" s="39"/>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49"/>
      <c r="AE1113" s="49"/>
      <c r="AF1113" s="49"/>
      <c r="AG1113" s="49"/>
      <c r="AH1113" s="49"/>
      <c r="AI1113" s="49"/>
      <c r="AJ1113" s="49"/>
      <c r="AK1113" s="49"/>
      <c r="AL1113" s="49"/>
      <c r="AM1113" s="49"/>
      <c r="AN1113" s="49"/>
      <c r="AO1113" s="49"/>
      <c r="AP1113" s="49"/>
      <c r="AQ1113" s="49"/>
      <c r="AR1113" s="49"/>
      <c r="AS1113" s="49"/>
      <c r="AT1113" s="49"/>
    </row>
    <row r="1114" ht="15.75" customHeight="1">
      <c r="A1114" s="37"/>
      <c r="B1114" s="37"/>
      <c r="C1114" s="39"/>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49"/>
      <c r="AE1114" s="49"/>
      <c r="AF1114" s="49"/>
      <c r="AG1114" s="49"/>
      <c r="AH1114" s="49"/>
      <c r="AI1114" s="49"/>
      <c r="AJ1114" s="49"/>
      <c r="AK1114" s="49"/>
      <c r="AL1114" s="49"/>
      <c r="AM1114" s="49"/>
      <c r="AN1114" s="49"/>
      <c r="AO1114" s="49"/>
      <c r="AP1114" s="49"/>
      <c r="AQ1114" s="49"/>
      <c r="AR1114" s="49"/>
      <c r="AS1114" s="49"/>
      <c r="AT1114" s="49"/>
    </row>
    <row r="1115" ht="15.75" customHeight="1">
      <c r="A1115" s="37"/>
      <c r="B1115" s="37"/>
      <c r="C1115" s="39"/>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49"/>
      <c r="AE1115" s="49"/>
      <c r="AF1115" s="49"/>
      <c r="AG1115" s="49"/>
      <c r="AH1115" s="49"/>
      <c r="AI1115" s="49"/>
      <c r="AJ1115" s="49"/>
      <c r="AK1115" s="49"/>
      <c r="AL1115" s="49"/>
      <c r="AM1115" s="49"/>
      <c r="AN1115" s="49"/>
      <c r="AO1115" s="49"/>
      <c r="AP1115" s="49"/>
      <c r="AQ1115" s="49"/>
      <c r="AR1115" s="49"/>
      <c r="AS1115" s="49"/>
      <c r="AT1115" s="49"/>
    </row>
    <row r="1116" ht="15.75" customHeight="1">
      <c r="A1116" s="37"/>
      <c r="B1116" s="37"/>
      <c r="C1116" s="39"/>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49"/>
      <c r="AE1116" s="49"/>
      <c r="AF1116" s="49"/>
      <c r="AG1116" s="49"/>
      <c r="AH1116" s="49"/>
      <c r="AI1116" s="49"/>
      <c r="AJ1116" s="49"/>
      <c r="AK1116" s="49"/>
      <c r="AL1116" s="49"/>
      <c r="AM1116" s="49"/>
      <c r="AN1116" s="49"/>
      <c r="AO1116" s="49"/>
      <c r="AP1116" s="49"/>
      <c r="AQ1116" s="49"/>
      <c r="AR1116" s="49"/>
      <c r="AS1116" s="49"/>
      <c r="AT1116" s="49"/>
    </row>
    <row r="1117" ht="15.75" customHeight="1">
      <c r="A1117" s="37"/>
      <c r="B1117" s="37"/>
      <c r="C1117" s="39"/>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49"/>
      <c r="AE1117" s="49"/>
      <c r="AF1117" s="49"/>
      <c r="AG1117" s="49"/>
      <c r="AH1117" s="49"/>
      <c r="AI1117" s="49"/>
      <c r="AJ1117" s="49"/>
      <c r="AK1117" s="49"/>
      <c r="AL1117" s="49"/>
      <c r="AM1117" s="49"/>
      <c r="AN1117" s="49"/>
      <c r="AO1117" s="49"/>
      <c r="AP1117" s="49"/>
      <c r="AQ1117" s="49"/>
      <c r="AR1117" s="49"/>
      <c r="AS1117" s="49"/>
      <c r="AT1117" s="49"/>
    </row>
    <row r="1118" ht="15.75" customHeight="1">
      <c r="A1118" s="37"/>
      <c r="B1118" s="37"/>
      <c r="C1118" s="39"/>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49"/>
      <c r="AE1118" s="49"/>
      <c r="AF1118" s="49"/>
      <c r="AG1118" s="49"/>
      <c r="AH1118" s="49"/>
      <c r="AI1118" s="49"/>
      <c r="AJ1118" s="49"/>
      <c r="AK1118" s="49"/>
      <c r="AL1118" s="49"/>
      <c r="AM1118" s="49"/>
      <c r="AN1118" s="49"/>
      <c r="AO1118" s="49"/>
      <c r="AP1118" s="49"/>
      <c r="AQ1118" s="49"/>
      <c r="AR1118" s="49"/>
      <c r="AS1118" s="49"/>
      <c r="AT1118" s="49"/>
    </row>
    <row r="1119" ht="15.75" customHeight="1">
      <c r="A1119" s="37"/>
      <c r="B1119" s="37"/>
      <c r="C1119" s="39"/>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49"/>
      <c r="AE1119" s="49"/>
      <c r="AF1119" s="49"/>
      <c r="AG1119" s="49"/>
      <c r="AH1119" s="49"/>
      <c r="AI1119" s="49"/>
      <c r="AJ1119" s="49"/>
      <c r="AK1119" s="49"/>
      <c r="AL1119" s="49"/>
      <c r="AM1119" s="49"/>
      <c r="AN1119" s="49"/>
      <c r="AO1119" s="49"/>
      <c r="AP1119" s="49"/>
      <c r="AQ1119" s="49"/>
      <c r="AR1119" s="49"/>
      <c r="AS1119" s="49"/>
      <c r="AT1119" s="49"/>
    </row>
    <row r="1120" ht="15.75" customHeight="1">
      <c r="A1120" s="37"/>
      <c r="B1120" s="37"/>
      <c r="C1120" s="39"/>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49"/>
      <c r="AE1120" s="49"/>
      <c r="AF1120" s="49"/>
      <c r="AG1120" s="49"/>
      <c r="AH1120" s="49"/>
      <c r="AI1120" s="49"/>
      <c r="AJ1120" s="49"/>
      <c r="AK1120" s="49"/>
      <c r="AL1120" s="49"/>
      <c r="AM1120" s="49"/>
      <c r="AN1120" s="49"/>
      <c r="AO1120" s="49"/>
      <c r="AP1120" s="49"/>
      <c r="AQ1120" s="49"/>
      <c r="AR1120" s="49"/>
      <c r="AS1120" s="49"/>
      <c r="AT1120" s="49"/>
    </row>
    <row r="1121" ht="15.75" customHeight="1">
      <c r="A1121" s="37"/>
      <c r="B1121" s="37"/>
      <c r="C1121" s="39"/>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49"/>
      <c r="AE1121" s="49"/>
      <c r="AF1121" s="49"/>
      <c r="AG1121" s="49"/>
      <c r="AH1121" s="49"/>
      <c r="AI1121" s="49"/>
      <c r="AJ1121" s="49"/>
      <c r="AK1121" s="49"/>
      <c r="AL1121" s="49"/>
      <c r="AM1121" s="49"/>
      <c r="AN1121" s="49"/>
      <c r="AO1121" s="49"/>
      <c r="AP1121" s="49"/>
      <c r="AQ1121" s="49"/>
      <c r="AR1121" s="49"/>
      <c r="AS1121" s="49"/>
      <c r="AT1121" s="49"/>
    </row>
    <row r="1122" ht="15.75" customHeight="1">
      <c r="A1122" s="37"/>
      <c r="B1122" s="37"/>
      <c r="C1122" s="39"/>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49"/>
      <c r="AE1122" s="49"/>
      <c r="AF1122" s="49"/>
      <c r="AG1122" s="49"/>
      <c r="AH1122" s="49"/>
      <c r="AI1122" s="49"/>
      <c r="AJ1122" s="49"/>
      <c r="AK1122" s="49"/>
      <c r="AL1122" s="49"/>
      <c r="AM1122" s="49"/>
      <c r="AN1122" s="49"/>
      <c r="AO1122" s="49"/>
      <c r="AP1122" s="49"/>
      <c r="AQ1122" s="49"/>
      <c r="AR1122" s="49"/>
      <c r="AS1122" s="49"/>
      <c r="AT1122" s="49"/>
    </row>
    <row r="1123" ht="15.75" customHeight="1">
      <c r="A1123" s="37"/>
      <c r="B1123" s="37"/>
      <c r="C1123" s="39"/>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49"/>
      <c r="AE1123" s="49"/>
      <c r="AF1123" s="49"/>
      <c r="AG1123" s="49"/>
      <c r="AH1123" s="49"/>
      <c r="AI1123" s="49"/>
      <c r="AJ1123" s="49"/>
      <c r="AK1123" s="49"/>
      <c r="AL1123" s="49"/>
      <c r="AM1123" s="49"/>
      <c r="AN1123" s="49"/>
      <c r="AO1123" s="49"/>
      <c r="AP1123" s="49"/>
      <c r="AQ1123" s="49"/>
      <c r="AR1123" s="49"/>
      <c r="AS1123" s="49"/>
      <c r="AT1123" s="49"/>
    </row>
    <row r="1124" ht="15.75" customHeight="1">
      <c r="A1124" s="37"/>
      <c r="B1124" s="37"/>
      <c r="C1124" s="39"/>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49"/>
      <c r="AE1124" s="49"/>
      <c r="AF1124" s="49"/>
      <c r="AG1124" s="49"/>
      <c r="AH1124" s="49"/>
      <c r="AI1124" s="49"/>
      <c r="AJ1124" s="49"/>
      <c r="AK1124" s="49"/>
      <c r="AL1124" s="49"/>
      <c r="AM1124" s="49"/>
      <c r="AN1124" s="49"/>
      <c r="AO1124" s="49"/>
      <c r="AP1124" s="49"/>
      <c r="AQ1124" s="49"/>
      <c r="AR1124" s="49"/>
      <c r="AS1124" s="49"/>
      <c r="AT1124" s="49"/>
    </row>
    <row r="1125" ht="15.75" customHeight="1">
      <c r="A1125" s="37"/>
      <c r="B1125" s="37"/>
      <c r="C1125" s="39"/>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49"/>
      <c r="AE1125" s="49"/>
      <c r="AF1125" s="49"/>
      <c r="AG1125" s="49"/>
      <c r="AH1125" s="49"/>
      <c r="AI1125" s="49"/>
      <c r="AJ1125" s="49"/>
      <c r="AK1125" s="49"/>
      <c r="AL1125" s="49"/>
      <c r="AM1125" s="49"/>
      <c r="AN1125" s="49"/>
      <c r="AO1125" s="49"/>
      <c r="AP1125" s="49"/>
      <c r="AQ1125" s="49"/>
      <c r="AR1125" s="49"/>
      <c r="AS1125" s="49"/>
      <c r="AT1125" s="49"/>
    </row>
    <row r="1126" ht="15.75" customHeight="1">
      <c r="A1126" s="37"/>
      <c r="B1126" s="37"/>
      <c r="C1126" s="39"/>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49"/>
      <c r="AE1126" s="49"/>
      <c r="AF1126" s="49"/>
      <c r="AG1126" s="49"/>
      <c r="AH1126" s="49"/>
      <c r="AI1126" s="49"/>
      <c r="AJ1126" s="49"/>
      <c r="AK1126" s="49"/>
      <c r="AL1126" s="49"/>
      <c r="AM1126" s="49"/>
      <c r="AN1126" s="49"/>
      <c r="AO1126" s="49"/>
      <c r="AP1126" s="49"/>
      <c r="AQ1126" s="49"/>
      <c r="AR1126" s="49"/>
      <c r="AS1126" s="49"/>
      <c r="AT1126" s="49"/>
    </row>
    <row r="1127" ht="15.75" customHeight="1">
      <c r="A1127" s="37"/>
      <c r="B1127" s="37"/>
      <c r="C1127" s="39"/>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49"/>
      <c r="AE1127" s="49"/>
      <c r="AF1127" s="49"/>
      <c r="AG1127" s="49"/>
      <c r="AH1127" s="49"/>
      <c r="AI1127" s="49"/>
      <c r="AJ1127" s="49"/>
      <c r="AK1127" s="49"/>
      <c r="AL1127" s="49"/>
      <c r="AM1127" s="49"/>
      <c r="AN1127" s="49"/>
      <c r="AO1127" s="49"/>
      <c r="AP1127" s="49"/>
      <c r="AQ1127" s="49"/>
      <c r="AR1127" s="49"/>
      <c r="AS1127" s="49"/>
      <c r="AT1127" s="49"/>
    </row>
    <row r="1128" ht="15.75" customHeight="1">
      <c r="A1128" s="37"/>
      <c r="B1128" s="37"/>
      <c r="C1128" s="39"/>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49"/>
      <c r="AE1128" s="49"/>
      <c r="AF1128" s="49"/>
      <c r="AG1128" s="49"/>
      <c r="AH1128" s="49"/>
      <c r="AI1128" s="49"/>
      <c r="AJ1128" s="49"/>
      <c r="AK1128" s="49"/>
      <c r="AL1128" s="49"/>
      <c r="AM1128" s="49"/>
      <c r="AN1128" s="49"/>
      <c r="AO1128" s="49"/>
      <c r="AP1128" s="49"/>
      <c r="AQ1128" s="49"/>
      <c r="AR1128" s="49"/>
      <c r="AS1128" s="49"/>
      <c r="AT1128" s="49"/>
    </row>
    <row r="1129" ht="15.75" customHeight="1">
      <c r="A1129" s="37"/>
      <c r="B1129" s="37"/>
      <c r="C1129" s="39"/>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49"/>
      <c r="AE1129" s="49"/>
      <c r="AF1129" s="49"/>
      <c r="AG1129" s="49"/>
      <c r="AH1129" s="49"/>
      <c r="AI1129" s="49"/>
      <c r="AJ1129" s="49"/>
      <c r="AK1129" s="49"/>
      <c r="AL1129" s="49"/>
      <c r="AM1129" s="49"/>
      <c r="AN1129" s="49"/>
      <c r="AO1129" s="49"/>
      <c r="AP1129" s="49"/>
      <c r="AQ1129" s="49"/>
      <c r="AR1129" s="49"/>
      <c r="AS1129" s="49"/>
      <c r="AT1129" s="49"/>
    </row>
    <row r="1130" ht="15.75" customHeight="1">
      <c r="A1130" s="37"/>
      <c r="B1130" s="37"/>
      <c r="C1130" s="39"/>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49"/>
      <c r="AE1130" s="49"/>
      <c r="AF1130" s="49"/>
      <c r="AG1130" s="49"/>
      <c r="AH1130" s="49"/>
      <c r="AI1130" s="49"/>
      <c r="AJ1130" s="49"/>
      <c r="AK1130" s="49"/>
      <c r="AL1130" s="49"/>
      <c r="AM1130" s="49"/>
      <c r="AN1130" s="49"/>
      <c r="AO1130" s="49"/>
      <c r="AP1130" s="49"/>
      <c r="AQ1130" s="49"/>
      <c r="AR1130" s="49"/>
      <c r="AS1130" s="49"/>
      <c r="AT1130" s="49"/>
    </row>
    <row r="1131" ht="15.75" customHeight="1">
      <c r="A1131" s="37"/>
      <c r="B1131" s="37"/>
      <c r="C1131" s="39"/>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49"/>
      <c r="AE1131" s="49"/>
      <c r="AF1131" s="49"/>
      <c r="AG1131" s="49"/>
      <c r="AH1131" s="49"/>
      <c r="AI1131" s="49"/>
      <c r="AJ1131" s="49"/>
      <c r="AK1131" s="49"/>
      <c r="AL1131" s="49"/>
      <c r="AM1131" s="49"/>
      <c r="AN1131" s="49"/>
      <c r="AO1131" s="49"/>
      <c r="AP1131" s="49"/>
      <c r="AQ1131" s="49"/>
      <c r="AR1131" s="49"/>
      <c r="AS1131" s="49"/>
      <c r="AT1131" s="49"/>
    </row>
    <row r="1132" ht="15.75" customHeight="1">
      <c r="A1132" s="37"/>
      <c r="B1132" s="37"/>
      <c r="C1132" s="39"/>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49"/>
      <c r="AE1132" s="49"/>
      <c r="AF1132" s="49"/>
      <c r="AG1132" s="49"/>
      <c r="AH1132" s="49"/>
      <c r="AI1132" s="49"/>
      <c r="AJ1132" s="49"/>
      <c r="AK1132" s="49"/>
      <c r="AL1132" s="49"/>
      <c r="AM1132" s="49"/>
      <c r="AN1132" s="49"/>
      <c r="AO1132" s="49"/>
      <c r="AP1132" s="49"/>
      <c r="AQ1132" s="49"/>
      <c r="AR1132" s="49"/>
      <c r="AS1132" s="49"/>
      <c r="AT1132" s="49"/>
    </row>
    <row r="1133" ht="15.75" customHeight="1">
      <c r="A1133" s="37"/>
      <c r="B1133" s="37"/>
      <c r="C1133" s="39"/>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49"/>
      <c r="AE1133" s="49"/>
      <c r="AF1133" s="49"/>
      <c r="AG1133" s="49"/>
      <c r="AH1133" s="49"/>
      <c r="AI1133" s="49"/>
      <c r="AJ1133" s="49"/>
      <c r="AK1133" s="49"/>
      <c r="AL1133" s="49"/>
      <c r="AM1133" s="49"/>
      <c r="AN1133" s="49"/>
      <c r="AO1133" s="49"/>
      <c r="AP1133" s="49"/>
      <c r="AQ1133" s="49"/>
      <c r="AR1133" s="49"/>
      <c r="AS1133" s="49"/>
      <c r="AT1133" s="49"/>
    </row>
    <row r="1134" ht="15.75" customHeight="1">
      <c r="A1134" s="37"/>
      <c r="B1134" s="37"/>
      <c r="C1134" s="39"/>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49"/>
      <c r="AE1134" s="49"/>
      <c r="AF1134" s="49"/>
      <c r="AG1134" s="49"/>
      <c r="AH1134" s="49"/>
      <c r="AI1134" s="49"/>
      <c r="AJ1134" s="49"/>
      <c r="AK1134" s="49"/>
      <c r="AL1134" s="49"/>
      <c r="AM1134" s="49"/>
      <c r="AN1134" s="49"/>
      <c r="AO1134" s="49"/>
      <c r="AP1134" s="49"/>
      <c r="AQ1134" s="49"/>
      <c r="AR1134" s="49"/>
      <c r="AS1134" s="49"/>
      <c r="AT1134" s="49"/>
    </row>
    <row r="1135" ht="15.75" customHeight="1">
      <c r="A1135" s="37"/>
      <c r="B1135" s="37"/>
      <c r="C1135" s="39"/>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49"/>
      <c r="AE1135" s="49"/>
      <c r="AF1135" s="49"/>
      <c r="AG1135" s="49"/>
      <c r="AH1135" s="49"/>
      <c r="AI1135" s="49"/>
      <c r="AJ1135" s="49"/>
      <c r="AK1135" s="49"/>
      <c r="AL1135" s="49"/>
      <c r="AM1135" s="49"/>
      <c r="AN1135" s="49"/>
      <c r="AO1135" s="49"/>
      <c r="AP1135" s="49"/>
      <c r="AQ1135" s="49"/>
      <c r="AR1135" s="49"/>
      <c r="AS1135" s="49"/>
      <c r="AT1135" s="49"/>
    </row>
    <row r="1136" ht="15.75" customHeight="1">
      <c r="A1136" s="37"/>
      <c r="B1136" s="37"/>
      <c r="C1136" s="39"/>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49"/>
      <c r="AE1136" s="49"/>
      <c r="AF1136" s="49"/>
      <c r="AG1136" s="49"/>
      <c r="AH1136" s="49"/>
      <c r="AI1136" s="49"/>
      <c r="AJ1136" s="49"/>
      <c r="AK1136" s="49"/>
      <c r="AL1136" s="49"/>
      <c r="AM1136" s="49"/>
      <c r="AN1136" s="49"/>
      <c r="AO1136" s="49"/>
      <c r="AP1136" s="49"/>
      <c r="AQ1136" s="49"/>
      <c r="AR1136" s="49"/>
      <c r="AS1136" s="49"/>
      <c r="AT1136" s="49"/>
    </row>
    <row r="1137" ht="15.75" customHeight="1">
      <c r="A1137" s="37"/>
      <c r="B1137" s="37"/>
      <c r="C1137" s="39"/>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49"/>
      <c r="AE1137" s="49"/>
      <c r="AF1137" s="49"/>
      <c r="AG1137" s="49"/>
      <c r="AH1137" s="49"/>
      <c r="AI1137" s="49"/>
      <c r="AJ1137" s="49"/>
      <c r="AK1137" s="49"/>
      <c r="AL1137" s="49"/>
      <c r="AM1137" s="49"/>
      <c r="AN1137" s="49"/>
      <c r="AO1137" s="49"/>
      <c r="AP1137" s="49"/>
      <c r="AQ1137" s="49"/>
      <c r="AR1137" s="49"/>
      <c r="AS1137" s="49"/>
      <c r="AT1137" s="49"/>
    </row>
    <row r="1138" ht="15.75" customHeight="1">
      <c r="A1138" s="37"/>
      <c r="B1138" s="37"/>
      <c r="C1138" s="39"/>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49"/>
      <c r="AE1138" s="49"/>
      <c r="AF1138" s="49"/>
      <c r="AG1138" s="49"/>
      <c r="AH1138" s="49"/>
      <c r="AI1138" s="49"/>
      <c r="AJ1138" s="49"/>
      <c r="AK1138" s="49"/>
      <c r="AL1138" s="49"/>
      <c r="AM1138" s="49"/>
      <c r="AN1138" s="49"/>
      <c r="AO1138" s="49"/>
      <c r="AP1138" s="49"/>
      <c r="AQ1138" s="49"/>
      <c r="AR1138" s="49"/>
      <c r="AS1138" s="49"/>
      <c r="AT1138" s="49"/>
    </row>
    <row r="1139" ht="15.75" customHeight="1">
      <c r="A1139" s="37"/>
      <c r="B1139" s="37"/>
      <c r="C1139" s="39"/>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49"/>
      <c r="AE1139" s="49"/>
      <c r="AF1139" s="49"/>
      <c r="AG1139" s="49"/>
      <c r="AH1139" s="49"/>
      <c r="AI1139" s="49"/>
      <c r="AJ1139" s="49"/>
      <c r="AK1139" s="49"/>
      <c r="AL1139" s="49"/>
      <c r="AM1139" s="49"/>
      <c r="AN1139" s="49"/>
      <c r="AO1139" s="49"/>
      <c r="AP1139" s="49"/>
      <c r="AQ1139" s="49"/>
      <c r="AR1139" s="49"/>
      <c r="AS1139" s="49"/>
      <c r="AT1139" s="49"/>
    </row>
    <row r="1140" ht="15.75" customHeight="1">
      <c r="A1140" s="37"/>
      <c r="B1140" s="37"/>
      <c r="C1140" s="39"/>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49"/>
      <c r="AE1140" s="49"/>
      <c r="AF1140" s="49"/>
      <c r="AG1140" s="49"/>
      <c r="AH1140" s="49"/>
      <c r="AI1140" s="49"/>
      <c r="AJ1140" s="49"/>
      <c r="AK1140" s="49"/>
      <c r="AL1140" s="49"/>
      <c r="AM1140" s="49"/>
      <c r="AN1140" s="49"/>
      <c r="AO1140" s="49"/>
      <c r="AP1140" s="49"/>
      <c r="AQ1140" s="49"/>
      <c r="AR1140" s="49"/>
      <c r="AS1140" s="49"/>
      <c r="AT1140" s="49"/>
    </row>
    <row r="1141" ht="15.75" customHeight="1">
      <c r="A1141" s="37"/>
      <c r="B1141" s="37"/>
      <c r="C1141" s="39"/>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49"/>
      <c r="AE1141" s="49"/>
      <c r="AF1141" s="49"/>
      <c r="AG1141" s="49"/>
      <c r="AH1141" s="49"/>
      <c r="AI1141" s="49"/>
      <c r="AJ1141" s="49"/>
      <c r="AK1141" s="49"/>
      <c r="AL1141" s="49"/>
      <c r="AM1141" s="49"/>
      <c r="AN1141" s="49"/>
      <c r="AO1141" s="49"/>
      <c r="AP1141" s="49"/>
      <c r="AQ1141" s="49"/>
      <c r="AR1141" s="49"/>
      <c r="AS1141" s="49"/>
      <c r="AT1141" s="49"/>
    </row>
    <row r="1142" ht="15.75" customHeight="1">
      <c r="A1142" s="37"/>
      <c r="B1142" s="37"/>
      <c r="C1142" s="39"/>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49"/>
      <c r="AE1142" s="49"/>
      <c r="AF1142" s="49"/>
      <c r="AG1142" s="49"/>
      <c r="AH1142" s="49"/>
      <c r="AI1142" s="49"/>
      <c r="AJ1142" s="49"/>
      <c r="AK1142" s="49"/>
      <c r="AL1142" s="49"/>
      <c r="AM1142" s="49"/>
      <c r="AN1142" s="49"/>
      <c r="AO1142" s="49"/>
      <c r="AP1142" s="49"/>
      <c r="AQ1142" s="49"/>
      <c r="AR1142" s="49"/>
      <c r="AS1142" s="49"/>
      <c r="AT1142" s="49"/>
    </row>
    <row r="1143" ht="15.75" customHeight="1">
      <c r="A1143" s="37"/>
      <c r="B1143" s="37"/>
      <c r="C1143" s="39"/>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49"/>
      <c r="AE1143" s="49"/>
      <c r="AF1143" s="49"/>
      <c r="AG1143" s="49"/>
      <c r="AH1143" s="49"/>
      <c r="AI1143" s="49"/>
      <c r="AJ1143" s="49"/>
      <c r="AK1143" s="49"/>
      <c r="AL1143" s="49"/>
      <c r="AM1143" s="49"/>
      <c r="AN1143" s="49"/>
      <c r="AO1143" s="49"/>
      <c r="AP1143" s="49"/>
      <c r="AQ1143" s="49"/>
      <c r="AR1143" s="49"/>
      <c r="AS1143" s="49"/>
      <c r="AT1143" s="49"/>
    </row>
    <row r="1144" ht="15.75" customHeight="1">
      <c r="A1144" s="37"/>
      <c r="B1144" s="37"/>
      <c r="C1144" s="39"/>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49"/>
      <c r="AE1144" s="49"/>
      <c r="AF1144" s="49"/>
      <c r="AG1144" s="49"/>
      <c r="AH1144" s="49"/>
      <c r="AI1144" s="49"/>
      <c r="AJ1144" s="49"/>
      <c r="AK1144" s="49"/>
      <c r="AL1144" s="49"/>
      <c r="AM1144" s="49"/>
      <c r="AN1144" s="49"/>
      <c r="AO1144" s="49"/>
      <c r="AP1144" s="49"/>
      <c r="AQ1144" s="49"/>
      <c r="AR1144" s="49"/>
      <c r="AS1144" s="49"/>
      <c r="AT1144" s="49"/>
    </row>
    <row r="1145" ht="15.75" customHeight="1">
      <c r="A1145" s="37"/>
      <c r="B1145" s="37"/>
      <c r="C1145" s="39"/>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49"/>
      <c r="AE1145" s="49"/>
      <c r="AF1145" s="49"/>
      <c r="AG1145" s="49"/>
      <c r="AH1145" s="49"/>
      <c r="AI1145" s="49"/>
      <c r="AJ1145" s="49"/>
      <c r="AK1145" s="49"/>
      <c r="AL1145" s="49"/>
      <c r="AM1145" s="49"/>
      <c r="AN1145" s="49"/>
      <c r="AO1145" s="49"/>
      <c r="AP1145" s="49"/>
      <c r="AQ1145" s="49"/>
      <c r="AR1145" s="49"/>
      <c r="AS1145" s="49"/>
      <c r="AT1145" s="49"/>
    </row>
    <row r="1146" ht="15.75" customHeight="1">
      <c r="A1146" s="37"/>
      <c r="B1146" s="37"/>
      <c r="C1146" s="39"/>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49"/>
      <c r="AE1146" s="49"/>
      <c r="AF1146" s="49"/>
      <c r="AG1146" s="49"/>
      <c r="AH1146" s="49"/>
      <c r="AI1146" s="49"/>
      <c r="AJ1146" s="49"/>
      <c r="AK1146" s="49"/>
      <c r="AL1146" s="49"/>
      <c r="AM1146" s="49"/>
      <c r="AN1146" s="49"/>
      <c r="AO1146" s="49"/>
      <c r="AP1146" s="49"/>
      <c r="AQ1146" s="49"/>
      <c r="AR1146" s="49"/>
      <c r="AS1146" s="49"/>
      <c r="AT1146" s="49"/>
    </row>
    <row r="1147" ht="15.75" customHeight="1">
      <c r="A1147" s="37"/>
      <c r="B1147" s="37"/>
      <c r="C1147" s="39"/>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49"/>
      <c r="AE1147" s="49"/>
      <c r="AF1147" s="49"/>
      <c r="AG1147" s="49"/>
      <c r="AH1147" s="49"/>
      <c r="AI1147" s="49"/>
      <c r="AJ1147" s="49"/>
      <c r="AK1147" s="49"/>
      <c r="AL1147" s="49"/>
      <c r="AM1147" s="49"/>
      <c r="AN1147" s="49"/>
      <c r="AO1147" s="49"/>
      <c r="AP1147" s="49"/>
      <c r="AQ1147" s="49"/>
      <c r="AR1147" s="49"/>
      <c r="AS1147" s="49"/>
      <c r="AT1147" s="49"/>
    </row>
    <row r="1148" ht="15.75" customHeight="1">
      <c r="A1148" s="37"/>
      <c r="B1148" s="37"/>
      <c r="C1148" s="39"/>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49"/>
      <c r="AE1148" s="49"/>
      <c r="AF1148" s="49"/>
      <c r="AG1148" s="49"/>
      <c r="AH1148" s="49"/>
      <c r="AI1148" s="49"/>
      <c r="AJ1148" s="49"/>
      <c r="AK1148" s="49"/>
      <c r="AL1148" s="49"/>
      <c r="AM1148" s="49"/>
      <c r="AN1148" s="49"/>
      <c r="AO1148" s="49"/>
      <c r="AP1148" s="49"/>
      <c r="AQ1148" s="49"/>
      <c r="AR1148" s="49"/>
      <c r="AS1148" s="49"/>
      <c r="AT1148" s="49"/>
    </row>
    <row r="1149" ht="15.75" customHeight="1">
      <c r="A1149" s="37"/>
      <c r="B1149" s="37"/>
      <c r="C1149" s="39"/>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49"/>
      <c r="AE1149" s="49"/>
      <c r="AF1149" s="49"/>
      <c r="AG1149" s="49"/>
      <c r="AH1149" s="49"/>
      <c r="AI1149" s="49"/>
      <c r="AJ1149" s="49"/>
      <c r="AK1149" s="49"/>
      <c r="AL1149" s="49"/>
      <c r="AM1149" s="49"/>
      <c r="AN1149" s="49"/>
      <c r="AO1149" s="49"/>
      <c r="AP1149" s="49"/>
      <c r="AQ1149" s="49"/>
      <c r="AR1149" s="49"/>
      <c r="AS1149" s="49"/>
      <c r="AT1149" s="49"/>
    </row>
    <row r="1150" ht="15.75" customHeight="1">
      <c r="A1150" s="37"/>
      <c r="B1150" s="37"/>
      <c r="C1150" s="39"/>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49"/>
      <c r="AE1150" s="49"/>
      <c r="AF1150" s="49"/>
      <c r="AG1150" s="49"/>
      <c r="AH1150" s="49"/>
      <c r="AI1150" s="49"/>
      <c r="AJ1150" s="49"/>
      <c r="AK1150" s="49"/>
      <c r="AL1150" s="49"/>
      <c r="AM1150" s="49"/>
      <c r="AN1150" s="49"/>
      <c r="AO1150" s="49"/>
      <c r="AP1150" s="49"/>
      <c r="AQ1150" s="49"/>
      <c r="AR1150" s="49"/>
      <c r="AS1150" s="49"/>
      <c r="AT1150" s="49"/>
    </row>
    <row r="1151" ht="15.75" customHeight="1">
      <c r="A1151" s="37"/>
      <c r="B1151" s="37"/>
      <c r="C1151" s="39"/>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49"/>
      <c r="AE1151" s="49"/>
      <c r="AF1151" s="49"/>
      <c r="AG1151" s="49"/>
      <c r="AH1151" s="49"/>
      <c r="AI1151" s="49"/>
      <c r="AJ1151" s="49"/>
      <c r="AK1151" s="49"/>
      <c r="AL1151" s="49"/>
      <c r="AM1151" s="49"/>
      <c r="AN1151" s="49"/>
      <c r="AO1151" s="49"/>
      <c r="AP1151" s="49"/>
      <c r="AQ1151" s="49"/>
      <c r="AR1151" s="49"/>
      <c r="AS1151" s="49"/>
      <c r="AT1151" s="49"/>
    </row>
    <row r="1152" ht="15.75" customHeight="1">
      <c r="A1152" s="37"/>
      <c r="B1152" s="37"/>
      <c r="C1152" s="39"/>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49"/>
      <c r="AE1152" s="49"/>
      <c r="AF1152" s="49"/>
      <c r="AG1152" s="49"/>
      <c r="AH1152" s="49"/>
      <c r="AI1152" s="49"/>
      <c r="AJ1152" s="49"/>
      <c r="AK1152" s="49"/>
      <c r="AL1152" s="49"/>
      <c r="AM1152" s="49"/>
      <c r="AN1152" s="49"/>
      <c r="AO1152" s="49"/>
      <c r="AP1152" s="49"/>
      <c r="AQ1152" s="49"/>
      <c r="AR1152" s="49"/>
      <c r="AS1152" s="49"/>
      <c r="AT1152" s="49"/>
    </row>
    <row r="1153" ht="15.75" customHeight="1">
      <c r="A1153" s="37"/>
      <c r="B1153" s="37"/>
      <c r="C1153" s="39"/>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49"/>
      <c r="AE1153" s="49"/>
      <c r="AF1153" s="49"/>
      <c r="AG1153" s="49"/>
      <c r="AH1153" s="49"/>
      <c r="AI1153" s="49"/>
      <c r="AJ1153" s="49"/>
      <c r="AK1153" s="49"/>
      <c r="AL1153" s="49"/>
      <c r="AM1153" s="49"/>
      <c r="AN1153" s="49"/>
      <c r="AO1153" s="49"/>
      <c r="AP1153" s="49"/>
      <c r="AQ1153" s="49"/>
      <c r="AR1153" s="49"/>
      <c r="AS1153" s="49"/>
      <c r="AT1153" s="49"/>
    </row>
    <row r="1154" ht="15.75" customHeight="1">
      <c r="A1154" s="37"/>
      <c r="B1154" s="37"/>
      <c r="C1154" s="39"/>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49"/>
      <c r="AE1154" s="49"/>
      <c r="AF1154" s="49"/>
      <c r="AG1154" s="49"/>
      <c r="AH1154" s="49"/>
      <c r="AI1154" s="49"/>
      <c r="AJ1154" s="49"/>
      <c r="AK1154" s="49"/>
      <c r="AL1154" s="49"/>
      <c r="AM1154" s="49"/>
      <c r="AN1154" s="49"/>
      <c r="AO1154" s="49"/>
      <c r="AP1154" s="49"/>
      <c r="AQ1154" s="49"/>
      <c r="AR1154" s="49"/>
      <c r="AS1154" s="49"/>
      <c r="AT1154" s="49"/>
    </row>
    <row r="1155" ht="15.75" customHeight="1">
      <c r="A1155" s="37"/>
      <c r="B1155" s="37"/>
      <c r="C1155" s="39"/>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49"/>
      <c r="AE1155" s="49"/>
      <c r="AF1155" s="49"/>
      <c r="AG1155" s="49"/>
      <c r="AH1155" s="49"/>
      <c r="AI1155" s="49"/>
      <c r="AJ1155" s="49"/>
      <c r="AK1155" s="49"/>
      <c r="AL1155" s="49"/>
      <c r="AM1155" s="49"/>
      <c r="AN1155" s="49"/>
      <c r="AO1155" s="49"/>
      <c r="AP1155" s="49"/>
      <c r="AQ1155" s="49"/>
      <c r="AR1155" s="49"/>
      <c r="AS1155" s="49"/>
      <c r="AT1155" s="49"/>
    </row>
    <row r="1156" ht="15.75" customHeight="1">
      <c r="A1156" s="37"/>
      <c r="B1156" s="37"/>
      <c r="C1156" s="39"/>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49"/>
      <c r="AE1156" s="49"/>
      <c r="AF1156" s="49"/>
      <c r="AG1156" s="49"/>
      <c r="AH1156" s="49"/>
      <c r="AI1156" s="49"/>
      <c r="AJ1156" s="49"/>
      <c r="AK1156" s="49"/>
      <c r="AL1156" s="49"/>
      <c r="AM1156" s="49"/>
      <c r="AN1156" s="49"/>
      <c r="AO1156" s="49"/>
      <c r="AP1156" s="49"/>
      <c r="AQ1156" s="49"/>
      <c r="AR1156" s="49"/>
      <c r="AS1156" s="49"/>
      <c r="AT1156" s="49"/>
    </row>
    <row r="1157" ht="15.75" customHeight="1">
      <c r="A1157" s="37"/>
      <c r="B1157" s="37"/>
      <c r="C1157" s="39"/>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49"/>
      <c r="AE1157" s="49"/>
      <c r="AF1157" s="49"/>
      <c r="AG1157" s="49"/>
      <c r="AH1157" s="49"/>
      <c r="AI1157" s="49"/>
      <c r="AJ1157" s="49"/>
      <c r="AK1157" s="49"/>
      <c r="AL1157" s="49"/>
      <c r="AM1157" s="49"/>
      <c r="AN1157" s="49"/>
      <c r="AO1157" s="49"/>
      <c r="AP1157" s="49"/>
      <c r="AQ1157" s="49"/>
      <c r="AR1157" s="49"/>
      <c r="AS1157" s="49"/>
      <c r="AT1157" s="49"/>
    </row>
    <row r="1158" ht="15.75" customHeight="1">
      <c r="A1158" s="37"/>
      <c r="B1158" s="37"/>
      <c r="C1158" s="39"/>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49"/>
      <c r="AE1158" s="49"/>
      <c r="AF1158" s="49"/>
      <c r="AG1158" s="49"/>
      <c r="AH1158" s="49"/>
      <c r="AI1158" s="49"/>
      <c r="AJ1158" s="49"/>
      <c r="AK1158" s="49"/>
      <c r="AL1158" s="49"/>
      <c r="AM1158" s="49"/>
      <c r="AN1158" s="49"/>
      <c r="AO1158" s="49"/>
      <c r="AP1158" s="49"/>
      <c r="AQ1158" s="49"/>
      <c r="AR1158" s="49"/>
      <c r="AS1158" s="49"/>
      <c r="AT1158" s="49"/>
    </row>
    <row r="1159" ht="15.75" customHeight="1">
      <c r="A1159" s="37"/>
      <c r="B1159" s="37"/>
      <c r="C1159" s="39"/>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49"/>
      <c r="AE1159" s="49"/>
      <c r="AF1159" s="49"/>
      <c r="AG1159" s="49"/>
      <c r="AH1159" s="49"/>
      <c r="AI1159" s="49"/>
      <c r="AJ1159" s="49"/>
      <c r="AK1159" s="49"/>
      <c r="AL1159" s="49"/>
      <c r="AM1159" s="49"/>
      <c r="AN1159" s="49"/>
      <c r="AO1159" s="49"/>
      <c r="AP1159" s="49"/>
      <c r="AQ1159" s="49"/>
      <c r="AR1159" s="49"/>
      <c r="AS1159" s="49"/>
      <c r="AT1159" s="49"/>
    </row>
    <row r="1160" ht="15.75" customHeight="1">
      <c r="A1160" s="37"/>
      <c r="B1160" s="37"/>
      <c r="C1160" s="39"/>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49"/>
      <c r="AE1160" s="49"/>
      <c r="AF1160" s="49"/>
      <c r="AG1160" s="49"/>
      <c r="AH1160" s="49"/>
      <c r="AI1160" s="49"/>
      <c r="AJ1160" s="49"/>
      <c r="AK1160" s="49"/>
      <c r="AL1160" s="49"/>
      <c r="AM1160" s="49"/>
      <c r="AN1160" s="49"/>
      <c r="AO1160" s="49"/>
      <c r="AP1160" s="49"/>
      <c r="AQ1160" s="49"/>
      <c r="AR1160" s="49"/>
      <c r="AS1160" s="49"/>
      <c r="AT1160" s="49"/>
    </row>
    <row r="1161" ht="15.75" customHeight="1">
      <c r="A1161" s="37"/>
      <c r="B1161" s="37"/>
      <c r="C1161" s="39"/>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49"/>
      <c r="AE1161" s="49"/>
      <c r="AF1161" s="49"/>
      <c r="AG1161" s="49"/>
      <c r="AH1161" s="49"/>
      <c r="AI1161" s="49"/>
      <c r="AJ1161" s="49"/>
      <c r="AK1161" s="49"/>
      <c r="AL1161" s="49"/>
      <c r="AM1161" s="49"/>
      <c r="AN1161" s="49"/>
      <c r="AO1161" s="49"/>
      <c r="AP1161" s="49"/>
      <c r="AQ1161" s="49"/>
      <c r="AR1161" s="49"/>
      <c r="AS1161" s="49"/>
      <c r="AT1161" s="49"/>
    </row>
    <row r="1162" ht="15.75" customHeight="1">
      <c r="A1162" s="37"/>
      <c r="B1162" s="37"/>
      <c r="C1162" s="39"/>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49"/>
      <c r="AE1162" s="49"/>
      <c r="AF1162" s="49"/>
      <c r="AG1162" s="49"/>
      <c r="AH1162" s="49"/>
      <c r="AI1162" s="49"/>
      <c r="AJ1162" s="49"/>
      <c r="AK1162" s="49"/>
      <c r="AL1162" s="49"/>
      <c r="AM1162" s="49"/>
      <c r="AN1162" s="49"/>
      <c r="AO1162" s="49"/>
      <c r="AP1162" s="49"/>
      <c r="AQ1162" s="49"/>
      <c r="AR1162" s="49"/>
      <c r="AS1162" s="49"/>
      <c r="AT1162" s="49"/>
    </row>
    <row r="1163" ht="15.75" customHeight="1">
      <c r="A1163" s="37"/>
      <c r="B1163" s="37"/>
      <c r="C1163" s="39"/>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49"/>
      <c r="AE1163" s="49"/>
      <c r="AF1163" s="49"/>
      <c r="AG1163" s="49"/>
      <c r="AH1163" s="49"/>
      <c r="AI1163" s="49"/>
      <c r="AJ1163" s="49"/>
      <c r="AK1163" s="49"/>
      <c r="AL1163" s="49"/>
      <c r="AM1163" s="49"/>
      <c r="AN1163" s="49"/>
      <c r="AO1163" s="49"/>
      <c r="AP1163" s="49"/>
      <c r="AQ1163" s="49"/>
      <c r="AR1163" s="49"/>
      <c r="AS1163" s="49"/>
      <c r="AT1163" s="49"/>
    </row>
    <row r="1164" ht="15.75" customHeight="1">
      <c r="A1164" s="37"/>
      <c r="B1164" s="37"/>
      <c r="C1164" s="39"/>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49"/>
      <c r="AE1164" s="49"/>
      <c r="AF1164" s="49"/>
      <c r="AG1164" s="49"/>
      <c r="AH1164" s="49"/>
      <c r="AI1164" s="49"/>
      <c r="AJ1164" s="49"/>
      <c r="AK1164" s="49"/>
      <c r="AL1164" s="49"/>
      <c r="AM1164" s="49"/>
      <c r="AN1164" s="49"/>
      <c r="AO1164" s="49"/>
      <c r="AP1164" s="49"/>
      <c r="AQ1164" s="49"/>
      <c r="AR1164" s="49"/>
      <c r="AS1164" s="49"/>
      <c r="AT1164" s="49"/>
    </row>
    <row r="1165" ht="15.75" customHeight="1">
      <c r="A1165" s="37"/>
      <c r="B1165" s="37"/>
      <c r="C1165" s="39"/>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49"/>
      <c r="AE1165" s="49"/>
      <c r="AF1165" s="49"/>
      <c r="AG1165" s="49"/>
      <c r="AH1165" s="49"/>
      <c r="AI1165" s="49"/>
      <c r="AJ1165" s="49"/>
      <c r="AK1165" s="49"/>
      <c r="AL1165" s="49"/>
      <c r="AM1165" s="49"/>
      <c r="AN1165" s="49"/>
      <c r="AO1165" s="49"/>
      <c r="AP1165" s="49"/>
      <c r="AQ1165" s="49"/>
      <c r="AR1165" s="49"/>
      <c r="AS1165" s="49"/>
      <c r="AT1165" s="49"/>
    </row>
    <row r="1166" ht="15.75" customHeight="1">
      <c r="A1166" s="37"/>
      <c r="B1166" s="37"/>
      <c r="C1166" s="39"/>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49"/>
      <c r="AE1166" s="49"/>
      <c r="AF1166" s="49"/>
      <c r="AG1166" s="49"/>
      <c r="AH1166" s="49"/>
      <c r="AI1166" s="49"/>
      <c r="AJ1166" s="49"/>
      <c r="AK1166" s="49"/>
      <c r="AL1166" s="49"/>
      <c r="AM1166" s="49"/>
      <c r="AN1166" s="49"/>
      <c r="AO1166" s="49"/>
      <c r="AP1166" s="49"/>
      <c r="AQ1166" s="49"/>
      <c r="AR1166" s="49"/>
      <c r="AS1166" s="49"/>
      <c r="AT1166" s="49"/>
    </row>
    <row r="1167" ht="15.75" customHeight="1">
      <c r="A1167" s="37"/>
      <c r="B1167" s="37"/>
      <c r="C1167" s="39"/>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49"/>
      <c r="AE1167" s="49"/>
      <c r="AF1167" s="49"/>
      <c r="AG1167" s="49"/>
      <c r="AH1167" s="49"/>
      <c r="AI1167" s="49"/>
      <c r="AJ1167" s="49"/>
      <c r="AK1167" s="49"/>
      <c r="AL1167" s="49"/>
      <c r="AM1167" s="49"/>
      <c r="AN1167" s="49"/>
      <c r="AO1167" s="49"/>
      <c r="AP1167" s="49"/>
      <c r="AQ1167" s="49"/>
      <c r="AR1167" s="49"/>
      <c r="AS1167" s="49"/>
      <c r="AT1167" s="49"/>
    </row>
    <row r="1168" ht="15.75" customHeight="1">
      <c r="A1168" s="37"/>
      <c r="B1168" s="37"/>
      <c r="C1168" s="39"/>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49"/>
      <c r="AE1168" s="49"/>
      <c r="AF1168" s="49"/>
      <c r="AG1168" s="49"/>
      <c r="AH1168" s="49"/>
      <c r="AI1168" s="49"/>
      <c r="AJ1168" s="49"/>
      <c r="AK1168" s="49"/>
      <c r="AL1168" s="49"/>
      <c r="AM1168" s="49"/>
      <c r="AN1168" s="49"/>
      <c r="AO1168" s="49"/>
      <c r="AP1168" s="49"/>
      <c r="AQ1168" s="49"/>
      <c r="AR1168" s="49"/>
      <c r="AS1168" s="49"/>
      <c r="AT1168" s="49"/>
    </row>
    <row r="1169" ht="15.75" customHeight="1">
      <c r="A1169" s="37"/>
      <c r="B1169" s="37"/>
      <c r="C1169" s="39"/>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49"/>
      <c r="AE1169" s="49"/>
      <c r="AF1169" s="49"/>
      <c r="AG1169" s="49"/>
      <c r="AH1169" s="49"/>
      <c r="AI1169" s="49"/>
      <c r="AJ1169" s="49"/>
      <c r="AK1169" s="49"/>
      <c r="AL1169" s="49"/>
      <c r="AM1169" s="49"/>
      <c r="AN1169" s="49"/>
      <c r="AO1169" s="49"/>
      <c r="AP1169" s="49"/>
      <c r="AQ1169" s="49"/>
      <c r="AR1169" s="49"/>
      <c r="AS1169" s="49"/>
      <c r="AT1169" s="49"/>
    </row>
    <row r="1170" ht="15.75" customHeight="1">
      <c r="A1170" s="37"/>
      <c r="B1170" s="37"/>
      <c r="C1170" s="39"/>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49"/>
      <c r="AE1170" s="49"/>
      <c r="AF1170" s="49"/>
      <c r="AG1170" s="49"/>
      <c r="AH1170" s="49"/>
      <c r="AI1170" s="49"/>
      <c r="AJ1170" s="49"/>
      <c r="AK1170" s="49"/>
      <c r="AL1170" s="49"/>
      <c r="AM1170" s="49"/>
      <c r="AN1170" s="49"/>
      <c r="AO1170" s="49"/>
      <c r="AP1170" s="49"/>
      <c r="AQ1170" s="49"/>
      <c r="AR1170" s="49"/>
      <c r="AS1170" s="49"/>
      <c r="AT1170" s="49"/>
    </row>
    <row r="1171" ht="15.75" customHeight="1">
      <c r="A1171" s="37"/>
      <c r="B1171" s="37"/>
      <c r="C1171" s="39"/>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49"/>
      <c r="AE1171" s="49"/>
      <c r="AF1171" s="49"/>
      <c r="AG1171" s="49"/>
      <c r="AH1171" s="49"/>
      <c r="AI1171" s="49"/>
      <c r="AJ1171" s="49"/>
      <c r="AK1171" s="49"/>
      <c r="AL1171" s="49"/>
      <c r="AM1171" s="49"/>
      <c r="AN1171" s="49"/>
      <c r="AO1171" s="49"/>
      <c r="AP1171" s="49"/>
      <c r="AQ1171" s="49"/>
      <c r="AR1171" s="49"/>
      <c r="AS1171" s="49"/>
      <c r="AT1171" s="49"/>
    </row>
    <row r="1172" ht="15.75" customHeight="1">
      <c r="A1172" s="37"/>
      <c r="B1172" s="37"/>
      <c r="C1172" s="39"/>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49"/>
      <c r="AE1172" s="49"/>
      <c r="AF1172" s="49"/>
      <c r="AG1172" s="49"/>
      <c r="AH1172" s="49"/>
      <c r="AI1172" s="49"/>
      <c r="AJ1172" s="49"/>
      <c r="AK1172" s="49"/>
      <c r="AL1172" s="49"/>
      <c r="AM1172" s="49"/>
      <c r="AN1172" s="49"/>
      <c r="AO1172" s="49"/>
      <c r="AP1172" s="49"/>
      <c r="AQ1172" s="49"/>
      <c r="AR1172" s="49"/>
      <c r="AS1172" s="49"/>
      <c r="AT1172" s="49"/>
    </row>
    <row r="1173" ht="15.75" customHeight="1">
      <c r="A1173" s="37"/>
      <c r="B1173" s="37"/>
      <c r="C1173" s="39"/>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49"/>
      <c r="AE1173" s="49"/>
      <c r="AF1173" s="49"/>
      <c r="AG1173" s="49"/>
      <c r="AH1173" s="49"/>
      <c r="AI1173" s="49"/>
      <c r="AJ1173" s="49"/>
      <c r="AK1173" s="49"/>
      <c r="AL1173" s="49"/>
      <c r="AM1173" s="49"/>
      <c r="AN1173" s="49"/>
      <c r="AO1173" s="49"/>
      <c r="AP1173" s="49"/>
      <c r="AQ1173" s="49"/>
      <c r="AR1173" s="49"/>
      <c r="AS1173" s="49"/>
      <c r="AT1173" s="49"/>
    </row>
    <row r="1174" ht="15.75" customHeight="1">
      <c r="A1174" s="37"/>
      <c r="B1174" s="37"/>
      <c r="C1174" s="39"/>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49"/>
      <c r="AE1174" s="49"/>
      <c r="AF1174" s="49"/>
      <c r="AG1174" s="49"/>
      <c r="AH1174" s="49"/>
      <c r="AI1174" s="49"/>
      <c r="AJ1174" s="49"/>
      <c r="AK1174" s="49"/>
      <c r="AL1174" s="49"/>
      <c r="AM1174" s="49"/>
      <c r="AN1174" s="49"/>
      <c r="AO1174" s="49"/>
      <c r="AP1174" s="49"/>
      <c r="AQ1174" s="49"/>
      <c r="AR1174" s="49"/>
      <c r="AS1174" s="49"/>
      <c r="AT1174" s="49"/>
    </row>
    <row r="1175" ht="15.75" customHeight="1">
      <c r="A1175" s="37"/>
      <c r="B1175" s="37"/>
      <c r="C1175" s="39"/>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49"/>
      <c r="AE1175" s="49"/>
      <c r="AF1175" s="49"/>
      <c r="AG1175" s="49"/>
      <c r="AH1175" s="49"/>
      <c r="AI1175" s="49"/>
      <c r="AJ1175" s="49"/>
      <c r="AK1175" s="49"/>
      <c r="AL1175" s="49"/>
      <c r="AM1175" s="49"/>
      <c r="AN1175" s="49"/>
      <c r="AO1175" s="49"/>
      <c r="AP1175" s="49"/>
      <c r="AQ1175" s="49"/>
      <c r="AR1175" s="49"/>
      <c r="AS1175" s="49"/>
      <c r="AT1175" s="49"/>
    </row>
    <row r="1176" ht="15.75" customHeight="1">
      <c r="A1176" s="37"/>
      <c r="B1176" s="37"/>
      <c r="C1176" s="39"/>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49"/>
      <c r="AE1176" s="49"/>
      <c r="AF1176" s="49"/>
      <c r="AG1176" s="49"/>
      <c r="AH1176" s="49"/>
      <c r="AI1176" s="49"/>
      <c r="AJ1176" s="49"/>
      <c r="AK1176" s="49"/>
      <c r="AL1176" s="49"/>
      <c r="AM1176" s="49"/>
      <c r="AN1176" s="49"/>
      <c r="AO1176" s="49"/>
      <c r="AP1176" s="49"/>
      <c r="AQ1176" s="49"/>
      <c r="AR1176" s="49"/>
      <c r="AS1176" s="49"/>
      <c r="AT1176" s="49"/>
    </row>
    <row r="1177" ht="15.75" customHeight="1">
      <c r="A1177" s="37"/>
      <c r="B1177" s="37"/>
      <c r="C1177" s="39"/>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49"/>
      <c r="AE1177" s="49"/>
      <c r="AF1177" s="49"/>
      <c r="AG1177" s="49"/>
      <c r="AH1177" s="49"/>
      <c r="AI1177" s="49"/>
      <c r="AJ1177" s="49"/>
      <c r="AK1177" s="49"/>
      <c r="AL1177" s="49"/>
      <c r="AM1177" s="49"/>
      <c r="AN1177" s="49"/>
      <c r="AO1177" s="49"/>
      <c r="AP1177" s="49"/>
      <c r="AQ1177" s="49"/>
      <c r="AR1177" s="49"/>
      <c r="AS1177" s="49"/>
      <c r="AT1177" s="49"/>
    </row>
    <row r="1178" ht="15.75" customHeight="1">
      <c r="A1178" s="37"/>
      <c r="B1178" s="37"/>
      <c r="C1178" s="39"/>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49"/>
      <c r="AE1178" s="49"/>
      <c r="AF1178" s="49"/>
      <c r="AG1178" s="49"/>
      <c r="AH1178" s="49"/>
      <c r="AI1178" s="49"/>
      <c r="AJ1178" s="49"/>
      <c r="AK1178" s="49"/>
      <c r="AL1178" s="49"/>
      <c r="AM1178" s="49"/>
      <c r="AN1178" s="49"/>
      <c r="AO1178" s="49"/>
      <c r="AP1178" s="49"/>
      <c r="AQ1178" s="49"/>
      <c r="AR1178" s="49"/>
      <c r="AS1178" s="49"/>
      <c r="AT1178" s="49"/>
    </row>
    <row r="1179" ht="15.75" customHeight="1">
      <c r="A1179" s="37"/>
      <c r="B1179" s="37"/>
      <c r="C1179" s="39"/>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49"/>
      <c r="AE1179" s="49"/>
      <c r="AF1179" s="49"/>
      <c r="AG1179" s="49"/>
      <c r="AH1179" s="49"/>
      <c r="AI1179" s="49"/>
      <c r="AJ1179" s="49"/>
      <c r="AK1179" s="49"/>
      <c r="AL1179" s="49"/>
      <c r="AM1179" s="49"/>
      <c r="AN1179" s="49"/>
      <c r="AO1179" s="49"/>
      <c r="AP1179" s="49"/>
      <c r="AQ1179" s="49"/>
      <c r="AR1179" s="49"/>
      <c r="AS1179" s="49"/>
      <c r="AT1179" s="49"/>
    </row>
    <row r="1180" ht="15.75" customHeight="1">
      <c r="A1180" s="37"/>
      <c r="B1180" s="37"/>
      <c r="C1180" s="39"/>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49"/>
      <c r="AE1180" s="49"/>
      <c r="AF1180" s="49"/>
      <c r="AG1180" s="49"/>
      <c r="AH1180" s="49"/>
      <c r="AI1180" s="49"/>
      <c r="AJ1180" s="49"/>
      <c r="AK1180" s="49"/>
      <c r="AL1180" s="49"/>
      <c r="AM1180" s="49"/>
      <c r="AN1180" s="49"/>
      <c r="AO1180" s="49"/>
      <c r="AP1180" s="49"/>
      <c r="AQ1180" s="49"/>
      <c r="AR1180" s="49"/>
      <c r="AS1180" s="49"/>
      <c r="AT1180" s="49"/>
    </row>
    <row r="1181" ht="15.75" customHeight="1">
      <c r="A1181" s="37"/>
      <c r="B1181" s="37"/>
      <c r="C1181" s="39"/>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49"/>
      <c r="AE1181" s="49"/>
      <c r="AF1181" s="49"/>
      <c r="AG1181" s="49"/>
      <c r="AH1181" s="49"/>
      <c r="AI1181" s="49"/>
      <c r="AJ1181" s="49"/>
      <c r="AK1181" s="49"/>
      <c r="AL1181" s="49"/>
      <c r="AM1181" s="49"/>
      <c r="AN1181" s="49"/>
      <c r="AO1181" s="49"/>
      <c r="AP1181" s="49"/>
      <c r="AQ1181" s="49"/>
      <c r="AR1181" s="49"/>
      <c r="AS1181" s="49"/>
      <c r="AT1181" s="49"/>
    </row>
    <row r="1182" ht="15.75" customHeight="1">
      <c r="A1182" s="37"/>
      <c r="B1182" s="37"/>
      <c r="C1182" s="39"/>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49"/>
      <c r="AE1182" s="49"/>
      <c r="AF1182" s="49"/>
      <c r="AG1182" s="49"/>
      <c r="AH1182" s="49"/>
      <c r="AI1182" s="49"/>
      <c r="AJ1182" s="49"/>
      <c r="AK1182" s="49"/>
      <c r="AL1182" s="49"/>
      <c r="AM1182" s="49"/>
      <c r="AN1182" s="49"/>
      <c r="AO1182" s="49"/>
      <c r="AP1182" s="49"/>
      <c r="AQ1182" s="49"/>
      <c r="AR1182" s="49"/>
      <c r="AS1182" s="49"/>
      <c r="AT1182" s="49"/>
    </row>
    <row r="1183" ht="15.75" customHeight="1">
      <c r="A1183" s="37"/>
      <c r="B1183" s="37"/>
      <c r="C1183" s="39"/>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49"/>
      <c r="AE1183" s="49"/>
      <c r="AF1183" s="49"/>
      <c r="AG1183" s="49"/>
      <c r="AH1183" s="49"/>
      <c r="AI1183" s="49"/>
      <c r="AJ1183" s="49"/>
      <c r="AK1183" s="49"/>
      <c r="AL1183" s="49"/>
      <c r="AM1183" s="49"/>
      <c r="AN1183" s="49"/>
      <c r="AO1183" s="49"/>
      <c r="AP1183" s="49"/>
      <c r="AQ1183" s="49"/>
      <c r="AR1183" s="49"/>
      <c r="AS1183" s="49"/>
      <c r="AT1183" s="49"/>
    </row>
    <row r="1184" ht="15.75" customHeight="1">
      <c r="A1184" s="37"/>
      <c r="B1184" s="37"/>
      <c r="C1184" s="39"/>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49"/>
      <c r="AE1184" s="49"/>
      <c r="AF1184" s="49"/>
      <c r="AG1184" s="49"/>
      <c r="AH1184" s="49"/>
      <c r="AI1184" s="49"/>
      <c r="AJ1184" s="49"/>
      <c r="AK1184" s="49"/>
      <c r="AL1184" s="49"/>
      <c r="AM1184" s="49"/>
      <c r="AN1184" s="49"/>
      <c r="AO1184" s="49"/>
      <c r="AP1184" s="49"/>
      <c r="AQ1184" s="49"/>
      <c r="AR1184" s="49"/>
      <c r="AS1184" s="49"/>
      <c r="AT1184" s="49"/>
    </row>
    <row r="1185" ht="15.75" customHeight="1">
      <c r="A1185" s="37"/>
      <c r="B1185" s="37"/>
      <c r="C1185" s="39"/>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49"/>
      <c r="AE1185" s="49"/>
      <c r="AF1185" s="49"/>
      <c r="AG1185" s="49"/>
      <c r="AH1185" s="49"/>
      <c r="AI1185" s="49"/>
      <c r="AJ1185" s="49"/>
      <c r="AK1185" s="49"/>
      <c r="AL1185" s="49"/>
      <c r="AM1185" s="49"/>
      <c r="AN1185" s="49"/>
      <c r="AO1185" s="49"/>
      <c r="AP1185" s="49"/>
      <c r="AQ1185" s="49"/>
      <c r="AR1185" s="49"/>
      <c r="AS1185" s="49"/>
      <c r="AT1185" s="49"/>
    </row>
    <row r="1186" ht="15.75" customHeight="1">
      <c r="A1186" s="37"/>
      <c r="B1186" s="37"/>
      <c r="C1186" s="39"/>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49"/>
      <c r="AE1186" s="49"/>
      <c r="AF1186" s="49"/>
      <c r="AG1186" s="49"/>
      <c r="AH1186" s="49"/>
      <c r="AI1186" s="49"/>
      <c r="AJ1186" s="49"/>
      <c r="AK1186" s="49"/>
      <c r="AL1186" s="49"/>
      <c r="AM1186" s="49"/>
      <c r="AN1186" s="49"/>
      <c r="AO1186" s="49"/>
      <c r="AP1186" s="49"/>
      <c r="AQ1186" s="49"/>
      <c r="AR1186" s="49"/>
      <c r="AS1186" s="49"/>
      <c r="AT1186" s="49"/>
    </row>
    <row r="1187" ht="15.75" customHeight="1">
      <c r="A1187" s="37"/>
      <c r="B1187" s="37"/>
      <c r="C1187" s="39"/>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49"/>
      <c r="AE1187" s="49"/>
      <c r="AF1187" s="49"/>
      <c r="AG1187" s="49"/>
      <c r="AH1187" s="49"/>
      <c r="AI1187" s="49"/>
      <c r="AJ1187" s="49"/>
      <c r="AK1187" s="49"/>
      <c r="AL1187" s="49"/>
      <c r="AM1187" s="49"/>
      <c r="AN1187" s="49"/>
      <c r="AO1187" s="49"/>
      <c r="AP1187" s="49"/>
      <c r="AQ1187" s="49"/>
      <c r="AR1187" s="49"/>
      <c r="AS1187" s="49"/>
      <c r="AT1187" s="49"/>
    </row>
    <row r="1188" ht="15.75" customHeight="1">
      <c r="A1188" s="37"/>
      <c r="B1188" s="37"/>
      <c r="C1188" s="39"/>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49"/>
      <c r="AE1188" s="49"/>
      <c r="AF1188" s="49"/>
      <c r="AG1188" s="49"/>
      <c r="AH1188" s="49"/>
      <c r="AI1188" s="49"/>
      <c r="AJ1188" s="49"/>
      <c r="AK1188" s="49"/>
      <c r="AL1188" s="49"/>
      <c r="AM1188" s="49"/>
      <c r="AN1188" s="49"/>
      <c r="AO1188" s="49"/>
      <c r="AP1188" s="49"/>
      <c r="AQ1188" s="49"/>
      <c r="AR1188" s="49"/>
      <c r="AS1188" s="49"/>
      <c r="AT1188" s="49"/>
    </row>
    <row r="1189" ht="15.75" customHeight="1">
      <c r="A1189" s="37"/>
      <c r="B1189" s="37"/>
      <c r="C1189" s="39"/>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49"/>
      <c r="AE1189" s="49"/>
      <c r="AF1189" s="49"/>
      <c r="AG1189" s="49"/>
      <c r="AH1189" s="49"/>
      <c r="AI1189" s="49"/>
      <c r="AJ1189" s="49"/>
      <c r="AK1189" s="49"/>
      <c r="AL1189" s="49"/>
      <c r="AM1189" s="49"/>
      <c r="AN1189" s="49"/>
      <c r="AO1189" s="49"/>
      <c r="AP1189" s="49"/>
      <c r="AQ1189" s="49"/>
      <c r="AR1189" s="49"/>
      <c r="AS1189" s="49"/>
      <c r="AT1189" s="49"/>
    </row>
    <row r="1190" ht="15.75" customHeight="1">
      <c r="A1190" s="37"/>
      <c r="B1190" s="37"/>
      <c r="C1190" s="39"/>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49"/>
      <c r="AE1190" s="49"/>
      <c r="AF1190" s="49"/>
      <c r="AG1190" s="49"/>
      <c r="AH1190" s="49"/>
      <c r="AI1190" s="49"/>
      <c r="AJ1190" s="49"/>
      <c r="AK1190" s="49"/>
      <c r="AL1190" s="49"/>
      <c r="AM1190" s="49"/>
      <c r="AN1190" s="49"/>
      <c r="AO1190" s="49"/>
      <c r="AP1190" s="49"/>
      <c r="AQ1190" s="49"/>
      <c r="AR1190" s="49"/>
      <c r="AS1190" s="49"/>
      <c r="AT1190" s="49"/>
    </row>
    <row r="1191" ht="15.75" customHeight="1">
      <c r="A1191" s="37"/>
      <c r="B1191" s="37"/>
      <c r="C1191" s="39"/>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49"/>
      <c r="AE1191" s="49"/>
      <c r="AF1191" s="49"/>
      <c r="AG1191" s="49"/>
      <c r="AH1191" s="49"/>
      <c r="AI1191" s="49"/>
      <c r="AJ1191" s="49"/>
      <c r="AK1191" s="49"/>
      <c r="AL1191" s="49"/>
      <c r="AM1191" s="49"/>
      <c r="AN1191" s="49"/>
      <c r="AO1191" s="49"/>
      <c r="AP1191" s="49"/>
      <c r="AQ1191" s="49"/>
      <c r="AR1191" s="49"/>
      <c r="AS1191" s="49"/>
      <c r="AT1191" s="49"/>
    </row>
    <row r="1192" ht="15.75" customHeight="1">
      <c r="A1192" s="37"/>
      <c r="B1192" s="37"/>
      <c r="C1192" s="39"/>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49"/>
      <c r="AE1192" s="49"/>
      <c r="AF1192" s="49"/>
      <c r="AG1192" s="49"/>
      <c r="AH1192" s="49"/>
      <c r="AI1192" s="49"/>
      <c r="AJ1192" s="49"/>
      <c r="AK1192" s="49"/>
      <c r="AL1192" s="49"/>
      <c r="AM1192" s="49"/>
      <c r="AN1192" s="49"/>
      <c r="AO1192" s="49"/>
      <c r="AP1192" s="49"/>
      <c r="AQ1192" s="49"/>
      <c r="AR1192" s="49"/>
      <c r="AS1192" s="49"/>
      <c r="AT1192" s="49"/>
    </row>
    <row r="1193" ht="15.75" customHeight="1">
      <c r="A1193" s="37"/>
      <c r="B1193" s="37"/>
      <c r="C1193" s="39"/>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49"/>
      <c r="AE1193" s="49"/>
      <c r="AF1193" s="49"/>
      <c r="AG1193" s="49"/>
      <c r="AH1193" s="49"/>
      <c r="AI1193" s="49"/>
      <c r="AJ1193" s="49"/>
      <c r="AK1193" s="49"/>
      <c r="AL1193" s="49"/>
      <c r="AM1193" s="49"/>
      <c r="AN1193" s="49"/>
      <c r="AO1193" s="49"/>
      <c r="AP1193" s="49"/>
      <c r="AQ1193" s="49"/>
      <c r="AR1193" s="49"/>
      <c r="AS1193" s="49"/>
      <c r="AT1193" s="49"/>
    </row>
    <row r="1194" ht="15.75" customHeight="1">
      <c r="A1194" s="37"/>
      <c r="B1194" s="37"/>
      <c r="C1194" s="39"/>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49"/>
      <c r="AE1194" s="49"/>
      <c r="AF1194" s="49"/>
      <c r="AG1194" s="49"/>
      <c r="AH1194" s="49"/>
      <c r="AI1194" s="49"/>
      <c r="AJ1194" s="49"/>
      <c r="AK1194" s="49"/>
      <c r="AL1194" s="49"/>
      <c r="AM1194" s="49"/>
      <c r="AN1194" s="49"/>
      <c r="AO1194" s="49"/>
      <c r="AP1194" s="49"/>
      <c r="AQ1194" s="49"/>
      <c r="AR1194" s="49"/>
      <c r="AS1194" s="49"/>
      <c r="AT1194" s="49"/>
    </row>
    <row r="1195" ht="15.75" customHeight="1">
      <c r="A1195" s="37"/>
      <c r="B1195" s="37"/>
      <c r="C1195" s="39"/>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49"/>
      <c r="AE1195" s="49"/>
      <c r="AF1195" s="49"/>
      <c r="AG1195" s="49"/>
      <c r="AH1195" s="49"/>
      <c r="AI1195" s="49"/>
      <c r="AJ1195" s="49"/>
      <c r="AK1195" s="49"/>
      <c r="AL1195" s="49"/>
      <c r="AM1195" s="49"/>
      <c r="AN1195" s="49"/>
      <c r="AO1195" s="49"/>
      <c r="AP1195" s="49"/>
      <c r="AQ1195" s="49"/>
      <c r="AR1195" s="49"/>
      <c r="AS1195" s="49"/>
      <c r="AT1195" s="49"/>
    </row>
    <row r="1196" ht="15.75" customHeight="1">
      <c r="A1196" s="37"/>
      <c r="B1196" s="37"/>
      <c r="C1196" s="39"/>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49"/>
      <c r="AE1196" s="49"/>
      <c r="AF1196" s="49"/>
      <c r="AG1196" s="49"/>
      <c r="AH1196" s="49"/>
      <c r="AI1196" s="49"/>
      <c r="AJ1196" s="49"/>
      <c r="AK1196" s="49"/>
      <c r="AL1196" s="49"/>
      <c r="AM1196" s="49"/>
      <c r="AN1196" s="49"/>
      <c r="AO1196" s="49"/>
      <c r="AP1196" s="49"/>
      <c r="AQ1196" s="49"/>
      <c r="AR1196" s="49"/>
      <c r="AS1196" s="49"/>
      <c r="AT1196" s="49"/>
    </row>
    <row r="1197" ht="15.75" customHeight="1">
      <c r="A1197" s="37"/>
      <c r="B1197" s="37"/>
      <c r="C1197" s="39"/>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49"/>
      <c r="AE1197" s="49"/>
      <c r="AF1197" s="49"/>
      <c r="AG1197" s="49"/>
      <c r="AH1197" s="49"/>
      <c r="AI1197" s="49"/>
      <c r="AJ1197" s="49"/>
      <c r="AK1197" s="49"/>
      <c r="AL1197" s="49"/>
      <c r="AM1197" s="49"/>
      <c r="AN1197" s="49"/>
      <c r="AO1197" s="49"/>
      <c r="AP1197" s="49"/>
      <c r="AQ1197" s="49"/>
      <c r="AR1197" s="49"/>
      <c r="AS1197" s="49"/>
      <c r="AT1197" s="49"/>
    </row>
    <row r="1198" ht="15.75" customHeight="1">
      <c r="A1198" s="37"/>
      <c r="B1198" s="37"/>
      <c r="C1198" s="39"/>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49"/>
      <c r="AE1198" s="49"/>
      <c r="AF1198" s="49"/>
      <c r="AG1198" s="49"/>
      <c r="AH1198" s="49"/>
      <c r="AI1198" s="49"/>
      <c r="AJ1198" s="49"/>
      <c r="AK1198" s="49"/>
      <c r="AL1198" s="49"/>
      <c r="AM1198" s="49"/>
      <c r="AN1198" s="49"/>
      <c r="AO1198" s="49"/>
      <c r="AP1198" s="49"/>
      <c r="AQ1198" s="49"/>
      <c r="AR1198" s="49"/>
      <c r="AS1198" s="49"/>
      <c r="AT1198" s="49"/>
    </row>
    <row r="1199" ht="15.75" customHeight="1">
      <c r="A1199" s="37"/>
      <c r="B1199" s="37"/>
      <c r="C1199" s="39"/>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49"/>
      <c r="AE1199" s="49"/>
      <c r="AF1199" s="49"/>
      <c r="AG1199" s="49"/>
      <c r="AH1199" s="49"/>
      <c r="AI1199" s="49"/>
      <c r="AJ1199" s="49"/>
      <c r="AK1199" s="49"/>
      <c r="AL1199" s="49"/>
      <c r="AM1199" s="49"/>
      <c r="AN1199" s="49"/>
      <c r="AO1199" s="49"/>
      <c r="AP1199" s="49"/>
      <c r="AQ1199" s="49"/>
      <c r="AR1199" s="49"/>
      <c r="AS1199" s="49"/>
      <c r="AT1199" s="49"/>
    </row>
    <row r="1200" ht="15.75" customHeight="1">
      <c r="A1200" s="37"/>
      <c r="B1200" s="37"/>
      <c r="C1200" s="39"/>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49"/>
      <c r="AE1200" s="49"/>
      <c r="AF1200" s="49"/>
      <c r="AG1200" s="49"/>
      <c r="AH1200" s="49"/>
      <c r="AI1200" s="49"/>
      <c r="AJ1200" s="49"/>
      <c r="AK1200" s="49"/>
      <c r="AL1200" s="49"/>
      <c r="AM1200" s="49"/>
      <c r="AN1200" s="49"/>
      <c r="AO1200" s="49"/>
      <c r="AP1200" s="49"/>
      <c r="AQ1200" s="49"/>
      <c r="AR1200" s="49"/>
      <c r="AS1200" s="49"/>
      <c r="AT1200" s="49"/>
    </row>
    <row r="1201" ht="15.75" customHeight="1">
      <c r="A1201" s="37"/>
      <c r="B1201" s="37"/>
      <c r="C1201" s="39"/>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49"/>
      <c r="AE1201" s="49"/>
      <c r="AF1201" s="49"/>
      <c r="AG1201" s="49"/>
      <c r="AH1201" s="49"/>
      <c r="AI1201" s="49"/>
      <c r="AJ1201" s="49"/>
      <c r="AK1201" s="49"/>
      <c r="AL1201" s="49"/>
      <c r="AM1201" s="49"/>
      <c r="AN1201" s="49"/>
      <c r="AO1201" s="49"/>
      <c r="AP1201" s="49"/>
      <c r="AQ1201" s="49"/>
      <c r="AR1201" s="49"/>
      <c r="AS1201" s="49"/>
      <c r="AT1201" s="49"/>
    </row>
    <row r="1202" ht="15.75" customHeight="1">
      <c r="A1202" s="37"/>
      <c r="B1202" s="37"/>
      <c r="C1202" s="39"/>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49"/>
      <c r="AE1202" s="49"/>
      <c r="AF1202" s="49"/>
      <c r="AG1202" s="49"/>
      <c r="AH1202" s="49"/>
      <c r="AI1202" s="49"/>
      <c r="AJ1202" s="49"/>
      <c r="AK1202" s="49"/>
      <c r="AL1202" s="49"/>
      <c r="AM1202" s="49"/>
      <c r="AN1202" s="49"/>
      <c r="AO1202" s="49"/>
      <c r="AP1202" s="49"/>
      <c r="AQ1202" s="49"/>
      <c r="AR1202" s="49"/>
      <c r="AS1202" s="49"/>
      <c r="AT1202" s="49"/>
    </row>
    <row r="1203" ht="15.75" customHeight="1">
      <c r="A1203" s="37"/>
      <c r="B1203" s="37"/>
      <c r="C1203" s="39"/>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49"/>
      <c r="AE1203" s="49"/>
      <c r="AF1203" s="49"/>
      <c r="AG1203" s="49"/>
      <c r="AH1203" s="49"/>
      <c r="AI1203" s="49"/>
      <c r="AJ1203" s="49"/>
      <c r="AK1203" s="49"/>
      <c r="AL1203" s="49"/>
      <c r="AM1203" s="49"/>
      <c r="AN1203" s="49"/>
      <c r="AO1203" s="49"/>
      <c r="AP1203" s="49"/>
      <c r="AQ1203" s="49"/>
      <c r="AR1203" s="49"/>
      <c r="AS1203" s="49"/>
      <c r="AT1203" s="49"/>
    </row>
    <row r="1204" ht="15.75" customHeight="1">
      <c r="A1204" s="37"/>
      <c r="B1204" s="37"/>
      <c r="C1204" s="39"/>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49"/>
      <c r="AE1204" s="49"/>
      <c r="AF1204" s="49"/>
      <c r="AG1204" s="49"/>
      <c r="AH1204" s="49"/>
      <c r="AI1204" s="49"/>
      <c r="AJ1204" s="49"/>
      <c r="AK1204" s="49"/>
      <c r="AL1204" s="49"/>
      <c r="AM1204" s="49"/>
      <c r="AN1204" s="49"/>
      <c r="AO1204" s="49"/>
      <c r="AP1204" s="49"/>
      <c r="AQ1204" s="49"/>
      <c r="AR1204" s="49"/>
      <c r="AS1204" s="49"/>
      <c r="AT1204" s="49"/>
    </row>
    <row r="1205" ht="15.75" customHeight="1">
      <c r="A1205" s="37"/>
      <c r="B1205" s="37"/>
      <c r="C1205" s="39"/>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49"/>
      <c r="AE1205" s="49"/>
      <c r="AF1205" s="49"/>
      <c r="AG1205" s="49"/>
      <c r="AH1205" s="49"/>
      <c r="AI1205" s="49"/>
      <c r="AJ1205" s="49"/>
      <c r="AK1205" s="49"/>
      <c r="AL1205" s="49"/>
      <c r="AM1205" s="49"/>
      <c r="AN1205" s="49"/>
      <c r="AO1205" s="49"/>
      <c r="AP1205" s="49"/>
      <c r="AQ1205" s="49"/>
      <c r="AR1205" s="49"/>
      <c r="AS1205" s="49"/>
      <c r="AT1205" s="49"/>
    </row>
    <row r="1206" ht="15.75" customHeight="1">
      <c r="A1206" s="37"/>
      <c r="B1206" s="37"/>
      <c r="C1206" s="39"/>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49"/>
      <c r="AE1206" s="49"/>
      <c r="AF1206" s="49"/>
      <c r="AG1206" s="49"/>
      <c r="AH1206" s="49"/>
      <c r="AI1206" s="49"/>
      <c r="AJ1206" s="49"/>
      <c r="AK1206" s="49"/>
      <c r="AL1206" s="49"/>
      <c r="AM1206" s="49"/>
      <c r="AN1206" s="49"/>
      <c r="AO1206" s="49"/>
      <c r="AP1206" s="49"/>
      <c r="AQ1206" s="49"/>
      <c r="AR1206" s="49"/>
      <c r="AS1206" s="49"/>
      <c r="AT1206" s="49"/>
    </row>
    <row r="1207" ht="15.75" customHeight="1">
      <c r="A1207" s="37"/>
      <c r="B1207" s="37"/>
      <c r="C1207" s="39"/>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49"/>
      <c r="AE1207" s="49"/>
      <c r="AF1207" s="49"/>
      <c r="AG1207" s="49"/>
      <c r="AH1207" s="49"/>
      <c r="AI1207" s="49"/>
      <c r="AJ1207" s="49"/>
      <c r="AK1207" s="49"/>
      <c r="AL1207" s="49"/>
      <c r="AM1207" s="49"/>
      <c r="AN1207" s="49"/>
      <c r="AO1207" s="49"/>
      <c r="AP1207" s="49"/>
      <c r="AQ1207" s="49"/>
      <c r="AR1207" s="49"/>
      <c r="AS1207" s="49"/>
      <c r="AT1207" s="49"/>
    </row>
    <row r="1208" ht="15.75" customHeight="1">
      <c r="A1208" s="37"/>
      <c r="B1208" s="37"/>
      <c r="C1208" s="39"/>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49"/>
      <c r="AE1208" s="49"/>
      <c r="AF1208" s="49"/>
      <c r="AG1208" s="49"/>
      <c r="AH1208" s="49"/>
      <c r="AI1208" s="49"/>
      <c r="AJ1208" s="49"/>
      <c r="AK1208" s="49"/>
      <c r="AL1208" s="49"/>
      <c r="AM1208" s="49"/>
      <c r="AN1208" s="49"/>
      <c r="AO1208" s="49"/>
      <c r="AP1208" s="49"/>
      <c r="AQ1208" s="49"/>
      <c r="AR1208" s="49"/>
      <c r="AS1208" s="49"/>
      <c r="AT1208" s="49"/>
    </row>
    <row r="1209" ht="15.75" customHeight="1">
      <c r="A1209" s="37"/>
      <c r="B1209" s="37"/>
      <c r="C1209" s="39"/>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49"/>
      <c r="AE1209" s="49"/>
      <c r="AF1209" s="49"/>
      <c r="AG1209" s="49"/>
      <c r="AH1209" s="49"/>
      <c r="AI1209" s="49"/>
      <c r="AJ1209" s="49"/>
      <c r="AK1209" s="49"/>
      <c r="AL1209" s="49"/>
      <c r="AM1209" s="49"/>
      <c r="AN1209" s="49"/>
      <c r="AO1209" s="49"/>
      <c r="AP1209" s="49"/>
      <c r="AQ1209" s="49"/>
      <c r="AR1209" s="49"/>
      <c r="AS1209" s="49"/>
      <c r="AT1209" s="49"/>
    </row>
    <row r="1210" ht="15.75" customHeight="1">
      <c r="A1210" s="37"/>
      <c r="B1210" s="37"/>
      <c r="C1210" s="39"/>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49"/>
      <c r="AE1210" s="49"/>
      <c r="AF1210" s="49"/>
      <c r="AG1210" s="49"/>
      <c r="AH1210" s="49"/>
      <c r="AI1210" s="49"/>
      <c r="AJ1210" s="49"/>
      <c r="AK1210" s="49"/>
      <c r="AL1210" s="49"/>
      <c r="AM1210" s="49"/>
      <c r="AN1210" s="49"/>
      <c r="AO1210" s="49"/>
      <c r="AP1210" s="49"/>
      <c r="AQ1210" s="49"/>
      <c r="AR1210" s="49"/>
      <c r="AS1210" s="49"/>
      <c r="AT1210" s="49"/>
    </row>
    <row r="1211" ht="15.75" customHeight="1">
      <c r="A1211" s="37"/>
      <c r="B1211" s="37"/>
      <c r="C1211" s="39"/>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49"/>
      <c r="AE1211" s="49"/>
      <c r="AF1211" s="49"/>
      <c r="AG1211" s="49"/>
      <c r="AH1211" s="49"/>
      <c r="AI1211" s="49"/>
      <c r="AJ1211" s="49"/>
      <c r="AK1211" s="49"/>
      <c r="AL1211" s="49"/>
      <c r="AM1211" s="49"/>
      <c r="AN1211" s="49"/>
      <c r="AO1211" s="49"/>
      <c r="AP1211" s="49"/>
      <c r="AQ1211" s="49"/>
      <c r="AR1211" s="49"/>
      <c r="AS1211" s="49"/>
      <c r="AT1211" s="49"/>
    </row>
    <row r="1212" ht="15.75" customHeight="1">
      <c r="A1212" s="37"/>
      <c r="B1212" s="37"/>
      <c r="C1212" s="39"/>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49"/>
      <c r="AE1212" s="49"/>
      <c r="AF1212" s="49"/>
      <c r="AG1212" s="49"/>
      <c r="AH1212" s="49"/>
      <c r="AI1212" s="49"/>
      <c r="AJ1212" s="49"/>
      <c r="AK1212" s="49"/>
      <c r="AL1212" s="49"/>
      <c r="AM1212" s="49"/>
      <c r="AN1212" s="49"/>
      <c r="AO1212" s="49"/>
      <c r="AP1212" s="49"/>
      <c r="AQ1212" s="49"/>
      <c r="AR1212" s="49"/>
      <c r="AS1212" s="49"/>
      <c r="AT1212" s="49"/>
    </row>
    <row r="1213" ht="15.75" customHeight="1">
      <c r="A1213" s="37"/>
      <c r="B1213" s="37"/>
      <c r="C1213" s="39"/>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49"/>
      <c r="AE1213" s="49"/>
      <c r="AF1213" s="49"/>
      <c r="AG1213" s="49"/>
      <c r="AH1213" s="49"/>
      <c r="AI1213" s="49"/>
      <c r="AJ1213" s="49"/>
      <c r="AK1213" s="49"/>
      <c r="AL1213" s="49"/>
      <c r="AM1213" s="49"/>
      <c r="AN1213" s="49"/>
      <c r="AO1213" s="49"/>
      <c r="AP1213" s="49"/>
      <c r="AQ1213" s="49"/>
      <c r="AR1213" s="49"/>
      <c r="AS1213" s="49"/>
      <c r="AT1213" s="49"/>
    </row>
    <row r="1214" ht="15.75" customHeight="1">
      <c r="A1214" s="37"/>
      <c r="B1214" s="37"/>
      <c r="C1214" s="39"/>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49"/>
      <c r="AE1214" s="49"/>
      <c r="AF1214" s="49"/>
      <c r="AG1214" s="49"/>
      <c r="AH1214" s="49"/>
      <c r="AI1214" s="49"/>
      <c r="AJ1214" s="49"/>
      <c r="AK1214" s="49"/>
      <c r="AL1214" s="49"/>
      <c r="AM1214" s="49"/>
      <c r="AN1214" s="49"/>
      <c r="AO1214" s="49"/>
      <c r="AP1214" s="49"/>
      <c r="AQ1214" s="49"/>
      <c r="AR1214" s="49"/>
      <c r="AS1214" s="49"/>
      <c r="AT1214" s="49"/>
    </row>
    <row r="1215" ht="15.75" customHeight="1">
      <c r="A1215" s="37"/>
      <c r="B1215" s="37"/>
      <c r="C1215" s="39"/>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49"/>
      <c r="AE1215" s="49"/>
      <c r="AF1215" s="49"/>
      <c r="AG1215" s="49"/>
      <c r="AH1215" s="49"/>
      <c r="AI1215" s="49"/>
      <c r="AJ1215" s="49"/>
      <c r="AK1215" s="49"/>
      <c r="AL1215" s="49"/>
      <c r="AM1215" s="49"/>
      <c r="AN1215" s="49"/>
      <c r="AO1215" s="49"/>
      <c r="AP1215" s="49"/>
      <c r="AQ1215" s="49"/>
      <c r="AR1215" s="49"/>
      <c r="AS1215" s="49"/>
      <c r="AT1215" s="49"/>
    </row>
    <row r="1216" ht="15.75" customHeight="1">
      <c r="A1216" s="37"/>
      <c r="B1216" s="37"/>
      <c r="C1216" s="39"/>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49"/>
      <c r="AE1216" s="49"/>
      <c r="AF1216" s="49"/>
      <c r="AG1216" s="49"/>
      <c r="AH1216" s="49"/>
      <c r="AI1216" s="49"/>
      <c r="AJ1216" s="49"/>
      <c r="AK1216" s="49"/>
      <c r="AL1216" s="49"/>
      <c r="AM1216" s="49"/>
      <c r="AN1216" s="49"/>
      <c r="AO1216" s="49"/>
      <c r="AP1216" s="49"/>
      <c r="AQ1216" s="49"/>
      <c r="AR1216" s="49"/>
      <c r="AS1216" s="49"/>
      <c r="AT1216" s="49"/>
    </row>
    <row r="1217" ht="15.75" customHeight="1">
      <c r="A1217" s="37"/>
      <c r="B1217" s="37"/>
      <c r="C1217" s="39"/>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49"/>
      <c r="AE1217" s="49"/>
      <c r="AF1217" s="49"/>
      <c r="AG1217" s="49"/>
      <c r="AH1217" s="49"/>
      <c r="AI1217" s="49"/>
      <c r="AJ1217" s="49"/>
      <c r="AK1217" s="49"/>
      <c r="AL1217" s="49"/>
      <c r="AM1217" s="49"/>
      <c r="AN1217" s="49"/>
      <c r="AO1217" s="49"/>
      <c r="AP1217" s="49"/>
      <c r="AQ1217" s="49"/>
      <c r="AR1217" s="49"/>
      <c r="AS1217" s="49"/>
      <c r="AT1217" s="49"/>
    </row>
    <row r="1218" ht="15.75" customHeight="1">
      <c r="A1218" s="37"/>
      <c r="B1218" s="37"/>
      <c r="C1218" s="39"/>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49"/>
      <c r="AE1218" s="49"/>
      <c r="AF1218" s="49"/>
      <c r="AG1218" s="49"/>
      <c r="AH1218" s="49"/>
      <c r="AI1218" s="49"/>
      <c r="AJ1218" s="49"/>
      <c r="AK1218" s="49"/>
      <c r="AL1218" s="49"/>
      <c r="AM1218" s="49"/>
      <c r="AN1218" s="49"/>
      <c r="AO1218" s="49"/>
      <c r="AP1218" s="49"/>
      <c r="AQ1218" s="49"/>
      <c r="AR1218" s="49"/>
      <c r="AS1218" s="49"/>
      <c r="AT1218" s="49"/>
    </row>
    <row r="1219" ht="15.75" customHeight="1">
      <c r="A1219" s="37"/>
      <c r="B1219" s="37"/>
      <c r="C1219" s="39"/>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49"/>
      <c r="AE1219" s="49"/>
      <c r="AF1219" s="49"/>
      <c r="AG1219" s="49"/>
      <c r="AH1219" s="49"/>
      <c r="AI1219" s="49"/>
      <c r="AJ1219" s="49"/>
      <c r="AK1219" s="49"/>
      <c r="AL1219" s="49"/>
      <c r="AM1219" s="49"/>
      <c r="AN1219" s="49"/>
      <c r="AO1219" s="49"/>
      <c r="AP1219" s="49"/>
      <c r="AQ1219" s="49"/>
      <c r="AR1219" s="49"/>
      <c r="AS1219" s="49"/>
      <c r="AT1219" s="49"/>
    </row>
    <row r="1220" ht="15.75" customHeight="1">
      <c r="A1220" s="37"/>
      <c r="B1220" s="37"/>
      <c r="C1220" s="39"/>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49"/>
      <c r="AE1220" s="49"/>
      <c r="AF1220" s="49"/>
      <c r="AG1220" s="49"/>
      <c r="AH1220" s="49"/>
      <c r="AI1220" s="49"/>
      <c r="AJ1220" s="49"/>
      <c r="AK1220" s="49"/>
      <c r="AL1220" s="49"/>
      <c r="AM1220" s="49"/>
      <c r="AN1220" s="49"/>
      <c r="AO1220" s="49"/>
      <c r="AP1220" s="49"/>
      <c r="AQ1220" s="49"/>
      <c r="AR1220" s="49"/>
      <c r="AS1220" s="49"/>
      <c r="AT1220" s="49"/>
    </row>
    <row r="1221" ht="15.75" customHeight="1">
      <c r="A1221" s="37"/>
      <c r="B1221" s="37"/>
      <c r="C1221" s="39"/>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49"/>
      <c r="AE1221" s="49"/>
      <c r="AF1221" s="49"/>
      <c r="AG1221" s="49"/>
      <c r="AH1221" s="49"/>
      <c r="AI1221" s="49"/>
      <c r="AJ1221" s="49"/>
      <c r="AK1221" s="49"/>
      <c r="AL1221" s="49"/>
      <c r="AM1221" s="49"/>
      <c r="AN1221" s="49"/>
      <c r="AO1221" s="49"/>
      <c r="AP1221" s="49"/>
      <c r="AQ1221" s="49"/>
      <c r="AR1221" s="49"/>
      <c r="AS1221" s="49"/>
      <c r="AT1221" s="49"/>
    </row>
    <row r="1222" ht="15.75" customHeight="1">
      <c r="A1222" s="37"/>
      <c r="B1222" s="37"/>
      <c r="C1222" s="39"/>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49"/>
      <c r="AE1222" s="49"/>
      <c r="AF1222" s="49"/>
      <c r="AG1222" s="49"/>
      <c r="AH1222" s="49"/>
      <c r="AI1222" s="49"/>
      <c r="AJ1222" s="49"/>
      <c r="AK1222" s="49"/>
      <c r="AL1222" s="49"/>
      <c r="AM1222" s="49"/>
      <c r="AN1222" s="49"/>
      <c r="AO1222" s="49"/>
      <c r="AP1222" s="49"/>
      <c r="AQ1222" s="49"/>
      <c r="AR1222" s="49"/>
      <c r="AS1222" s="49"/>
      <c r="AT1222" s="49"/>
    </row>
    <row r="1223" ht="15.75" customHeight="1">
      <c r="A1223" s="37"/>
      <c r="B1223" s="37"/>
      <c r="C1223" s="39"/>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49"/>
      <c r="AE1223" s="49"/>
      <c r="AF1223" s="49"/>
      <c r="AG1223" s="49"/>
      <c r="AH1223" s="49"/>
      <c r="AI1223" s="49"/>
      <c r="AJ1223" s="49"/>
      <c r="AK1223" s="49"/>
      <c r="AL1223" s="49"/>
      <c r="AM1223" s="49"/>
      <c r="AN1223" s="49"/>
      <c r="AO1223" s="49"/>
      <c r="AP1223" s="49"/>
      <c r="AQ1223" s="49"/>
      <c r="AR1223" s="49"/>
      <c r="AS1223" s="49"/>
      <c r="AT1223" s="49"/>
    </row>
    <row r="1224" ht="15.75" customHeight="1">
      <c r="A1224" s="37"/>
      <c r="B1224" s="37"/>
      <c r="C1224" s="39"/>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49"/>
      <c r="AE1224" s="49"/>
      <c r="AF1224" s="49"/>
      <c r="AG1224" s="49"/>
      <c r="AH1224" s="49"/>
      <c r="AI1224" s="49"/>
      <c r="AJ1224" s="49"/>
      <c r="AK1224" s="49"/>
      <c r="AL1224" s="49"/>
      <c r="AM1224" s="49"/>
      <c r="AN1224" s="49"/>
      <c r="AO1224" s="49"/>
      <c r="AP1224" s="49"/>
      <c r="AQ1224" s="49"/>
      <c r="AR1224" s="49"/>
      <c r="AS1224" s="49"/>
      <c r="AT1224" s="49"/>
    </row>
    <row r="1225" ht="15.75" customHeight="1">
      <c r="A1225" s="37"/>
      <c r="B1225" s="37"/>
      <c r="C1225" s="39"/>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49"/>
      <c r="AE1225" s="49"/>
      <c r="AF1225" s="49"/>
      <c r="AG1225" s="49"/>
      <c r="AH1225" s="49"/>
      <c r="AI1225" s="49"/>
      <c r="AJ1225" s="49"/>
      <c r="AK1225" s="49"/>
      <c r="AL1225" s="49"/>
      <c r="AM1225" s="49"/>
      <c r="AN1225" s="49"/>
      <c r="AO1225" s="49"/>
      <c r="AP1225" s="49"/>
      <c r="AQ1225" s="49"/>
      <c r="AR1225" s="49"/>
      <c r="AS1225" s="49"/>
      <c r="AT1225" s="49"/>
    </row>
    <row r="1226" ht="15.75" customHeight="1">
      <c r="A1226" s="37"/>
      <c r="B1226" s="37"/>
      <c r="C1226" s="39"/>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49"/>
      <c r="AE1226" s="49"/>
      <c r="AF1226" s="49"/>
      <c r="AG1226" s="49"/>
      <c r="AH1226" s="49"/>
      <c r="AI1226" s="49"/>
      <c r="AJ1226" s="49"/>
      <c r="AK1226" s="49"/>
      <c r="AL1226" s="49"/>
      <c r="AM1226" s="49"/>
      <c r="AN1226" s="49"/>
      <c r="AO1226" s="49"/>
      <c r="AP1226" s="49"/>
      <c r="AQ1226" s="49"/>
      <c r="AR1226" s="49"/>
      <c r="AS1226" s="49"/>
      <c r="AT1226" s="49"/>
    </row>
    <row r="1227" ht="15.75" customHeight="1">
      <c r="A1227" s="37"/>
      <c r="B1227" s="37"/>
      <c r="C1227" s="39"/>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49"/>
      <c r="AE1227" s="49"/>
      <c r="AF1227" s="49"/>
      <c r="AG1227" s="49"/>
      <c r="AH1227" s="49"/>
      <c r="AI1227" s="49"/>
      <c r="AJ1227" s="49"/>
      <c r="AK1227" s="49"/>
      <c r="AL1227" s="49"/>
      <c r="AM1227" s="49"/>
      <c r="AN1227" s="49"/>
      <c r="AO1227" s="49"/>
      <c r="AP1227" s="49"/>
      <c r="AQ1227" s="49"/>
      <c r="AR1227" s="49"/>
      <c r="AS1227" s="49"/>
      <c r="AT1227" s="49"/>
    </row>
    <row r="1228" ht="15.75" customHeight="1">
      <c r="A1228" s="37"/>
      <c r="B1228" s="37"/>
      <c r="C1228" s="39"/>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49"/>
      <c r="AE1228" s="49"/>
      <c r="AF1228" s="49"/>
      <c r="AG1228" s="49"/>
      <c r="AH1228" s="49"/>
      <c r="AI1228" s="49"/>
      <c r="AJ1228" s="49"/>
      <c r="AK1228" s="49"/>
      <c r="AL1228" s="49"/>
      <c r="AM1228" s="49"/>
      <c r="AN1228" s="49"/>
      <c r="AO1228" s="49"/>
      <c r="AP1228" s="49"/>
      <c r="AQ1228" s="49"/>
      <c r="AR1228" s="49"/>
      <c r="AS1228" s="49"/>
      <c r="AT1228" s="49"/>
    </row>
    <row r="1229" ht="15.75" customHeight="1">
      <c r="A1229" s="37"/>
      <c r="B1229" s="37"/>
      <c r="C1229" s="39"/>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49"/>
      <c r="AE1229" s="49"/>
      <c r="AF1229" s="49"/>
      <c r="AG1229" s="49"/>
      <c r="AH1229" s="49"/>
      <c r="AI1229" s="49"/>
      <c r="AJ1229" s="49"/>
      <c r="AK1229" s="49"/>
      <c r="AL1229" s="49"/>
      <c r="AM1229" s="49"/>
      <c r="AN1229" s="49"/>
      <c r="AO1229" s="49"/>
      <c r="AP1229" s="49"/>
      <c r="AQ1229" s="49"/>
      <c r="AR1229" s="49"/>
      <c r="AS1229" s="49"/>
      <c r="AT1229" s="49"/>
    </row>
    <row r="1230" ht="15.75" customHeight="1">
      <c r="A1230" s="37"/>
      <c r="B1230" s="37"/>
      <c r="C1230" s="39"/>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49"/>
      <c r="AE1230" s="49"/>
      <c r="AF1230" s="49"/>
      <c r="AG1230" s="49"/>
      <c r="AH1230" s="49"/>
      <c r="AI1230" s="49"/>
      <c r="AJ1230" s="49"/>
      <c r="AK1230" s="49"/>
      <c r="AL1230" s="49"/>
      <c r="AM1230" s="49"/>
      <c r="AN1230" s="49"/>
      <c r="AO1230" s="49"/>
      <c r="AP1230" s="49"/>
      <c r="AQ1230" s="49"/>
      <c r="AR1230" s="49"/>
      <c r="AS1230" s="49"/>
      <c r="AT1230" s="49"/>
    </row>
    <row r="1231" ht="15.75" customHeight="1">
      <c r="A1231" s="37"/>
      <c r="B1231" s="37"/>
      <c r="C1231" s="39"/>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49"/>
      <c r="AE1231" s="49"/>
      <c r="AF1231" s="49"/>
      <c r="AG1231" s="49"/>
      <c r="AH1231" s="49"/>
      <c r="AI1231" s="49"/>
      <c r="AJ1231" s="49"/>
      <c r="AK1231" s="49"/>
      <c r="AL1231" s="49"/>
      <c r="AM1231" s="49"/>
      <c r="AN1231" s="49"/>
      <c r="AO1231" s="49"/>
      <c r="AP1231" s="49"/>
      <c r="AQ1231" s="49"/>
      <c r="AR1231" s="49"/>
      <c r="AS1231" s="49"/>
      <c r="AT1231" s="49"/>
    </row>
    <row r="1232" ht="15.75" customHeight="1">
      <c r="A1232" s="37"/>
      <c r="B1232" s="37"/>
      <c r="C1232" s="39"/>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49"/>
      <c r="AE1232" s="49"/>
      <c r="AF1232" s="49"/>
      <c r="AG1232" s="49"/>
      <c r="AH1232" s="49"/>
      <c r="AI1232" s="49"/>
      <c r="AJ1232" s="49"/>
      <c r="AK1232" s="49"/>
      <c r="AL1232" s="49"/>
      <c r="AM1232" s="49"/>
      <c r="AN1232" s="49"/>
      <c r="AO1232" s="49"/>
      <c r="AP1232" s="49"/>
      <c r="AQ1232" s="49"/>
      <c r="AR1232" s="49"/>
      <c r="AS1232" s="49"/>
      <c r="AT1232" s="49"/>
    </row>
    <row r="1233" ht="15.75" customHeight="1">
      <c r="A1233" s="37"/>
      <c r="B1233" s="37"/>
      <c r="C1233" s="39"/>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49"/>
      <c r="AE1233" s="49"/>
      <c r="AF1233" s="49"/>
      <c r="AG1233" s="49"/>
      <c r="AH1233" s="49"/>
      <c r="AI1233" s="49"/>
      <c r="AJ1233" s="49"/>
      <c r="AK1233" s="49"/>
      <c r="AL1233" s="49"/>
      <c r="AM1233" s="49"/>
      <c r="AN1233" s="49"/>
      <c r="AO1233" s="49"/>
      <c r="AP1233" s="49"/>
      <c r="AQ1233" s="49"/>
      <c r="AR1233" s="49"/>
      <c r="AS1233" s="49"/>
      <c r="AT1233" s="49"/>
    </row>
    <row r="1234" ht="15.75" customHeight="1">
      <c r="A1234" s="37"/>
      <c r="B1234" s="37"/>
      <c r="C1234" s="39"/>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49"/>
      <c r="AE1234" s="49"/>
      <c r="AF1234" s="49"/>
      <c r="AG1234" s="49"/>
      <c r="AH1234" s="49"/>
      <c r="AI1234" s="49"/>
      <c r="AJ1234" s="49"/>
      <c r="AK1234" s="49"/>
      <c r="AL1234" s="49"/>
      <c r="AM1234" s="49"/>
      <c r="AN1234" s="49"/>
      <c r="AO1234" s="49"/>
      <c r="AP1234" s="49"/>
      <c r="AQ1234" s="49"/>
      <c r="AR1234" s="49"/>
      <c r="AS1234" s="49"/>
      <c r="AT1234" s="49"/>
    </row>
    <row r="1235" ht="15.75" customHeight="1">
      <c r="A1235" s="37"/>
      <c r="B1235" s="37"/>
      <c r="C1235" s="39"/>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49"/>
      <c r="AE1235" s="49"/>
      <c r="AF1235" s="49"/>
      <c r="AG1235" s="49"/>
      <c r="AH1235" s="49"/>
      <c r="AI1235" s="49"/>
      <c r="AJ1235" s="49"/>
      <c r="AK1235" s="49"/>
      <c r="AL1235" s="49"/>
      <c r="AM1235" s="49"/>
      <c r="AN1235" s="49"/>
      <c r="AO1235" s="49"/>
      <c r="AP1235" s="49"/>
      <c r="AQ1235" s="49"/>
      <c r="AR1235" s="49"/>
      <c r="AS1235" s="49"/>
      <c r="AT1235" s="49"/>
    </row>
    <row r="1236" ht="15.75" customHeight="1">
      <c r="A1236" s="37"/>
      <c r="B1236" s="37"/>
      <c r="C1236" s="39"/>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49"/>
      <c r="AE1236" s="49"/>
      <c r="AF1236" s="49"/>
      <c r="AG1236" s="49"/>
      <c r="AH1236" s="49"/>
      <c r="AI1236" s="49"/>
      <c r="AJ1236" s="49"/>
      <c r="AK1236" s="49"/>
      <c r="AL1236" s="49"/>
      <c r="AM1236" s="49"/>
      <c r="AN1236" s="49"/>
      <c r="AO1236" s="49"/>
      <c r="AP1236" s="49"/>
      <c r="AQ1236" s="49"/>
      <c r="AR1236" s="49"/>
      <c r="AS1236" s="49"/>
      <c r="AT1236" s="49"/>
    </row>
    <row r="1237" ht="15.75" customHeight="1">
      <c r="A1237" s="37"/>
      <c r="B1237" s="37"/>
      <c r="C1237" s="39"/>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49"/>
      <c r="AE1237" s="49"/>
      <c r="AF1237" s="49"/>
      <c r="AG1237" s="49"/>
      <c r="AH1237" s="49"/>
      <c r="AI1237" s="49"/>
      <c r="AJ1237" s="49"/>
      <c r="AK1237" s="49"/>
      <c r="AL1237" s="49"/>
      <c r="AM1237" s="49"/>
      <c r="AN1237" s="49"/>
      <c r="AO1237" s="49"/>
      <c r="AP1237" s="49"/>
      <c r="AQ1237" s="49"/>
      <c r="AR1237" s="49"/>
      <c r="AS1237" s="49"/>
      <c r="AT1237" s="49"/>
    </row>
    <row r="1238" ht="15.75" customHeight="1">
      <c r="A1238" s="37"/>
      <c r="B1238" s="37"/>
      <c r="C1238" s="39"/>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49"/>
      <c r="AE1238" s="49"/>
      <c r="AF1238" s="49"/>
      <c r="AG1238" s="49"/>
      <c r="AH1238" s="49"/>
      <c r="AI1238" s="49"/>
      <c r="AJ1238" s="49"/>
      <c r="AK1238" s="49"/>
      <c r="AL1238" s="49"/>
      <c r="AM1238" s="49"/>
      <c r="AN1238" s="49"/>
      <c r="AO1238" s="49"/>
      <c r="AP1238" s="49"/>
      <c r="AQ1238" s="49"/>
      <c r="AR1238" s="49"/>
      <c r="AS1238" s="49"/>
      <c r="AT1238" s="49"/>
    </row>
    <row r="1239" ht="15.75" customHeight="1">
      <c r="A1239" s="37"/>
      <c r="B1239" s="37"/>
      <c r="C1239" s="39"/>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49"/>
      <c r="AE1239" s="49"/>
      <c r="AF1239" s="49"/>
      <c r="AG1239" s="49"/>
      <c r="AH1239" s="49"/>
      <c r="AI1239" s="49"/>
      <c r="AJ1239" s="49"/>
      <c r="AK1239" s="49"/>
      <c r="AL1239" s="49"/>
      <c r="AM1239" s="49"/>
      <c r="AN1239" s="49"/>
      <c r="AO1239" s="49"/>
      <c r="AP1239" s="49"/>
      <c r="AQ1239" s="49"/>
      <c r="AR1239" s="49"/>
      <c r="AS1239" s="49"/>
      <c r="AT1239" s="49"/>
    </row>
    <row r="1240" ht="15.75" customHeight="1">
      <c r="A1240" s="37"/>
      <c r="B1240" s="37"/>
      <c r="C1240" s="39"/>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49"/>
      <c r="AE1240" s="49"/>
      <c r="AF1240" s="49"/>
      <c r="AG1240" s="49"/>
      <c r="AH1240" s="49"/>
      <c r="AI1240" s="49"/>
      <c r="AJ1240" s="49"/>
      <c r="AK1240" s="49"/>
      <c r="AL1240" s="49"/>
      <c r="AM1240" s="49"/>
      <c r="AN1240" s="49"/>
      <c r="AO1240" s="49"/>
      <c r="AP1240" s="49"/>
      <c r="AQ1240" s="49"/>
      <c r="AR1240" s="49"/>
      <c r="AS1240" s="49"/>
      <c r="AT1240" s="49"/>
    </row>
    <row r="1241" ht="15.75" customHeight="1">
      <c r="A1241" s="37"/>
      <c r="B1241" s="37"/>
      <c r="C1241" s="39"/>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49"/>
      <c r="AE1241" s="49"/>
      <c r="AF1241" s="49"/>
      <c r="AG1241" s="49"/>
      <c r="AH1241" s="49"/>
      <c r="AI1241" s="49"/>
      <c r="AJ1241" s="49"/>
      <c r="AK1241" s="49"/>
      <c r="AL1241" s="49"/>
      <c r="AM1241" s="49"/>
      <c r="AN1241" s="49"/>
      <c r="AO1241" s="49"/>
      <c r="AP1241" s="49"/>
      <c r="AQ1241" s="49"/>
      <c r="AR1241" s="49"/>
      <c r="AS1241" s="49"/>
      <c r="AT1241" s="49"/>
    </row>
    <row r="1242" ht="15.75" customHeight="1">
      <c r="A1242" s="37"/>
      <c r="B1242" s="37"/>
      <c r="C1242" s="39"/>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49"/>
      <c r="AE1242" s="49"/>
      <c r="AF1242" s="49"/>
      <c r="AG1242" s="49"/>
      <c r="AH1242" s="49"/>
      <c r="AI1242" s="49"/>
      <c r="AJ1242" s="49"/>
      <c r="AK1242" s="49"/>
      <c r="AL1242" s="49"/>
      <c r="AM1242" s="49"/>
      <c r="AN1242" s="49"/>
      <c r="AO1242" s="49"/>
      <c r="AP1242" s="49"/>
      <c r="AQ1242" s="49"/>
      <c r="AR1242" s="49"/>
      <c r="AS1242" s="49"/>
      <c r="AT1242" s="49"/>
    </row>
    <row r="1243" ht="15.75" customHeight="1">
      <c r="A1243" s="37"/>
      <c r="B1243" s="37"/>
      <c r="C1243" s="39"/>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49"/>
      <c r="AE1243" s="49"/>
      <c r="AF1243" s="49"/>
      <c r="AG1243" s="49"/>
      <c r="AH1243" s="49"/>
      <c r="AI1243" s="49"/>
      <c r="AJ1243" s="49"/>
      <c r="AK1243" s="49"/>
      <c r="AL1243" s="49"/>
      <c r="AM1243" s="49"/>
      <c r="AN1243" s="49"/>
      <c r="AO1243" s="49"/>
      <c r="AP1243" s="49"/>
      <c r="AQ1243" s="49"/>
      <c r="AR1243" s="49"/>
      <c r="AS1243" s="49"/>
      <c r="AT1243" s="49"/>
    </row>
    <row r="1244" ht="15.75" customHeight="1">
      <c r="A1244" s="37"/>
      <c r="B1244" s="37"/>
      <c r="C1244" s="39"/>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49"/>
      <c r="AE1244" s="49"/>
      <c r="AF1244" s="49"/>
      <c r="AG1244" s="49"/>
      <c r="AH1244" s="49"/>
      <c r="AI1244" s="49"/>
      <c r="AJ1244" s="49"/>
      <c r="AK1244" s="49"/>
      <c r="AL1244" s="49"/>
      <c r="AM1244" s="49"/>
      <c r="AN1244" s="49"/>
      <c r="AO1244" s="49"/>
      <c r="AP1244" s="49"/>
      <c r="AQ1244" s="49"/>
      <c r="AR1244" s="49"/>
      <c r="AS1244" s="49"/>
      <c r="AT1244" s="49"/>
    </row>
    <row r="1245" ht="15.75" customHeight="1">
      <c r="A1245" s="37"/>
      <c r="B1245" s="37"/>
      <c r="C1245" s="39"/>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49"/>
      <c r="AE1245" s="49"/>
      <c r="AF1245" s="49"/>
      <c r="AG1245" s="49"/>
      <c r="AH1245" s="49"/>
      <c r="AI1245" s="49"/>
      <c r="AJ1245" s="49"/>
      <c r="AK1245" s="49"/>
      <c r="AL1245" s="49"/>
      <c r="AM1245" s="49"/>
      <c r="AN1245" s="49"/>
      <c r="AO1245" s="49"/>
      <c r="AP1245" s="49"/>
      <c r="AQ1245" s="49"/>
      <c r="AR1245" s="49"/>
      <c r="AS1245" s="49"/>
      <c r="AT1245" s="49"/>
    </row>
    <row r="1246" ht="15.75" customHeight="1">
      <c r="A1246" s="37"/>
      <c r="B1246" s="37"/>
      <c r="C1246" s="39"/>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49"/>
      <c r="AE1246" s="49"/>
      <c r="AF1246" s="49"/>
      <c r="AG1246" s="49"/>
      <c r="AH1246" s="49"/>
      <c r="AI1246" s="49"/>
      <c r="AJ1246" s="49"/>
      <c r="AK1246" s="49"/>
      <c r="AL1246" s="49"/>
      <c r="AM1246" s="49"/>
      <c r="AN1246" s="49"/>
      <c r="AO1246" s="49"/>
      <c r="AP1246" s="49"/>
      <c r="AQ1246" s="49"/>
      <c r="AR1246" s="49"/>
      <c r="AS1246" s="49"/>
      <c r="AT1246" s="49"/>
    </row>
    <row r="1247" ht="15.75" customHeight="1">
      <c r="A1247" s="37"/>
      <c r="B1247" s="37"/>
      <c r="C1247" s="39"/>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49"/>
      <c r="AE1247" s="49"/>
      <c r="AF1247" s="49"/>
      <c r="AG1247" s="49"/>
      <c r="AH1247" s="49"/>
      <c r="AI1247" s="49"/>
      <c r="AJ1247" s="49"/>
      <c r="AK1247" s="49"/>
      <c r="AL1247" s="49"/>
      <c r="AM1247" s="49"/>
      <c r="AN1247" s="49"/>
      <c r="AO1247" s="49"/>
      <c r="AP1247" s="49"/>
      <c r="AQ1247" s="49"/>
      <c r="AR1247" s="49"/>
      <c r="AS1247" s="49"/>
      <c r="AT1247" s="49"/>
    </row>
    <row r="1248" ht="15.75" customHeight="1">
      <c r="A1248" s="37"/>
      <c r="B1248" s="37"/>
      <c r="C1248" s="39"/>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49"/>
      <c r="AE1248" s="49"/>
      <c r="AF1248" s="49"/>
      <c r="AG1248" s="49"/>
      <c r="AH1248" s="49"/>
      <c r="AI1248" s="49"/>
      <c r="AJ1248" s="49"/>
      <c r="AK1248" s="49"/>
      <c r="AL1248" s="49"/>
      <c r="AM1248" s="49"/>
      <c r="AN1248" s="49"/>
      <c r="AO1248" s="49"/>
      <c r="AP1248" s="49"/>
      <c r="AQ1248" s="49"/>
      <c r="AR1248" s="49"/>
      <c r="AS1248" s="49"/>
      <c r="AT1248" s="49"/>
    </row>
    <row r="1249" ht="15.75" customHeight="1">
      <c r="A1249" s="37"/>
      <c r="B1249" s="37"/>
      <c r="C1249" s="39"/>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49"/>
      <c r="AE1249" s="49"/>
      <c r="AF1249" s="49"/>
      <c r="AG1249" s="49"/>
      <c r="AH1249" s="49"/>
      <c r="AI1249" s="49"/>
      <c r="AJ1249" s="49"/>
      <c r="AK1249" s="49"/>
      <c r="AL1249" s="49"/>
      <c r="AM1249" s="49"/>
      <c r="AN1249" s="49"/>
      <c r="AO1249" s="49"/>
      <c r="AP1249" s="49"/>
      <c r="AQ1249" s="49"/>
      <c r="AR1249" s="49"/>
      <c r="AS1249" s="49"/>
      <c r="AT1249" s="49"/>
    </row>
    <row r="1250" ht="15.75" customHeight="1">
      <c r="A1250" s="37"/>
      <c r="B1250" s="37"/>
      <c r="C1250" s="39"/>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49"/>
      <c r="AE1250" s="49"/>
      <c r="AF1250" s="49"/>
      <c r="AG1250" s="49"/>
      <c r="AH1250" s="49"/>
      <c r="AI1250" s="49"/>
      <c r="AJ1250" s="49"/>
      <c r="AK1250" s="49"/>
      <c r="AL1250" s="49"/>
      <c r="AM1250" s="49"/>
      <c r="AN1250" s="49"/>
      <c r="AO1250" s="49"/>
      <c r="AP1250" s="49"/>
      <c r="AQ1250" s="49"/>
      <c r="AR1250" s="49"/>
      <c r="AS1250" s="49"/>
      <c r="AT1250" s="49"/>
    </row>
    <row r="1251" ht="15.75" customHeight="1">
      <c r="A1251" s="37"/>
      <c r="B1251" s="37"/>
      <c r="C1251" s="39"/>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49"/>
      <c r="AE1251" s="49"/>
      <c r="AF1251" s="49"/>
      <c r="AG1251" s="49"/>
      <c r="AH1251" s="49"/>
      <c r="AI1251" s="49"/>
      <c r="AJ1251" s="49"/>
      <c r="AK1251" s="49"/>
      <c r="AL1251" s="49"/>
      <c r="AM1251" s="49"/>
      <c r="AN1251" s="49"/>
      <c r="AO1251" s="49"/>
      <c r="AP1251" s="49"/>
      <c r="AQ1251" s="49"/>
      <c r="AR1251" s="49"/>
      <c r="AS1251" s="49"/>
      <c r="AT1251" s="49"/>
    </row>
    <row r="1252" ht="15.75" customHeight="1">
      <c r="A1252" s="37"/>
      <c r="B1252" s="37"/>
      <c r="C1252" s="39"/>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49"/>
      <c r="AE1252" s="49"/>
      <c r="AF1252" s="49"/>
      <c r="AG1252" s="49"/>
      <c r="AH1252" s="49"/>
      <c r="AI1252" s="49"/>
      <c r="AJ1252" s="49"/>
      <c r="AK1252" s="49"/>
      <c r="AL1252" s="49"/>
      <c r="AM1252" s="49"/>
      <c r="AN1252" s="49"/>
      <c r="AO1252" s="49"/>
      <c r="AP1252" s="49"/>
      <c r="AQ1252" s="49"/>
      <c r="AR1252" s="49"/>
      <c r="AS1252" s="49"/>
      <c r="AT1252" s="49"/>
    </row>
    <row r="1253" ht="15.75" customHeight="1">
      <c r="A1253" s="37"/>
      <c r="B1253" s="37"/>
      <c r="C1253" s="39"/>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49"/>
      <c r="AE1253" s="49"/>
      <c r="AF1253" s="49"/>
      <c r="AG1253" s="49"/>
      <c r="AH1253" s="49"/>
      <c r="AI1253" s="49"/>
      <c r="AJ1253" s="49"/>
      <c r="AK1253" s="49"/>
      <c r="AL1253" s="49"/>
      <c r="AM1253" s="49"/>
      <c r="AN1253" s="49"/>
      <c r="AO1253" s="49"/>
      <c r="AP1253" s="49"/>
      <c r="AQ1253" s="49"/>
      <c r="AR1253" s="49"/>
      <c r="AS1253" s="49"/>
      <c r="AT1253" s="49"/>
    </row>
    <row r="1254" ht="15.75" customHeight="1">
      <c r="A1254" s="37"/>
      <c r="B1254" s="37"/>
      <c r="C1254" s="39"/>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49"/>
      <c r="AE1254" s="49"/>
      <c r="AF1254" s="49"/>
      <c r="AG1254" s="49"/>
      <c r="AH1254" s="49"/>
      <c r="AI1254" s="49"/>
      <c r="AJ1254" s="49"/>
      <c r="AK1254" s="49"/>
      <c r="AL1254" s="49"/>
      <c r="AM1254" s="49"/>
      <c r="AN1254" s="49"/>
      <c r="AO1254" s="49"/>
      <c r="AP1254" s="49"/>
      <c r="AQ1254" s="49"/>
      <c r="AR1254" s="49"/>
      <c r="AS1254" s="49"/>
      <c r="AT1254" s="49"/>
    </row>
    <row r="1255" ht="15.75" customHeight="1">
      <c r="A1255" s="37"/>
      <c r="B1255" s="37"/>
      <c r="C1255" s="39"/>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49"/>
      <c r="AE1255" s="49"/>
      <c r="AF1255" s="49"/>
      <c r="AG1255" s="49"/>
      <c r="AH1255" s="49"/>
      <c r="AI1255" s="49"/>
      <c r="AJ1255" s="49"/>
      <c r="AK1255" s="49"/>
      <c r="AL1255" s="49"/>
      <c r="AM1255" s="49"/>
      <c r="AN1255" s="49"/>
      <c r="AO1255" s="49"/>
      <c r="AP1255" s="49"/>
      <c r="AQ1255" s="49"/>
      <c r="AR1255" s="49"/>
      <c r="AS1255" s="49"/>
      <c r="AT1255" s="49"/>
    </row>
    <row r="1256" ht="15.75" customHeight="1">
      <c r="A1256" s="37"/>
      <c r="B1256" s="37"/>
      <c r="C1256" s="39"/>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49"/>
      <c r="AE1256" s="49"/>
      <c r="AF1256" s="49"/>
      <c r="AG1256" s="49"/>
      <c r="AH1256" s="49"/>
      <c r="AI1256" s="49"/>
      <c r="AJ1256" s="49"/>
      <c r="AK1256" s="49"/>
      <c r="AL1256" s="49"/>
      <c r="AM1256" s="49"/>
      <c r="AN1256" s="49"/>
      <c r="AO1256" s="49"/>
      <c r="AP1256" s="49"/>
      <c r="AQ1256" s="49"/>
      <c r="AR1256" s="49"/>
      <c r="AS1256" s="49"/>
      <c r="AT1256" s="49"/>
    </row>
    <row r="1257" ht="15.75" customHeight="1">
      <c r="A1257" s="37"/>
      <c r="B1257" s="37"/>
      <c r="C1257" s="39"/>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49"/>
      <c r="AE1257" s="49"/>
      <c r="AF1257" s="49"/>
      <c r="AG1257" s="49"/>
      <c r="AH1257" s="49"/>
      <c r="AI1257" s="49"/>
      <c r="AJ1257" s="49"/>
      <c r="AK1257" s="49"/>
      <c r="AL1257" s="49"/>
      <c r="AM1257" s="49"/>
      <c r="AN1257" s="49"/>
      <c r="AO1257" s="49"/>
      <c r="AP1257" s="49"/>
      <c r="AQ1257" s="49"/>
      <c r="AR1257" s="49"/>
      <c r="AS1257" s="49"/>
      <c r="AT1257" s="49"/>
    </row>
    <row r="1258" ht="15.75" customHeight="1">
      <c r="A1258" s="37"/>
      <c r="B1258" s="37"/>
      <c r="C1258" s="39"/>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49"/>
      <c r="AE1258" s="49"/>
      <c r="AF1258" s="49"/>
      <c r="AG1258" s="49"/>
      <c r="AH1258" s="49"/>
      <c r="AI1258" s="49"/>
      <c r="AJ1258" s="49"/>
      <c r="AK1258" s="49"/>
      <c r="AL1258" s="49"/>
      <c r="AM1258" s="49"/>
      <c r="AN1258" s="49"/>
      <c r="AO1258" s="49"/>
      <c r="AP1258" s="49"/>
      <c r="AQ1258" s="49"/>
      <c r="AR1258" s="49"/>
      <c r="AS1258" s="49"/>
      <c r="AT1258" s="49"/>
    </row>
    <row r="1259" ht="15.75" customHeight="1">
      <c r="A1259" s="37"/>
      <c r="B1259" s="37"/>
      <c r="C1259" s="39"/>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49"/>
      <c r="AE1259" s="49"/>
      <c r="AF1259" s="49"/>
      <c r="AG1259" s="49"/>
      <c r="AH1259" s="49"/>
      <c r="AI1259" s="49"/>
      <c r="AJ1259" s="49"/>
      <c r="AK1259" s="49"/>
      <c r="AL1259" s="49"/>
      <c r="AM1259" s="49"/>
      <c r="AN1259" s="49"/>
      <c r="AO1259" s="49"/>
      <c r="AP1259" s="49"/>
      <c r="AQ1259" s="49"/>
      <c r="AR1259" s="49"/>
      <c r="AS1259" s="49"/>
      <c r="AT1259" s="49"/>
    </row>
    <row r="1260" ht="15.75" customHeight="1">
      <c r="A1260" s="37"/>
      <c r="B1260" s="37"/>
      <c r="C1260" s="39"/>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49"/>
      <c r="AE1260" s="49"/>
      <c r="AF1260" s="49"/>
      <c r="AG1260" s="49"/>
      <c r="AH1260" s="49"/>
      <c r="AI1260" s="49"/>
      <c r="AJ1260" s="49"/>
      <c r="AK1260" s="49"/>
      <c r="AL1260" s="49"/>
      <c r="AM1260" s="49"/>
      <c r="AN1260" s="49"/>
      <c r="AO1260" s="49"/>
      <c r="AP1260" s="49"/>
      <c r="AQ1260" s="49"/>
      <c r="AR1260" s="49"/>
      <c r="AS1260" s="49"/>
      <c r="AT1260" s="49"/>
    </row>
    <row r="1261" ht="15.75" customHeight="1">
      <c r="A1261" s="37"/>
      <c r="B1261" s="37"/>
      <c r="C1261" s="39"/>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49"/>
      <c r="AE1261" s="49"/>
      <c r="AF1261" s="49"/>
      <c r="AG1261" s="49"/>
      <c r="AH1261" s="49"/>
      <c r="AI1261" s="49"/>
      <c r="AJ1261" s="49"/>
      <c r="AK1261" s="49"/>
      <c r="AL1261" s="49"/>
      <c r="AM1261" s="49"/>
      <c r="AN1261" s="49"/>
      <c r="AO1261" s="49"/>
      <c r="AP1261" s="49"/>
      <c r="AQ1261" s="49"/>
      <c r="AR1261" s="49"/>
      <c r="AS1261" s="49"/>
      <c r="AT1261" s="49"/>
    </row>
    <row r="1262" ht="15.75" customHeight="1">
      <c r="A1262" s="37"/>
      <c r="B1262" s="37"/>
      <c r="C1262" s="39"/>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49"/>
      <c r="AE1262" s="49"/>
      <c r="AF1262" s="49"/>
      <c r="AG1262" s="49"/>
      <c r="AH1262" s="49"/>
      <c r="AI1262" s="49"/>
      <c r="AJ1262" s="49"/>
      <c r="AK1262" s="49"/>
      <c r="AL1262" s="49"/>
      <c r="AM1262" s="49"/>
      <c r="AN1262" s="49"/>
      <c r="AO1262" s="49"/>
      <c r="AP1262" s="49"/>
      <c r="AQ1262" s="49"/>
      <c r="AR1262" s="49"/>
      <c r="AS1262" s="49"/>
      <c r="AT1262" s="49"/>
    </row>
    <row r="1263" ht="15.75" customHeight="1">
      <c r="A1263" s="37"/>
      <c r="B1263" s="37"/>
      <c r="C1263" s="39"/>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49"/>
      <c r="AE1263" s="49"/>
      <c r="AF1263" s="49"/>
      <c r="AG1263" s="49"/>
      <c r="AH1263" s="49"/>
      <c r="AI1263" s="49"/>
      <c r="AJ1263" s="49"/>
      <c r="AK1263" s="49"/>
      <c r="AL1263" s="49"/>
      <c r="AM1263" s="49"/>
      <c r="AN1263" s="49"/>
      <c r="AO1263" s="49"/>
      <c r="AP1263" s="49"/>
      <c r="AQ1263" s="49"/>
      <c r="AR1263" s="49"/>
      <c r="AS1263" s="49"/>
      <c r="AT1263" s="49"/>
    </row>
    <row r="1264" ht="15.75" customHeight="1">
      <c r="A1264" s="37"/>
      <c r="B1264" s="37"/>
      <c r="C1264" s="39"/>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49"/>
      <c r="AE1264" s="49"/>
      <c r="AF1264" s="49"/>
      <c r="AG1264" s="49"/>
      <c r="AH1264" s="49"/>
      <c r="AI1264" s="49"/>
      <c r="AJ1264" s="49"/>
      <c r="AK1264" s="49"/>
      <c r="AL1264" s="49"/>
      <c r="AM1264" s="49"/>
      <c r="AN1264" s="49"/>
      <c r="AO1264" s="49"/>
      <c r="AP1264" s="49"/>
      <c r="AQ1264" s="49"/>
      <c r="AR1264" s="49"/>
      <c r="AS1264" s="49"/>
      <c r="AT1264" s="49"/>
    </row>
    <row r="1265" ht="15.75" customHeight="1">
      <c r="A1265" s="37"/>
      <c r="B1265" s="37"/>
      <c r="C1265" s="39"/>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49"/>
      <c r="AE1265" s="49"/>
      <c r="AF1265" s="49"/>
      <c r="AG1265" s="49"/>
      <c r="AH1265" s="49"/>
      <c r="AI1265" s="49"/>
      <c r="AJ1265" s="49"/>
      <c r="AK1265" s="49"/>
      <c r="AL1265" s="49"/>
      <c r="AM1265" s="49"/>
      <c r="AN1265" s="49"/>
      <c r="AO1265" s="49"/>
      <c r="AP1265" s="49"/>
      <c r="AQ1265" s="49"/>
      <c r="AR1265" s="49"/>
      <c r="AS1265" s="49"/>
      <c r="AT1265" s="49"/>
    </row>
    <row r="1266" ht="15.75" customHeight="1">
      <c r="A1266" s="37"/>
      <c r="B1266" s="37"/>
      <c r="C1266" s="39"/>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49"/>
      <c r="AE1266" s="49"/>
      <c r="AF1266" s="49"/>
      <c r="AG1266" s="49"/>
      <c r="AH1266" s="49"/>
      <c r="AI1266" s="49"/>
      <c r="AJ1266" s="49"/>
      <c r="AK1266" s="49"/>
      <c r="AL1266" s="49"/>
      <c r="AM1266" s="49"/>
      <c r="AN1266" s="49"/>
      <c r="AO1266" s="49"/>
      <c r="AP1266" s="49"/>
      <c r="AQ1266" s="49"/>
      <c r="AR1266" s="49"/>
      <c r="AS1266" s="49"/>
      <c r="AT1266" s="49"/>
    </row>
    <row r="1267" ht="15.75" customHeight="1">
      <c r="A1267" s="37"/>
      <c r="B1267" s="37"/>
      <c r="C1267" s="39"/>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49"/>
      <c r="AE1267" s="49"/>
      <c r="AF1267" s="49"/>
      <c r="AG1267" s="49"/>
      <c r="AH1267" s="49"/>
      <c r="AI1267" s="49"/>
      <c r="AJ1267" s="49"/>
      <c r="AK1267" s="49"/>
      <c r="AL1267" s="49"/>
      <c r="AM1267" s="49"/>
      <c r="AN1267" s="49"/>
      <c r="AO1267" s="49"/>
      <c r="AP1267" s="49"/>
      <c r="AQ1267" s="49"/>
      <c r="AR1267" s="49"/>
      <c r="AS1267" s="49"/>
      <c r="AT1267" s="49"/>
    </row>
    <row r="1268" ht="15.75" customHeight="1">
      <c r="A1268" s="37"/>
      <c r="B1268" s="37"/>
      <c r="C1268" s="39"/>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49"/>
      <c r="AE1268" s="49"/>
      <c r="AF1268" s="49"/>
      <c r="AG1268" s="49"/>
      <c r="AH1268" s="49"/>
      <c r="AI1268" s="49"/>
      <c r="AJ1268" s="49"/>
      <c r="AK1268" s="49"/>
      <c r="AL1268" s="49"/>
      <c r="AM1268" s="49"/>
      <c r="AN1268" s="49"/>
      <c r="AO1268" s="49"/>
      <c r="AP1268" s="49"/>
      <c r="AQ1268" s="49"/>
      <c r="AR1268" s="49"/>
      <c r="AS1268" s="49"/>
      <c r="AT1268" s="49"/>
    </row>
    <row r="1269" ht="15.75" customHeight="1">
      <c r="A1269" s="37"/>
      <c r="B1269" s="37"/>
      <c r="C1269" s="39"/>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49"/>
      <c r="AE1269" s="49"/>
      <c r="AF1269" s="49"/>
      <c r="AG1269" s="49"/>
      <c r="AH1269" s="49"/>
      <c r="AI1269" s="49"/>
      <c r="AJ1269" s="49"/>
      <c r="AK1269" s="49"/>
      <c r="AL1269" s="49"/>
      <c r="AM1269" s="49"/>
      <c r="AN1269" s="49"/>
      <c r="AO1269" s="49"/>
      <c r="AP1269" s="49"/>
      <c r="AQ1269" s="49"/>
      <c r="AR1269" s="49"/>
      <c r="AS1269" s="49"/>
      <c r="AT1269" s="49"/>
    </row>
    <row r="1270" ht="15.75" customHeight="1">
      <c r="A1270" s="37"/>
      <c r="B1270" s="37"/>
      <c r="C1270" s="39"/>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49"/>
      <c r="AE1270" s="49"/>
      <c r="AF1270" s="49"/>
      <c r="AG1270" s="49"/>
      <c r="AH1270" s="49"/>
      <c r="AI1270" s="49"/>
      <c r="AJ1270" s="49"/>
      <c r="AK1270" s="49"/>
      <c r="AL1270" s="49"/>
      <c r="AM1270" s="49"/>
      <c r="AN1270" s="49"/>
      <c r="AO1270" s="49"/>
      <c r="AP1270" s="49"/>
      <c r="AQ1270" s="49"/>
      <c r="AR1270" s="49"/>
      <c r="AS1270" s="49"/>
      <c r="AT1270" s="49"/>
    </row>
    <row r="1271" ht="15.75" customHeight="1">
      <c r="A1271" s="37"/>
      <c r="B1271" s="37"/>
      <c r="C1271" s="39"/>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49"/>
      <c r="AE1271" s="49"/>
      <c r="AF1271" s="49"/>
      <c r="AG1271" s="49"/>
      <c r="AH1271" s="49"/>
      <c r="AI1271" s="49"/>
      <c r="AJ1271" s="49"/>
      <c r="AK1271" s="49"/>
      <c r="AL1271" s="49"/>
      <c r="AM1271" s="49"/>
      <c r="AN1271" s="49"/>
      <c r="AO1271" s="49"/>
      <c r="AP1271" s="49"/>
      <c r="AQ1271" s="49"/>
      <c r="AR1271" s="49"/>
      <c r="AS1271" s="49"/>
      <c r="AT1271" s="49"/>
    </row>
    <row r="1272" ht="15.75" customHeight="1">
      <c r="A1272" s="37"/>
      <c r="B1272" s="37"/>
      <c r="C1272" s="39"/>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49"/>
      <c r="AE1272" s="49"/>
      <c r="AF1272" s="49"/>
      <c r="AG1272" s="49"/>
      <c r="AH1272" s="49"/>
      <c r="AI1272" s="49"/>
      <c r="AJ1272" s="49"/>
      <c r="AK1272" s="49"/>
      <c r="AL1272" s="49"/>
      <c r="AM1272" s="49"/>
      <c r="AN1272" s="49"/>
      <c r="AO1272" s="49"/>
      <c r="AP1272" s="49"/>
      <c r="AQ1272" s="49"/>
      <c r="AR1272" s="49"/>
      <c r="AS1272" s="49"/>
      <c r="AT1272" s="49"/>
    </row>
    <row r="1273" ht="15.75" customHeight="1">
      <c r="A1273" s="37"/>
      <c r="B1273" s="37"/>
      <c r="C1273" s="39"/>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49"/>
      <c r="AE1273" s="49"/>
      <c r="AF1273" s="49"/>
      <c r="AG1273" s="49"/>
      <c r="AH1273" s="49"/>
      <c r="AI1273" s="49"/>
      <c r="AJ1273" s="49"/>
      <c r="AK1273" s="49"/>
      <c r="AL1273" s="49"/>
      <c r="AM1273" s="49"/>
      <c r="AN1273" s="49"/>
      <c r="AO1273" s="49"/>
      <c r="AP1273" s="49"/>
      <c r="AQ1273" s="49"/>
      <c r="AR1273" s="49"/>
      <c r="AS1273" s="49"/>
      <c r="AT1273" s="49"/>
    </row>
    <row r="1274" ht="15.75" customHeight="1">
      <c r="A1274" s="37"/>
      <c r="B1274" s="37"/>
      <c r="C1274" s="39"/>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49"/>
      <c r="AE1274" s="49"/>
      <c r="AF1274" s="49"/>
      <c r="AG1274" s="49"/>
      <c r="AH1274" s="49"/>
      <c r="AI1274" s="49"/>
      <c r="AJ1274" s="49"/>
      <c r="AK1274" s="49"/>
      <c r="AL1274" s="49"/>
      <c r="AM1274" s="49"/>
      <c r="AN1274" s="49"/>
      <c r="AO1274" s="49"/>
      <c r="AP1274" s="49"/>
      <c r="AQ1274" s="49"/>
      <c r="AR1274" s="49"/>
      <c r="AS1274" s="49"/>
      <c r="AT1274" s="49"/>
    </row>
    <row r="1275" ht="15.75" customHeight="1">
      <c r="A1275" s="37"/>
      <c r="B1275" s="37"/>
      <c r="C1275" s="39"/>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49"/>
      <c r="AE1275" s="49"/>
      <c r="AF1275" s="49"/>
      <c r="AG1275" s="49"/>
      <c r="AH1275" s="49"/>
      <c r="AI1275" s="49"/>
      <c r="AJ1275" s="49"/>
      <c r="AK1275" s="49"/>
      <c r="AL1275" s="49"/>
      <c r="AM1275" s="49"/>
      <c r="AN1275" s="49"/>
      <c r="AO1275" s="49"/>
      <c r="AP1275" s="49"/>
      <c r="AQ1275" s="49"/>
      <c r="AR1275" s="49"/>
      <c r="AS1275" s="49"/>
      <c r="AT1275" s="49"/>
    </row>
    <row r="1276" ht="15.75" customHeight="1">
      <c r="A1276" s="37"/>
      <c r="B1276" s="37"/>
      <c r="C1276" s="39"/>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49"/>
      <c r="AE1276" s="49"/>
      <c r="AF1276" s="49"/>
      <c r="AG1276" s="49"/>
      <c r="AH1276" s="49"/>
      <c r="AI1276" s="49"/>
      <c r="AJ1276" s="49"/>
      <c r="AK1276" s="49"/>
      <c r="AL1276" s="49"/>
      <c r="AM1276" s="49"/>
      <c r="AN1276" s="49"/>
      <c r="AO1276" s="49"/>
      <c r="AP1276" s="49"/>
      <c r="AQ1276" s="49"/>
      <c r="AR1276" s="49"/>
      <c r="AS1276" s="49"/>
      <c r="AT1276" s="49"/>
    </row>
    <row r="1277" ht="15.75" customHeight="1">
      <c r="A1277" s="37"/>
      <c r="B1277" s="37"/>
      <c r="C1277" s="39"/>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49"/>
      <c r="AE1277" s="49"/>
      <c r="AF1277" s="49"/>
      <c r="AG1277" s="49"/>
      <c r="AH1277" s="49"/>
      <c r="AI1277" s="49"/>
      <c r="AJ1277" s="49"/>
      <c r="AK1277" s="49"/>
      <c r="AL1277" s="49"/>
      <c r="AM1277" s="49"/>
      <c r="AN1277" s="49"/>
      <c r="AO1277" s="49"/>
      <c r="AP1277" s="49"/>
      <c r="AQ1277" s="49"/>
      <c r="AR1277" s="49"/>
      <c r="AS1277" s="49"/>
      <c r="AT1277" s="49"/>
    </row>
    <row r="1278" ht="15.75" customHeight="1">
      <c r="A1278" s="37"/>
      <c r="B1278" s="37"/>
      <c r="C1278" s="39"/>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49"/>
      <c r="AE1278" s="49"/>
      <c r="AF1278" s="49"/>
      <c r="AG1278" s="49"/>
      <c r="AH1278" s="49"/>
      <c r="AI1278" s="49"/>
      <c r="AJ1278" s="49"/>
      <c r="AK1278" s="49"/>
      <c r="AL1278" s="49"/>
      <c r="AM1278" s="49"/>
      <c r="AN1278" s="49"/>
      <c r="AO1278" s="49"/>
      <c r="AP1278" s="49"/>
      <c r="AQ1278" s="49"/>
      <c r="AR1278" s="49"/>
      <c r="AS1278" s="49"/>
      <c r="AT1278" s="49"/>
    </row>
    <row r="1279" ht="15.75" customHeight="1">
      <c r="A1279" s="37"/>
      <c r="B1279" s="37"/>
      <c r="C1279" s="39"/>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49"/>
      <c r="AE1279" s="49"/>
      <c r="AF1279" s="49"/>
      <c r="AG1279" s="49"/>
      <c r="AH1279" s="49"/>
      <c r="AI1279" s="49"/>
      <c r="AJ1279" s="49"/>
      <c r="AK1279" s="49"/>
      <c r="AL1279" s="49"/>
      <c r="AM1279" s="49"/>
      <c r="AN1279" s="49"/>
      <c r="AO1279" s="49"/>
      <c r="AP1279" s="49"/>
      <c r="AQ1279" s="49"/>
      <c r="AR1279" s="49"/>
      <c r="AS1279" s="49"/>
      <c r="AT1279" s="49"/>
    </row>
    <row r="1280" ht="15.75" customHeight="1">
      <c r="A1280" s="37"/>
      <c r="B1280" s="37"/>
      <c r="C1280" s="39"/>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49"/>
      <c r="AE1280" s="49"/>
      <c r="AF1280" s="49"/>
      <c r="AG1280" s="49"/>
      <c r="AH1280" s="49"/>
      <c r="AI1280" s="49"/>
      <c r="AJ1280" s="49"/>
      <c r="AK1280" s="49"/>
      <c r="AL1280" s="49"/>
      <c r="AM1280" s="49"/>
      <c r="AN1280" s="49"/>
      <c r="AO1280" s="49"/>
      <c r="AP1280" s="49"/>
      <c r="AQ1280" s="49"/>
      <c r="AR1280" s="49"/>
      <c r="AS1280" s="49"/>
      <c r="AT1280" s="49"/>
    </row>
    <row r="1281" ht="15.75" customHeight="1">
      <c r="A1281" s="37"/>
      <c r="B1281" s="37"/>
      <c r="C1281" s="39"/>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49"/>
      <c r="AE1281" s="49"/>
      <c r="AF1281" s="49"/>
      <c r="AG1281" s="49"/>
      <c r="AH1281" s="49"/>
      <c r="AI1281" s="49"/>
      <c r="AJ1281" s="49"/>
      <c r="AK1281" s="49"/>
      <c r="AL1281" s="49"/>
      <c r="AM1281" s="49"/>
      <c r="AN1281" s="49"/>
      <c r="AO1281" s="49"/>
      <c r="AP1281" s="49"/>
      <c r="AQ1281" s="49"/>
      <c r="AR1281" s="49"/>
      <c r="AS1281" s="49"/>
      <c r="AT1281" s="49"/>
    </row>
    <row r="1282" ht="15.75" customHeight="1">
      <c r="A1282" s="37"/>
      <c r="B1282" s="37"/>
      <c r="C1282" s="39"/>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49"/>
      <c r="AE1282" s="49"/>
      <c r="AF1282" s="49"/>
      <c r="AG1282" s="49"/>
      <c r="AH1282" s="49"/>
      <c r="AI1282" s="49"/>
      <c r="AJ1282" s="49"/>
      <c r="AK1282" s="49"/>
      <c r="AL1282" s="49"/>
      <c r="AM1282" s="49"/>
      <c r="AN1282" s="49"/>
      <c r="AO1282" s="49"/>
      <c r="AP1282" s="49"/>
      <c r="AQ1282" s="49"/>
      <c r="AR1282" s="49"/>
      <c r="AS1282" s="49"/>
      <c r="AT1282" s="49"/>
    </row>
    <row r="1283" ht="15.75" customHeight="1">
      <c r="A1283" s="37"/>
      <c r="B1283" s="37"/>
      <c r="C1283" s="39"/>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49"/>
      <c r="AE1283" s="49"/>
      <c r="AF1283" s="49"/>
      <c r="AG1283" s="49"/>
      <c r="AH1283" s="49"/>
      <c r="AI1283" s="49"/>
      <c r="AJ1283" s="49"/>
      <c r="AK1283" s="49"/>
      <c r="AL1283" s="49"/>
      <c r="AM1283" s="49"/>
      <c r="AN1283" s="49"/>
      <c r="AO1283" s="49"/>
      <c r="AP1283" s="49"/>
      <c r="AQ1283" s="49"/>
      <c r="AR1283" s="49"/>
      <c r="AS1283" s="49"/>
      <c r="AT1283" s="49"/>
    </row>
    <row r="1284" ht="15.75" customHeight="1">
      <c r="A1284" s="37"/>
      <c r="B1284" s="37"/>
      <c r="C1284" s="39"/>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49"/>
      <c r="AE1284" s="49"/>
      <c r="AF1284" s="49"/>
      <c r="AG1284" s="49"/>
      <c r="AH1284" s="49"/>
      <c r="AI1284" s="49"/>
      <c r="AJ1284" s="49"/>
      <c r="AK1284" s="49"/>
      <c r="AL1284" s="49"/>
      <c r="AM1284" s="49"/>
      <c r="AN1284" s="49"/>
      <c r="AO1284" s="49"/>
      <c r="AP1284" s="49"/>
      <c r="AQ1284" s="49"/>
      <c r="AR1284" s="49"/>
      <c r="AS1284" s="49"/>
      <c r="AT1284" s="49"/>
    </row>
    <row r="1285" ht="15.75" customHeight="1">
      <c r="A1285" s="37"/>
      <c r="B1285" s="37"/>
      <c r="C1285" s="39"/>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49"/>
      <c r="AE1285" s="49"/>
      <c r="AF1285" s="49"/>
      <c r="AG1285" s="49"/>
      <c r="AH1285" s="49"/>
      <c r="AI1285" s="49"/>
      <c r="AJ1285" s="49"/>
      <c r="AK1285" s="49"/>
      <c r="AL1285" s="49"/>
      <c r="AM1285" s="49"/>
      <c r="AN1285" s="49"/>
      <c r="AO1285" s="49"/>
      <c r="AP1285" s="49"/>
      <c r="AQ1285" s="49"/>
      <c r="AR1285" s="49"/>
      <c r="AS1285" s="49"/>
      <c r="AT1285" s="49"/>
    </row>
    <row r="1286" ht="15.75" customHeight="1">
      <c r="A1286" s="37"/>
      <c r="B1286" s="37"/>
      <c r="C1286" s="39"/>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49"/>
      <c r="AE1286" s="49"/>
      <c r="AF1286" s="49"/>
      <c r="AG1286" s="49"/>
      <c r="AH1286" s="49"/>
      <c r="AI1286" s="49"/>
      <c r="AJ1286" s="49"/>
      <c r="AK1286" s="49"/>
      <c r="AL1286" s="49"/>
      <c r="AM1286" s="49"/>
      <c r="AN1286" s="49"/>
      <c r="AO1286" s="49"/>
      <c r="AP1286" s="49"/>
      <c r="AQ1286" s="49"/>
      <c r="AR1286" s="49"/>
      <c r="AS1286" s="49"/>
      <c r="AT1286" s="49"/>
    </row>
    <row r="1287" ht="15.75" customHeight="1">
      <c r="A1287" s="37"/>
      <c r="B1287" s="37"/>
      <c r="C1287" s="39"/>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49"/>
      <c r="AE1287" s="49"/>
      <c r="AF1287" s="49"/>
      <c r="AG1287" s="49"/>
      <c r="AH1287" s="49"/>
      <c r="AI1287" s="49"/>
      <c r="AJ1287" s="49"/>
      <c r="AK1287" s="49"/>
      <c r="AL1287" s="49"/>
      <c r="AM1287" s="49"/>
      <c r="AN1287" s="49"/>
      <c r="AO1287" s="49"/>
      <c r="AP1287" s="49"/>
      <c r="AQ1287" s="49"/>
      <c r="AR1287" s="49"/>
      <c r="AS1287" s="49"/>
      <c r="AT1287" s="49"/>
    </row>
    <row r="1288" ht="15.75" customHeight="1">
      <c r="A1288" s="37"/>
      <c r="B1288" s="37"/>
      <c r="C1288" s="39"/>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49"/>
      <c r="AE1288" s="49"/>
      <c r="AF1288" s="49"/>
      <c r="AG1288" s="49"/>
      <c r="AH1288" s="49"/>
      <c r="AI1288" s="49"/>
      <c r="AJ1288" s="49"/>
      <c r="AK1288" s="49"/>
      <c r="AL1288" s="49"/>
      <c r="AM1288" s="49"/>
      <c r="AN1288" s="49"/>
      <c r="AO1288" s="49"/>
      <c r="AP1288" s="49"/>
      <c r="AQ1288" s="49"/>
      <c r="AR1288" s="49"/>
      <c r="AS1288" s="49"/>
      <c r="AT1288" s="49"/>
    </row>
    <row r="1289" ht="15.75" customHeight="1">
      <c r="A1289" s="37"/>
      <c r="B1289" s="37"/>
      <c r="C1289" s="39"/>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49"/>
      <c r="AE1289" s="49"/>
      <c r="AF1289" s="49"/>
      <c r="AG1289" s="49"/>
      <c r="AH1289" s="49"/>
      <c r="AI1289" s="49"/>
      <c r="AJ1289" s="49"/>
      <c r="AK1289" s="49"/>
      <c r="AL1289" s="49"/>
      <c r="AM1289" s="49"/>
      <c r="AN1289" s="49"/>
      <c r="AO1289" s="49"/>
      <c r="AP1289" s="49"/>
      <c r="AQ1289" s="49"/>
      <c r="AR1289" s="49"/>
      <c r="AS1289" s="49"/>
      <c r="AT1289" s="49"/>
    </row>
    <row r="1290" ht="15.75" customHeight="1">
      <c r="A1290" s="37"/>
      <c r="B1290" s="37"/>
      <c r="C1290" s="39"/>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49"/>
      <c r="AE1290" s="49"/>
      <c r="AF1290" s="49"/>
      <c r="AG1290" s="49"/>
      <c r="AH1290" s="49"/>
      <c r="AI1290" s="49"/>
      <c r="AJ1290" s="49"/>
      <c r="AK1290" s="49"/>
      <c r="AL1290" s="49"/>
      <c r="AM1290" s="49"/>
      <c r="AN1290" s="49"/>
      <c r="AO1290" s="49"/>
      <c r="AP1290" s="49"/>
      <c r="AQ1290" s="49"/>
      <c r="AR1290" s="49"/>
      <c r="AS1290" s="49"/>
      <c r="AT1290" s="49"/>
    </row>
    <row r="1291" ht="15.75" customHeight="1">
      <c r="A1291" s="37"/>
      <c r="B1291" s="37"/>
      <c r="C1291" s="39"/>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49"/>
      <c r="AE1291" s="49"/>
      <c r="AF1291" s="49"/>
      <c r="AG1291" s="49"/>
      <c r="AH1291" s="49"/>
      <c r="AI1291" s="49"/>
      <c r="AJ1291" s="49"/>
      <c r="AK1291" s="49"/>
      <c r="AL1291" s="49"/>
      <c r="AM1291" s="49"/>
      <c r="AN1291" s="49"/>
      <c r="AO1291" s="49"/>
      <c r="AP1291" s="49"/>
      <c r="AQ1291" s="49"/>
      <c r="AR1291" s="49"/>
      <c r="AS1291" s="49"/>
      <c r="AT1291" s="49"/>
    </row>
    <row r="1292" ht="15.75" customHeight="1">
      <c r="A1292" s="37"/>
      <c r="B1292" s="37"/>
      <c r="C1292" s="39"/>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49"/>
      <c r="AE1292" s="49"/>
      <c r="AF1292" s="49"/>
      <c r="AG1292" s="49"/>
      <c r="AH1292" s="49"/>
      <c r="AI1292" s="49"/>
      <c r="AJ1292" s="49"/>
      <c r="AK1292" s="49"/>
      <c r="AL1292" s="49"/>
      <c r="AM1292" s="49"/>
      <c r="AN1292" s="49"/>
      <c r="AO1292" s="49"/>
      <c r="AP1292" s="49"/>
      <c r="AQ1292" s="49"/>
      <c r="AR1292" s="49"/>
      <c r="AS1292" s="49"/>
      <c r="AT1292" s="49"/>
    </row>
    <row r="1293" ht="15.75" customHeight="1">
      <c r="A1293" s="37"/>
      <c r="B1293" s="37"/>
      <c r="C1293" s="39"/>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49"/>
      <c r="AE1293" s="49"/>
      <c r="AF1293" s="49"/>
      <c r="AG1293" s="49"/>
      <c r="AH1293" s="49"/>
      <c r="AI1293" s="49"/>
      <c r="AJ1293" s="49"/>
      <c r="AK1293" s="49"/>
      <c r="AL1293" s="49"/>
      <c r="AM1293" s="49"/>
      <c r="AN1293" s="49"/>
      <c r="AO1293" s="49"/>
      <c r="AP1293" s="49"/>
      <c r="AQ1293" s="49"/>
      <c r="AR1293" s="49"/>
      <c r="AS1293" s="49"/>
      <c r="AT1293" s="49"/>
    </row>
    <row r="1294" ht="15.75" customHeight="1">
      <c r="A1294" s="37"/>
      <c r="B1294" s="37"/>
      <c r="C1294" s="39"/>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49"/>
      <c r="AE1294" s="49"/>
      <c r="AF1294" s="49"/>
      <c r="AG1294" s="49"/>
      <c r="AH1294" s="49"/>
      <c r="AI1294" s="49"/>
      <c r="AJ1294" s="49"/>
      <c r="AK1294" s="49"/>
      <c r="AL1294" s="49"/>
      <c r="AM1294" s="49"/>
      <c r="AN1294" s="49"/>
      <c r="AO1294" s="49"/>
      <c r="AP1294" s="49"/>
      <c r="AQ1294" s="49"/>
      <c r="AR1294" s="49"/>
      <c r="AS1294" s="49"/>
      <c r="AT1294" s="49"/>
    </row>
    <row r="1295" ht="15.75" customHeight="1">
      <c r="A1295" s="37"/>
      <c r="B1295" s="37"/>
      <c r="C1295" s="39"/>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49"/>
      <c r="AE1295" s="49"/>
      <c r="AF1295" s="49"/>
      <c r="AG1295" s="49"/>
      <c r="AH1295" s="49"/>
      <c r="AI1295" s="49"/>
      <c r="AJ1295" s="49"/>
      <c r="AK1295" s="49"/>
      <c r="AL1295" s="49"/>
      <c r="AM1295" s="49"/>
      <c r="AN1295" s="49"/>
      <c r="AO1295" s="49"/>
      <c r="AP1295" s="49"/>
      <c r="AQ1295" s="49"/>
      <c r="AR1295" s="49"/>
      <c r="AS1295" s="49"/>
      <c r="AT1295" s="49"/>
    </row>
    <row r="1296" ht="15.75" customHeight="1">
      <c r="A1296" s="37"/>
      <c r="B1296" s="37"/>
      <c r="C1296" s="39"/>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49"/>
      <c r="AE1296" s="49"/>
      <c r="AF1296" s="49"/>
      <c r="AG1296" s="49"/>
      <c r="AH1296" s="49"/>
      <c r="AI1296" s="49"/>
      <c r="AJ1296" s="49"/>
      <c r="AK1296" s="49"/>
      <c r="AL1296" s="49"/>
      <c r="AM1296" s="49"/>
      <c r="AN1296" s="49"/>
      <c r="AO1296" s="49"/>
      <c r="AP1296" s="49"/>
      <c r="AQ1296" s="49"/>
      <c r="AR1296" s="49"/>
      <c r="AS1296" s="49"/>
      <c r="AT1296" s="49"/>
    </row>
    <row r="1297" ht="15.75" customHeight="1">
      <c r="A1297" s="37"/>
      <c r="B1297" s="37"/>
      <c r="C1297" s="39"/>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49"/>
      <c r="AE1297" s="49"/>
      <c r="AF1297" s="49"/>
      <c r="AG1297" s="49"/>
      <c r="AH1297" s="49"/>
      <c r="AI1297" s="49"/>
      <c r="AJ1297" s="49"/>
      <c r="AK1297" s="49"/>
      <c r="AL1297" s="49"/>
      <c r="AM1297" s="49"/>
      <c r="AN1297" s="49"/>
      <c r="AO1297" s="49"/>
      <c r="AP1297" s="49"/>
      <c r="AQ1297" s="49"/>
      <c r="AR1297" s="49"/>
      <c r="AS1297" s="49"/>
      <c r="AT1297" s="49"/>
    </row>
    <row r="1298" ht="15.75" customHeight="1">
      <c r="A1298" s="37"/>
      <c r="B1298" s="37"/>
      <c r="C1298" s="39"/>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49"/>
      <c r="AE1298" s="49"/>
      <c r="AF1298" s="49"/>
      <c r="AG1298" s="49"/>
      <c r="AH1298" s="49"/>
      <c r="AI1298" s="49"/>
      <c r="AJ1298" s="49"/>
      <c r="AK1298" s="49"/>
      <c r="AL1298" s="49"/>
      <c r="AM1298" s="49"/>
      <c r="AN1298" s="49"/>
      <c r="AO1298" s="49"/>
      <c r="AP1298" s="49"/>
      <c r="AQ1298" s="49"/>
      <c r="AR1298" s="49"/>
      <c r="AS1298" s="49"/>
      <c r="AT1298" s="49"/>
    </row>
    <row r="1299" ht="15.75" customHeight="1">
      <c r="A1299" s="37"/>
      <c r="B1299" s="37"/>
      <c r="C1299" s="39"/>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49"/>
      <c r="AE1299" s="49"/>
      <c r="AF1299" s="49"/>
      <c r="AG1299" s="49"/>
      <c r="AH1299" s="49"/>
      <c r="AI1299" s="49"/>
      <c r="AJ1299" s="49"/>
      <c r="AK1299" s="49"/>
      <c r="AL1299" s="49"/>
      <c r="AM1299" s="49"/>
      <c r="AN1299" s="49"/>
      <c r="AO1299" s="49"/>
      <c r="AP1299" s="49"/>
      <c r="AQ1299" s="49"/>
      <c r="AR1299" s="49"/>
      <c r="AS1299" s="49"/>
      <c r="AT1299" s="49"/>
    </row>
  </sheetData>
  <autoFilter ref="$A$1:$A$1299"/>
  <conditionalFormatting sqref="B1:C1299 J1:J1299 M1:N1299 O1:O651 D10:H820 T22 O653:O1299">
    <cfRule type="expression" dxfId="0" priority="1" stopIfTrue="1">
      <formula>$A1="begin group"</formula>
    </cfRule>
  </conditionalFormatting>
  <conditionalFormatting sqref="B1:C1299 M1:N1299 O1:O651 U1:U1299 D10:H820 T22 T411 O653:O1299">
    <cfRule type="expression" dxfId="1" priority="2" stopIfTrue="1">
      <formula>$A1="begin repeat"</formula>
    </cfRule>
  </conditionalFormatting>
  <conditionalFormatting sqref="B1:F1299 J1:J1299 G10:H820 T22">
    <cfRule type="expression" dxfId="31" priority="3" stopIfTrue="1">
      <formula>$A1="enumerator"</formula>
    </cfRule>
  </conditionalFormatting>
  <conditionalFormatting sqref="B1:F1299 J1:J1299 G10:H820 T22">
    <cfRule type="expression" dxfId="2" priority="4" stopIfTrue="1">
      <formula>$A1="text"</formula>
    </cfRule>
  </conditionalFormatting>
  <conditionalFormatting sqref="B1:F1299 K1:K651 L1:L1299 G10:H820 T22 O652 K653:K1299">
    <cfRule type="expression" dxfId="3" priority="5" stopIfTrue="1">
      <formula>$A1="integer"</formula>
    </cfRule>
  </conditionalFormatting>
  <conditionalFormatting sqref="B1:F1299 K1:K651 L1:L1299 G10:H820 T22 O652 K653:K1299">
    <cfRule type="expression" dxfId="4" priority="6" stopIfTrue="1">
      <formula>$A1="decimal"</formula>
    </cfRule>
  </conditionalFormatting>
  <conditionalFormatting sqref="B1:C1299 J1:J1299 D10:H820 T22">
    <cfRule type="expression" dxfId="5" priority="7" stopIfTrue="1">
      <formula>OR(AND(LEFT($A1, 16)="select_multiple ", LEN($A1)&gt;16, NOT(ISNUMBER(SEARCH(" ", $A1, 17)))), AND(LEFT($A1, 11)="select_one ", LEN($A1)&gt;11, NOT(ISNUMBER(SEARCH(" ", $A1, 12)))))</formula>
    </cfRule>
  </conditionalFormatting>
  <conditionalFormatting sqref="B1:B1299 J1:J1299 T22 C106 C265 C426 C591 C759">
    <cfRule type="expression" dxfId="6" priority="8" stopIfTrue="1">
      <formula>OR($A1="audio audit", $A1="text audit", $A1="speed violations count", $A1="speed violations list", $A1="speed violations audit")</formula>
    </cfRule>
  </conditionalFormatting>
  <conditionalFormatting sqref="B1:C1299 D10:H820 T22">
    <cfRule type="expression" dxfId="32" priority="9" stopIfTrue="1">
      <formula>$A1="file"</formula>
    </cfRule>
  </conditionalFormatting>
  <conditionalFormatting sqref="B1:C1299 D10:H820 T22">
    <cfRule type="expression" dxfId="7" priority="10" stopIfTrue="1">
      <formula>$A1="note"</formula>
    </cfRule>
  </conditionalFormatting>
  <conditionalFormatting sqref="B1:C1299 D10:H820 T22">
    <cfRule type="expression" dxfId="8" priority="11" stopIfTrue="1">
      <formula>$A1="barcode"</formula>
    </cfRule>
  </conditionalFormatting>
  <conditionalFormatting sqref="B1:C1299 D10:H820 T22">
    <cfRule type="expression" dxfId="9" priority="12" stopIfTrue="1">
      <formula>OR($A1="geopoint", $A1="geoshape", $A1="geotrace")</formula>
    </cfRule>
  </conditionalFormatting>
  <conditionalFormatting sqref="B1:B1299 T1:T1299 C106 C265 C426 C591 C759">
    <cfRule type="expression" dxfId="10" priority="13" stopIfTrue="1">
      <formula>OR($A1="calculate", $A1="calculate_here")</formula>
    </cfRule>
  </conditionalFormatting>
  <conditionalFormatting sqref="B1:C1299 J1:J1299 D10:H820 T22">
    <cfRule type="expression" dxfId="11" priority="14" stopIfTrue="1">
      <formula>OR($A1="date", $A1="datetime", $A1="time")</formula>
    </cfRule>
  </conditionalFormatting>
  <conditionalFormatting sqref="B1:C1299 J1:J1299 D10:H820 T22">
    <cfRule type="expression" dxfId="12" priority="15" stopIfTrue="1">
      <formula>$A1="image"</formula>
    </cfRule>
  </conditionalFormatting>
  <conditionalFormatting sqref="B1:C1299 D10:H820 T22">
    <cfRule type="expression" dxfId="13" priority="16" stopIfTrue="1">
      <formula>OR($A1="audio", $A1="video")</formula>
    </cfRule>
  </conditionalFormatting>
  <conditionalFormatting sqref="A1:AC1299">
    <cfRule type="expression" dxfId="33" priority="17" stopIfTrue="1">
      <formula>$A1="file"</formula>
    </cfRule>
  </conditionalFormatting>
  <conditionalFormatting sqref="A1:AC1299">
    <cfRule type="expression" dxfId="34" priority="18" stopIfTrue="1">
      <formula>$A1="enumerator"</formula>
    </cfRule>
  </conditionalFormatting>
  <conditionalFormatting sqref="A1:AC1299">
    <cfRule type="expression" dxfId="35" priority="19" stopIfTrue="1">
      <formula>OR(AND(LEFT($A1, 14)="sensor_stream ", LEN($A1)&gt;14, NOT(ISNUMBER(SEARCH(" ", $A1, 15)))), AND(LEFT($A1, 17)="sensor_statistic ", LEN($A1)&gt;17, NOT(ISNUMBER(SEARCH(" ", $A1, 18)))))</formula>
    </cfRule>
  </conditionalFormatting>
  <conditionalFormatting sqref="A1:AC1299">
    <cfRule type="expression" dxfId="14" priority="20" stopIfTrue="1">
      <formula>$A1="comments"</formula>
    </cfRule>
  </conditionalFormatting>
  <conditionalFormatting sqref="A1:AC1299">
    <cfRule type="expression" dxfId="15" priority="21" stopIfTrue="1">
      <formula>OR($A1="audio", $A1="video")</formula>
    </cfRule>
  </conditionalFormatting>
  <conditionalFormatting sqref="A1:AC1299">
    <cfRule type="expression" dxfId="16" priority="22" stopIfTrue="1">
      <formula>$A1="image"</formula>
    </cfRule>
  </conditionalFormatting>
  <conditionalFormatting sqref="A1:AC1299">
    <cfRule type="expression" dxfId="17" priority="23" stopIfTrue="1">
      <formula>OR($A1="date", $A1="datetime", $A1="time")</formula>
    </cfRule>
  </conditionalFormatting>
  <conditionalFormatting sqref="A1:AC1299">
    <cfRule type="expression" dxfId="18" priority="24" stopIfTrue="1">
      <formula>OR($A1="calculate", $A1="calculate_here")</formula>
    </cfRule>
  </conditionalFormatting>
  <conditionalFormatting sqref="A1:AC1299">
    <cfRule type="expression" dxfId="19" priority="25" stopIfTrue="1">
      <formula>$A1="note"</formula>
    </cfRule>
  </conditionalFormatting>
  <conditionalFormatting sqref="A1:AC1299">
    <cfRule type="expression" dxfId="20" priority="26" stopIfTrue="1">
      <formula>$A1="barcode"</formula>
    </cfRule>
  </conditionalFormatting>
  <conditionalFormatting sqref="A1:AC1299">
    <cfRule type="expression" dxfId="21" priority="27" stopIfTrue="1">
      <formula>OR($A1="geopoint", $A1="geoshape", $A1="geotrace")</formula>
    </cfRule>
  </conditionalFormatting>
  <conditionalFormatting sqref="A1:AC1299">
    <cfRule type="expression" dxfId="22" priority="28" stopIfTrue="1">
      <formula>OR($A1="audio audit", $A1="text audit", $A1="speed violations count", $A1="speed violations list", $A1="speed violations audit")</formula>
    </cfRule>
  </conditionalFormatting>
  <conditionalFormatting sqref="A1:AC1299">
    <cfRule type="expression" dxfId="23" priority="29" stopIfTrue="1">
      <formula>OR($A1="username", $A1="phonenumber", $A1="start", $A1="end", $A1="deviceid", $A1="subscriberid", $A1="simserial", $A1="caseid")</formula>
    </cfRule>
  </conditionalFormatting>
  <conditionalFormatting sqref="A1:AC1299">
    <cfRule type="expression" dxfId="24" priority="30" stopIfTrue="1">
      <formula>OR(AND(LEFT($A1, 16)="select_multiple ", LEN($A1)&gt;16, NOT(ISNUMBER(SEARCH(" ", $A1, 17)))), AND(LEFT($A1, 11)="select_one ", LEN($A1)&gt;11, NOT(ISNUMBER(SEARCH(" ", $A1, 12)))))</formula>
    </cfRule>
  </conditionalFormatting>
  <conditionalFormatting sqref="A1:AC1299">
    <cfRule type="expression" dxfId="25" priority="31" stopIfTrue="1">
      <formula>$A1="decimal"</formula>
    </cfRule>
  </conditionalFormatting>
  <conditionalFormatting sqref="A1:AC1299">
    <cfRule type="expression" dxfId="26" priority="32" stopIfTrue="1">
      <formula>$A1="integer"</formula>
    </cfRule>
  </conditionalFormatting>
  <conditionalFormatting sqref="A1:AC1299">
    <cfRule type="expression" dxfId="27" priority="33" stopIfTrue="1">
      <formula>$A1="text"</formula>
    </cfRule>
  </conditionalFormatting>
  <conditionalFormatting sqref="A1:AC1299">
    <cfRule type="expression" dxfId="28" priority="34" stopIfTrue="1">
      <formula>$A1="end repeat"</formula>
    </cfRule>
  </conditionalFormatting>
  <conditionalFormatting sqref="A1:AC1299">
    <cfRule type="expression" dxfId="28" priority="35" stopIfTrue="1">
      <formula>$A1="begin repeat"</formula>
    </cfRule>
  </conditionalFormatting>
  <conditionalFormatting sqref="A1:AC1299">
    <cfRule type="expression" dxfId="29" priority="36" stopIfTrue="1">
      <formula>$A1="end group"</formula>
    </cfRule>
  </conditionalFormatting>
  <conditionalFormatting sqref="A1:AC1299">
    <cfRule type="expression" dxfId="29" priority="37" stopIfTrue="1">
      <formula>$A1="begin group"</formula>
    </cfRule>
  </conditionalFormatting>
  <conditionalFormatting sqref="B1:B1299 T22 C106 C265 C426 C591 C759">
    <cfRule type="expression" dxfId="30" priority="38" stopIfTrue="1">
      <formula>$A1="comments"</formula>
    </cfRule>
  </conditionalFormatting>
  <conditionalFormatting sqref="B1:B1299 J1:J1299 T22 C106 C265 C426 C591 C759">
    <cfRule type="expression" dxfId="36" priority="39"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3" t="s">
        <v>1</v>
      </c>
      <c r="B1" s="14" t="s">
        <v>16</v>
      </c>
      <c r="C1" s="16" t="s">
        <v>10</v>
      </c>
      <c r="D1" s="18" t="s">
        <v>11</v>
      </c>
      <c r="E1" s="18" t="s">
        <v>12</v>
      </c>
      <c r="F1" s="18" t="s">
        <v>26</v>
      </c>
      <c r="G1" s="14" t="s">
        <v>28</v>
      </c>
      <c r="H1" s="20" t="s">
        <v>30</v>
      </c>
      <c r="I1" s="21" t="s">
        <v>32</v>
      </c>
      <c r="J1" s="21" t="s">
        <v>35</v>
      </c>
      <c r="K1" s="24"/>
      <c r="L1" s="24"/>
      <c r="M1" s="24"/>
      <c r="N1" s="24"/>
      <c r="O1" s="24"/>
      <c r="P1" s="24"/>
      <c r="Q1" s="24"/>
      <c r="R1" s="24"/>
      <c r="S1" s="24"/>
      <c r="T1" s="24"/>
      <c r="U1" s="24"/>
      <c r="V1" s="24"/>
      <c r="W1" s="24"/>
      <c r="X1" s="24"/>
      <c r="Y1" s="24"/>
      <c r="Z1" s="24"/>
      <c r="AA1" s="24"/>
      <c r="AB1" s="24"/>
      <c r="AC1" s="24"/>
      <c r="AD1" s="24"/>
      <c r="AE1" s="24"/>
      <c r="AF1" s="24"/>
    </row>
    <row r="2" ht="15.75" customHeight="1">
      <c r="A2" s="30" t="s">
        <v>48</v>
      </c>
      <c r="B2" s="32">
        <v>1.0</v>
      </c>
      <c r="C2" s="33" t="s">
        <v>49</v>
      </c>
      <c r="D2" s="34" t="s">
        <v>50</v>
      </c>
      <c r="E2" s="34" t="s">
        <v>51</v>
      </c>
      <c r="F2" s="35"/>
      <c r="G2" s="35"/>
      <c r="H2" s="36"/>
      <c r="I2" s="36"/>
      <c r="J2" s="36"/>
      <c r="K2" s="36"/>
      <c r="L2" s="36"/>
      <c r="M2" s="36"/>
      <c r="N2" s="36"/>
      <c r="O2" s="36"/>
      <c r="P2" s="36"/>
      <c r="Q2" s="36"/>
      <c r="R2" s="36"/>
      <c r="S2" s="36"/>
      <c r="T2" s="36"/>
      <c r="U2" s="36"/>
      <c r="V2" s="36"/>
      <c r="W2" s="36"/>
      <c r="X2" s="36"/>
      <c r="Y2" s="36"/>
      <c r="Z2" s="36"/>
      <c r="AA2" s="36"/>
      <c r="AB2" s="36"/>
      <c r="AC2" s="36"/>
      <c r="AD2" s="36"/>
      <c r="AE2" s="36"/>
      <c r="AF2" s="36"/>
    </row>
    <row r="3" ht="15.75" customHeight="1">
      <c r="A3" s="41" t="s">
        <v>48</v>
      </c>
      <c r="B3" s="42">
        <v>0.0</v>
      </c>
      <c r="C3" s="43" t="s">
        <v>55</v>
      </c>
      <c r="D3" s="44" t="s">
        <v>56</v>
      </c>
      <c r="E3" s="44" t="s">
        <v>57</v>
      </c>
      <c r="F3" s="45"/>
      <c r="G3" s="45"/>
      <c r="H3" s="46"/>
      <c r="I3" s="46"/>
      <c r="J3" s="46"/>
      <c r="K3" s="46"/>
      <c r="L3" s="46"/>
      <c r="M3" s="46"/>
      <c r="N3" s="46"/>
      <c r="O3" s="46"/>
      <c r="P3" s="46"/>
      <c r="Q3" s="46"/>
      <c r="R3" s="46"/>
      <c r="S3" s="46"/>
      <c r="T3" s="46"/>
      <c r="U3" s="46"/>
      <c r="V3" s="46"/>
      <c r="W3" s="46"/>
      <c r="X3" s="46"/>
      <c r="Y3" s="46"/>
      <c r="Z3" s="46"/>
      <c r="AA3" s="46"/>
      <c r="AB3" s="46"/>
      <c r="AC3" s="46"/>
      <c r="AD3" s="46"/>
      <c r="AE3" s="46"/>
      <c r="AF3" s="46"/>
    </row>
    <row r="4" ht="15.75" customHeight="1">
      <c r="A4" s="47"/>
      <c r="B4" s="45"/>
      <c r="C4" s="45"/>
      <c r="D4" s="45"/>
      <c r="E4" s="45"/>
      <c r="F4" s="45"/>
      <c r="G4" s="45"/>
      <c r="H4" s="46"/>
      <c r="I4" s="46"/>
      <c r="J4" s="46"/>
      <c r="K4" s="46"/>
      <c r="L4" s="46"/>
      <c r="M4" s="46"/>
      <c r="N4" s="46"/>
      <c r="O4" s="46"/>
      <c r="P4" s="46"/>
      <c r="Q4" s="46"/>
      <c r="R4" s="46"/>
      <c r="S4" s="46"/>
      <c r="T4" s="46"/>
      <c r="U4" s="46"/>
      <c r="V4" s="46"/>
      <c r="W4" s="46"/>
      <c r="X4" s="46"/>
      <c r="Y4" s="46"/>
      <c r="Z4" s="46"/>
      <c r="AA4" s="46"/>
      <c r="AB4" s="46"/>
      <c r="AC4" s="46"/>
      <c r="AD4" s="46"/>
      <c r="AE4" s="46"/>
      <c r="AF4" s="46"/>
    </row>
    <row r="5" ht="15.75" customHeight="1">
      <c r="A5" s="52" t="s">
        <v>63</v>
      </c>
      <c r="B5" s="53">
        <v>3.0</v>
      </c>
      <c r="C5" s="54" t="s">
        <v>65</v>
      </c>
      <c r="D5" s="55" t="s">
        <v>66</v>
      </c>
      <c r="E5" s="55" t="s">
        <v>67</v>
      </c>
      <c r="F5" s="56"/>
      <c r="G5" s="57">
        <v>3.0</v>
      </c>
      <c r="H5" s="56"/>
      <c r="I5" s="56"/>
      <c r="J5" s="56"/>
      <c r="K5" s="56"/>
      <c r="L5" s="56"/>
      <c r="M5" s="56"/>
      <c r="N5" s="56"/>
      <c r="O5" s="56"/>
      <c r="P5" s="56"/>
      <c r="Q5" s="56"/>
      <c r="R5" s="56"/>
      <c r="S5" s="56"/>
      <c r="T5" s="56"/>
      <c r="U5" s="56"/>
      <c r="V5" s="56"/>
      <c r="W5" s="56"/>
      <c r="X5" s="56"/>
      <c r="Y5" s="56"/>
      <c r="Z5" s="56"/>
      <c r="AA5" s="56"/>
      <c r="AB5" s="56"/>
      <c r="AC5" s="56"/>
      <c r="AD5" s="56"/>
      <c r="AE5" s="56"/>
      <c r="AF5" s="56"/>
    </row>
    <row r="6" ht="15.75" customHeight="1">
      <c r="A6" s="30" t="s">
        <v>63</v>
      </c>
      <c r="B6" s="60">
        <v>5.0</v>
      </c>
      <c r="C6" s="61" t="s">
        <v>75</v>
      </c>
      <c r="D6" s="62" t="s">
        <v>76</v>
      </c>
      <c r="E6" s="62" t="s">
        <v>78</v>
      </c>
      <c r="F6" s="63"/>
      <c r="G6" s="64">
        <v>5.0</v>
      </c>
      <c r="H6" s="63"/>
      <c r="I6" s="63"/>
      <c r="J6" s="63"/>
      <c r="K6" s="63"/>
      <c r="L6" s="63"/>
      <c r="M6" s="63"/>
      <c r="N6" s="63"/>
      <c r="O6" s="63"/>
      <c r="P6" s="63"/>
      <c r="Q6" s="63"/>
      <c r="R6" s="63"/>
      <c r="S6" s="63"/>
      <c r="T6" s="63"/>
      <c r="U6" s="63"/>
      <c r="V6" s="63"/>
      <c r="W6" s="63"/>
      <c r="X6" s="63"/>
      <c r="Y6" s="63"/>
      <c r="Z6" s="63"/>
      <c r="AA6" s="63"/>
      <c r="AB6" s="63"/>
      <c r="AC6" s="63"/>
      <c r="AD6" s="63"/>
      <c r="AE6" s="63"/>
      <c r="AF6" s="63"/>
    </row>
    <row r="7" ht="15.75" customHeight="1">
      <c r="A7" s="47"/>
      <c r="B7" s="45"/>
      <c r="C7" s="45"/>
      <c r="D7" s="45"/>
      <c r="E7" s="45"/>
      <c r="F7" s="45"/>
      <c r="G7" s="45"/>
      <c r="H7" s="46"/>
      <c r="I7" s="46"/>
      <c r="J7" s="46"/>
      <c r="K7" s="46"/>
      <c r="L7" s="46"/>
      <c r="M7" s="46"/>
      <c r="N7" s="46"/>
      <c r="O7" s="46"/>
      <c r="P7" s="46"/>
      <c r="Q7" s="46"/>
      <c r="R7" s="46"/>
      <c r="S7" s="46"/>
      <c r="T7" s="46"/>
      <c r="U7" s="46"/>
      <c r="V7" s="46"/>
      <c r="W7" s="46"/>
      <c r="X7" s="46"/>
      <c r="Y7" s="46"/>
      <c r="Z7" s="46"/>
      <c r="AA7" s="46"/>
      <c r="AB7" s="46"/>
      <c r="AC7" s="46"/>
      <c r="AD7" s="46"/>
      <c r="AE7" s="46"/>
      <c r="AF7" s="46"/>
    </row>
    <row r="8" ht="15.75" customHeight="1">
      <c r="A8" s="30" t="s">
        <v>101</v>
      </c>
      <c r="B8" s="32">
        <v>1.0</v>
      </c>
      <c r="C8" s="66" t="s">
        <v>49</v>
      </c>
      <c r="D8" s="68" t="s">
        <v>50</v>
      </c>
      <c r="E8" s="68" t="s">
        <v>51</v>
      </c>
      <c r="F8" s="36"/>
      <c r="G8" s="36"/>
      <c r="H8" s="36"/>
      <c r="I8" s="36"/>
      <c r="J8" s="36"/>
      <c r="K8" s="36"/>
      <c r="L8" s="36"/>
      <c r="M8" s="36"/>
      <c r="N8" s="36"/>
      <c r="O8" s="36"/>
      <c r="P8" s="36"/>
      <c r="Q8" s="36"/>
      <c r="R8" s="36"/>
      <c r="S8" s="36"/>
      <c r="T8" s="36"/>
      <c r="U8" s="36"/>
      <c r="V8" s="36"/>
      <c r="W8" s="36"/>
      <c r="X8" s="36"/>
      <c r="Y8" s="36"/>
      <c r="Z8" s="36"/>
      <c r="AA8" s="36"/>
      <c r="AB8" s="36"/>
      <c r="AC8" s="36"/>
      <c r="AD8" s="36"/>
      <c r="AE8" s="36"/>
      <c r="AF8" s="36"/>
    </row>
    <row r="9" ht="15.75" customHeight="1">
      <c r="A9" s="30" t="s">
        <v>101</v>
      </c>
      <c r="B9" s="32">
        <v>0.0</v>
      </c>
      <c r="C9" s="66" t="s">
        <v>55</v>
      </c>
      <c r="D9" s="68" t="s">
        <v>56</v>
      </c>
      <c r="E9" s="68" t="s">
        <v>109</v>
      </c>
      <c r="F9" s="36"/>
      <c r="G9" s="36"/>
      <c r="H9" s="36"/>
      <c r="I9" s="36"/>
      <c r="J9" s="36"/>
      <c r="K9" s="36"/>
      <c r="L9" s="36"/>
      <c r="M9" s="36"/>
      <c r="N9" s="36"/>
      <c r="O9" s="36"/>
      <c r="P9" s="36"/>
      <c r="Q9" s="36"/>
      <c r="R9" s="36"/>
      <c r="S9" s="36"/>
      <c r="T9" s="36"/>
      <c r="U9" s="36"/>
      <c r="V9" s="36"/>
      <c r="W9" s="36"/>
      <c r="X9" s="36"/>
      <c r="Y9" s="36"/>
      <c r="Z9" s="36"/>
      <c r="AA9" s="36"/>
      <c r="AB9" s="36"/>
      <c r="AC9" s="36"/>
      <c r="AD9" s="36"/>
      <c r="AE9" s="36"/>
      <c r="AF9" s="36"/>
    </row>
    <row r="10" ht="15.75" customHeight="1">
      <c r="A10" s="41" t="s">
        <v>101</v>
      </c>
      <c r="B10" s="42">
        <v>-999.0</v>
      </c>
      <c r="C10" s="68" t="s">
        <v>111</v>
      </c>
      <c r="D10" s="68" t="s">
        <v>112</v>
      </c>
      <c r="E10" s="68" t="s">
        <v>113</v>
      </c>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row>
    <row r="11" ht="15.75" customHeight="1">
      <c r="A11" s="47"/>
      <c r="B11" s="45"/>
      <c r="C11" s="45"/>
      <c r="D11" s="45"/>
      <c r="E11" s="45"/>
      <c r="F11" s="45"/>
      <c r="G11" s="45"/>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row>
    <row r="12" ht="15.75" customHeight="1">
      <c r="A12" s="73" t="s">
        <v>119</v>
      </c>
      <c r="B12" s="44" t="s">
        <v>120</v>
      </c>
      <c r="C12" s="44" t="s">
        <v>122</v>
      </c>
      <c r="D12" s="44" t="s">
        <v>122</v>
      </c>
      <c r="E12" s="44" t="s">
        <v>122</v>
      </c>
      <c r="F12" s="74"/>
      <c r="G12" s="74"/>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row>
    <row r="13" ht="15.75" customHeight="1">
      <c r="A13" s="75"/>
      <c r="B13" s="74"/>
      <c r="C13" s="74"/>
      <c r="D13" s="74"/>
      <c r="E13" s="74"/>
      <c r="F13" s="74"/>
      <c r="G13" s="74"/>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row>
    <row r="14" ht="15.75" customHeight="1">
      <c r="A14" s="73" t="s">
        <v>128</v>
      </c>
      <c r="B14" s="44" t="s">
        <v>129</v>
      </c>
      <c r="C14" s="44" t="s">
        <v>130</v>
      </c>
      <c r="D14" s="44" t="s">
        <v>130</v>
      </c>
      <c r="E14" s="44" t="s">
        <v>130</v>
      </c>
      <c r="F14" s="74"/>
      <c r="G14" s="74"/>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row>
    <row r="15" ht="15.75" customHeight="1">
      <c r="A15" s="47"/>
      <c r="B15" s="45"/>
      <c r="C15" s="45"/>
      <c r="D15" s="45"/>
      <c r="E15" s="45"/>
      <c r="F15" s="45"/>
      <c r="G15" s="45"/>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row>
    <row r="16" ht="15.75" customHeight="1">
      <c r="A16" s="73" t="s">
        <v>137</v>
      </c>
      <c r="B16" s="44" t="s">
        <v>138</v>
      </c>
      <c r="C16" s="44" t="s">
        <v>139</v>
      </c>
      <c r="D16" s="44" t="s">
        <v>139</v>
      </c>
      <c r="E16" s="81" t="s">
        <v>139</v>
      </c>
      <c r="F16" s="45"/>
      <c r="G16" s="45"/>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row>
    <row r="17" ht="15.75" customHeight="1">
      <c r="A17" s="47"/>
      <c r="B17" s="45"/>
      <c r="C17" s="45"/>
      <c r="D17" s="45"/>
      <c r="E17" s="45"/>
      <c r="F17" s="45"/>
      <c r="G17" s="45"/>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row>
    <row r="18" ht="15.75" customHeight="1">
      <c r="A18" s="73" t="s">
        <v>165</v>
      </c>
      <c r="B18" s="44" t="s">
        <v>166</v>
      </c>
      <c r="C18" s="44" t="s">
        <v>167</v>
      </c>
      <c r="D18" s="44" t="s">
        <v>167</v>
      </c>
      <c r="E18" s="44" t="s">
        <v>167</v>
      </c>
      <c r="F18" s="45"/>
      <c r="G18" s="45"/>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row>
    <row r="19"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row>
    <row r="20" ht="15.75" customHeight="1">
      <c r="A20" s="88" t="s">
        <v>182</v>
      </c>
      <c r="B20" s="89">
        <v>1.0</v>
      </c>
      <c r="C20" s="34" t="s">
        <v>184</v>
      </c>
      <c r="D20" s="34" t="s">
        <v>187</v>
      </c>
      <c r="E20" s="92" t="s">
        <v>187</v>
      </c>
      <c r="F20" s="35"/>
      <c r="G20" s="32">
        <v>1.0</v>
      </c>
      <c r="H20" s="95">
        <v>2.0</v>
      </c>
      <c r="I20" s="36"/>
      <c r="J20" s="36"/>
      <c r="K20" s="36"/>
      <c r="L20" s="36"/>
      <c r="M20" s="36"/>
      <c r="N20" s="36"/>
      <c r="O20" s="36"/>
      <c r="P20" s="36"/>
      <c r="Q20" s="36"/>
      <c r="R20" s="36"/>
      <c r="S20" s="36"/>
      <c r="T20" s="36"/>
      <c r="U20" s="36"/>
      <c r="V20" s="36"/>
      <c r="W20" s="36"/>
      <c r="X20" s="36"/>
      <c r="Y20" s="36"/>
      <c r="Z20" s="36"/>
      <c r="AA20" s="36"/>
      <c r="AB20" s="36"/>
      <c r="AC20" s="36"/>
      <c r="AD20" s="36"/>
      <c r="AE20" s="36"/>
      <c r="AF20" s="36"/>
    </row>
    <row r="21" ht="15.75" customHeight="1">
      <c r="A21" s="88" t="s">
        <v>182</v>
      </c>
      <c r="B21" s="89">
        <v>2.0</v>
      </c>
      <c r="C21" s="34" t="s">
        <v>205</v>
      </c>
      <c r="D21" s="34" t="s">
        <v>206</v>
      </c>
      <c r="E21" s="92" t="s">
        <v>206</v>
      </c>
      <c r="F21" s="35"/>
      <c r="G21" s="35"/>
      <c r="H21" s="95">
        <v>2.0</v>
      </c>
      <c r="I21" s="95">
        <v>1.0</v>
      </c>
      <c r="J21" s="36"/>
      <c r="K21" s="36"/>
      <c r="L21" s="36"/>
      <c r="M21" s="36"/>
      <c r="N21" s="36"/>
      <c r="O21" s="36"/>
      <c r="P21" s="36"/>
      <c r="Q21" s="36"/>
      <c r="R21" s="36"/>
      <c r="S21" s="36"/>
      <c r="T21" s="36"/>
      <c r="U21" s="36"/>
      <c r="V21" s="36"/>
      <c r="W21" s="36"/>
      <c r="X21" s="36"/>
      <c r="Y21" s="36"/>
      <c r="Z21" s="36"/>
      <c r="AA21" s="36"/>
      <c r="AB21" s="36"/>
      <c r="AC21" s="36"/>
      <c r="AD21" s="36"/>
      <c r="AE21" s="36"/>
      <c r="AF21" s="36"/>
    </row>
    <row r="22" ht="15.75" customHeight="1">
      <c r="A22" s="88" t="s">
        <v>182</v>
      </c>
      <c r="B22" s="104">
        <v>3.0</v>
      </c>
      <c r="C22" s="105" t="s">
        <v>220</v>
      </c>
      <c r="D22" s="105" t="s">
        <v>220</v>
      </c>
      <c r="E22" s="105" t="s">
        <v>220</v>
      </c>
      <c r="F22" s="107"/>
      <c r="G22" s="109"/>
      <c r="H22" s="110">
        <v>2.0</v>
      </c>
      <c r="I22" s="36"/>
      <c r="J22" s="111">
        <v>1.0</v>
      </c>
      <c r="K22" s="36"/>
      <c r="L22" s="36"/>
      <c r="M22" s="36"/>
      <c r="N22" s="36"/>
      <c r="O22" s="36"/>
      <c r="P22" s="36"/>
      <c r="Q22" s="36"/>
      <c r="R22" s="36"/>
      <c r="S22" s="36"/>
      <c r="T22" s="36"/>
      <c r="U22" s="36"/>
      <c r="V22" s="36"/>
      <c r="W22" s="36"/>
      <c r="X22" s="36"/>
      <c r="Y22" s="36"/>
      <c r="Z22" s="36"/>
      <c r="AA22" s="36"/>
      <c r="AB22" s="36"/>
      <c r="AC22" s="36"/>
      <c r="AD22" s="36"/>
      <c r="AE22" s="36"/>
      <c r="AF22" s="36"/>
    </row>
    <row r="23" ht="15.75" customHeight="1">
      <c r="A23" s="73" t="s">
        <v>182</v>
      </c>
      <c r="B23" s="113">
        <v>0.0</v>
      </c>
      <c r="C23" s="44" t="s">
        <v>237</v>
      </c>
      <c r="D23" s="114" t="s">
        <v>238</v>
      </c>
      <c r="E23" s="44" t="s">
        <v>239</v>
      </c>
      <c r="F23" s="45"/>
      <c r="G23" s="43" t="s">
        <v>49</v>
      </c>
      <c r="H23" s="115">
        <v>2.0</v>
      </c>
      <c r="I23" s="46"/>
      <c r="J23" s="46"/>
      <c r="K23" s="46"/>
      <c r="L23" s="46"/>
      <c r="M23" s="46"/>
      <c r="N23" s="46"/>
      <c r="O23" s="46"/>
      <c r="P23" s="46"/>
      <c r="Q23" s="46"/>
      <c r="R23" s="46"/>
      <c r="S23" s="46"/>
      <c r="T23" s="46"/>
      <c r="U23" s="46"/>
      <c r="V23" s="46"/>
      <c r="W23" s="46"/>
      <c r="X23" s="46"/>
      <c r="Y23" s="46"/>
      <c r="Z23" s="46"/>
      <c r="AA23" s="46"/>
      <c r="AB23" s="46"/>
      <c r="AC23" s="46"/>
      <c r="AD23" s="46"/>
      <c r="AE23" s="46"/>
      <c r="AF23" s="46"/>
    </row>
    <row r="24" ht="15.75" customHeight="1">
      <c r="A24" s="116"/>
      <c r="B24" s="117"/>
      <c r="C24" s="116"/>
      <c r="D24" s="116"/>
      <c r="E24" s="116"/>
      <c r="F24" s="36"/>
      <c r="G24" s="63"/>
      <c r="H24" s="95"/>
      <c r="I24" s="36"/>
      <c r="J24" s="36"/>
      <c r="K24" s="36"/>
      <c r="L24" s="36"/>
      <c r="M24" s="36"/>
      <c r="N24" s="36"/>
      <c r="O24" s="36"/>
      <c r="P24" s="36"/>
      <c r="Q24" s="36"/>
      <c r="R24" s="36"/>
      <c r="S24" s="36"/>
      <c r="T24" s="36"/>
      <c r="U24" s="36"/>
      <c r="V24" s="36"/>
      <c r="W24" s="36"/>
      <c r="X24" s="36"/>
      <c r="Y24" s="36"/>
      <c r="Z24" s="36"/>
      <c r="AA24" s="36"/>
      <c r="AB24" s="36"/>
      <c r="AC24" s="36"/>
      <c r="AD24" s="36"/>
      <c r="AE24" s="36"/>
      <c r="AF24" s="36"/>
    </row>
    <row r="25" ht="15.75" customHeight="1">
      <c r="A25" s="64" t="s">
        <v>254</v>
      </c>
      <c r="B25" s="110">
        <v>1.0</v>
      </c>
      <c r="C25" s="120" t="s">
        <v>255</v>
      </c>
      <c r="D25" s="120" t="s">
        <v>256</v>
      </c>
      <c r="E25" s="120" t="s">
        <v>256</v>
      </c>
      <c r="F25" s="36"/>
      <c r="G25" s="63"/>
      <c r="H25" s="95"/>
      <c r="I25" s="36"/>
      <c r="J25" s="36"/>
      <c r="K25" s="36"/>
      <c r="L25" s="36"/>
      <c r="M25" s="36"/>
      <c r="N25" s="36"/>
      <c r="O25" s="36"/>
      <c r="P25" s="36"/>
      <c r="Q25" s="36"/>
      <c r="R25" s="36"/>
      <c r="S25" s="36"/>
      <c r="T25" s="36"/>
      <c r="U25" s="36"/>
      <c r="V25" s="36"/>
      <c r="W25" s="36"/>
      <c r="X25" s="36"/>
      <c r="Y25" s="36"/>
      <c r="Z25" s="36"/>
      <c r="AA25" s="36"/>
      <c r="AB25" s="36"/>
      <c r="AC25" s="36"/>
      <c r="AD25" s="36"/>
      <c r="AE25" s="36"/>
      <c r="AF25" s="36"/>
    </row>
    <row r="26" ht="15.75" customHeight="1">
      <c r="A26" s="64" t="s">
        <v>254</v>
      </c>
      <c r="B26" s="110">
        <v>2.0</v>
      </c>
      <c r="C26" s="120" t="s">
        <v>269</v>
      </c>
      <c r="D26" s="120" t="s">
        <v>270</v>
      </c>
      <c r="E26" s="120" t="s">
        <v>270</v>
      </c>
      <c r="F26" s="36"/>
      <c r="G26" s="63"/>
      <c r="H26" s="95"/>
      <c r="I26" s="36"/>
      <c r="J26" s="36"/>
      <c r="K26" s="36"/>
      <c r="L26" s="36"/>
      <c r="M26" s="36"/>
      <c r="N26" s="36"/>
      <c r="O26" s="36"/>
      <c r="P26" s="36"/>
      <c r="Q26" s="36"/>
      <c r="R26" s="36"/>
      <c r="S26" s="36"/>
      <c r="T26" s="36"/>
      <c r="U26" s="36"/>
      <c r="V26" s="36"/>
      <c r="W26" s="36"/>
      <c r="X26" s="36"/>
      <c r="Y26" s="36"/>
      <c r="Z26" s="36"/>
      <c r="AA26" s="36"/>
      <c r="AB26" s="36"/>
      <c r="AC26" s="36"/>
      <c r="AD26" s="36"/>
      <c r="AE26" s="36"/>
      <c r="AF26" s="36"/>
    </row>
    <row r="27" ht="15.75" customHeight="1">
      <c r="A27" s="64"/>
      <c r="B27" s="110"/>
      <c r="C27" s="64"/>
      <c r="D27" s="64"/>
      <c r="E27" s="64"/>
      <c r="F27" s="36"/>
      <c r="G27" s="63"/>
      <c r="H27" s="95"/>
      <c r="I27" s="36"/>
      <c r="J27" s="36"/>
      <c r="K27" s="36"/>
      <c r="L27" s="36"/>
      <c r="M27" s="36"/>
      <c r="N27" s="36"/>
      <c r="O27" s="36"/>
      <c r="P27" s="36"/>
      <c r="Q27" s="36"/>
      <c r="R27" s="36"/>
      <c r="S27" s="36"/>
      <c r="T27" s="36"/>
      <c r="U27" s="36"/>
      <c r="V27" s="36"/>
      <c r="W27" s="36"/>
      <c r="X27" s="36"/>
      <c r="Y27" s="36"/>
      <c r="Z27" s="36"/>
      <c r="AA27" s="36"/>
      <c r="AB27" s="36"/>
      <c r="AC27" s="36"/>
      <c r="AD27" s="36"/>
      <c r="AE27" s="36"/>
      <c r="AF27" s="36"/>
    </row>
    <row r="28" ht="15.75" customHeight="1">
      <c r="A28" s="64" t="s">
        <v>179</v>
      </c>
      <c r="B28" s="110" t="s">
        <v>286</v>
      </c>
      <c r="C28" s="64" t="s">
        <v>289</v>
      </c>
      <c r="D28" s="64" t="s">
        <v>289</v>
      </c>
      <c r="E28" s="64" t="s">
        <v>289</v>
      </c>
      <c r="F28" s="36"/>
      <c r="G28" s="63"/>
      <c r="H28" s="95"/>
      <c r="I28" s="36"/>
      <c r="J28" s="36"/>
      <c r="K28" s="36"/>
      <c r="L28" s="36"/>
      <c r="M28" s="36"/>
      <c r="N28" s="36"/>
      <c r="O28" s="36"/>
      <c r="P28" s="36"/>
      <c r="Q28" s="36"/>
      <c r="R28" s="36"/>
      <c r="S28" s="36"/>
      <c r="T28" s="36"/>
      <c r="U28" s="36"/>
      <c r="V28" s="36"/>
      <c r="W28" s="36"/>
      <c r="X28" s="36"/>
      <c r="Y28" s="36"/>
      <c r="Z28" s="36"/>
      <c r="AA28" s="36"/>
      <c r="AB28" s="36"/>
      <c r="AC28" s="36"/>
      <c r="AD28" s="36"/>
      <c r="AE28" s="36"/>
      <c r="AF28" s="36"/>
    </row>
    <row r="29" ht="15.75" customHeight="1">
      <c r="A29" s="64"/>
      <c r="B29" s="110"/>
      <c r="C29" s="64"/>
      <c r="D29" s="64"/>
      <c r="E29" s="64"/>
      <c r="F29" s="36"/>
      <c r="G29" s="63"/>
      <c r="H29" s="95"/>
      <c r="I29" s="36"/>
      <c r="J29" s="36"/>
      <c r="K29" s="36"/>
      <c r="L29" s="36"/>
      <c r="M29" s="36"/>
      <c r="N29" s="36"/>
      <c r="O29" s="36"/>
      <c r="P29" s="36"/>
      <c r="Q29" s="36"/>
      <c r="R29" s="36"/>
      <c r="S29" s="36"/>
      <c r="T29" s="36"/>
      <c r="U29" s="36"/>
      <c r="V29" s="36"/>
      <c r="W29" s="36"/>
      <c r="X29" s="36"/>
      <c r="Y29" s="36"/>
      <c r="Z29" s="36"/>
      <c r="AA29" s="36"/>
      <c r="AB29" s="36"/>
      <c r="AC29" s="36"/>
      <c r="AD29" s="36"/>
      <c r="AE29" s="36"/>
      <c r="AF29" s="36"/>
    </row>
    <row r="30" ht="15.75" customHeight="1">
      <c r="A30" s="132" t="s">
        <v>316</v>
      </c>
      <c r="B30" s="133">
        <v>1.0</v>
      </c>
      <c r="C30" s="134" t="s">
        <v>318</v>
      </c>
      <c r="D30" s="135" t="s">
        <v>322</v>
      </c>
      <c r="E30" s="135" t="s">
        <v>325</v>
      </c>
      <c r="F30" s="136"/>
      <c r="G30" s="136"/>
      <c r="H30" s="56"/>
      <c r="I30" s="56"/>
      <c r="J30" s="56"/>
      <c r="K30" s="56"/>
      <c r="L30" s="56"/>
      <c r="M30" s="56"/>
      <c r="N30" s="56"/>
      <c r="O30" s="56"/>
      <c r="P30" s="56"/>
      <c r="Q30" s="56"/>
      <c r="R30" s="56"/>
      <c r="S30" s="56"/>
      <c r="T30" s="56"/>
      <c r="U30" s="56"/>
      <c r="V30" s="56"/>
      <c r="W30" s="56"/>
      <c r="X30" s="56"/>
      <c r="Y30" s="56"/>
      <c r="Z30" s="56"/>
      <c r="AA30" s="56"/>
      <c r="AB30" s="56"/>
      <c r="AC30" s="56"/>
      <c r="AD30" s="56"/>
      <c r="AE30" s="36"/>
      <c r="AF30" s="36"/>
    </row>
    <row r="31" ht="15.75" customHeight="1">
      <c r="A31" s="73" t="s">
        <v>316</v>
      </c>
      <c r="B31" s="113">
        <v>0.0</v>
      </c>
      <c r="C31" s="138" t="s">
        <v>349</v>
      </c>
      <c r="D31" s="138" t="s">
        <v>350</v>
      </c>
      <c r="E31" s="138" t="s">
        <v>351</v>
      </c>
      <c r="F31" s="43"/>
      <c r="G31" s="43"/>
      <c r="H31" s="139"/>
      <c r="I31" s="139"/>
      <c r="J31" s="139"/>
      <c r="K31" s="139"/>
      <c r="L31" s="139"/>
      <c r="M31" s="139"/>
      <c r="N31" s="139"/>
      <c r="O31" s="139"/>
      <c r="P31" s="139"/>
      <c r="Q31" s="139"/>
      <c r="R31" s="139"/>
      <c r="S31" s="139"/>
      <c r="T31" s="139"/>
      <c r="U31" s="139"/>
      <c r="V31" s="139"/>
      <c r="W31" s="139"/>
      <c r="X31" s="139"/>
      <c r="Y31" s="139"/>
      <c r="Z31" s="139"/>
      <c r="AA31" s="139"/>
      <c r="AB31" s="139"/>
      <c r="AC31" s="139"/>
      <c r="AD31" s="139"/>
      <c r="AE31" s="36"/>
      <c r="AF31" s="36"/>
    </row>
    <row r="32" ht="15.75" customHeight="1">
      <c r="A32" s="64"/>
      <c r="B32" s="110"/>
      <c r="C32" s="64"/>
      <c r="D32" s="64"/>
      <c r="E32" s="64"/>
      <c r="F32" s="36"/>
      <c r="G32" s="63"/>
      <c r="H32" s="95"/>
      <c r="I32" s="36"/>
      <c r="J32" s="36"/>
      <c r="K32" s="36"/>
      <c r="L32" s="36"/>
      <c r="M32" s="36"/>
      <c r="N32" s="36"/>
      <c r="O32" s="36"/>
      <c r="P32" s="36"/>
      <c r="Q32" s="36"/>
      <c r="R32" s="36"/>
      <c r="S32" s="36"/>
      <c r="T32" s="36"/>
      <c r="U32" s="36"/>
      <c r="V32" s="36"/>
      <c r="W32" s="36"/>
      <c r="X32" s="36"/>
      <c r="Y32" s="36"/>
      <c r="Z32" s="36"/>
      <c r="AA32" s="36"/>
      <c r="AB32" s="36"/>
      <c r="AC32" s="36"/>
      <c r="AD32" s="36"/>
      <c r="AE32" s="36"/>
      <c r="AF32" s="36"/>
    </row>
    <row r="33" ht="15.75" customHeight="1">
      <c r="A33" s="132" t="s">
        <v>382</v>
      </c>
      <c r="B33" s="133">
        <v>1.0</v>
      </c>
      <c r="C33" s="141" t="s">
        <v>385</v>
      </c>
      <c r="D33" s="141" t="s">
        <v>387</v>
      </c>
      <c r="E33" s="141" t="s">
        <v>388</v>
      </c>
      <c r="F33" s="136"/>
      <c r="G33" s="13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row>
    <row r="34" ht="15.75" customHeight="1">
      <c r="A34" s="88" t="s">
        <v>382</v>
      </c>
      <c r="B34" s="89">
        <v>2.0</v>
      </c>
      <c r="C34" s="34" t="s">
        <v>410</v>
      </c>
      <c r="D34" s="34" t="s">
        <v>413</v>
      </c>
      <c r="E34" s="34" t="s">
        <v>414</v>
      </c>
      <c r="F34" s="33"/>
      <c r="G34" s="3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row>
    <row r="35" ht="15.75" customHeight="1">
      <c r="A35" s="88" t="s">
        <v>382</v>
      </c>
      <c r="B35" s="89">
        <v>3.0</v>
      </c>
      <c r="C35" s="34" t="s">
        <v>433</v>
      </c>
      <c r="D35" s="34" t="s">
        <v>434</v>
      </c>
      <c r="E35" s="34" t="s">
        <v>435</v>
      </c>
      <c r="F35" s="33"/>
      <c r="G35" s="3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row>
    <row r="36" ht="15.75" customHeight="1">
      <c r="A36" s="88" t="s">
        <v>382</v>
      </c>
      <c r="B36" s="89">
        <v>4.0</v>
      </c>
      <c r="C36" s="34" t="s">
        <v>447</v>
      </c>
      <c r="D36" s="34" t="s">
        <v>448</v>
      </c>
      <c r="E36" s="34" t="s">
        <v>450</v>
      </c>
      <c r="F36" s="33"/>
      <c r="G36" s="3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row>
    <row r="37" ht="15.75" customHeight="1">
      <c r="A37" s="88" t="s">
        <v>382</v>
      </c>
      <c r="B37" s="89">
        <v>5.0</v>
      </c>
      <c r="C37" s="34" t="s">
        <v>465</v>
      </c>
      <c r="D37" s="34" t="s">
        <v>466</v>
      </c>
      <c r="E37" s="34" t="s">
        <v>467</v>
      </c>
      <c r="F37" s="33"/>
      <c r="G37" s="3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row>
    <row r="38" ht="15.75" customHeight="1">
      <c r="A38" s="88" t="s">
        <v>382</v>
      </c>
      <c r="B38" s="89">
        <v>6.0</v>
      </c>
      <c r="C38" s="34" t="s">
        <v>477</v>
      </c>
      <c r="D38" s="34" t="s">
        <v>478</v>
      </c>
      <c r="E38" s="92" t="s">
        <v>481</v>
      </c>
      <c r="F38" s="33"/>
      <c r="G38" s="3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row>
    <row r="39" ht="15.75" customHeight="1">
      <c r="A39" s="88" t="s">
        <v>382</v>
      </c>
      <c r="B39" s="89">
        <v>7.0</v>
      </c>
      <c r="C39" s="34" t="s">
        <v>496</v>
      </c>
      <c r="D39" s="34" t="s">
        <v>496</v>
      </c>
      <c r="E39" s="34" t="s">
        <v>497</v>
      </c>
      <c r="F39" s="33"/>
      <c r="G39" s="3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row>
    <row r="40" ht="15.75" customHeight="1">
      <c r="A40" s="88" t="s">
        <v>382</v>
      </c>
      <c r="B40" s="89">
        <v>8.0</v>
      </c>
      <c r="C40" s="34" t="s">
        <v>520</v>
      </c>
      <c r="D40" s="34" t="s">
        <v>521</v>
      </c>
      <c r="E40" s="34" t="s">
        <v>523</v>
      </c>
      <c r="F40" s="33"/>
      <c r="G40" s="3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ht="15.75" customHeight="1">
      <c r="A41" s="88" t="s">
        <v>382</v>
      </c>
      <c r="B41" s="89">
        <v>9.0</v>
      </c>
      <c r="C41" s="34" t="s">
        <v>542</v>
      </c>
      <c r="D41" s="34" t="s">
        <v>547</v>
      </c>
      <c r="E41" s="92" t="s">
        <v>548</v>
      </c>
      <c r="F41" s="33"/>
      <c r="G41" s="3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row>
    <row r="42" ht="15.75" customHeight="1">
      <c r="A42" s="88" t="s">
        <v>382</v>
      </c>
      <c r="B42" s="89">
        <v>10.0</v>
      </c>
      <c r="C42" s="34" t="s">
        <v>568</v>
      </c>
      <c r="D42" s="34" t="s">
        <v>572</v>
      </c>
      <c r="E42" s="34" t="s">
        <v>574</v>
      </c>
      <c r="F42" s="33"/>
      <c r="G42" s="3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row>
    <row r="43" ht="15.75" customHeight="1">
      <c r="A43" s="88" t="s">
        <v>382</v>
      </c>
      <c r="B43" s="89">
        <v>11.0</v>
      </c>
      <c r="C43" s="34" t="s">
        <v>585</v>
      </c>
      <c r="D43" s="34" t="s">
        <v>590</v>
      </c>
      <c r="E43" s="34" t="s">
        <v>591</v>
      </c>
      <c r="F43" s="33"/>
      <c r="G43" s="3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row>
    <row r="44" ht="15.75" customHeight="1">
      <c r="A44" s="88" t="s">
        <v>382</v>
      </c>
      <c r="B44" s="89">
        <v>13.0</v>
      </c>
      <c r="C44" s="34" t="s">
        <v>604</v>
      </c>
      <c r="D44" s="34" t="s">
        <v>606</v>
      </c>
      <c r="E44" s="34" t="s">
        <v>608</v>
      </c>
      <c r="F44" s="33"/>
      <c r="G44" s="3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row>
    <row r="45" ht="15.75" customHeight="1">
      <c r="A45" s="88" t="s">
        <v>382</v>
      </c>
      <c r="B45" s="89">
        <v>14.0</v>
      </c>
      <c r="C45" s="34" t="s">
        <v>625</v>
      </c>
      <c r="D45" s="34" t="s">
        <v>626</v>
      </c>
      <c r="E45" s="34" t="s">
        <v>627</v>
      </c>
      <c r="F45" s="33"/>
      <c r="G45" s="3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row>
    <row r="46" ht="15.75" customHeight="1">
      <c r="A46" s="73" t="s">
        <v>382</v>
      </c>
      <c r="B46" s="113">
        <v>-99.0</v>
      </c>
      <c r="C46" s="44" t="s">
        <v>645</v>
      </c>
      <c r="D46" s="44" t="s">
        <v>649</v>
      </c>
      <c r="E46" s="44" t="s">
        <v>651</v>
      </c>
      <c r="F46" s="43"/>
      <c r="G46" s="43"/>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row>
    <row r="47" ht="15.75" customHeight="1">
      <c r="A47" s="64"/>
      <c r="B47" s="110"/>
      <c r="C47" s="64"/>
      <c r="D47" s="64"/>
      <c r="E47" s="64"/>
      <c r="F47" s="36"/>
      <c r="G47" s="63"/>
      <c r="H47" s="95"/>
      <c r="I47" s="36"/>
      <c r="J47" s="36"/>
      <c r="K47" s="36"/>
      <c r="L47" s="36"/>
      <c r="M47" s="36"/>
      <c r="N47" s="36"/>
      <c r="O47" s="36"/>
      <c r="P47" s="36"/>
      <c r="Q47" s="36"/>
      <c r="R47" s="36"/>
      <c r="S47" s="36"/>
      <c r="T47" s="36"/>
      <c r="U47" s="36"/>
      <c r="V47" s="36"/>
      <c r="W47" s="36"/>
      <c r="X47" s="36"/>
      <c r="Y47" s="36"/>
      <c r="Z47" s="36"/>
      <c r="AA47" s="36"/>
      <c r="AB47" s="36"/>
      <c r="AC47" s="36"/>
      <c r="AD47" s="36"/>
      <c r="AE47" s="36"/>
      <c r="AF47" s="36"/>
    </row>
    <row r="48" ht="15.75" customHeight="1">
      <c r="A48" s="132" t="s">
        <v>666</v>
      </c>
      <c r="B48" s="133">
        <v>0.0</v>
      </c>
      <c r="C48" s="141" t="s">
        <v>671</v>
      </c>
      <c r="D48" s="141" t="s">
        <v>672</v>
      </c>
      <c r="E48" s="141" t="s">
        <v>673</v>
      </c>
      <c r="F48" s="136"/>
      <c r="G48" s="13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row>
    <row r="49" ht="15.75" customHeight="1">
      <c r="A49" s="88" t="s">
        <v>666</v>
      </c>
      <c r="B49" s="89">
        <v>1.0</v>
      </c>
      <c r="C49" s="34" t="s">
        <v>700</v>
      </c>
      <c r="D49" s="34" t="s">
        <v>702</v>
      </c>
      <c r="E49" s="92" t="s">
        <v>703</v>
      </c>
      <c r="F49" s="33"/>
      <c r="G49" s="3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row>
    <row r="50" ht="15.75" customHeight="1">
      <c r="A50" s="88" t="s">
        <v>666</v>
      </c>
      <c r="B50" s="89">
        <v>2.0</v>
      </c>
      <c r="C50" s="34" t="s">
        <v>716</v>
      </c>
      <c r="D50" s="34" t="s">
        <v>717</v>
      </c>
      <c r="E50" s="34" t="s">
        <v>721</v>
      </c>
      <c r="F50" s="33"/>
      <c r="G50" s="3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row>
    <row r="51" ht="15.75" customHeight="1">
      <c r="A51" s="73" t="s">
        <v>666</v>
      </c>
      <c r="B51" s="113">
        <v>-999.0</v>
      </c>
      <c r="C51" s="44" t="s">
        <v>111</v>
      </c>
      <c r="D51" s="44" t="s">
        <v>112</v>
      </c>
      <c r="E51" s="44" t="s">
        <v>113</v>
      </c>
      <c r="F51" s="43"/>
      <c r="G51" s="43"/>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row>
    <row r="52" ht="15.75" customHeight="1">
      <c r="A52" s="64"/>
      <c r="B52" s="110"/>
      <c r="C52" s="64"/>
      <c r="D52" s="64"/>
      <c r="E52" s="64"/>
      <c r="F52" s="36"/>
      <c r="G52" s="63"/>
      <c r="H52" s="95"/>
      <c r="I52" s="36"/>
      <c r="J52" s="36"/>
      <c r="K52" s="36"/>
      <c r="L52" s="36"/>
      <c r="M52" s="36"/>
      <c r="N52" s="36"/>
      <c r="O52" s="36"/>
      <c r="P52" s="36"/>
      <c r="Q52" s="36"/>
      <c r="R52" s="36"/>
      <c r="S52" s="36"/>
      <c r="T52" s="36"/>
      <c r="U52" s="36"/>
      <c r="V52" s="36"/>
      <c r="W52" s="36"/>
      <c r="X52" s="36"/>
      <c r="Y52" s="36"/>
      <c r="Z52" s="36"/>
      <c r="AA52" s="36"/>
      <c r="AB52" s="36"/>
      <c r="AC52" s="36"/>
      <c r="AD52" s="36"/>
      <c r="AE52" s="36"/>
      <c r="AF52" s="36"/>
    </row>
    <row r="53" ht="15.75" customHeight="1">
      <c r="A53" s="132" t="s">
        <v>769</v>
      </c>
      <c r="B53" s="133">
        <v>1.0</v>
      </c>
      <c r="C53" s="134" t="s">
        <v>773</v>
      </c>
      <c r="D53" s="135" t="s">
        <v>776</v>
      </c>
      <c r="E53" s="135" t="s">
        <v>779</v>
      </c>
      <c r="F53" s="136"/>
      <c r="G53" s="13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ht="15.75" customHeight="1">
      <c r="A54" s="88" t="s">
        <v>769</v>
      </c>
      <c r="B54" s="89">
        <v>2.0</v>
      </c>
      <c r="C54" s="149" t="s">
        <v>795</v>
      </c>
      <c r="D54" s="138" t="s">
        <v>797</v>
      </c>
      <c r="E54" s="138" t="s">
        <v>798</v>
      </c>
      <c r="F54" s="33"/>
      <c r="G54" s="3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row>
    <row r="55" ht="15.75" customHeight="1">
      <c r="A55" s="88" t="s">
        <v>769</v>
      </c>
      <c r="B55" s="89">
        <v>3.0</v>
      </c>
      <c r="C55" s="149" t="s">
        <v>814</v>
      </c>
      <c r="D55" s="138" t="s">
        <v>814</v>
      </c>
      <c r="E55" s="138" t="s">
        <v>820</v>
      </c>
      <c r="F55" s="33"/>
      <c r="G55" s="3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row>
    <row r="56" ht="15.75" customHeight="1">
      <c r="A56" s="88" t="s">
        <v>769</v>
      </c>
      <c r="B56" s="89">
        <v>4.0</v>
      </c>
      <c r="C56" s="116" t="s">
        <v>835</v>
      </c>
      <c r="D56" s="116" t="s">
        <v>836</v>
      </c>
      <c r="E56" s="154" t="s">
        <v>837</v>
      </c>
      <c r="F56" s="33"/>
      <c r="G56" s="3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row>
    <row r="57" ht="15.75" customHeight="1">
      <c r="A57" s="88" t="s">
        <v>769</v>
      </c>
      <c r="B57" s="89">
        <v>5.0</v>
      </c>
      <c r="C57" s="116" t="s">
        <v>859</v>
      </c>
      <c r="D57" s="116" t="s">
        <v>860</v>
      </c>
      <c r="E57" s="154" t="s">
        <v>861</v>
      </c>
      <c r="F57" s="33"/>
      <c r="G57" s="3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row>
    <row r="58" ht="15.75" customHeight="1">
      <c r="A58" s="88" t="s">
        <v>769</v>
      </c>
      <c r="B58" s="89">
        <v>6.0</v>
      </c>
      <c r="C58" s="116" t="s">
        <v>879</v>
      </c>
      <c r="D58" s="116" t="s">
        <v>880</v>
      </c>
      <c r="E58" s="154" t="s">
        <v>881</v>
      </c>
      <c r="F58" s="33"/>
      <c r="G58" s="3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row>
    <row r="59" ht="15.75" customHeight="1">
      <c r="A59" s="88" t="s">
        <v>769</v>
      </c>
      <c r="B59" s="89">
        <v>7.0</v>
      </c>
      <c r="C59" s="116" t="s">
        <v>902</v>
      </c>
      <c r="D59" s="116" t="s">
        <v>903</v>
      </c>
      <c r="E59" s="154" t="s">
        <v>904</v>
      </c>
      <c r="F59" s="33"/>
      <c r="G59" s="3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row>
    <row r="60" ht="15.75" customHeight="1">
      <c r="A60" s="88" t="s">
        <v>769</v>
      </c>
      <c r="B60" s="89">
        <v>8.0</v>
      </c>
      <c r="C60" s="116" t="s">
        <v>923</v>
      </c>
      <c r="D60" s="116" t="s">
        <v>924</v>
      </c>
      <c r="E60" s="154" t="s">
        <v>925</v>
      </c>
      <c r="F60" s="33"/>
      <c r="G60" s="3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row>
    <row r="61" ht="15.75" customHeight="1">
      <c r="A61" s="73" t="s">
        <v>769</v>
      </c>
      <c r="B61" s="113">
        <v>-777.0</v>
      </c>
      <c r="C61" s="114" t="s">
        <v>941</v>
      </c>
      <c r="D61" s="114" t="s">
        <v>944</v>
      </c>
      <c r="E61" s="44" t="s">
        <v>946</v>
      </c>
      <c r="F61" s="43"/>
      <c r="G61" s="43"/>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row>
    <row r="62" ht="15.75" customHeight="1">
      <c r="A62" s="64"/>
      <c r="B62" s="110"/>
      <c r="C62" s="64"/>
      <c r="D62" s="64"/>
      <c r="E62" s="64"/>
      <c r="F62" s="36"/>
      <c r="G62" s="63"/>
      <c r="H62" s="95"/>
      <c r="I62" s="36"/>
      <c r="J62" s="36"/>
      <c r="K62" s="36"/>
      <c r="L62" s="36"/>
      <c r="M62" s="36"/>
      <c r="N62" s="36"/>
      <c r="O62" s="36"/>
      <c r="P62" s="36"/>
      <c r="Q62" s="36"/>
      <c r="R62" s="36"/>
      <c r="S62" s="36"/>
      <c r="T62" s="36"/>
      <c r="U62" s="36"/>
      <c r="V62" s="36"/>
      <c r="W62" s="36"/>
      <c r="X62" s="36"/>
      <c r="Y62" s="36"/>
      <c r="Z62" s="36"/>
      <c r="AA62" s="36"/>
      <c r="AB62" s="36"/>
      <c r="AC62" s="36"/>
      <c r="AD62" s="36"/>
      <c r="AE62" s="36"/>
      <c r="AF62" s="36"/>
    </row>
    <row r="63" ht="15.75" customHeight="1">
      <c r="A63" s="88" t="s">
        <v>965</v>
      </c>
      <c r="B63" s="88">
        <v>1.0</v>
      </c>
      <c r="C63" s="88" t="s">
        <v>967</v>
      </c>
      <c r="D63" s="88" t="s">
        <v>970</v>
      </c>
      <c r="E63" s="88" t="s">
        <v>972</v>
      </c>
      <c r="F63" s="136"/>
      <c r="G63" s="13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row>
    <row r="64" ht="15.75" customHeight="1">
      <c r="A64" s="88" t="s">
        <v>965</v>
      </c>
      <c r="B64" s="88">
        <v>2.0</v>
      </c>
      <c r="C64" s="88" t="s">
        <v>993</v>
      </c>
      <c r="D64" s="88" t="s">
        <v>994</v>
      </c>
      <c r="E64" s="88" t="s">
        <v>996</v>
      </c>
      <c r="F64" s="33"/>
      <c r="G64" s="3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row>
    <row r="65" ht="15.75" customHeight="1">
      <c r="A65" s="88" t="s">
        <v>965</v>
      </c>
      <c r="B65" s="88">
        <v>3.0</v>
      </c>
      <c r="C65" s="88" t="s">
        <v>1012</v>
      </c>
      <c r="D65" s="88" t="s">
        <v>1014</v>
      </c>
      <c r="E65" s="88" t="s">
        <v>1016</v>
      </c>
      <c r="F65" s="43"/>
      <c r="G65" s="43"/>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row>
    <row r="66" ht="15.75" customHeight="1">
      <c r="A66" s="88"/>
      <c r="B66" s="88"/>
      <c r="C66" s="88"/>
      <c r="D66" s="88"/>
      <c r="E66" s="88"/>
      <c r="F66" s="36"/>
      <c r="G66" s="63"/>
      <c r="H66" s="95"/>
      <c r="I66" s="36"/>
      <c r="J66" s="36"/>
      <c r="K66" s="36"/>
      <c r="L66" s="36"/>
      <c r="M66" s="36"/>
      <c r="N66" s="36"/>
      <c r="O66" s="36"/>
      <c r="P66" s="36"/>
      <c r="Q66" s="36"/>
      <c r="R66" s="36"/>
      <c r="S66" s="36"/>
      <c r="T66" s="36"/>
      <c r="U66" s="36"/>
      <c r="V66" s="36"/>
      <c r="W66" s="36"/>
      <c r="X66" s="36"/>
      <c r="Y66" s="36"/>
      <c r="Z66" s="36"/>
      <c r="AA66" s="36"/>
      <c r="AB66" s="36"/>
      <c r="AC66" s="36"/>
      <c r="AD66" s="36"/>
      <c r="AE66" s="36"/>
      <c r="AF66" s="36"/>
    </row>
    <row r="67" ht="15.75" customHeight="1">
      <c r="A67" s="88" t="s">
        <v>1037</v>
      </c>
      <c r="B67" s="88">
        <v>1.0</v>
      </c>
      <c r="C67" s="88" t="s">
        <v>1040</v>
      </c>
      <c r="D67" s="88" t="s">
        <v>1040</v>
      </c>
      <c r="E67" s="88" t="s">
        <v>1041</v>
      </c>
      <c r="F67" s="136"/>
      <c r="G67" s="13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row>
    <row r="68" ht="15.75" customHeight="1">
      <c r="A68" s="88" t="s">
        <v>1037</v>
      </c>
      <c r="B68" s="88">
        <v>2.0</v>
      </c>
      <c r="C68" s="88" t="s">
        <v>1050</v>
      </c>
      <c r="D68" s="88" t="s">
        <v>1053</v>
      </c>
      <c r="E68" s="88" t="s">
        <v>1055</v>
      </c>
      <c r="F68" s="33"/>
      <c r="G68" s="3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row>
    <row r="69" ht="15.75" customHeight="1">
      <c r="A69" s="88" t="s">
        <v>1037</v>
      </c>
      <c r="B69" s="88">
        <v>3.0</v>
      </c>
      <c r="C69" s="88" t="s">
        <v>1069</v>
      </c>
      <c r="D69" s="88" t="s">
        <v>1071</v>
      </c>
      <c r="E69" s="88" t="s">
        <v>1072</v>
      </c>
      <c r="F69" s="43"/>
      <c r="G69" s="43"/>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row>
    <row r="70" ht="15.75" customHeight="1">
      <c r="A70" s="88"/>
      <c r="B70" s="88"/>
      <c r="C70" s="88"/>
      <c r="D70" s="88"/>
      <c r="E70" s="88"/>
      <c r="F70" s="43"/>
      <c r="G70" s="43"/>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row>
    <row r="71" ht="15.75" customHeight="1">
      <c r="A71" s="114"/>
      <c r="B71" s="114"/>
      <c r="C71" s="44"/>
      <c r="D71" s="44"/>
      <c r="E71" s="44"/>
      <c r="F71" s="43"/>
      <c r="G71" s="43"/>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row>
    <row r="72" ht="15.75" customHeight="1">
      <c r="A72" s="116"/>
      <c r="B72" s="116"/>
      <c r="C72" s="116"/>
      <c r="D72" s="116"/>
      <c r="E72" s="116"/>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row>
    <row r="73" ht="15.75" customHeight="1">
      <c r="A73" s="173" t="s">
        <v>1119</v>
      </c>
      <c r="B73" s="174">
        <v>1.0</v>
      </c>
      <c r="C73" s="175" t="s">
        <v>1124</v>
      </c>
      <c r="D73" s="175" t="s">
        <v>1128</v>
      </c>
      <c r="E73" s="175" t="s">
        <v>1129</v>
      </c>
      <c r="F73" s="176"/>
      <c r="G73" s="176"/>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row>
    <row r="74" ht="15.75" customHeight="1">
      <c r="A74" s="88" t="s">
        <v>1119</v>
      </c>
      <c r="B74" s="89">
        <v>2.0</v>
      </c>
      <c r="C74" s="34" t="s">
        <v>1136</v>
      </c>
      <c r="D74" s="34" t="s">
        <v>1137</v>
      </c>
      <c r="E74" s="92" t="s">
        <v>1140</v>
      </c>
      <c r="F74" s="33"/>
      <c r="G74" s="3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row>
    <row r="75" ht="15.75" customHeight="1">
      <c r="A75" s="88" t="s">
        <v>1119</v>
      </c>
      <c r="B75" s="89">
        <v>3.0</v>
      </c>
      <c r="C75" s="34" t="s">
        <v>1148</v>
      </c>
      <c r="D75" s="34" t="s">
        <v>1151</v>
      </c>
      <c r="E75" s="92" t="s">
        <v>1152</v>
      </c>
      <c r="F75" s="33"/>
      <c r="G75" s="3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row>
    <row r="76" ht="15.75" customHeight="1">
      <c r="A76" s="88" t="s">
        <v>1119</v>
      </c>
      <c r="B76" s="89">
        <v>4.0</v>
      </c>
      <c r="C76" s="34" t="s">
        <v>1161</v>
      </c>
      <c r="D76" s="34" t="s">
        <v>1163</v>
      </c>
      <c r="E76" s="92" t="s">
        <v>1164</v>
      </c>
      <c r="F76" s="178"/>
      <c r="G76" s="178"/>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row>
    <row r="77" ht="15.75" customHeight="1">
      <c r="A77" s="88" t="s">
        <v>1119</v>
      </c>
      <c r="B77" s="89">
        <v>5.0</v>
      </c>
      <c r="C77" s="34" t="s">
        <v>1185</v>
      </c>
      <c r="D77" s="34" t="s">
        <v>1186</v>
      </c>
      <c r="E77" s="92" t="s">
        <v>1187</v>
      </c>
      <c r="F77" s="178"/>
      <c r="G77" s="3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row>
    <row r="78" ht="15.75" customHeight="1">
      <c r="A78" s="88" t="s">
        <v>1119</v>
      </c>
      <c r="B78" s="89">
        <v>6.0</v>
      </c>
      <c r="C78" s="34" t="s">
        <v>1195</v>
      </c>
      <c r="D78" s="34" t="s">
        <v>1197</v>
      </c>
      <c r="E78" s="92" t="s">
        <v>1197</v>
      </c>
      <c r="F78" s="178"/>
      <c r="G78" s="178"/>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row>
    <row r="79" ht="15.75" customHeight="1">
      <c r="A79" s="88" t="s">
        <v>1119</v>
      </c>
      <c r="B79" s="89">
        <v>-777.0</v>
      </c>
      <c r="C79" s="34" t="s">
        <v>941</v>
      </c>
      <c r="D79" s="34" t="s">
        <v>944</v>
      </c>
      <c r="E79" s="34" t="s">
        <v>946</v>
      </c>
      <c r="F79" s="33"/>
      <c r="G79" s="3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row>
    <row r="80" ht="15.75" customHeight="1">
      <c r="A80" s="88" t="s">
        <v>1119</v>
      </c>
      <c r="B80" s="89">
        <v>0.0</v>
      </c>
      <c r="C80" s="34" t="s">
        <v>237</v>
      </c>
      <c r="D80" s="34" t="s">
        <v>238</v>
      </c>
      <c r="E80" s="34" t="s">
        <v>239</v>
      </c>
      <c r="F80" s="33"/>
      <c r="G80" s="3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row>
    <row r="81" ht="15.75" customHeight="1">
      <c r="A81" s="116"/>
      <c r="B81" s="116"/>
      <c r="C81" s="116"/>
      <c r="D81" s="116"/>
      <c r="E81" s="116"/>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row>
    <row r="82" ht="15.75" customHeight="1">
      <c r="A82" s="132" t="s">
        <v>1238</v>
      </c>
      <c r="B82" s="133">
        <v>0.0</v>
      </c>
      <c r="C82" s="141" t="s">
        <v>1239</v>
      </c>
      <c r="D82" s="141" t="s">
        <v>1240</v>
      </c>
      <c r="E82" s="141" t="s">
        <v>1242</v>
      </c>
      <c r="F82" s="136"/>
      <c r="G82" s="136"/>
      <c r="H82" s="56"/>
      <c r="I82" s="56"/>
      <c r="J82" s="56"/>
      <c r="K82" s="56"/>
      <c r="L82" s="56"/>
      <c r="M82" s="56"/>
      <c r="N82" s="56"/>
      <c r="O82" s="56"/>
      <c r="P82" s="56"/>
      <c r="Q82" s="56"/>
      <c r="R82" s="56"/>
      <c r="S82" s="56"/>
      <c r="T82" s="56"/>
      <c r="U82" s="56"/>
      <c r="V82" s="56"/>
      <c r="W82" s="56"/>
      <c r="X82" s="56"/>
      <c r="Y82" s="56"/>
      <c r="Z82" s="56"/>
      <c r="AA82" s="56"/>
      <c r="AB82" s="63"/>
      <c r="AC82" s="63"/>
      <c r="AD82" s="63"/>
      <c r="AE82" s="63"/>
      <c r="AF82" s="63"/>
    </row>
    <row r="83" ht="15.75" customHeight="1">
      <c r="A83" s="88" t="s">
        <v>1238</v>
      </c>
      <c r="B83" s="89">
        <v>1.0</v>
      </c>
      <c r="C83" s="34" t="s">
        <v>1261</v>
      </c>
      <c r="D83" s="34" t="s">
        <v>1264</v>
      </c>
      <c r="E83" s="34" t="s">
        <v>1266</v>
      </c>
      <c r="F83" s="33"/>
      <c r="G83" s="3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row>
    <row r="84" ht="15.75" customHeight="1">
      <c r="A84" s="88" t="s">
        <v>1238</v>
      </c>
      <c r="B84" s="89">
        <v>2.0</v>
      </c>
      <c r="C84" s="34" t="s">
        <v>1281</v>
      </c>
      <c r="D84" s="34" t="s">
        <v>1283</v>
      </c>
      <c r="E84" s="92" t="s">
        <v>1285</v>
      </c>
      <c r="F84" s="33"/>
      <c r="G84" s="3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row>
    <row r="85" ht="15.75" customHeight="1">
      <c r="A85" s="73" t="s">
        <v>1238</v>
      </c>
      <c r="B85" s="113">
        <v>3.0</v>
      </c>
      <c r="C85" s="44" t="s">
        <v>1306</v>
      </c>
      <c r="D85" s="34" t="s">
        <v>1307</v>
      </c>
      <c r="E85" s="34" t="s">
        <v>1308</v>
      </c>
      <c r="F85" s="43"/>
      <c r="G85" s="43"/>
      <c r="H85" s="139"/>
      <c r="I85" s="139"/>
      <c r="J85" s="139"/>
      <c r="K85" s="139"/>
      <c r="L85" s="139"/>
      <c r="M85" s="139"/>
      <c r="N85" s="139"/>
      <c r="O85" s="139"/>
      <c r="P85" s="139"/>
      <c r="Q85" s="139"/>
      <c r="R85" s="139"/>
      <c r="S85" s="139"/>
      <c r="T85" s="139"/>
      <c r="U85" s="139"/>
      <c r="V85" s="139"/>
      <c r="W85" s="139"/>
      <c r="X85" s="139"/>
      <c r="Y85" s="139"/>
      <c r="Z85" s="139"/>
      <c r="AA85" s="139"/>
      <c r="AB85" s="63"/>
      <c r="AC85" s="63"/>
      <c r="AD85" s="63"/>
      <c r="AE85" s="63"/>
      <c r="AF85" s="63"/>
    </row>
    <row r="86" ht="15.75" customHeight="1">
      <c r="A86" s="116"/>
      <c r="B86" s="116"/>
      <c r="C86" s="116"/>
      <c r="D86" s="116"/>
      <c r="E86" s="116"/>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row>
    <row r="87" ht="15.75" customHeight="1">
      <c r="A87" s="132" t="s">
        <v>382</v>
      </c>
      <c r="B87" s="133">
        <v>1.0</v>
      </c>
      <c r="C87" s="141" t="s">
        <v>385</v>
      </c>
      <c r="D87" s="141" t="s">
        <v>387</v>
      </c>
      <c r="E87" s="141" t="s">
        <v>388</v>
      </c>
      <c r="F87" s="136"/>
      <c r="G87" s="13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row>
    <row r="88" ht="15.75" customHeight="1">
      <c r="A88" s="88" t="s">
        <v>382</v>
      </c>
      <c r="B88" s="89">
        <v>2.0</v>
      </c>
      <c r="C88" s="34" t="s">
        <v>410</v>
      </c>
      <c r="D88" s="34" t="s">
        <v>413</v>
      </c>
      <c r="E88" s="92" t="s">
        <v>414</v>
      </c>
      <c r="F88" s="33"/>
      <c r="G88" s="3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row>
    <row r="89" ht="15.75" customHeight="1">
      <c r="A89" s="88" t="s">
        <v>382</v>
      </c>
      <c r="B89" s="89">
        <v>3.0</v>
      </c>
      <c r="C89" s="34" t="s">
        <v>433</v>
      </c>
      <c r="D89" s="34" t="s">
        <v>434</v>
      </c>
      <c r="E89" s="34" t="s">
        <v>435</v>
      </c>
      <c r="F89" s="33"/>
      <c r="G89" s="3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row>
    <row r="90" ht="15.75" customHeight="1">
      <c r="A90" s="88" t="s">
        <v>382</v>
      </c>
      <c r="B90" s="89">
        <v>4.0</v>
      </c>
      <c r="C90" s="34" t="s">
        <v>447</v>
      </c>
      <c r="D90" s="34" t="s">
        <v>448</v>
      </c>
      <c r="E90" s="34" t="s">
        <v>450</v>
      </c>
      <c r="F90" s="33"/>
      <c r="G90" s="3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row>
    <row r="91" ht="15.75" customHeight="1">
      <c r="A91" s="88" t="s">
        <v>382</v>
      </c>
      <c r="B91" s="89">
        <v>5.0</v>
      </c>
      <c r="C91" s="34" t="s">
        <v>465</v>
      </c>
      <c r="D91" s="34" t="s">
        <v>466</v>
      </c>
      <c r="E91" s="92" t="s">
        <v>467</v>
      </c>
      <c r="F91" s="33"/>
      <c r="G91" s="3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row>
    <row r="92" ht="15.75" customHeight="1">
      <c r="A92" s="88" t="s">
        <v>382</v>
      </c>
      <c r="B92" s="89">
        <v>6.0</v>
      </c>
      <c r="C92" s="34" t="s">
        <v>477</v>
      </c>
      <c r="D92" s="34" t="s">
        <v>478</v>
      </c>
      <c r="E92" s="92" t="s">
        <v>481</v>
      </c>
      <c r="F92" s="178"/>
      <c r="G92" s="3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row>
    <row r="93" ht="15.75" customHeight="1">
      <c r="A93" s="88" t="s">
        <v>382</v>
      </c>
      <c r="B93" s="89">
        <v>7.0</v>
      </c>
      <c r="C93" s="34" t="s">
        <v>496</v>
      </c>
      <c r="D93" s="34" t="s">
        <v>496</v>
      </c>
      <c r="E93" s="34" t="s">
        <v>497</v>
      </c>
      <c r="F93" s="33"/>
      <c r="G93" s="3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row>
    <row r="94" ht="15.75" customHeight="1">
      <c r="A94" s="88" t="s">
        <v>382</v>
      </c>
      <c r="B94" s="89">
        <v>8.0</v>
      </c>
      <c r="C94" s="34" t="s">
        <v>520</v>
      </c>
      <c r="D94" s="34" t="s">
        <v>521</v>
      </c>
      <c r="E94" s="92" t="s">
        <v>523</v>
      </c>
      <c r="F94" s="33"/>
      <c r="G94" s="3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row>
    <row r="95" ht="15.75" customHeight="1">
      <c r="A95" s="88" t="s">
        <v>382</v>
      </c>
      <c r="B95" s="89">
        <v>9.0</v>
      </c>
      <c r="C95" s="34" t="s">
        <v>542</v>
      </c>
      <c r="D95" s="34" t="s">
        <v>547</v>
      </c>
      <c r="E95" s="92" t="s">
        <v>548</v>
      </c>
      <c r="F95" s="178"/>
      <c r="G95" s="3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row>
    <row r="96" ht="15.75" customHeight="1">
      <c r="A96" s="88" t="s">
        <v>382</v>
      </c>
      <c r="B96" s="89">
        <v>10.0</v>
      </c>
      <c r="C96" s="34" t="s">
        <v>568</v>
      </c>
      <c r="D96" s="34" t="s">
        <v>572</v>
      </c>
      <c r="E96" s="92" t="s">
        <v>574</v>
      </c>
      <c r="F96" s="33"/>
      <c r="G96" s="3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row>
    <row r="97" ht="15.75" customHeight="1">
      <c r="A97" s="88" t="s">
        <v>382</v>
      </c>
      <c r="B97" s="89">
        <v>11.0</v>
      </c>
      <c r="C97" s="34" t="s">
        <v>585</v>
      </c>
      <c r="D97" s="34" t="s">
        <v>590</v>
      </c>
      <c r="E97" s="34" t="s">
        <v>591</v>
      </c>
      <c r="F97" s="33"/>
      <c r="G97" s="3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row>
    <row r="98" ht="15.75" customHeight="1">
      <c r="A98" s="88" t="s">
        <v>382</v>
      </c>
      <c r="B98" s="89">
        <v>13.0</v>
      </c>
      <c r="C98" s="34" t="s">
        <v>604</v>
      </c>
      <c r="D98" s="34" t="s">
        <v>606</v>
      </c>
      <c r="E98" s="92" t="s">
        <v>608</v>
      </c>
      <c r="F98" s="33"/>
      <c r="G98" s="3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row>
    <row r="99" ht="15.75" customHeight="1">
      <c r="A99" s="88" t="s">
        <v>382</v>
      </c>
      <c r="B99" s="89">
        <v>14.0</v>
      </c>
      <c r="C99" s="34" t="s">
        <v>625</v>
      </c>
      <c r="D99" s="34" t="s">
        <v>626</v>
      </c>
      <c r="E99" s="34" t="s">
        <v>627</v>
      </c>
      <c r="F99" s="33"/>
      <c r="G99" s="3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row>
    <row r="100" ht="15.75" customHeight="1">
      <c r="A100" s="73" t="s">
        <v>382</v>
      </c>
      <c r="B100" s="113">
        <v>-99.0</v>
      </c>
      <c r="C100" s="44" t="s">
        <v>645</v>
      </c>
      <c r="D100" s="44" t="s">
        <v>649</v>
      </c>
      <c r="E100" s="81" t="s">
        <v>651</v>
      </c>
      <c r="F100" s="43"/>
      <c r="G100" s="43"/>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row>
    <row r="101" ht="15.75" customHeight="1">
      <c r="A101" s="116"/>
      <c r="B101" s="117"/>
      <c r="C101" s="116"/>
      <c r="D101" s="116"/>
      <c r="E101" s="189"/>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row>
    <row r="102" ht="15.75" customHeight="1">
      <c r="A102" s="132" t="s">
        <v>1605</v>
      </c>
      <c r="B102" s="133">
        <v>0.0</v>
      </c>
      <c r="C102" s="141" t="s">
        <v>237</v>
      </c>
      <c r="D102" s="141" t="s">
        <v>238</v>
      </c>
      <c r="E102" s="190" t="s">
        <v>1607</v>
      </c>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row>
    <row r="103" ht="15.75" customHeight="1">
      <c r="A103" s="88" t="s">
        <v>1605</v>
      </c>
      <c r="B103" s="89">
        <v>1.0</v>
      </c>
      <c r="C103" s="34" t="s">
        <v>1631</v>
      </c>
      <c r="D103" s="34" t="s">
        <v>1634</v>
      </c>
      <c r="E103" s="92" t="s">
        <v>1636</v>
      </c>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row>
    <row r="104" ht="15.75" customHeight="1">
      <c r="A104" s="88" t="s">
        <v>1605</v>
      </c>
      <c r="B104" s="89">
        <v>2.0</v>
      </c>
      <c r="C104" s="34" t="s">
        <v>1653</v>
      </c>
      <c r="D104" s="34" t="s">
        <v>1654</v>
      </c>
      <c r="E104" s="92" t="s">
        <v>1655</v>
      </c>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row>
    <row r="105" ht="15.75" customHeight="1">
      <c r="A105" s="88" t="s">
        <v>1605</v>
      </c>
      <c r="B105" s="89">
        <v>3.0</v>
      </c>
      <c r="C105" s="34" t="s">
        <v>1667</v>
      </c>
      <c r="D105" s="34" t="s">
        <v>1668</v>
      </c>
      <c r="E105" s="34" t="s">
        <v>1669</v>
      </c>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row>
    <row r="106" ht="15.75" customHeight="1">
      <c r="A106" s="88" t="s">
        <v>1605</v>
      </c>
      <c r="B106" s="89">
        <v>4.0</v>
      </c>
      <c r="C106" s="34" t="s">
        <v>1674</v>
      </c>
      <c r="D106" s="34" t="s">
        <v>1675</v>
      </c>
      <c r="E106" s="92" t="s">
        <v>1677</v>
      </c>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row>
    <row r="107" ht="15.75" customHeight="1">
      <c r="A107" s="88" t="s">
        <v>1605</v>
      </c>
      <c r="B107" s="89">
        <v>5.0</v>
      </c>
      <c r="C107" s="34" t="s">
        <v>1698</v>
      </c>
      <c r="D107" s="34" t="s">
        <v>1700</v>
      </c>
      <c r="E107" s="92" t="s">
        <v>1702</v>
      </c>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row>
    <row r="108" ht="15.75" customHeight="1">
      <c r="A108" s="73" t="s">
        <v>1605</v>
      </c>
      <c r="B108" s="113">
        <v>6.0</v>
      </c>
      <c r="C108" s="44" t="s">
        <v>1704</v>
      </c>
      <c r="D108" s="44" t="s">
        <v>1705</v>
      </c>
      <c r="E108" s="44" t="s">
        <v>1706</v>
      </c>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row>
    <row r="109" ht="15.75" customHeight="1">
      <c r="A109" s="116"/>
      <c r="B109" s="117"/>
      <c r="C109" s="116"/>
      <c r="D109" s="116"/>
      <c r="E109" s="189"/>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row>
    <row r="110" ht="15.75" customHeight="1">
      <c r="A110" s="132" t="s">
        <v>1734</v>
      </c>
      <c r="B110" s="133">
        <v>1.0</v>
      </c>
      <c r="C110" s="141" t="s">
        <v>1738</v>
      </c>
      <c r="D110" s="141" t="s">
        <v>1738</v>
      </c>
      <c r="E110" s="141" t="s">
        <v>1738</v>
      </c>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row>
    <row r="111" ht="15.75" customHeight="1">
      <c r="A111" s="88" t="s">
        <v>1734</v>
      </c>
      <c r="B111" s="89">
        <v>2.0</v>
      </c>
      <c r="C111" s="34" t="s">
        <v>1747</v>
      </c>
      <c r="D111" s="34" t="s">
        <v>1747</v>
      </c>
      <c r="E111" s="34" t="s">
        <v>1747</v>
      </c>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row>
    <row r="112" ht="15.75" customHeight="1">
      <c r="A112" s="88" t="s">
        <v>1734</v>
      </c>
      <c r="B112" s="89">
        <v>3.0</v>
      </c>
      <c r="C112" s="34" t="s">
        <v>1756</v>
      </c>
      <c r="D112" s="34" t="s">
        <v>1756</v>
      </c>
      <c r="E112" s="34" t="s">
        <v>1756</v>
      </c>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row>
    <row r="113" ht="15.75" customHeight="1">
      <c r="A113" s="88" t="s">
        <v>1734</v>
      </c>
      <c r="B113" s="89">
        <v>4.0</v>
      </c>
      <c r="C113" s="34" t="s">
        <v>1774</v>
      </c>
      <c r="D113" s="34" t="s">
        <v>1774</v>
      </c>
      <c r="E113" s="34" t="s">
        <v>1774</v>
      </c>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row>
    <row r="114" ht="15.75" customHeight="1">
      <c r="A114" s="88" t="s">
        <v>1734</v>
      </c>
      <c r="B114" s="89">
        <v>5.0</v>
      </c>
      <c r="C114" s="34" t="s">
        <v>1785</v>
      </c>
      <c r="D114" s="34" t="s">
        <v>1785</v>
      </c>
      <c r="E114" s="34" t="s">
        <v>1785</v>
      </c>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row>
    <row r="115" ht="15.75" customHeight="1">
      <c r="A115" s="88" t="s">
        <v>1734</v>
      </c>
      <c r="B115" s="89">
        <v>6.0</v>
      </c>
      <c r="C115" s="34" t="s">
        <v>1803</v>
      </c>
      <c r="D115" s="34" t="s">
        <v>1803</v>
      </c>
      <c r="E115" s="34" t="s">
        <v>1803</v>
      </c>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row>
    <row r="116" ht="15.75" customHeight="1">
      <c r="A116" s="88" t="s">
        <v>1734</v>
      </c>
      <c r="B116" s="89">
        <v>7.0</v>
      </c>
      <c r="C116" s="34" t="s">
        <v>1824</v>
      </c>
      <c r="D116" s="34" t="s">
        <v>1824</v>
      </c>
      <c r="E116" s="34" t="s">
        <v>1824</v>
      </c>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row>
    <row r="117" ht="15.75" customHeight="1">
      <c r="A117" s="73" t="s">
        <v>1734</v>
      </c>
      <c r="B117" s="113">
        <v>8.0</v>
      </c>
      <c r="C117" s="44" t="s">
        <v>1836</v>
      </c>
      <c r="D117" s="44" t="s">
        <v>1836</v>
      </c>
      <c r="E117" s="44" t="s">
        <v>1836</v>
      </c>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row>
    <row r="118" ht="15.75" customHeight="1">
      <c r="A118" s="116"/>
      <c r="B118" s="117"/>
      <c r="C118" s="116"/>
      <c r="D118" s="116"/>
      <c r="E118" s="189"/>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row>
    <row r="119" ht="15.75" customHeight="1">
      <c r="A119" s="191" t="s">
        <v>1866</v>
      </c>
      <c r="B119" s="192" t="s">
        <v>1875</v>
      </c>
      <c r="C119" s="192" t="s">
        <v>1879</v>
      </c>
      <c r="D119" s="192" t="s">
        <v>1879</v>
      </c>
      <c r="E119" s="192" t="s">
        <v>1879</v>
      </c>
      <c r="F119" s="193"/>
      <c r="G119" s="193"/>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row>
    <row r="120" ht="15.75" customHeight="1">
      <c r="A120" s="191" t="s">
        <v>1866</v>
      </c>
      <c r="B120" s="110">
        <v>-777.0</v>
      </c>
      <c r="C120" s="64" t="s">
        <v>941</v>
      </c>
      <c r="D120" s="34" t="s">
        <v>944</v>
      </c>
      <c r="E120" s="34" t="s">
        <v>1898</v>
      </c>
      <c r="F120" s="63"/>
      <c r="G120" s="95"/>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row>
    <row r="121" ht="15.75" customHeight="1">
      <c r="A121" s="116"/>
      <c r="B121" s="117"/>
      <c r="C121" s="116"/>
      <c r="D121" s="116"/>
      <c r="E121" s="116"/>
      <c r="F121" s="63"/>
      <c r="G121" s="95"/>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c r="A122" s="132" t="s">
        <v>1911</v>
      </c>
      <c r="B122" s="133">
        <v>0.0</v>
      </c>
      <c r="C122" s="141" t="s">
        <v>237</v>
      </c>
      <c r="D122" s="141" t="s">
        <v>238</v>
      </c>
      <c r="E122" s="141" t="s">
        <v>239</v>
      </c>
      <c r="F122" s="136"/>
      <c r="G122" s="196">
        <v>1.0</v>
      </c>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row>
    <row r="123" ht="15.75" customHeight="1">
      <c r="A123" s="88" t="s">
        <v>1911</v>
      </c>
      <c r="B123" s="89">
        <v>1.0</v>
      </c>
      <c r="C123" s="34" t="s">
        <v>1923</v>
      </c>
      <c r="D123" s="34" t="s">
        <v>1923</v>
      </c>
      <c r="E123" s="34" t="s">
        <v>1924</v>
      </c>
      <c r="F123" s="33"/>
      <c r="G123" s="105">
        <v>2.0</v>
      </c>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c r="A124" s="88" t="s">
        <v>1911</v>
      </c>
      <c r="B124" s="89">
        <v>2.0</v>
      </c>
      <c r="C124" s="34" t="s">
        <v>1933</v>
      </c>
      <c r="D124" s="34" t="s">
        <v>1934</v>
      </c>
      <c r="E124" s="34" t="s">
        <v>1935</v>
      </c>
      <c r="F124" s="33"/>
      <c r="G124" s="3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c r="A125" s="88" t="s">
        <v>1911</v>
      </c>
      <c r="B125" s="89">
        <v>3.0</v>
      </c>
      <c r="C125" s="34" t="s">
        <v>1943</v>
      </c>
      <c r="D125" s="34" t="s">
        <v>1944</v>
      </c>
      <c r="E125" s="34" t="s">
        <v>1943</v>
      </c>
      <c r="F125" s="33"/>
      <c r="G125" s="3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c r="A126" s="88" t="s">
        <v>1911</v>
      </c>
      <c r="B126" s="89">
        <v>4.0</v>
      </c>
      <c r="C126" s="34" t="s">
        <v>1956</v>
      </c>
      <c r="D126" s="34" t="s">
        <v>1956</v>
      </c>
      <c r="E126" s="34" t="s">
        <v>1956</v>
      </c>
      <c r="F126" s="33"/>
      <c r="G126" s="3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c r="A127" s="88" t="s">
        <v>1911</v>
      </c>
      <c r="B127" s="89">
        <v>5.0</v>
      </c>
      <c r="C127" s="34" t="s">
        <v>1968</v>
      </c>
      <c r="D127" s="34" t="s">
        <v>1971</v>
      </c>
      <c r="E127" s="34" t="s">
        <v>1973</v>
      </c>
      <c r="F127" s="33"/>
      <c r="G127" s="3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c r="A128" s="88" t="s">
        <v>1911</v>
      </c>
      <c r="B128" s="89">
        <v>6.0</v>
      </c>
      <c r="C128" s="34" t="s">
        <v>1986</v>
      </c>
      <c r="D128" s="34" t="s">
        <v>1989</v>
      </c>
      <c r="E128" s="92" t="s">
        <v>1990</v>
      </c>
      <c r="F128" s="33"/>
      <c r="G128" s="3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c r="A129" s="88" t="s">
        <v>1911</v>
      </c>
      <c r="B129" s="89">
        <v>7.0</v>
      </c>
      <c r="C129" s="34" t="s">
        <v>2000</v>
      </c>
      <c r="D129" s="34" t="s">
        <v>2002</v>
      </c>
      <c r="E129" s="34" t="s">
        <v>2000</v>
      </c>
      <c r="F129" s="33"/>
      <c r="G129" s="3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c r="A130" s="88" t="s">
        <v>1911</v>
      </c>
      <c r="B130" s="89">
        <v>8.0</v>
      </c>
      <c r="C130" s="34" t="s">
        <v>2013</v>
      </c>
      <c r="D130" s="34" t="s">
        <v>2013</v>
      </c>
      <c r="E130" s="34" t="s">
        <v>2013</v>
      </c>
      <c r="F130" s="33"/>
      <c r="G130" s="3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c r="A131" s="88" t="s">
        <v>1911</v>
      </c>
      <c r="B131" s="89">
        <v>9.0</v>
      </c>
      <c r="C131" s="34" t="s">
        <v>2027</v>
      </c>
      <c r="D131" s="34" t="s">
        <v>2027</v>
      </c>
      <c r="E131" s="34" t="s">
        <v>2027</v>
      </c>
      <c r="F131" s="33"/>
      <c r="G131" s="3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c r="A132" s="88" t="s">
        <v>1911</v>
      </c>
      <c r="B132" s="89">
        <v>10.0</v>
      </c>
      <c r="C132" s="34" t="s">
        <v>2037</v>
      </c>
      <c r="D132" s="34" t="s">
        <v>2038</v>
      </c>
      <c r="E132" s="34" t="s">
        <v>2039</v>
      </c>
      <c r="F132" s="33"/>
      <c r="G132" s="3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c r="A133" s="88" t="s">
        <v>1911</v>
      </c>
      <c r="B133" s="89">
        <v>11.0</v>
      </c>
      <c r="C133" s="34" t="s">
        <v>2040</v>
      </c>
      <c r="D133" s="34" t="s">
        <v>2041</v>
      </c>
      <c r="E133" s="34" t="s">
        <v>2040</v>
      </c>
      <c r="F133" s="33"/>
      <c r="G133" s="3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c r="A134" s="88" t="s">
        <v>1911</v>
      </c>
      <c r="B134" s="89">
        <v>12.0</v>
      </c>
      <c r="C134" s="34" t="s">
        <v>2047</v>
      </c>
      <c r="D134" s="34" t="s">
        <v>2047</v>
      </c>
      <c r="E134" s="34" t="s">
        <v>2047</v>
      </c>
      <c r="F134" s="33"/>
      <c r="G134" s="3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c r="A135" s="88" t="s">
        <v>1911</v>
      </c>
      <c r="B135" s="89">
        <v>13.0</v>
      </c>
      <c r="C135" s="34" t="s">
        <v>2058</v>
      </c>
      <c r="D135" s="34" t="s">
        <v>2059</v>
      </c>
      <c r="E135" s="34" t="s">
        <v>2058</v>
      </c>
      <c r="F135" s="33"/>
      <c r="G135" s="3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c r="A136" s="88" t="s">
        <v>1911</v>
      </c>
      <c r="B136" s="89">
        <v>14.0</v>
      </c>
      <c r="C136" s="34" t="s">
        <v>2065</v>
      </c>
      <c r="D136" s="34" t="s">
        <v>2065</v>
      </c>
      <c r="E136" s="34" t="s">
        <v>2065</v>
      </c>
      <c r="F136" s="33"/>
      <c r="G136" s="3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c r="A137" s="88" t="s">
        <v>1911</v>
      </c>
      <c r="B137" s="89">
        <v>15.0</v>
      </c>
      <c r="C137" s="34" t="s">
        <v>2078</v>
      </c>
      <c r="D137" s="34" t="s">
        <v>2081</v>
      </c>
      <c r="E137" s="34" t="s">
        <v>2078</v>
      </c>
      <c r="F137" s="33"/>
      <c r="G137" s="3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c r="A138" s="88" t="s">
        <v>1911</v>
      </c>
      <c r="B138" s="89">
        <v>16.0</v>
      </c>
      <c r="C138" s="34" t="s">
        <v>2093</v>
      </c>
      <c r="D138" s="34" t="s">
        <v>2094</v>
      </c>
      <c r="E138" s="34" t="s">
        <v>2093</v>
      </c>
      <c r="F138" s="33"/>
      <c r="G138" s="3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c r="A139" s="88" t="s">
        <v>1911</v>
      </c>
      <c r="B139" s="89">
        <v>17.0</v>
      </c>
      <c r="C139" s="34" t="s">
        <v>2106</v>
      </c>
      <c r="D139" s="34" t="s">
        <v>2109</v>
      </c>
      <c r="E139" s="34" t="s">
        <v>2111</v>
      </c>
      <c r="F139" s="33"/>
      <c r="G139" s="3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c r="A140" s="88" t="s">
        <v>1911</v>
      </c>
      <c r="B140" s="89">
        <v>18.0</v>
      </c>
      <c r="C140" s="34" t="s">
        <v>2126</v>
      </c>
      <c r="D140" s="34" t="s">
        <v>2126</v>
      </c>
      <c r="E140" s="34" t="s">
        <v>2130</v>
      </c>
      <c r="F140" s="33"/>
      <c r="G140" s="3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c r="A141" s="88" t="s">
        <v>1911</v>
      </c>
      <c r="B141" s="89">
        <v>19.0</v>
      </c>
      <c r="C141" s="34" t="s">
        <v>2152</v>
      </c>
      <c r="D141" s="34" t="s">
        <v>2152</v>
      </c>
      <c r="E141" s="34" t="s">
        <v>2154</v>
      </c>
      <c r="F141" s="33"/>
      <c r="G141" s="3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c r="A142" s="88" t="s">
        <v>1911</v>
      </c>
      <c r="B142" s="89">
        <v>20.0</v>
      </c>
      <c r="C142" s="34" t="s">
        <v>2171</v>
      </c>
      <c r="D142" s="34" t="s">
        <v>2172</v>
      </c>
      <c r="E142" s="92" t="s">
        <v>2173</v>
      </c>
      <c r="F142" s="33"/>
      <c r="G142" s="3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c r="A143" s="88" t="s">
        <v>1911</v>
      </c>
      <c r="B143" s="89">
        <v>21.0</v>
      </c>
      <c r="C143" s="34" t="s">
        <v>2192</v>
      </c>
      <c r="D143" s="34" t="s">
        <v>2194</v>
      </c>
      <c r="E143" s="34" t="s">
        <v>2197</v>
      </c>
      <c r="F143" s="33"/>
      <c r="G143" s="3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c r="A144" s="88" t="s">
        <v>1911</v>
      </c>
      <c r="B144" s="89">
        <v>-777.0</v>
      </c>
      <c r="C144" s="34" t="s">
        <v>941</v>
      </c>
      <c r="D144" s="34" t="s">
        <v>944</v>
      </c>
      <c r="E144" s="34" t="s">
        <v>1898</v>
      </c>
      <c r="F144" s="33"/>
      <c r="G144" s="3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c r="A145" s="73" t="s">
        <v>1911</v>
      </c>
      <c r="B145" s="113">
        <v>-999.0</v>
      </c>
      <c r="C145" s="44" t="s">
        <v>111</v>
      </c>
      <c r="D145" s="44" t="s">
        <v>112</v>
      </c>
      <c r="E145" s="44" t="s">
        <v>113</v>
      </c>
      <c r="F145" s="43"/>
      <c r="G145" s="43"/>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row>
    <row r="146" ht="15.75" customHeight="1">
      <c r="A146" s="116"/>
      <c r="B146" s="117"/>
      <c r="C146" s="116"/>
      <c r="D146" s="116"/>
      <c r="E146" s="189"/>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c r="A147" s="132" t="s">
        <v>2266</v>
      </c>
      <c r="B147" s="133">
        <v>1.0</v>
      </c>
      <c r="C147" s="141" t="s">
        <v>2272</v>
      </c>
      <c r="D147" s="141" t="s">
        <v>2274</v>
      </c>
      <c r="E147" s="190" t="s">
        <v>2275</v>
      </c>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row>
    <row r="148" ht="15.75" customHeight="1">
      <c r="A148" s="88" t="s">
        <v>2266</v>
      </c>
      <c r="B148" s="89">
        <v>2.0</v>
      </c>
      <c r="C148" s="34" t="s">
        <v>2297</v>
      </c>
      <c r="D148" s="34" t="s">
        <v>2298</v>
      </c>
      <c r="E148" s="92" t="s">
        <v>2299</v>
      </c>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c r="A149" s="88" t="s">
        <v>2266</v>
      </c>
      <c r="B149" s="89">
        <v>3.0</v>
      </c>
      <c r="C149" s="34" t="s">
        <v>2315</v>
      </c>
      <c r="D149" s="34" t="s">
        <v>2316</v>
      </c>
      <c r="E149" s="34" t="s">
        <v>2318</v>
      </c>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c r="A150" s="88" t="s">
        <v>2266</v>
      </c>
      <c r="B150" s="89">
        <v>4.0</v>
      </c>
      <c r="C150" s="34" t="s">
        <v>2328</v>
      </c>
      <c r="D150" s="34" t="s">
        <v>2331</v>
      </c>
      <c r="E150" s="34" t="s">
        <v>2333</v>
      </c>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c r="A151" s="73" t="s">
        <v>2266</v>
      </c>
      <c r="B151" s="113">
        <v>-777.0</v>
      </c>
      <c r="C151" s="44" t="s">
        <v>941</v>
      </c>
      <c r="D151" s="44" t="s">
        <v>944</v>
      </c>
      <c r="E151" s="44" t="s">
        <v>946</v>
      </c>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row>
    <row r="152" ht="15.75" customHeight="1">
      <c r="A152" s="116"/>
      <c r="B152" s="117"/>
      <c r="C152" s="116"/>
      <c r="D152" s="116"/>
      <c r="E152" s="189"/>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c r="A153" s="132" t="s">
        <v>2357</v>
      </c>
      <c r="B153" s="133">
        <v>1.0</v>
      </c>
      <c r="C153" s="141" t="s">
        <v>2361</v>
      </c>
      <c r="D153" s="141" t="s">
        <v>2363</v>
      </c>
      <c r="E153" s="190" t="s">
        <v>2364</v>
      </c>
      <c r="F153" s="136"/>
      <c r="G153" s="13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row>
    <row r="154" ht="15.75" customHeight="1">
      <c r="A154" s="88" t="s">
        <v>2357</v>
      </c>
      <c r="B154" s="89">
        <v>2.0</v>
      </c>
      <c r="C154" s="34" t="s">
        <v>2374</v>
      </c>
      <c r="D154" s="34" t="s">
        <v>2375</v>
      </c>
      <c r="E154" s="34" t="s">
        <v>2376</v>
      </c>
      <c r="F154" s="33"/>
      <c r="G154" s="3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c r="A155" s="88" t="s">
        <v>2357</v>
      </c>
      <c r="B155" s="89">
        <v>3.0</v>
      </c>
      <c r="C155" s="34" t="s">
        <v>2393</v>
      </c>
      <c r="D155" s="34" t="s">
        <v>2395</v>
      </c>
      <c r="E155" s="92" t="s">
        <v>2398</v>
      </c>
      <c r="F155" s="33"/>
      <c r="G155" s="3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c r="A156" s="88" t="s">
        <v>2357</v>
      </c>
      <c r="B156" s="89">
        <v>4.0</v>
      </c>
      <c r="C156" s="34" t="s">
        <v>2407</v>
      </c>
      <c r="D156" s="34" t="s">
        <v>2408</v>
      </c>
      <c r="E156" s="92" t="s">
        <v>2409</v>
      </c>
      <c r="F156" s="33"/>
      <c r="G156" s="3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c r="A157" s="88" t="s">
        <v>2357</v>
      </c>
      <c r="B157" s="89">
        <v>5.0</v>
      </c>
      <c r="C157" s="34" t="s">
        <v>2419</v>
      </c>
      <c r="D157" s="34" t="s">
        <v>2422</v>
      </c>
      <c r="E157" s="34" t="s">
        <v>2425</v>
      </c>
      <c r="F157" s="33"/>
      <c r="G157" s="3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c r="A158" s="88" t="s">
        <v>2357</v>
      </c>
      <c r="B158" s="89">
        <v>6.0</v>
      </c>
      <c r="C158" s="34" t="s">
        <v>2436</v>
      </c>
      <c r="D158" s="34" t="s">
        <v>2439</v>
      </c>
      <c r="E158" s="34" t="s">
        <v>2441</v>
      </c>
      <c r="F158" s="33"/>
      <c r="G158" s="3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c r="A159" s="88" t="s">
        <v>2357</v>
      </c>
      <c r="B159" s="89">
        <v>7.0</v>
      </c>
      <c r="C159" s="34" t="s">
        <v>2455</v>
      </c>
      <c r="D159" s="34" t="s">
        <v>2456</v>
      </c>
      <c r="E159" s="34" t="s">
        <v>2459</v>
      </c>
      <c r="F159" s="33"/>
      <c r="G159" s="3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c r="A160" s="88" t="s">
        <v>2357</v>
      </c>
      <c r="B160" s="89">
        <v>8.0</v>
      </c>
      <c r="C160" s="34" t="s">
        <v>2469</v>
      </c>
      <c r="D160" s="34" t="s">
        <v>2470</v>
      </c>
      <c r="E160" s="92" t="s">
        <v>2471</v>
      </c>
      <c r="F160" s="33"/>
      <c r="G160" s="3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c r="A161" s="88" t="s">
        <v>2357</v>
      </c>
      <c r="B161" s="89">
        <v>9.0</v>
      </c>
      <c r="C161" s="34" t="s">
        <v>2484</v>
      </c>
      <c r="D161" s="34" t="s">
        <v>2485</v>
      </c>
      <c r="E161" s="34" t="s">
        <v>2486</v>
      </c>
      <c r="F161" s="33"/>
      <c r="G161" s="3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c r="A162" s="73" t="s">
        <v>2357</v>
      </c>
      <c r="B162" s="113">
        <v>-777.0</v>
      </c>
      <c r="C162" s="44" t="s">
        <v>941</v>
      </c>
      <c r="D162" s="44" t="s">
        <v>944</v>
      </c>
      <c r="E162" s="44" t="s">
        <v>946</v>
      </c>
      <c r="F162" s="43"/>
      <c r="G162" s="43"/>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row>
    <row r="163" ht="15.75" customHeight="1">
      <c r="A163" s="116"/>
      <c r="B163" s="117"/>
      <c r="C163" s="116"/>
      <c r="D163" s="116"/>
      <c r="E163" s="189"/>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c r="A164" s="132" t="s">
        <v>2514</v>
      </c>
      <c r="B164" s="133">
        <v>1.0</v>
      </c>
      <c r="C164" s="141" t="s">
        <v>2520</v>
      </c>
      <c r="D164" s="141" t="s">
        <v>2521</v>
      </c>
      <c r="E164" s="190" t="s">
        <v>2522</v>
      </c>
      <c r="F164" s="136"/>
      <c r="G164" s="232"/>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row>
    <row r="165" ht="15.75" customHeight="1">
      <c r="A165" s="88" t="s">
        <v>2514</v>
      </c>
      <c r="B165" s="89">
        <v>2.0</v>
      </c>
      <c r="C165" s="34" t="s">
        <v>2538</v>
      </c>
      <c r="D165" s="34" t="s">
        <v>2539</v>
      </c>
      <c r="E165" s="92" t="s">
        <v>2540</v>
      </c>
      <c r="F165" s="178"/>
      <c r="G165" s="3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c r="A166" s="88" t="s">
        <v>2514</v>
      </c>
      <c r="B166" s="89">
        <v>3.0</v>
      </c>
      <c r="C166" s="34" t="s">
        <v>2553</v>
      </c>
      <c r="D166" s="34" t="s">
        <v>1675</v>
      </c>
      <c r="E166" s="92" t="s">
        <v>2554</v>
      </c>
      <c r="F166" s="178"/>
      <c r="G166" s="3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c r="A167" s="73" t="s">
        <v>2514</v>
      </c>
      <c r="B167" s="113">
        <v>4.0</v>
      </c>
      <c r="C167" s="44" t="s">
        <v>2571</v>
      </c>
      <c r="D167" s="44" t="s">
        <v>2572</v>
      </c>
      <c r="E167" s="81" t="s">
        <v>2574</v>
      </c>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row>
    <row r="168" ht="15.75" customHeight="1">
      <c r="A168" s="116"/>
      <c r="B168" s="117"/>
      <c r="C168" s="116"/>
      <c r="D168" s="116"/>
      <c r="E168" s="189"/>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c r="A169" s="132" t="s">
        <v>2600</v>
      </c>
      <c r="B169" s="133">
        <v>1.0</v>
      </c>
      <c r="C169" s="141" t="s">
        <v>2604</v>
      </c>
      <c r="D169" s="141" t="s">
        <v>2604</v>
      </c>
      <c r="E169" s="141" t="s">
        <v>2605</v>
      </c>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63"/>
      <c r="AF169" s="63"/>
    </row>
    <row r="170" ht="15.75" customHeight="1">
      <c r="A170" s="88" t="s">
        <v>2600</v>
      </c>
      <c r="B170" s="89">
        <v>2.0</v>
      </c>
      <c r="C170" s="34" t="s">
        <v>2633</v>
      </c>
      <c r="D170" s="34" t="s">
        <v>2635</v>
      </c>
      <c r="E170" s="34" t="s">
        <v>2637</v>
      </c>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c r="A171" s="88" t="s">
        <v>2600</v>
      </c>
      <c r="B171" s="89">
        <v>3.0</v>
      </c>
      <c r="C171" s="34" t="s">
        <v>2658</v>
      </c>
      <c r="D171" s="34" t="s">
        <v>2658</v>
      </c>
      <c r="E171" s="34" t="s">
        <v>2663</v>
      </c>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c r="A172" s="88" t="s">
        <v>2600</v>
      </c>
      <c r="B172" s="89">
        <v>4.0</v>
      </c>
      <c r="C172" s="34" t="s">
        <v>2683</v>
      </c>
      <c r="D172" s="34" t="s">
        <v>2684</v>
      </c>
      <c r="E172" s="34" t="s">
        <v>2688</v>
      </c>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c r="A173" s="88" t="s">
        <v>2600</v>
      </c>
      <c r="B173" s="89">
        <v>5.0</v>
      </c>
      <c r="C173" s="34" t="s">
        <v>2710</v>
      </c>
      <c r="D173" s="34" t="s">
        <v>2711</v>
      </c>
      <c r="E173" s="34" t="s">
        <v>2714</v>
      </c>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c r="A174" s="88" t="s">
        <v>2600</v>
      </c>
      <c r="B174" s="89">
        <v>6.0</v>
      </c>
      <c r="C174" s="34" t="s">
        <v>2726</v>
      </c>
      <c r="D174" s="34" t="s">
        <v>2727</v>
      </c>
      <c r="E174" s="34" t="s">
        <v>2730</v>
      </c>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c r="A175" s="88" t="s">
        <v>2600</v>
      </c>
      <c r="B175" s="89">
        <v>7.0</v>
      </c>
      <c r="C175" s="34" t="s">
        <v>2600</v>
      </c>
      <c r="D175" s="34" t="s">
        <v>2759</v>
      </c>
      <c r="E175" s="34" t="s">
        <v>2761</v>
      </c>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c r="A176" s="88" t="s">
        <v>2600</v>
      </c>
      <c r="B176" s="89">
        <v>8.0</v>
      </c>
      <c r="C176" s="34" t="s">
        <v>2779</v>
      </c>
      <c r="D176" s="34" t="s">
        <v>2782</v>
      </c>
      <c r="E176" s="34" t="s">
        <v>2779</v>
      </c>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c r="A177" s="88" t="s">
        <v>2600</v>
      </c>
      <c r="B177" s="89">
        <v>9.0</v>
      </c>
      <c r="C177" s="34" t="s">
        <v>2803</v>
      </c>
      <c r="D177" s="34" t="s">
        <v>2805</v>
      </c>
      <c r="E177" s="34" t="s">
        <v>2808</v>
      </c>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c r="A178" s="88" t="s">
        <v>2600</v>
      </c>
      <c r="B178" s="89">
        <v>10.0</v>
      </c>
      <c r="C178" s="34" t="s">
        <v>2834</v>
      </c>
      <c r="D178" s="34" t="s">
        <v>2835</v>
      </c>
      <c r="E178" s="34" t="s">
        <v>2837</v>
      </c>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c r="A179" s="88" t="s">
        <v>2600</v>
      </c>
      <c r="B179" s="89">
        <v>11.0</v>
      </c>
      <c r="C179" s="34" t="s">
        <v>2849</v>
      </c>
      <c r="D179" s="34" t="s">
        <v>2852</v>
      </c>
      <c r="E179" s="34" t="s">
        <v>2855</v>
      </c>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c r="A180" s="73" t="s">
        <v>2600</v>
      </c>
      <c r="B180" s="113">
        <v>-777.0</v>
      </c>
      <c r="C180" s="44" t="s">
        <v>2875</v>
      </c>
      <c r="D180" s="44" t="s">
        <v>2878</v>
      </c>
      <c r="E180" s="44" t="s">
        <v>2879</v>
      </c>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63"/>
      <c r="AF180" s="63"/>
    </row>
    <row r="181" ht="15.75" customHeight="1">
      <c r="A181" s="116"/>
      <c r="B181" s="117"/>
      <c r="C181" s="116"/>
      <c r="D181" s="116"/>
      <c r="E181" s="189"/>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c r="A182" s="132" t="s">
        <v>2906</v>
      </c>
      <c r="B182" s="133">
        <v>0.0</v>
      </c>
      <c r="C182" s="141" t="s">
        <v>237</v>
      </c>
      <c r="D182" s="141" t="s">
        <v>238</v>
      </c>
      <c r="E182" s="141" t="s">
        <v>239</v>
      </c>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63"/>
      <c r="AF182" s="63"/>
    </row>
    <row r="183" ht="15.75" customHeight="1">
      <c r="A183" s="88" t="s">
        <v>2906</v>
      </c>
      <c r="B183" s="89">
        <v>1.0</v>
      </c>
      <c r="C183" s="34" t="s">
        <v>2916</v>
      </c>
      <c r="D183" s="34" t="s">
        <v>2918</v>
      </c>
      <c r="E183" s="34" t="s">
        <v>2919</v>
      </c>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c r="A184" s="88" t="s">
        <v>2906</v>
      </c>
      <c r="B184" s="89">
        <v>2.0</v>
      </c>
      <c r="C184" s="34" t="s">
        <v>2927</v>
      </c>
      <c r="D184" s="34" t="s">
        <v>2928</v>
      </c>
      <c r="E184" s="34" t="s">
        <v>2929</v>
      </c>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c r="A185" s="88" t="s">
        <v>2906</v>
      </c>
      <c r="B185" s="89">
        <v>3.0</v>
      </c>
      <c r="C185" s="34" t="s">
        <v>2939</v>
      </c>
      <c r="D185" s="34" t="s">
        <v>2940</v>
      </c>
      <c r="E185" s="34" t="s">
        <v>2941</v>
      </c>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c r="A186" s="88" t="s">
        <v>2906</v>
      </c>
      <c r="B186" s="89">
        <v>4.0</v>
      </c>
      <c r="C186" s="34" t="s">
        <v>2949</v>
      </c>
      <c r="D186" s="34" t="s">
        <v>2950</v>
      </c>
      <c r="E186" s="34" t="s">
        <v>2951</v>
      </c>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c r="A187" s="88" t="s">
        <v>2906</v>
      </c>
      <c r="B187" s="89">
        <v>5.0</v>
      </c>
      <c r="C187" s="34" t="s">
        <v>2956</v>
      </c>
      <c r="D187" s="34" t="s">
        <v>2959</v>
      </c>
      <c r="E187" s="34" t="s">
        <v>2960</v>
      </c>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c r="A188" s="88" t="s">
        <v>2906</v>
      </c>
      <c r="B188" s="89">
        <v>6.0</v>
      </c>
      <c r="C188" s="34" t="s">
        <v>2970</v>
      </c>
      <c r="D188" s="34" t="s">
        <v>2971</v>
      </c>
      <c r="E188" s="34" t="s">
        <v>2973</v>
      </c>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c r="A189" s="88" t="s">
        <v>2906</v>
      </c>
      <c r="B189" s="89">
        <v>7.0</v>
      </c>
      <c r="C189" s="34" t="s">
        <v>2986</v>
      </c>
      <c r="D189" s="34" t="s">
        <v>2986</v>
      </c>
      <c r="E189" s="34" t="s">
        <v>2987</v>
      </c>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c r="A190" s="88" t="s">
        <v>2906</v>
      </c>
      <c r="B190" s="89">
        <v>8.0</v>
      </c>
      <c r="C190" s="34" t="s">
        <v>2995</v>
      </c>
      <c r="D190" s="34" t="s">
        <v>2996</v>
      </c>
      <c r="E190" s="34" t="s">
        <v>2998</v>
      </c>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c r="A191" s="88" t="s">
        <v>2906</v>
      </c>
      <c r="B191" s="89">
        <v>9.0</v>
      </c>
      <c r="C191" s="34" t="s">
        <v>3009</v>
      </c>
      <c r="D191" s="34" t="s">
        <v>3009</v>
      </c>
      <c r="E191" s="34" t="s">
        <v>3011</v>
      </c>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c r="A192" s="88" t="s">
        <v>2906</v>
      </c>
      <c r="B192" s="89">
        <v>10.0</v>
      </c>
      <c r="C192" s="34" t="s">
        <v>3018</v>
      </c>
      <c r="D192" s="34" t="s">
        <v>3018</v>
      </c>
      <c r="E192" s="34" t="s">
        <v>3019</v>
      </c>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c r="A193" s="88" t="s">
        <v>2906</v>
      </c>
      <c r="B193" s="89">
        <v>11.0</v>
      </c>
      <c r="C193" s="34" t="s">
        <v>3026</v>
      </c>
      <c r="D193" s="34" t="s">
        <v>3027</v>
      </c>
      <c r="E193" s="34" t="s">
        <v>3028</v>
      </c>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c r="A194" s="88" t="s">
        <v>2906</v>
      </c>
      <c r="B194" s="89">
        <v>12.0</v>
      </c>
      <c r="C194" s="34" t="s">
        <v>3037</v>
      </c>
      <c r="D194" s="34" t="s">
        <v>3039</v>
      </c>
      <c r="E194" s="34" t="s">
        <v>3042</v>
      </c>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c r="A195" s="88" t="s">
        <v>2906</v>
      </c>
      <c r="B195" s="89">
        <v>13.0</v>
      </c>
      <c r="C195" s="34" t="s">
        <v>3049</v>
      </c>
      <c r="D195" s="34" t="s">
        <v>3050</v>
      </c>
      <c r="E195" s="34" t="s">
        <v>3051</v>
      </c>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c r="A196" s="88" t="s">
        <v>2906</v>
      </c>
      <c r="B196" s="89">
        <v>14.0</v>
      </c>
      <c r="C196" s="34" t="s">
        <v>3055</v>
      </c>
      <c r="D196" s="34" t="s">
        <v>3056</v>
      </c>
      <c r="E196" s="34" t="s">
        <v>3057</v>
      </c>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c r="A197" s="88" t="s">
        <v>2906</v>
      </c>
      <c r="B197" s="89">
        <v>15.0</v>
      </c>
      <c r="C197" s="34" t="s">
        <v>3061</v>
      </c>
      <c r="D197" s="34" t="s">
        <v>3064</v>
      </c>
      <c r="E197" s="34" t="s">
        <v>3065</v>
      </c>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c r="A198" s="88" t="s">
        <v>2906</v>
      </c>
      <c r="B198" s="89">
        <v>16.0</v>
      </c>
      <c r="C198" s="34" t="s">
        <v>3070</v>
      </c>
      <c r="D198" s="34" t="s">
        <v>3071</v>
      </c>
      <c r="E198" s="34" t="s">
        <v>3072</v>
      </c>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c r="A199" s="88" t="s">
        <v>2906</v>
      </c>
      <c r="B199" s="89">
        <v>17.0</v>
      </c>
      <c r="C199" s="34" t="s">
        <v>3077</v>
      </c>
      <c r="D199" s="34" t="s">
        <v>3078</v>
      </c>
      <c r="E199" s="34" t="s">
        <v>3079</v>
      </c>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c r="A200" s="88" t="s">
        <v>2906</v>
      </c>
      <c r="B200" s="89">
        <v>18.0</v>
      </c>
      <c r="C200" s="34" t="s">
        <v>3084</v>
      </c>
      <c r="D200" s="34" t="s">
        <v>3085</v>
      </c>
      <c r="E200" s="34" t="s">
        <v>3086</v>
      </c>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c r="A201" s="88" t="s">
        <v>2906</v>
      </c>
      <c r="B201" s="89">
        <v>19.0</v>
      </c>
      <c r="C201" s="34" t="s">
        <v>3090</v>
      </c>
      <c r="D201" s="34" t="s">
        <v>3091</v>
      </c>
      <c r="E201" s="34" t="s">
        <v>3092</v>
      </c>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c r="A202" s="88" t="s">
        <v>2906</v>
      </c>
      <c r="B202" s="89">
        <v>20.0</v>
      </c>
      <c r="C202" s="34" t="s">
        <v>3099</v>
      </c>
      <c r="D202" s="34" t="s">
        <v>3100</v>
      </c>
      <c r="E202" s="34" t="s">
        <v>3101</v>
      </c>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c r="A203" s="88" t="s">
        <v>2906</v>
      </c>
      <c r="B203" s="89">
        <v>21.0</v>
      </c>
      <c r="C203" s="34" t="s">
        <v>3106</v>
      </c>
      <c r="D203" s="34" t="s">
        <v>3107</v>
      </c>
      <c r="E203" s="34" t="s">
        <v>3108</v>
      </c>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c r="A204" s="88" t="s">
        <v>2906</v>
      </c>
      <c r="B204" s="89">
        <v>22.0</v>
      </c>
      <c r="C204" s="34" t="s">
        <v>3120</v>
      </c>
      <c r="D204" s="34" t="s">
        <v>3122</v>
      </c>
      <c r="E204" s="34" t="s">
        <v>3124</v>
      </c>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c r="A205" s="88" t="s">
        <v>2906</v>
      </c>
      <c r="B205" s="89">
        <v>23.0</v>
      </c>
      <c r="C205" s="34" t="s">
        <v>3130</v>
      </c>
      <c r="D205" s="34" t="s">
        <v>3133</v>
      </c>
      <c r="E205" s="34" t="s">
        <v>3134</v>
      </c>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c r="A206" s="88" t="s">
        <v>2906</v>
      </c>
      <c r="B206" s="89">
        <v>24.0</v>
      </c>
      <c r="C206" s="34" t="s">
        <v>3144</v>
      </c>
      <c r="D206" s="34" t="s">
        <v>3145</v>
      </c>
      <c r="E206" s="34" t="s">
        <v>3147</v>
      </c>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c r="A207" s="73" t="s">
        <v>2906</v>
      </c>
      <c r="B207" s="113">
        <v>-777.0</v>
      </c>
      <c r="C207" s="44" t="s">
        <v>941</v>
      </c>
      <c r="D207" s="44" t="s">
        <v>944</v>
      </c>
      <c r="E207" s="44" t="s">
        <v>946</v>
      </c>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63"/>
      <c r="AF207" s="63"/>
    </row>
    <row r="208" ht="15.75" customHeight="1">
      <c r="A208" s="116"/>
      <c r="B208" s="117"/>
      <c r="C208" s="116"/>
      <c r="D208" s="116"/>
      <c r="E208" s="189"/>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c r="A209" s="132" t="s">
        <v>3161</v>
      </c>
      <c r="B209" s="133">
        <v>1.0</v>
      </c>
      <c r="C209" s="141" t="s">
        <v>3162</v>
      </c>
      <c r="D209" s="141" t="s">
        <v>3165</v>
      </c>
      <c r="E209" s="141" t="s">
        <v>3167</v>
      </c>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63"/>
      <c r="AF209" s="63"/>
    </row>
    <row r="210" ht="15.75" customHeight="1">
      <c r="A210" s="88" t="s">
        <v>3161</v>
      </c>
      <c r="B210" s="89">
        <v>2.0</v>
      </c>
      <c r="C210" s="34" t="s">
        <v>3179</v>
      </c>
      <c r="D210" s="34" t="s">
        <v>3180</v>
      </c>
      <c r="E210" s="34" t="s">
        <v>3181</v>
      </c>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c r="A211" s="88" t="s">
        <v>3161</v>
      </c>
      <c r="B211" s="89">
        <v>3.0</v>
      </c>
      <c r="C211" s="34" t="s">
        <v>3186</v>
      </c>
      <c r="D211" s="34" t="s">
        <v>3186</v>
      </c>
      <c r="E211" s="34" t="s">
        <v>3187</v>
      </c>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c r="A212" s="88" t="s">
        <v>3161</v>
      </c>
      <c r="B212" s="89">
        <v>4.0</v>
      </c>
      <c r="C212" s="34" t="s">
        <v>3197</v>
      </c>
      <c r="D212" s="34" t="s">
        <v>3198</v>
      </c>
      <c r="E212" s="34" t="s">
        <v>3199</v>
      </c>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c r="A213" s="88" t="s">
        <v>3161</v>
      </c>
      <c r="B213" s="89">
        <v>5.0</v>
      </c>
      <c r="C213" s="34" t="s">
        <v>3210</v>
      </c>
      <c r="D213" s="34" t="s">
        <v>3211</v>
      </c>
      <c r="E213" s="34" t="s">
        <v>3212</v>
      </c>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c r="A214" s="88" t="s">
        <v>3161</v>
      </c>
      <c r="B214" s="89">
        <v>6.0</v>
      </c>
      <c r="C214" s="34" t="s">
        <v>3223</v>
      </c>
      <c r="D214" s="34" t="s">
        <v>3224</v>
      </c>
      <c r="E214" s="34" t="s">
        <v>3226</v>
      </c>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c r="A215" s="88" t="s">
        <v>3161</v>
      </c>
      <c r="B215" s="89">
        <v>7.0</v>
      </c>
      <c r="C215" s="34" t="s">
        <v>3231</v>
      </c>
      <c r="D215" s="34" t="s">
        <v>3232</v>
      </c>
      <c r="E215" s="34" t="s">
        <v>3234</v>
      </c>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c r="A216" s="88" t="s">
        <v>3161</v>
      </c>
      <c r="B216" s="89">
        <v>8.0</v>
      </c>
      <c r="C216" s="34" t="s">
        <v>3242</v>
      </c>
      <c r="D216" s="34" t="s">
        <v>3243</v>
      </c>
      <c r="E216" s="34" t="s">
        <v>3244</v>
      </c>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c r="A217" s="88" t="s">
        <v>3161</v>
      </c>
      <c r="B217" s="89">
        <v>9.0</v>
      </c>
      <c r="C217" s="34" t="s">
        <v>3254</v>
      </c>
      <c r="D217" s="34" t="s">
        <v>3255</v>
      </c>
      <c r="E217" s="34" t="s">
        <v>3257</v>
      </c>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c r="A218" s="88" t="s">
        <v>3161</v>
      </c>
      <c r="B218" s="89">
        <v>10.0</v>
      </c>
      <c r="C218" s="34" t="s">
        <v>3265</v>
      </c>
      <c r="D218" s="34" t="s">
        <v>3266</v>
      </c>
      <c r="E218" s="34" t="s">
        <v>3268</v>
      </c>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c r="A219" s="88" t="s">
        <v>3161</v>
      </c>
      <c r="B219" s="89">
        <v>11.0</v>
      </c>
      <c r="C219" s="34" t="s">
        <v>3277</v>
      </c>
      <c r="D219" s="34" t="s">
        <v>3278</v>
      </c>
      <c r="E219" s="34" t="s">
        <v>3279</v>
      </c>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c r="A220" s="88" t="s">
        <v>3161</v>
      </c>
      <c r="B220" s="89">
        <v>12.0</v>
      </c>
      <c r="C220" s="34" t="s">
        <v>3283</v>
      </c>
      <c r="D220" s="34" t="s">
        <v>3284</v>
      </c>
      <c r="E220" s="34" t="s">
        <v>3285</v>
      </c>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c r="A221" s="73" t="s">
        <v>3161</v>
      </c>
      <c r="B221" s="113">
        <v>0.0</v>
      </c>
      <c r="C221" s="44" t="s">
        <v>237</v>
      </c>
      <c r="D221" s="44" t="s">
        <v>238</v>
      </c>
      <c r="E221" s="44" t="s">
        <v>239</v>
      </c>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63"/>
      <c r="AF221" s="63"/>
    </row>
    <row r="222" ht="15.75" customHeight="1">
      <c r="A222" s="73"/>
      <c r="B222" s="44"/>
      <c r="C222" s="44"/>
      <c r="D222" s="44"/>
      <c r="E222" s="44"/>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63"/>
      <c r="AF222" s="63"/>
    </row>
    <row r="223" ht="15.75" customHeight="1">
      <c r="A223" s="88" t="s">
        <v>3308</v>
      </c>
      <c r="B223" s="89">
        <v>1.0</v>
      </c>
      <c r="C223" s="300" t="s">
        <v>3311</v>
      </c>
      <c r="D223" s="301" t="s">
        <v>3316</v>
      </c>
      <c r="E223" s="301" t="s">
        <v>3320</v>
      </c>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c r="A224" s="88" t="s">
        <v>3308</v>
      </c>
      <c r="B224" s="89">
        <v>2.0</v>
      </c>
      <c r="C224" s="34" t="s">
        <v>3333</v>
      </c>
      <c r="D224" s="34" t="s">
        <v>3334</v>
      </c>
      <c r="E224" s="34" t="s">
        <v>3335</v>
      </c>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c r="A225" s="88" t="s">
        <v>3308</v>
      </c>
      <c r="B225" s="89">
        <v>3.0</v>
      </c>
      <c r="C225" s="34" t="s">
        <v>3339</v>
      </c>
      <c r="D225" s="34" t="s">
        <v>3340</v>
      </c>
      <c r="E225" s="34" t="s">
        <v>3341</v>
      </c>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c r="A226" s="88" t="s">
        <v>3308</v>
      </c>
      <c r="B226" s="89">
        <v>4.0</v>
      </c>
      <c r="C226" s="34" t="s">
        <v>3342</v>
      </c>
      <c r="D226" s="34" t="s">
        <v>3343</v>
      </c>
      <c r="E226" s="34" t="s">
        <v>3344</v>
      </c>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c r="A227" s="88" t="s">
        <v>3308</v>
      </c>
      <c r="B227" s="89">
        <v>5.0</v>
      </c>
      <c r="C227" s="34" t="s">
        <v>3351</v>
      </c>
      <c r="D227" s="34" t="s">
        <v>3352</v>
      </c>
      <c r="E227" s="34" t="s">
        <v>3353</v>
      </c>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c r="A228" s="88" t="s">
        <v>3308</v>
      </c>
      <c r="B228" s="89">
        <v>6.0</v>
      </c>
      <c r="C228" s="34" t="s">
        <v>3360</v>
      </c>
      <c r="D228" s="34" t="s">
        <v>3361</v>
      </c>
      <c r="E228" s="34" t="s">
        <v>3362</v>
      </c>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c r="A229" s="88" t="s">
        <v>3308</v>
      </c>
      <c r="B229" s="89">
        <v>7.0</v>
      </c>
      <c r="C229" s="34" t="s">
        <v>3370</v>
      </c>
      <c r="D229" s="34" t="s">
        <v>3371</v>
      </c>
      <c r="E229" s="34" t="s">
        <v>3372</v>
      </c>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c r="A230" s="73" t="s">
        <v>3308</v>
      </c>
      <c r="B230" s="113">
        <v>0.0</v>
      </c>
      <c r="C230" s="44" t="s">
        <v>237</v>
      </c>
      <c r="D230" s="44" t="s">
        <v>238</v>
      </c>
      <c r="E230" s="44" t="s">
        <v>239</v>
      </c>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63"/>
      <c r="AF230" s="63"/>
    </row>
    <row r="231" ht="15.75" customHeight="1">
      <c r="A231" s="116"/>
      <c r="B231" s="117"/>
      <c r="C231" s="116"/>
      <c r="D231" s="116"/>
      <c r="E231" s="189"/>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c r="A232" s="132" t="s">
        <v>3391</v>
      </c>
      <c r="B232" s="133">
        <v>1.0</v>
      </c>
      <c r="C232" s="141" t="s">
        <v>3392</v>
      </c>
      <c r="D232" s="141" t="s">
        <v>3393</v>
      </c>
      <c r="E232" s="141" t="s">
        <v>3395</v>
      </c>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63"/>
      <c r="AF232" s="63"/>
    </row>
    <row r="233" ht="15.75" customHeight="1">
      <c r="A233" s="88" t="s">
        <v>3391</v>
      </c>
      <c r="B233" s="89">
        <v>2.0</v>
      </c>
      <c r="C233" s="34" t="s">
        <v>3398</v>
      </c>
      <c r="D233" s="34" t="s">
        <v>3399</v>
      </c>
      <c r="E233" s="34" t="s">
        <v>3400</v>
      </c>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c r="A234" s="88" t="s">
        <v>3391</v>
      </c>
      <c r="B234" s="89">
        <v>3.0</v>
      </c>
      <c r="C234" s="34" t="s">
        <v>3405</v>
      </c>
      <c r="D234" s="34" t="s">
        <v>3406</v>
      </c>
      <c r="E234" s="34" t="s">
        <v>3407</v>
      </c>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c r="A235" s="88" t="s">
        <v>3391</v>
      </c>
      <c r="B235" s="89">
        <v>4.0</v>
      </c>
      <c r="C235" s="34" t="s">
        <v>3416</v>
      </c>
      <c r="D235" s="34" t="s">
        <v>3417</v>
      </c>
      <c r="E235" s="34" t="s">
        <v>3419</v>
      </c>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c r="A236" s="88" t="s">
        <v>3391</v>
      </c>
      <c r="B236" s="89">
        <v>5.0</v>
      </c>
      <c r="C236" s="34" t="s">
        <v>3426</v>
      </c>
      <c r="D236" s="34" t="s">
        <v>3427</v>
      </c>
      <c r="E236" s="34" t="s">
        <v>3428</v>
      </c>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c r="A237" s="88" t="s">
        <v>3391</v>
      </c>
      <c r="B237" s="89">
        <v>6.0</v>
      </c>
      <c r="C237" s="34" t="s">
        <v>3433</v>
      </c>
      <c r="D237" s="34" t="s">
        <v>3434</v>
      </c>
      <c r="E237" s="34" t="s">
        <v>3435</v>
      </c>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c r="A238" s="88" t="s">
        <v>3391</v>
      </c>
      <c r="B238" s="89">
        <v>7.0</v>
      </c>
      <c r="C238" s="34" t="s">
        <v>3443</v>
      </c>
      <c r="D238" s="34" t="s">
        <v>3444</v>
      </c>
      <c r="E238" s="34" t="s">
        <v>3445</v>
      </c>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c r="A239" s="88" t="s">
        <v>3391</v>
      </c>
      <c r="B239" s="89">
        <v>8.0</v>
      </c>
      <c r="C239" s="34" t="s">
        <v>3454</v>
      </c>
      <c r="D239" s="34" t="s">
        <v>3454</v>
      </c>
      <c r="E239" s="34" t="s">
        <v>3457</v>
      </c>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c r="A240" s="88" t="s">
        <v>3391</v>
      </c>
      <c r="B240" s="89">
        <v>9.0</v>
      </c>
      <c r="C240" s="34" t="s">
        <v>3462</v>
      </c>
      <c r="D240" s="34" t="s">
        <v>3463</v>
      </c>
      <c r="E240" s="34" t="s">
        <v>3464</v>
      </c>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c r="A241" s="88" t="s">
        <v>3391</v>
      </c>
      <c r="B241" s="89">
        <v>10.0</v>
      </c>
      <c r="C241" s="34" t="s">
        <v>3469</v>
      </c>
      <c r="D241" s="34" t="s">
        <v>3470</v>
      </c>
      <c r="E241" s="34" t="s">
        <v>3471</v>
      </c>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c r="A242" s="88" t="s">
        <v>3391</v>
      </c>
      <c r="B242" s="89">
        <v>11.0</v>
      </c>
      <c r="C242" s="34" t="s">
        <v>3478</v>
      </c>
      <c r="D242" s="34" t="s">
        <v>3479</v>
      </c>
      <c r="E242" s="34" t="s">
        <v>3481</v>
      </c>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c r="A243" s="88" t="s">
        <v>3391</v>
      </c>
      <c r="B243" s="89">
        <v>12.0</v>
      </c>
      <c r="C243" s="34" t="s">
        <v>3488</v>
      </c>
      <c r="D243" s="34" t="s">
        <v>3489</v>
      </c>
      <c r="E243" s="34" t="s">
        <v>3490</v>
      </c>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c r="A244" s="73" t="s">
        <v>3391</v>
      </c>
      <c r="B244" s="113">
        <v>-777.0</v>
      </c>
      <c r="C244" s="44" t="s">
        <v>941</v>
      </c>
      <c r="D244" s="44" t="s">
        <v>944</v>
      </c>
      <c r="E244" s="44" t="s">
        <v>3502</v>
      </c>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63"/>
      <c r="AF244" s="63"/>
    </row>
    <row r="245" ht="15.75" customHeight="1">
      <c r="A245" s="116"/>
      <c r="B245" s="117"/>
      <c r="C245" s="116"/>
      <c r="D245" s="116"/>
      <c r="E245" s="189"/>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c r="A246" s="132" t="s">
        <v>3525</v>
      </c>
      <c r="B246" s="133">
        <v>1.0</v>
      </c>
      <c r="C246" s="141" t="s">
        <v>3529</v>
      </c>
      <c r="D246" s="141" t="s">
        <v>3531</v>
      </c>
      <c r="E246" s="190" t="s">
        <v>3532</v>
      </c>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63"/>
      <c r="AF246" s="63"/>
    </row>
    <row r="247" ht="15.75" customHeight="1">
      <c r="A247" s="88" t="s">
        <v>3525</v>
      </c>
      <c r="B247" s="89">
        <v>2.0</v>
      </c>
      <c r="C247" s="34" t="s">
        <v>3543</v>
      </c>
      <c r="D247" s="34" t="s">
        <v>3544</v>
      </c>
      <c r="E247" s="34" t="s">
        <v>3545</v>
      </c>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c r="A248" s="88" t="s">
        <v>3525</v>
      </c>
      <c r="B248" s="89">
        <v>3.0</v>
      </c>
      <c r="C248" s="34" t="s">
        <v>3557</v>
      </c>
      <c r="D248" s="34" t="s">
        <v>3558</v>
      </c>
      <c r="E248" s="34" t="s">
        <v>3559</v>
      </c>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c r="A249" s="88" t="s">
        <v>3525</v>
      </c>
      <c r="B249" s="89">
        <v>4.0</v>
      </c>
      <c r="C249" s="44" t="s">
        <v>3564</v>
      </c>
      <c r="D249" s="44" t="s">
        <v>3565</v>
      </c>
      <c r="E249" s="44" t="s">
        <v>3566</v>
      </c>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c r="A250" s="88" t="s">
        <v>3525</v>
      </c>
      <c r="B250" s="89">
        <v>5.0</v>
      </c>
      <c r="C250" s="304" t="s">
        <v>3574</v>
      </c>
      <c r="D250" s="138" t="s">
        <v>3576</v>
      </c>
      <c r="E250" s="138" t="s">
        <v>3577</v>
      </c>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c r="A251" s="88" t="s">
        <v>3525</v>
      </c>
      <c r="B251" s="89">
        <v>6.0</v>
      </c>
      <c r="C251" s="305" t="s">
        <v>3582</v>
      </c>
      <c r="D251" s="116" t="s">
        <v>3583</v>
      </c>
      <c r="E251" s="189" t="s">
        <v>3583</v>
      </c>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c r="A252" s="73" t="s">
        <v>3525</v>
      </c>
      <c r="B252" s="113">
        <v>-777.0</v>
      </c>
      <c r="C252" s="44" t="s">
        <v>3591</v>
      </c>
      <c r="D252" s="44" t="s">
        <v>944</v>
      </c>
      <c r="E252" s="44" t="s">
        <v>3596</v>
      </c>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63"/>
      <c r="AF252" s="63"/>
    </row>
    <row r="253" ht="15.75" customHeight="1">
      <c r="A253" s="116"/>
      <c r="B253" s="117"/>
      <c r="C253" s="116"/>
      <c r="D253" s="116"/>
      <c r="E253" s="189"/>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c r="A254" s="132" t="s">
        <v>3618</v>
      </c>
      <c r="B254" s="133">
        <v>1.0</v>
      </c>
      <c r="C254" s="141" t="s">
        <v>3619</v>
      </c>
      <c r="D254" s="141" t="s">
        <v>3620</v>
      </c>
      <c r="E254" s="190" t="s">
        <v>3621</v>
      </c>
      <c r="F254" s="232"/>
      <c r="G254" s="232"/>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row>
    <row r="255" ht="15.75" customHeight="1">
      <c r="A255" s="88" t="s">
        <v>3618</v>
      </c>
      <c r="B255" s="89">
        <v>2.0</v>
      </c>
      <c r="C255" s="34" t="s">
        <v>3543</v>
      </c>
      <c r="D255" s="34" t="s">
        <v>3544</v>
      </c>
      <c r="E255" s="92" t="s">
        <v>3637</v>
      </c>
      <c r="F255" s="178"/>
      <c r="G255" s="3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c r="A256" s="88" t="s">
        <v>3618</v>
      </c>
      <c r="B256" s="89">
        <v>3.0</v>
      </c>
      <c r="C256" s="34" t="s">
        <v>3557</v>
      </c>
      <c r="D256" s="34" t="s">
        <v>3558</v>
      </c>
      <c r="E256" s="92" t="s">
        <v>3652</v>
      </c>
      <c r="F256" s="33"/>
      <c r="G256" s="3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c r="A257" s="73" t="s">
        <v>3618</v>
      </c>
      <c r="B257" s="113">
        <v>-777.0</v>
      </c>
      <c r="C257" s="44" t="s">
        <v>3591</v>
      </c>
      <c r="D257" s="44" t="s">
        <v>944</v>
      </c>
      <c r="E257" s="81" t="s">
        <v>3596</v>
      </c>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row>
    <row r="258" ht="15.75" customHeight="1">
      <c r="A258" s="116"/>
      <c r="B258" s="117"/>
      <c r="C258" s="116"/>
      <c r="D258" s="116"/>
      <c r="E258" s="116"/>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c r="A259" s="132" t="s">
        <v>3688</v>
      </c>
      <c r="B259" s="133">
        <v>0.0</v>
      </c>
      <c r="C259" s="141" t="s">
        <v>237</v>
      </c>
      <c r="D259" s="141" t="s">
        <v>238</v>
      </c>
      <c r="E259" s="141" t="s">
        <v>239</v>
      </c>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63"/>
      <c r="AF259" s="63"/>
    </row>
    <row r="260" ht="15.75" customHeight="1">
      <c r="A260" s="88" t="s">
        <v>3688</v>
      </c>
      <c r="B260" s="89">
        <v>1.0</v>
      </c>
      <c r="C260" s="34" t="s">
        <v>3704</v>
      </c>
      <c r="D260" s="34" t="s">
        <v>3706</v>
      </c>
      <c r="E260" s="34" t="s">
        <v>3708</v>
      </c>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c r="A261" s="88" t="s">
        <v>3688</v>
      </c>
      <c r="B261" s="89">
        <v>2.0</v>
      </c>
      <c r="C261" s="34" t="s">
        <v>3720</v>
      </c>
      <c r="D261" s="34" t="s">
        <v>3721</v>
      </c>
      <c r="E261" s="92" t="s">
        <v>3722</v>
      </c>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c r="A262" s="88" t="s">
        <v>3688</v>
      </c>
      <c r="B262" s="89">
        <v>3.0</v>
      </c>
      <c r="C262" s="34" t="s">
        <v>3738</v>
      </c>
      <c r="D262" s="34" t="s">
        <v>3739</v>
      </c>
      <c r="E262" s="34" t="s">
        <v>3740</v>
      </c>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c r="A263" s="88" t="s">
        <v>3688</v>
      </c>
      <c r="B263" s="89">
        <v>4.0</v>
      </c>
      <c r="C263" s="34" t="s">
        <v>3752</v>
      </c>
      <c r="D263" s="34" t="s">
        <v>3755</v>
      </c>
      <c r="E263" s="92" t="s">
        <v>3757</v>
      </c>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c r="A264" s="88" t="s">
        <v>3688</v>
      </c>
      <c r="B264" s="89">
        <v>5.0</v>
      </c>
      <c r="C264" s="34" t="s">
        <v>3761</v>
      </c>
      <c r="D264" s="34" t="s">
        <v>3762</v>
      </c>
      <c r="E264" s="34" t="s">
        <v>3763</v>
      </c>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c r="A265" s="88" t="s">
        <v>3688</v>
      </c>
      <c r="B265" s="89">
        <v>6.0</v>
      </c>
      <c r="C265" s="34" t="s">
        <v>3773</v>
      </c>
      <c r="D265" s="34" t="s">
        <v>3774</v>
      </c>
      <c r="E265" s="34" t="s">
        <v>3775</v>
      </c>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c r="A266" s="88" t="s">
        <v>3688</v>
      </c>
      <c r="B266" s="89">
        <v>7.0</v>
      </c>
      <c r="C266" s="34" t="s">
        <v>3786</v>
      </c>
      <c r="D266" s="34" t="s">
        <v>3787</v>
      </c>
      <c r="E266" s="34" t="s">
        <v>3788</v>
      </c>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c r="A267" s="88" t="s">
        <v>3688</v>
      </c>
      <c r="B267" s="89">
        <v>8.0</v>
      </c>
      <c r="C267" s="34" t="s">
        <v>3799</v>
      </c>
      <c r="D267" s="34" t="s">
        <v>3802</v>
      </c>
      <c r="E267" s="92" t="s">
        <v>3805</v>
      </c>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c r="A268" s="88" t="s">
        <v>3688</v>
      </c>
      <c r="B268" s="89">
        <v>9.0</v>
      </c>
      <c r="C268" s="34" t="s">
        <v>3813</v>
      </c>
      <c r="D268" s="34" t="s">
        <v>3816</v>
      </c>
      <c r="E268" s="34" t="s">
        <v>3818</v>
      </c>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c r="A269" s="88" t="s">
        <v>3688</v>
      </c>
      <c r="B269" s="89">
        <v>10.0</v>
      </c>
      <c r="C269" s="34" t="s">
        <v>3832</v>
      </c>
      <c r="D269" s="34" t="s">
        <v>3834</v>
      </c>
      <c r="E269" s="34" t="s">
        <v>3835</v>
      </c>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c r="A270" s="88" t="s">
        <v>3688</v>
      </c>
      <c r="B270" s="89">
        <v>11.0</v>
      </c>
      <c r="C270" s="34" t="s">
        <v>3846</v>
      </c>
      <c r="D270" s="34" t="s">
        <v>3848</v>
      </c>
      <c r="E270" s="92" t="s">
        <v>3850</v>
      </c>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c r="A271" s="88" t="s">
        <v>3688</v>
      </c>
      <c r="B271" s="89">
        <v>12.0</v>
      </c>
      <c r="C271" s="34" t="s">
        <v>3861</v>
      </c>
      <c r="D271" s="34" t="s">
        <v>3863</v>
      </c>
      <c r="E271" s="92" t="s">
        <v>3865</v>
      </c>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c r="A272" s="73" t="s">
        <v>3688</v>
      </c>
      <c r="B272" s="113">
        <v>-777.0</v>
      </c>
      <c r="C272" s="44" t="s">
        <v>941</v>
      </c>
      <c r="D272" s="44" t="s">
        <v>944</v>
      </c>
      <c r="E272" s="44" t="s">
        <v>3596</v>
      </c>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63"/>
      <c r="AF272" s="63"/>
    </row>
    <row r="273" ht="15.75" customHeight="1">
      <c r="A273" s="73"/>
      <c r="B273" s="44"/>
      <c r="C273" s="44"/>
      <c r="D273" s="44"/>
      <c r="E273" s="44"/>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63"/>
      <c r="AF273" s="63"/>
    </row>
    <row r="274" ht="15.75" customHeight="1">
      <c r="A274" s="88" t="s">
        <v>3887</v>
      </c>
      <c r="B274" s="89">
        <v>1.0</v>
      </c>
      <c r="C274" s="34" t="s">
        <v>3888</v>
      </c>
      <c r="D274" s="34" t="s">
        <v>3890</v>
      </c>
      <c r="E274" s="34" t="s">
        <v>3892</v>
      </c>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c r="A275" s="88" t="s">
        <v>3887</v>
      </c>
      <c r="B275" s="89">
        <v>2.0</v>
      </c>
      <c r="C275" s="34" t="s">
        <v>3902</v>
      </c>
      <c r="D275" s="34" t="s">
        <v>3904</v>
      </c>
      <c r="E275" s="34" t="s">
        <v>3905</v>
      </c>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c r="A276" s="88" t="s">
        <v>3887</v>
      </c>
      <c r="B276" s="89">
        <v>3.0</v>
      </c>
      <c r="C276" s="34" t="s">
        <v>3913</v>
      </c>
      <c r="D276" s="34" t="s">
        <v>3915</v>
      </c>
      <c r="E276" s="34" t="s">
        <v>3916</v>
      </c>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c r="A277" s="88" t="s">
        <v>3887</v>
      </c>
      <c r="B277" s="89">
        <v>4.0</v>
      </c>
      <c r="C277" s="34" t="s">
        <v>3927</v>
      </c>
      <c r="D277" s="34" t="s">
        <v>3928</v>
      </c>
      <c r="E277" s="34" t="s">
        <v>3929</v>
      </c>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c r="A278" s="88" t="s">
        <v>3887</v>
      </c>
      <c r="B278" s="89">
        <v>5.0</v>
      </c>
      <c r="C278" s="34" t="s">
        <v>3937</v>
      </c>
      <c r="D278" s="34" t="s">
        <v>3938</v>
      </c>
      <c r="E278" s="34" t="s">
        <v>3939</v>
      </c>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c r="A279" s="73" t="s">
        <v>3887</v>
      </c>
      <c r="B279" s="113">
        <v>0.0</v>
      </c>
      <c r="C279" s="44" t="s">
        <v>237</v>
      </c>
      <c r="D279" s="44" t="s">
        <v>238</v>
      </c>
      <c r="E279" s="44" t="s">
        <v>239</v>
      </c>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63"/>
      <c r="AF279" s="63"/>
    </row>
    <row r="280" ht="15.75" customHeight="1">
      <c r="A280" s="73"/>
      <c r="B280" s="44"/>
      <c r="C280" s="44"/>
      <c r="D280" s="44"/>
      <c r="E280" s="44"/>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63"/>
      <c r="AF280" s="63"/>
    </row>
    <row r="281" ht="15.75" customHeight="1">
      <c r="A281" s="88" t="s">
        <v>3967</v>
      </c>
      <c r="B281" s="89">
        <v>1.0</v>
      </c>
      <c r="C281" s="34" t="s">
        <v>3970</v>
      </c>
      <c r="D281" s="34" t="s">
        <v>3971</v>
      </c>
      <c r="E281" s="34" t="s">
        <v>3972</v>
      </c>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c r="A282" s="88" t="s">
        <v>3967</v>
      </c>
      <c r="B282" s="89">
        <v>2.0</v>
      </c>
      <c r="C282" s="34" t="s">
        <v>3976</v>
      </c>
      <c r="D282" s="34" t="s">
        <v>3977</v>
      </c>
      <c r="E282" s="34" t="s">
        <v>3978</v>
      </c>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c r="A283" s="88" t="s">
        <v>3967</v>
      </c>
      <c r="B283" s="89">
        <v>3.0</v>
      </c>
      <c r="C283" s="34" t="s">
        <v>3979</v>
      </c>
      <c r="D283" s="34" t="s">
        <v>3980</v>
      </c>
      <c r="E283" s="92" t="s">
        <v>3982</v>
      </c>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c r="A284" s="88" t="s">
        <v>3967</v>
      </c>
      <c r="B284" s="89">
        <v>4.0</v>
      </c>
      <c r="C284" s="34" t="s">
        <v>3990</v>
      </c>
      <c r="D284" s="34" t="s">
        <v>3992</v>
      </c>
      <c r="E284" s="34" t="s">
        <v>3995</v>
      </c>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c r="A285" s="88" t="s">
        <v>3967</v>
      </c>
      <c r="B285" s="89">
        <v>5.0</v>
      </c>
      <c r="C285" s="34" t="s">
        <v>4003</v>
      </c>
      <c r="D285" s="34" t="s">
        <v>4005</v>
      </c>
      <c r="E285" s="34" t="s">
        <v>4007</v>
      </c>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c r="A286" s="88" t="s">
        <v>3967</v>
      </c>
      <c r="B286" s="89">
        <v>6.0</v>
      </c>
      <c r="C286" s="34" t="s">
        <v>4018</v>
      </c>
      <c r="D286" s="34" t="s">
        <v>4020</v>
      </c>
      <c r="E286" s="34" t="s">
        <v>4022</v>
      </c>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c r="A287" s="73" t="s">
        <v>3967</v>
      </c>
      <c r="B287" s="113">
        <v>0.0</v>
      </c>
      <c r="C287" s="44" t="s">
        <v>237</v>
      </c>
      <c r="D287" s="44" t="s">
        <v>238</v>
      </c>
      <c r="E287" s="44" t="s">
        <v>239</v>
      </c>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63"/>
      <c r="AF287" s="63"/>
    </row>
    <row r="288" ht="15.75" customHeight="1">
      <c r="A288" s="116"/>
      <c r="B288" s="117"/>
      <c r="C288" s="116"/>
      <c r="D288" s="116"/>
      <c r="E288" s="189"/>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c r="A289" s="132" t="s">
        <v>4044</v>
      </c>
      <c r="B289" s="133">
        <v>0.0</v>
      </c>
      <c r="C289" s="141" t="s">
        <v>237</v>
      </c>
      <c r="D289" s="141" t="s">
        <v>238</v>
      </c>
      <c r="E289" s="141" t="s">
        <v>239</v>
      </c>
      <c r="F289" s="136"/>
      <c r="G289" s="13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row>
    <row r="290" ht="15.75" customHeight="1">
      <c r="A290" s="88" t="s">
        <v>4044</v>
      </c>
      <c r="B290" s="89">
        <v>1.0</v>
      </c>
      <c r="C290" s="34" t="s">
        <v>4053</v>
      </c>
      <c r="D290" s="34" t="s">
        <v>4053</v>
      </c>
      <c r="E290" s="92" t="s">
        <v>4053</v>
      </c>
      <c r="F290" s="178"/>
      <c r="G290" s="3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c r="A291" s="88" t="s">
        <v>4044</v>
      </c>
      <c r="B291" s="89">
        <v>2.0</v>
      </c>
      <c r="C291" s="34" t="s">
        <v>4063</v>
      </c>
      <c r="D291" s="34" t="s">
        <v>4063</v>
      </c>
      <c r="E291" s="34" t="s">
        <v>4063</v>
      </c>
      <c r="F291" s="33"/>
      <c r="G291" s="3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c r="A292" s="88" t="s">
        <v>4044</v>
      </c>
      <c r="B292" s="89">
        <v>3.0</v>
      </c>
      <c r="C292" s="34" t="s">
        <v>4073</v>
      </c>
      <c r="D292" s="34" t="s">
        <v>4073</v>
      </c>
      <c r="E292" s="34" t="s">
        <v>4073</v>
      </c>
      <c r="F292" s="33"/>
      <c r="G292" s="3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c r="A293" s="88" t="s">
        <v>4044</v>
      </c>
      <c r="B293" s="89">
        <v>4.0</v>
      </c>
      <c r="C293" s="34" t="s">
        <v>4085</v>
      </c>
      <c r="D293" s="34" t="s">
        <v>4085</v>
      </c>
      <c r="E293" s="92" t="s">
        <v>4085</v>
      </c>
      <c r="F293" s="33"/>
      <c r="G293" s="3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c r="A294" s="88" t="s">
        <v>4044</v>
      </c>
      <c r="B294" s="89">
        <v>5.0</v>
      </c>
      <c r="C294" s="34" t="s">
        <v>4099</v>
      </c>
      <c r="D294" s="34" t="s">
        <v>4099</v>
      </c>
      <c r="E294" s="92" t="s">
        <v>4099</v>
      </c>
      <c r="F294" s="178"/>
      <c r="G294" s="178"/>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c r="A295" s="73" t="s">
        <v>4044</v>
      </c>
      <c r="B295" s="113">
        <v>6.0</v>
      </c>
      <c r="C295" s="44" t="s">
        <v>4108</v>
      </c>
      <c r="D295" s="44" t="s">
        <v>4108</v>
      </c>
      <c r="E295" s="44" t="s">
        <v>4108</v>
      </c>
      <c r="F295" s="43"/>
      <c r="G295" s="43"/>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row>
    <row r="296" ht="15.75" customHeight="1">
      <c r="A296" s="73" t="s">
        <v>4044</v>
      </c>
      <c r="B296" s="113">
        <v>7.0</v>
      </c>
      <c r="C296" s="44" t="s">
        <v>4118</v>
      </c>
      <c r="D296" s="44" t="s">
        <v>4118</v>
      </c>
      <c r="E296" s="81" t="s">
        <v>4118</v>
      </c>
      <c r="F296" s="43"/>
      <c r="G296" s="43"/>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row>
    <row r="297" ht="15.75" customHeight="1">
      <c r="A297" s="88" t="s">
        <v>4044</v>
      </c>
      <c r="B297" s="89">
        <v>8.0</v>
      </c>
      <c r="C297" s="34" t="s">
        <v>4128</v>
      </c>
      <c r="D297" s="34" t="s">
        <v>4128</v>
      </c>
      <c r="E297" s="34" t="s">
        <v>4128</v>
      </c>
      <c r="F297" s="33"/>
      <c r="G297" s="3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c r="A298" s="88" t="s">
        <v>4044</v>
      </c>
      <c r="B298" s="89">
        <v>9.0</v>
      </c>
      <c r="C298" s="34" t="s">
        <v>4143</v>
      </c>
      <c r="D298" s="34" t="s">
        <v>4143</v>
      </c>
      <c r="E298" s="34" t="s">
        <v>4143</v>
      </c>
      <c r="F298" s="33"/>
      <c r="G298" s="3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c r="A299" s="88" t="s">
        <v>4044</v>
      </c>
      <c r="B299" s="89">
        <v>10.0</v>
      </c>
      <c r="C299" s="34" t="s">
        <v>4154</v>
      </c>
      <c r="D299" s="34" t="s">
        <v>4154</v>
      </c>
      <c r="E299" s="34" t="s">
        <v>4154</v>
      </c>
      <c r="F299" s="33"/>
      <c r="G299" s="3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c r="A300" s="88" t="s">
        <v>4044</v>
      </c>
      <c r="B300" s="89">
        <v>11.0</v>
      </c>
      <c r="C300" s="34" t="s">
        <v>4160</v>
      </c>
      <c r="D300" s="34" t="s">
        <v>4160</v>
      </c>
      <c r="E300" s="305" t="s">
        <v>4160</v>
      </c>
      <c r="F300" s="33"/>
      <c r="G300" s="3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c r="A301" s="88" t="s">
        <v>4044</v>
      </c>
      <c r="B301" s="89">
        <v>12.0</v>
      </c>
      <c r="C301" s="34" t="s">
        <v>4166</v>
      </c>
      <c r="D301" s="34" t="s">
        <v>4166</v>
      </c>
      <c r="E301" s="34" t="s">
        <v>4166</v>
      </c>
      <c r="F301" s="33"/>
      <c r="G301" s="3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c r="A302" s="73" t="s">
        <v>4044</v>
      </c>
      <c r="B302" s="113">
        <v>13.0</v>
      </c>
      <c r="C302" s="44" t="s">
        <v>4179</v>
      </c>
      <c r="D302" s="44" t="s">
        <v>4179</v>
      </c>
      <c r="E302" s="81" t="s">
        <v>4179</v>
      </c>
      <c r="F302" s="139"/>
      <c r="G302" s="43"/>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row>
    <row r="303" ht="15.75" customHeight="1">
      <c r="A303" s="73" t="s">
        <v>4044</v>
      </c>
      <c r="B303" s="113">
        <v>14.0</v>
      </c>
      <c r="C303" s="44" t="s">
        <v>4187</v>
      </c>
      <c r="D303" s="44" t="s">
        <v>4187</v>
      </c>
      <c r="E303" s="44" t="s">
        <v>4187</v>
      </c>
      <c r="F303" s="43"/>
      <c r="G303" s="43"/>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row>
    <row r="304" ht="15.75" customHeight="1">
      <c r="A304" s="88" t="s">
        <v>4044</v>
      </c>
      <c r="B304" s="89">
        <v>15.0</v>
      </c>
      <c r="C304" s="34" t="s">
        <v>4200</v>
      </c>
      <c r="D304" s="34" t="s">
        <v>4200</v>
      </c>
      <c r="E304" s="92" t="s">
        <v>4200</v>
      </c>
      <c r="F304" s="33"/>
      <c r="G304" s="3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c r="A305" s="88" t="s">
        <v>4044</v>
      </c>
      <c r="B305" s="89">
        <v>16.0</v>
      </c>
      <c r="C305" s="34" t="s">
        <v>4205</v>
      </c>
      <c r="D305" s="34" t="s">
        <v>4205</v>
      </c>
      <c r="E305" s="34" t="s">
        <v>4205</v>
      </c>
      <c r="F305" s="33"/>
      <c r="G305" s="3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c r="A306" s="88" t="s">
        <v>4044</v>
      </c>
      <c r="B306" s="89">
        <v>17.0</v>
      </c>
      <c r="C306" s="34" t="s">
        <v>4212</v>
      </c>
      <c r="D306" s="34" t="s">
        <v>4212</v>
      </c>
      <c r="E306" s="34" t="s">
        <v>4212</v>
      </c>
      <c r="F306" s="33"/>
      <c r="G306" s="3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c r="A307" s="88" t="s">
        <v>4044</v>
      </c>
      <c r="B307" s="89">
        <v>18.0</v>
      </c>
      <c r="C307" s="34" t="s">
        <v>4217</v>
      </c>
      <c r="D307" s="34" t="s">
        <v>4217</v>
      </c>
      <c r="E307" s="92" t="s">
        <v>4217</v>
      </c>
      <c r="F307" s="178"/>
      <c r="G307" s="178"/>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c r="A308" s="73" t="s">
        <v>4044</v>
      </c>
      <c r="B308" s="113">
        <v>19.0</v>
      </c>
      <c r="C308" s="44" t="s">
        <v>4224</v>
      </c>
      <c r="D308" s="44" t="s">
        <v>4224</v>
      </c>
      <c r="E308" s="44" t="s">
        <v>4224</v>
      </c>
      <c r="F308" s="43"/>
      <c r="G308" s="43"/>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row>
    <row r="309" ht="15.75" customHeight="1">
      <c r="A309" s="73" t="s">
        <v>4044</v>
      </c>
      <c r="B309" s="113">
        <v>20.0</v>
      </c>
      <c r="C309" s="44" t="s">
        <v>4236</v>
      </c>
      <c r="D309" s="44" t="s">
        <v>4236</v>
      </c>
      <c r="E309" s="44" t="s">
        <v>4236</v>
      </c>
      <c r="F309" s="43"/>
      <c r="G309" s="43"/>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row>
    <row r="310" ht="15.75" customHeight="1">
      <c r="A310" s="88" t="s">
        <v>4044</v>
      </c>
      <c r="B310" s="89">
        <v>21.0</v>
      </c>
      <c r="C310" s="34" t="s">
        <v>4252</v>
      </c>
      <c r="D310" s="34" t="s">
        <v>4252</v>
      </c>
      <c r="E310" s="34" t="s">
        <v>4252</v>
      </c>
      <c r="F310" s="33"/>
      <c r="G310" s="3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c r="A311" s="88" t="s">
        <v>4044</v>
      </c>
      <c r="B311" s="89">
        <v>22.0</v>
      </c>
      <c r="C311" s="34" t="s">
        <v>4269</v>
      </c>
      <c r="D311" s="34" t="s">
        <v>4269</v>
      </c>
      <c r="E311" s="34" t="s">
        <v>4269</v>
      </c>
      <c r="F311" s="33"/>
      <c r="G311" s="3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c r="A312" s="88" t="s">
        <v>4044</v>
      </c>
      <c r="B312" s="89">
        <v>23.0</v>
      </c>
      <c r="C312" s="34" t="s">
        <v>4280</v>
      </c>
      <c r="D312" s="34" t="s">
        <v>4280</v>
      </c>
      <c r="E312" s="305" t="s">
        <v>4280</v>
      </c>
      <c r="F312" s="33"/>
      <c r="G312" s="3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c r="A313" s="73" t="s">
        <v>4044</v>
      </c>
      <c r="B313" s="113">
        <v>24.0</v>
      </c>
      <c r="C313" s="44" t="s">
        <v>4291</v>
      </c>
      <c r="D313" s="44" t="s">
        <v>4291</v>
      </c>
      <c r="E313" s="44" t="s">
        <v>4291</v>
      </c>
      <c r="F313" s="43"/>
      <c r="G313" s="43"/>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row>
    <row r="314" ht="15.75" customHeight="1">
      <c r="A314" s="73" t="s">
        <v>4044</v>
      </c>
      <c r="B314" s="113">
        <v>25.0</v>
      </c>
      <c r="C314" s="44" t="s">
        <v>4298</v>
      </c>
      <c r="D314" s="44" t="s">
        <v>4298</v>
      </c>
      <c r="E314" s="44" t="s">
        <v>4298</v>
      </c>
      <c r="F314" s="43"/>
      <c r="G314" s="43"/>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row>
    <row r="315" ht="15.75" customHeight="1">
      <c r="A315" s="88" t="s">
        <v>4044</v>
      </c>
      <c r="B315" s="89">
        <v>26.0</v>
      </c>
      <c r="C315" s="34" t="s">
        <v>4307</v>
      </c>
      <c r="D315" s="34" t="s">
        <v>4307</v>
      </c>
      <c r="E315" s="34" t="s">
        <v>4307</v>
      </c>
      <c r="F315" s="33"/>
      <c r="G315" s="3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c r="A316" s="88" t="s">
        <v>4044</v>
      </c>
      <c r="B316" s="89">
        <v>27.0</v>
      </c>
      <c r="C316" s="34" t="s">
        <v>4327</v>
      </c>
      <c r="D316" s="34" t="s">
        <v>4327</v>
      </c>
      <c r="E316" s="305" t="s">
        <v>4327</v>
      </c>
      <c r="F316" s="178"/>
      <c r="G316" s="178"/>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c r="A317" s="88" t="s">
        <v>4044</v>
      </c>
      <c r="B317" s="89">
        <v>28.0</v>
      </c>
      <c r="C317" s="34" t="s">
        <v>4342</v>
      </c>
      <c r="D317" s="34" t="s">
        <v>4342</v>
      </c>
      <c r="E317" s="34" t="s">
        <v>4342</v>
      </c>
      <c r="F317" s="33"/>
      <c r="G317" s="3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c r="A318" s="88" t="s">
        <v>4044</v>
      </c>
      <c r="B318" s="89">
        <v>29.0</v>
      </c>
      <c r="C318" s="34" t="s">
        <v>4355</v>
      </c>
      <c r="D318" s="34" t="s">
        <v>4355</v>
      </c>
      <c r="E318" s="92" t="s">
        <v>4355</v>
      </c>
      <c r="F318" s="178"/>
      <c r="G318" s="3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c r="A319" s="88" t="s">
        <v>4044</v>
      </c>
      <c r="B319" s="89">
        <v>30.0</v>
      </c>
      <c r="C319" s="34" t="s">
        <v>4366</v>
      </c>
      <c r="D319" s="34" t="s">
        <v>4366</v>
      </c>
      <c r="E319" s="92" t="s">
        <v>4366</v>
      </c>
      <c r="F319" s="178"/>
      <c r="G319" s="178"/>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c r="A320" s="88" t="s">
        <v>4044</v>
      </c>
      <c r="B320" s="89">
        <v>31.0</v>
      </c>
      <c r="C320" s="34" t="s">
        <v>4377</v>
      </c>
      <c r="D320" s="34" t="s">
        <v>4377</v>
      </c>
      <c r="E320" s="305" t="s">
        <v>4377</v>
      </c>
      <c r="F320" s="33"/>
      <c r="G320" s="3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c r="A321" s="73" t="s">
        <v>4044</v>
      </c>
      <c r="B321" s="113">
        <v>32.0</v>
      </c>
      <c r="C321" s="44" t="s">
        <v>4385</v>
      </c>
      <c r="D321" s="44" t="s">
        <v>4385</v>
      </c>
      <c r="E321" s="44" t="s">
        <v>4385</v>
      </c>
      <c r="F321" s="43"/>
      <c r="G321" s="43"/>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row>
    <row r="322" ht="15.75" customHeight="1">
      <c r="A322" s="73" t="s">
        <v>4044</v>
      </c>
      <c r="B322" s="113">
        <v>33.0</v>
      </c>
      <c r="C322" s="44" t="s">
        <v>4394</v>
      </c>
      <c r="D322" s="44" t="s">
        <v>4394</v>
      </c>
      <c r="E322" s="81" t="s">
        <v>4394</v>
      </c>
      <c r="F322" s="43"/>
      <c r="G322" s="43"/>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row>
    <row r="323" ht="15.75" customHeight="1">
      <c r="A323" s="88" t="s">
        <v>4044</v>
      </c>
      <c r="B323" s="89">
        <v>34.0</v>
      </c>
      <c r="C323" s="34" t="s">
        <v>4407</v>
      </c>
      <c r="D323" s="34" t="s">
        <v>4407</v>
      </c>
      <c r="E323" s="92" t="s">
        <v>4407</v>
      </c>
      <c r="F323" s="33"/>
      <c r="G323" s="3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c r="A324" s="88" t="s">
        <v>4044</v>
      </c>
      <c r="B324" s="89">
        <v>35.0</v>
      </c>
      <c r="C324" s="34" t="s">
        <v>4415</v>
      </c>
      <c r="D324" s="34" t="s">
        <v>4415</v>
      </c>
      <c r="E324" s="34" t="s">
        <v>4415</v>
      </c>
      <c r="F324" s="33"/>
      <c r="G324" s="3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c r="A325" s="88" t="s">
        <v>4044</v>
      </c>
      <c r="B325" s="89">
        <v>36.0</v>
      </c>
      <c r="C325" s="34" t="s">
        <v>4430</v>
      </c>
      <c r="D325" s="34" t="s">
        <v>4430</v>
      </c>
      <c r="E325" s="34" t="s">
        <v>4430</v>
      </c>
      <c r="F325" s="33"/>
      <c r="G325" s="3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c r="A326" s="88" t="s">
        <v>4044</v>
      </c>
      <c r="B326" s="89">
        <v>37.0</v>
      </c>
      <c r="C326" s="34" t="s">
        <v>4449</v>
      </c>
      <c r="D326" s="34" t="s">
        <v>4449</v>
      </c>
      <c r="E326" s="34" t="s">
        <v>4449</v>
      </c>
      <c r="F326" s="33"/>
      <c r="G326" s="3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c r="A327" s="88" t="s">
        <v>4044</v>
      </c>
      <c r="B327" s="89">
        <v>38.0</v>
      </c>
      <c r="C327" s="34" t="s">
        <v>4464</v>
      </c>
      <c r="D327" s="34" t="s">
        <v>4464</v>
      </c>
      <c r="E327" s="34" t="s">
        <v>4464</v>
      </c>
      <c r="F327" s="33"/>
      <c r="G327" s="3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c r="A328" s="88" t="s">
        <v>4044</v>
      </c>
      <c r="B328" s="89">
        <v>39.0</v>
      </c>
      <c r="C328" s="34" t="s">
        <v>4480</v>
      </c>
      <c r="D328" s="34" t="s">
        <v>4480</v>
      </c>
      <c r="E328" s="92" t="s">
        <v>4480</v>
      </c>
      <c r="F328" s="178"/>
      <c r="G328" s="178"/>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c r="A329" s="88" t="s">
        <v>4044</v>
      </c>
      <c r="B329" s="89">
        <v>40.0</v>
      </c>
      <c r="C329" s="34" t="s">
        <v>4492</v>
      </c>
      <c r="D329" s="34" t="s">
        <v>4492</v>
      </c>
      <c r="E329" s="34" t="s">
        <v>4492</v>
      </c>
      <c r="F329" s="33"/>
      <c r="G329" s="3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c r="A330" s="73" t="s">
        <v>4044</v>
      </c>
      <c r="B330" s="113">
        <v>41.0</v>
      </c>
      <c r="C330" s="44" t="s">
        <v>4507</v>
      </c>
      <c r="D330" s="44" t="s">
        <v>4507</v>
      </c>
      <c r="E330" s="44" t="s">
        <v>4507</v>
      </c>
      <c r="F330" s="43"/>
      <c r="G330" s="43"/>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row>
    <row r="331" ht="15.75" customHeight="1">
      <c r="A331" s="73" t="s">
        <v>4044</v>
      </c>
      <c r="B331" s="113">
        <v>42.0</v>
      </c>
      <c r="C331" s="44" t="s">
        <v>4523</v>
      </c>
      <c r="D331" s="44" t="s">
        <v>4523</v>
      </c>
      <c r="E331" s="44" t="s">
        <v>4523</v>
      </c>
      <c r="F331" s="43"/>
      <c r="G331" s="43"/>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row>
    <row r="332" ht="15.75" customHeight="1">
      <c r="A332" s="116"/>
      <c r="B332" s="117"/>
      <c r="C332" s="116"/>
      <c r="D332" s="116"/>
      <c r="E332" s="189"/>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c r="A333" s="116"/>
      <c r="B333" s="117"/>
      <c r="C333" s="116"/>
      <c r="D333" s="116"/>
      <c r="E333" s="189"/>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c r="A334" s="132" t="s">
        <v>4559</v>
      </c>
      <c r="B334" s="133">
        <v>0.0</v>
      </c>
      <c r="C334" s="141" t="s">
        <v>237</v>
      </c>
      <c r="D334" s="141" t="s">
        <v>238</v>
      </c>
      <c r="E334" s="141" t="s">
        <v>239</v>
      </c>
      <c r="F334" s="136"/>
      <c r="G334" s="196">
        <v>0.0</v>
      </c>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row>
    <row r="335" ht="15.75" customHeight="1">
      <c r="A335" s="88" t="s">
        <v>4559</v>
      </c>
      <c r="B335" s="89">
        <v>2.0</v>
      </c>
      <c r="C335" s="34" t="s">
        <v>1933</v>
      </c>
      <c r="D335" s="34" t="s">
        <v>1934</v>
      </c>
      <c r="E335" s="34" t="s">
        <v>1935</v>
      </c>
      <c r="F335" s="33"/>
      <c r="G335" s="32">
        <v>1.0</v>
      </c>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c r="A336" s="88" t="s">
        <v>4559</v>
      </c>
      <c r="B336" s="89">
        <v>3.0</v>
      </c>
      <c r="C336" s="34" t="s">
        <v>1943</v>
      </c>
      <c r="D336" s="34" t="s">
        <v>1944</v>
      </c>
      <c r="E336" s="34" t="s">
        <v>1943</v>
      </c>
      <c r="F336" s="33"/>
      <c r="G336" s="32">
        <v>2.0</v>
      </c>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c r="A337" s="88" t="s">
        <v>4559</v>
      </c>
      <c r="B337" s="89">
        <v>4.0</v>
      </c>
      <c r="C337" s="34" t="s">
        <v>1956</v>
      </c>
      <c r="D337" s="34" t="s">
        <v>1956</v>
      </c>
      <c r="E337" s="34" t="s">
        <v>1956</v>
      </c>
      <c r="F337" s="33"/>
      <c r="G337" s="32">
        <v>3.0</v>
      </c>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c r="A338" s="88" t="s">
        <v>4559</v>
      </c>
      <c r="B338" s="89">
        <v>5.0</v>
      </c>
      <c r="C338" s="34" t="s">
        <v>1968</v>
      </c>
      <c r="D338" s="34" t="s">
        <v>1971</v>
      </c>
      <c r="E338" s="34" t="s">
        <v>1973</v>
      </c>
      <c r="F338" s="33"/>
      <c r="G338" s="32">
        <v>4.0</v>
      </c>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c r="A339" s="88" t="s">
        <v>4559</v>
      </c>
      <c r="B339" s="89">
        <v>6.0</v>
      </c>
      <c r="C339" s="34" t="s">
        <v>1986</v>
      </c>
      <c r="D339" s="34" t="s">
        <v>1989</v>
      </c>
      <c r="E339" s="92" t="s">
        <v>1990</v>
      </c>
      <c r="F339" s="33"/>
      <c r="G339" s="32">
        <v>5.0</v>
      </c>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c r="A340" s="88" t="s">
        <v>4559</v>
      </c>
      <c r="B340" s="89">
        <v>7.0</v>
      </c>
      <c r="C340" s="34" t="s">
        <v>2000</v>
      </c>
      <c r="D340" s="34" t="s">
        <v>2002</v>
      </c>
      <c r="E340" s="34" t="s">
        <v>2000</v>
      </c>
      <c r="F340" s="33"/>
      <c r="G340" s="32">
        <v>6.0</v>
      </c>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c r="A341" s="88" t="s">
        <v>4559</v>
      </c>
      <c r="B341" s="89">
        <v>8.0</v>
      </c>
      <c r="C341" s="34" t="s">
        <v>2013</v>
      </c>
      <c r="D341" s="34" t="s">
        <v>2013</v>
      </c>
      <c r="E341" s="34" t="s">
        <v>2013</v>
      </c>
      <c r="F341" s="33"/>
      <c r="G341" s="32">
        <v>7.0</v>
      </c>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c r="A342" s="88" t="s">
        <v>4559</v>
      </c>
      <c r="B342" s="89">
        <v>9.0</v>
      </c>
      <c r="C342" s="34" t="s">
        <v>2027</v>
      </c>
      <c r="D342" s="34" t="s">
        <v>2027</v>
      </c>
      <c r="E342" s="34" t="s">
        <v>2027</v>
      </c>
      <c r="F342" s="33"/>
      <c r="G342" s="32">
        <v>8.0</v>
      </c>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c r="A343" s="88" t="s">
        <v>4559</v>
      </c>
      <c r="B343" s="89">
        <v>10.0</v>
      </c>
      <c r="C343" s="34" t="s">
        <v>2037</v>
      </c>
      <c r="D343" s="34" t="s">
        <v>2038</v>
      </c>
      <c r="E343" s="34" t="s">
        <v>2039</v>
      </c>
      <c r="F343" s="33"/>
      <c r="G343" s="32">
        <v>9.0</v>
      </c>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c r="A344" s="88" t="s">
        <v>4559</v>
      </c>
      <c r="B344" s="89">
        <v>11.0</v>
      </c>
      <c r="C344" s="34" t="s">
        <v>2040</v>
      </c>
      <c r="D344" s="34" t="s">
        <v>2041</v>
      </c>
      <c r="E344" s="34" t="s">
        <v>2040</v>
      </c>
      <c r="F344" s="33"/>
      <c r="G344" s="32">
        <v>10.0</v>
      </c>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c r="A345" s="88" t="s">
        <v>4559</v>
      </c>
      <c r="B345" s="89">
        <v>12.0</v>
      </c>
      <c r="C345" s="34" t="s">
        <v>2047</v>
      </c>
      <c r="D345" s="34" t="s">
        <v>2047</v>
      </c>
      <c r="E345" s="34" t="s">
        <v>2047</v>
      </c>
      <c r="F345" s="33"/>
      <c r="G345" s="32">
        <v>11.0</v>
      </c>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c r="A346" s="88" t="s">
        <v>4559</v>
      </c>
      <c r="B346" s="89">
        <v>13.0</v>
      </c>
      <c r="C346" s="34" t="s">
        <v>2058</v>
      </c>
      <c r="D346" s="34" t="s">
        <v>2059</v>
      </c>
      <c r="E346" s="34" t="s">
        <v>2058</v>
      </c>
      <c r="F346" s="33"/>
      <c r="G346" s="32">
        <v>12.0</v>
      </c>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c r="A347" s="88" t="s">
        <v>4559</v>
      </c>
      <c r="B347" s="89">
        <v>14.0</v>
      </c>
      <c r="C347" s="34" t="s">
        <v>2065</v>
      </c>
      <c r="D347" s="34" t="s">
        <v>2065</v>
      </c>
      <c r="E347" s="34" t="s">
        <v>2065</v>
      </c>
      <c r="F347" s="33"/>
      <c r="G347" s="32">
        <v>13.0</v>
      </c>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c r="A348" s="88" t="s">
        <v>4559</v>
      </c>
      <c r="B348" s="89">
        <v>15.0</v>
      </c>
      <c r="C348" s="34" t="s">
        <v>2078</v>
      </c>
      <c r="D348" s="34" t="s">
        <v>2081</v>
      </c>
      <c r="E348" s="34" t="s">
        <v>2078</v>
      </c>
      <c r="F348" s="33"/>
      <c r="G348" s="32">
        <v>14.0</v>
      </c>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c r="A349" s="88" t="s">
        <v>4559</v>
      </c>
      <c r="B349" s="89">
        <v>16.0</v>
      </c>
      <c r="C349" s="34" t="s">
        <v>2093</v>
      </c>
      <c r="D349" s="34" t="s">
        <v>2094</v>
      </c>
      <c r="E349" s="34" t="s">
        <v>2093</v>
      </c>
      <c r="F349" s="33"/>
      <c r="G349" s="32">
        <v>15.0</v>
      </c>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c r="A350" s="88" t="s">
        <v>4559</v>
      </c>
      <c r="B350" s="89">
        <v>17.0</v>
      </c>
      <c r="C350" s="34" t="s">
        <v>2106</v>
      </c>
      <c r="D350" s="34" t="s">
        <v>2109</v>
      </c>
      <c r="E350" s="34" t="s">
        <v>2111</v>
      </c>
      <c r="F350" s="33"/>
      <c r="G350" s="32">
        <v>16.0</v>
      </c>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c r="A351" s="88" t="s">
        <v>4559</v>
      </c>
      <c r="B351" s="89">
        <v>18.0</v>
      </c>
      <c r="C351" s="34" t="s">
        <v>2126</v>
      </c>
      <c r="D351" s="34" t="s">
        <v>2126</v>
      </c>
      <c r="E351" s="34" t="s">
        <v>2130</v>
      </c>
      <c r="F351" s="33"/>
      <c r="G351" s="32">
        <v>17.0</v>
      </c>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c r="A352" s="88" t="s">
        <v>4559</v>
      </c>
      <c r="B352" s="89">
        <v>19.0</v>
      </c>
      <c r="C352" s="34" t="s">
        <v>2152</v>
      </c>
      <c r="D352" s="34" t="s">
        <v>2152</v>
      </c>
      <c r="E352" s="34" t="s">
        <v>2154</v>
      </c>
      <c r="F352" s="33"/>
      <c r="G352" s="32">
        <v>18.0</v>
      </c>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c r="A353" s="88" t="s">
        <v>4559</v>
      </c>
      <c r="B353" s="89">
        <v>20.0</v>
      </c>
      <c r="C353" s="34" t="s">
        <v>2171</v>
      </c>
      <c r="D353" s="34" t="s">
        <v>2172</v>
      </c>
      <c r="E353" s="92" t="s">
        <v>2173</v>
      </c>
      <c r="F353" s="33"/>
      <c r="G353" s="32">
        <v>19.0</v>
      </c>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c r="A354" s="88" t="s">
        <v>4559</v>
      </c>
      <c r="B354" s="89">
        <v>21.0</v>
      </c>
      <c r="C354" s="34" t="s">
        <v>2192</v>
      </c>
      <c r="D354" s="34" t="s">
        <v>2194</v>
      </c>
      <c r="E354" s="34" t="s">
        <v>2197</v>
      </c>
      <c r="F354" s="33"/>
      <c r="G354" s="32">
        <v>20.0</v>
      </c>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c r="A355" s="88" t="s">
        <v>4559</v>
      </c>
      <c r="B355" s="89">
        <v>-777.0</v>
      </c>
      <c r="C355" s="34" t="s">
        <v>941</v>
      </c>
      <c r="D355" s="34" t="s">
        <v>944</v>
      </c>
      <c r="E355" s="34" t="s">
        <v>1898</v>
      </c>
      <c r="F355" s="33"/>
      <c r="G355" s="32">
        <v>-777.0</v>
      </c>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c r="A356" s="73" t="s">
        <v>4559</v>
      </c>
      <c r="B356" s="113">
        <v>-999.0</v>
      </c>
      <c r="C356" s="44" t="s">
        <v>111</v>
      </c>
      <c r="D356" s="44" t="s">
        <v>112</v>
      </c>
      <c r="E356" s="44" t="s">
        <v>113</v>
      </c>
      <c r="F356" s="43"/>
      <c r="G356" s="42">
        <v>-999.0</v>
      </c>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row>
    <row r="357" ht="15.75" customHeight="1">
      <c r="A357" s="116"/>
      <c r="B357" s="117"/>
      <c r="C357" s="116"/>
      <c r="D357" s="116"/>
      <c r="E357" s="189"/>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c r="A358" s="132" t="s">
        <v>4593</v>
      </c>
      <c r="B358" s="133">
        <v>1.0</v>
      </c>
      <c r="C358" s="141" t="s">
        <v>4594</v>
      </c>
      <c r="D358" s="345" t="s">
        <v>4594</v>
      </c>
      <c r="E358" s="345" t="s">
        <v>4595</v>
      </c>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row>
    <row r="359" ht="15.75" customHeight="1">
      <c r="A359" s="88" t="s">
        <v>4593</v>
      </c>
      <c r="B359" s="89">
        <v>2.0</v>
      </c>
      <c r="C359" s="34" t="s">
        <v>4596</v>
      </c>
      <c r="D359" s="116" t="s">
        <v>4597</v>
      </c>
      <c r="E359" s="116" t="s">
        <v>4596</v>
      </c>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c r="A360" s="88" t="s">
        <v>4593</v>
      </c>
      <c r="B360" s="89">
        <v>3.0</v>
      </c>
      <c r="C360" s="34" t="s">
        <v>4598</v>
      </c>
      <c r="D360" s="116" t="s">
        <v>4599</v>
      </c>
      <c r="E360" s="116" t="s">
        <v>4600</v>
      </c>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c r="A361" s="73" t="s">
        <v>4593</v>
      </c>
      <c r="B361" s="113">
        <v>4.0</v>
      </c>
      <c r="C361" s="44" t="s">
        <v>4601</v>
      </c>
      <c r="D361" s="114" t="s">
        <v>4602</v>
      </c>
      <c r="E361" s="114" t="s">
        <v>4603</v>
      </c>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row>
    <row r="362" ht="15.75" customHeight="1">
      <c r="A362" s="73" t="s">
        <v>4593</v>
      </c>
      <c r="B362" s="113">
        <v>-777.0</v>
      </c>
      <c r="C362" s="44" t="s">
        <v>941</v>
      </c>
      <c r="D362" s="44" t="s">
        <v>944</v>
      </c>
      <c r="E362" s="44" t="s">
        <v>3502</v>
      </c>
      <c r="F362" s="43"/>
      <c r="G362" s="43"/>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row>
    <row r="363" ht="15.75" customHeight="1">
      <c r="A363" s="116"/>
      <c r="B363" s="117"/>
      <c r="C363" s="116"/>
      <c r="D363" s="116"/>
      <c r="E363" s="189"/>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c r="A364" s="132" t="s">
        <v>4605</v>
      </c>
      <c r="B364" s="133">
        <v>1.0</v>
      </c>
      <c r="C364" s="141" t="s">
        <v>4606</v>
      </c>
      <c r="D364" s="141" t="s">
        <v>4607</v>
      </c>
      <c r="E364" s="141" t="s">
        <v>4608</v>
      </c>
      <c r="F364" s="136"/>
      <c r="G364" s="13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row>
    <row r="365" ht="15.75" customHeight="1">
      <c r="A365" s="88" t="s">
        <v>4605</v>
      </c>
      <c r="B365" s="89">
        <v>2.0</v>
      </c>
      <c r="C365" s="34" t="s">
        <v>4609</v>
      </c>
      <c r="D365" s="34" t="s">
        <v>4610</v>
      </c>
      <c r="E365" s="92" t="s">
        <v>4611</v>
      </c>
      <c r="F365" s="33"/>
      <c r="G365" s="3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c r="A366" s="88" t="s">
        <v>4605</v>
      </c>
      <c r="B366" s="89">
        <v>3.0</v>
      </c>
      <c r="C366" s="34" t="s">
        <v>4612</v>
      </c>
      <c r="D366" s="34" t="s">
        <v>4613</v>
      </c>
      <c r="E366" s="92" t="s">
        <v>4614</v>
      </c>
      <c r="F366" s="33"/>
      <c r="G366" s="3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c r="A367" s="88" t="s">
        <v>4605</v>
      </c>
      <c r="B367" s="347">
        <v>4.0</v>
      </c>
      <c r="C367" s="154" t="s">
        <v>4620</v>
      </c>
      <c r="D367" s="116" t="s">
        <v>4621</v>
      </c>
      <c r="E367" s="189" t="s">
        <v>4622</v>
      </c>
      <c r="F367" s="109"/>
      <c r="G367" s="109"/>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c r="A368" s="73" t="s">
        <v>4605</v>
      </c>
      <c r="B368" s="113">
        <v>-777.0</v>
      </c>
      <c r="C368" s="44" t="s">
        <v>941</v>
      </c>
      <c r="D368" s="44" t="s">
        <v>944</v>
      </c>
      <c r="E368" s="44" t="s">
        <v>946</v>
      </c>
      <c r="F368" s="43"/>
      <c r="G368" s="43"/>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row>
    <row r="369" ht="15.75" customHeight="1">
      <c r="A369" s="73"/>
      <c r="B369" s="44"/>
      <c r="C369" s="44"/>
      <c r="D369" s="44"/>
      <c r="E369" s="44"/>
      <c r="F369" s="43"/>
      <c r="G369" s="43"/>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row>
    <row r="370" ht="15.75" customHeight="1">
      <c r="A370" s="88" t="s">
        <v>4628</v>
      </c>
      <c r="B370" s="89">
        <v>0.0</v>
      </c>
      <c r="C370" s="34" t="s">
        <v>237</v>
      </c>
      <c r="D370" s="34" t="s">
        <v>238</v>
      </c>
      <c r="E370" s="34" t="s">
        <v>239</v>
      </c>
      <c r="F370" s="33"/>
      <c r="G370" s="3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c r="A371" s="88" t="s">
        <v>4628</v>
      </c>
      <c r="B371" s="89">
        <v>1.0</v>
      </c>
      <c r="C371" s="34" t="s">
        <v>4632</v>
      </c>
      <c r="D371" s="34" t="s">
        <v>4633</v>
      </c>
      <c r="E371" s="92" t="s">
        <v>4634</v>
      </c>
      <c r="F371" s="33"/>
      <c r="G371" s="3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c r="A372" s="88" t="s">
        <v>4628</v>
      </c>
      <c r="B372" s="89">
        <v>2.0</v>
      </c>
      <c r="C372" s="34" t="s">
        <v>4636</v>
      </c>
      <c r="D372" s="34" t="s">
        <v>4637</v>
      </c>
      <c r="E372" s="34" t="s">
        <v>4638</v>
      </c>
      <c r="F372" s="33"/>
      <c r="G372" s="3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c r="A373" s="88" t="s">
        <v>4628</v>
      </c>
      <c r="B373" s="89">
        <v>3.0</v>
      </c>
      <c r="C373" s="34" t="s">
        <v>4639</v>
      </c>
      <c r="D373" s="34" t="s">
        <v>4640</v>
      </c>
      <c r="E373" s="92" t="s">
        <v>4641</v>
      </c>
      <c r="F373" s="33"/>
      <c r="G373" s="3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c r="A374" s="88" t="s">
        <v>4628</v>
      </c>
      <c r="B374" s="89">
        <v>4.0</v>
      </c>
      <c r="C374" s="34" t="s">
        <v>4642</v>
      </c>
      <c r="D374" s="34" t="s">
        <v>4643</v>
      </c>
      <c r="E374" s="92" t="s">
        <v>4644</v>
      </c>
      <c r="F374" s="33"/>
      <c r="G374" s="3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c r="A375" s="88" t="s">
        <v>4628</v>
      </c>
      <c r="B375" s="89">
        <v>5.0</v>
      </c>
      <c r="C375" s="34" t="s">
        <v>4645</v>
      </c>
      <c r="D375" s="34" t="s">
        <v>4646</v>
      </c>
      <c r="E375" s="92" t="s">
        <v>4647</v>
      </c>
      <c r="F375" s="33"/>
      <c r="G375" s="3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c r="A376" s="73" t="s">
        <v>4628</v>
      </c>
      <c r="B376" s="113">
        <v>6.0</v>
      </c>
      <c r="C376" s="44" t="s">
        <v>4648</v>
      </c>
      <c r="D376" s="44" t="s">
        <v>4649</v>
      </c>
      <c r="E376" s="81" t="s">
        <v>4650</v>
      </c>
      <c r="F376" s="43"/>
      <c r="G376" s="43"/>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row>
    <row r="377" ht="15.75" customHeight="1">
      <c r="A377" s="73" t="s">
        <v>4628</v>
      </c>
      <c r="B377" s="113">
        <v>-777.0</v>
      </c>
      <c r="C377" s="44" t="s">
        <v>941</v>
      </c>
      <c r="D377" s="44" t="s">
        <v>944</v>
      </c>
      <c r="E377" s="44" t="s">
        <v>3502</v>
      </c>
      <c r="F377" s="43"/>
      <c r="G377" s="43"/>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row>
    <row r="378" ht="15.75" customHeight="1">
      <c r="A378" s="73" t="s">
        <v>4628</v>
      </c>
      <c r="B378" s="113">
        <v>-999.0</v>
      </c>
      <c r="C378" s="44" t="s">
        <v>111</v>
      </c>
      <c r="D378" s="44" t="s">
        <v>112</v>
      </c>
      <c r="E378" s="44" t="s">
        <v>113</v>
      </c>
      <c r="F378" s="43"/>
      <c r="G378" s="43"/>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row>
    <row r="379" ht="15.75" customHeight="1">
      <c r="A379" s="73"/>
      <c r="B379" s="44"/>
      <c r="C379" s="44"/>
      <c r="D379" s="44"/>
      <c r="E379" s="44"/>
      <c r="F379" s="43"/>
      <c r="G379" s="43"/>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row>
    <row r="380" ht="15.75" customHeight="1">
      <c r="A380" s="88" t="s">
        <v>3391</v>
      </c>
      <c r="B380" s="89">
        <v>1.0</v>
      </c>
      <c r="C380" s="34" t="s">
        <v>3392</v>
      </c>
      <c r="D380" s="34" t="s">
        <v>3393</v>
      </c>
      <c r="E380" s="34" t="s">
        <v>3395</v>
      </c>
      <c r="F380" s="33"/>
      <c r="G380" s="3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c r="A381" s="88" t="s">
        <v>3391</v>
      </c>
      <c r="B381" s="89">
        <v>2.0</v>
      </c>
      <c r="C381" s="34" t="s">
        <v>3398</v>
      </c>
      <c r="D381" s="34" t="s">
        <v>3399</v>
      </c>
      <c r="E381" s="34" t="s">
        <v>3400</v>
      </c>
      <c r="F381" s="33"/>
      <c r="G381" s="3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c r="A382" s="88" t="s">
        <v>3391</v>
      </c>
      <c r="B382" s="89">
        <v>3.0</v>
      </c>
      <c r="C382" s="34" t="s">
        <v>3405</v>
      </c>
      <c r="D382" s="34" t="s">
        <v>3406</v>
      </c>
      <c r="E382" s="92" t="s">
        <v>3407</v>
      </c>
      <c r="F382" s="33"/>
      <c r="G382" s="3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c r="A383" s="88" t="s">
        <v>3391</v>
      </c>
      <c r="B383" s="89">
        <v>4.0</v>
      </c>
      <c r="C383" s="34" t="s">
        <v>3416</v>
      </c>
      <c r="D383" s="34" t="s">
        <v>3417</v>
      </c>
      <c r="E383" s="34" t="s">
        <v>3419</v>
      </c>
      <c r="F383" s="33"/>
      <c r="G383" s="3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c r="A384" s="88" t="s">
        <v>3391</v>
      </c>
      <c r="B384" s="89">
        <v>5.0</v>
      </c>
      <c r="C384" s="34" t="s">
        <v>3426</v>
      </c>
      <c r="D384" s="34" t="s">
        <v>3427</v>
      </c>
      <c r="E384" s="34" t="s">
        <v>3428</v>
      </c>
      <c r="F384" s="33"/>
      <c r="G384" s="3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c r="A385" s="88" t="s">
        <v>3391</v>
      </c>
      <c r="B385" s="89">
        <v>6.0</v>
      </c>
      <c r="C385" s="34" t="s">
        <v>3433</v>
      </c>
      <c r="D385" s="34" t="s">
        <v>3434</v>
      </c>
      <c r="E385" s="92" t="s">
        <v>3435</v>
      </c>
      <c r="F385" s="33"/>
      <c r="G385" s="3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c r="A386" s="88" t="s">
        <v>3391</v>
      </c>
      <c r="B386" s="89">
        <v>7.0</v>
      </c>
      <c r="C386" s="34" t="s">
        <v>3443</v>
      </c>
      <c r="D386" s="34" t="s">
        <v>4661</v>
      </c>
      <c r="E386" s="34" t="s">
        <v>3445</v>
      </c>
      <c r="F386" s="33"/>
      <c r="G386" s="3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c r="A387" s="88" t="s">
        <v>3391</v>
      </c>
      <c r="B387" s="89">
        <v>8.0</v>
      </c>
      <c r="C387" s="34" t="s">
        <v>3454</v>
      </c>
      <c r="D387" s="34" t="s">
        <v>3454</v>
      </c>
      <c r="E387" s="34" t="s">
        <v>3457</v>
      </c>
      <c r="F387" s="33"/>
      <c r="G387" s="3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c r="A388" s="88" t="s">
        <v>3391</v>
      </c>
      <c r="B388" s="89">
        <v>9.0</v>
      </c>
      <c r="C388" s="34" t="s">
        <v>3462</v>
      </c>
      <c r="D388" s="34" t="s">
        <v>3463</v>
      </c>
      <c r="E388" s="92" t="s">
        <v>3464</v>
      </c>
      <c r="F388" s="33"/>
      <c r="G388" s="3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c r="A389" s="88" t="s">
        <v>3391</v>
      </c>
      <c r="B389" s="89">
        <v>10.0</v>
      </c>
      <c r="C389" s="34" t="s">
        <v>3469</v>
      </c>
      <c r="D389" s="34" t="s">
        <v>3470</v>
      </c>
      <c r="E389" s="34" t="s">
        <v>3471</v>
      </c>
      <c r="F389" s="33"/>
      <c r="G389" s="3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c r="A390" s="88" t="s">
        <v>3391</v>
      </c>
      <c r="B390" s="89">
        <v>11.0</v>
      </c>
      <c r="C390" s="34" t="s">
        <v>3478</v>
      </c>
      <c r="D390" s="34" t="s">
        <v>3479</v>
      </c>
      <c r="E390" s="92" t="s">
        <v>3481</v>
      </c>
      <c r="F390" s="33"/>
      <c r="G390" s="3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c r="A391" s="88" t="s">
        <v>3391</v>
      </c>
      <c r="B391" s="89">
        <v>12.0</v>
      </c>
      <c r="C391" s="34" t="s">
        <v>3488</v>
      </c>
      <c r="D391" s="34" t="s">
        <v>3489</v>
      </c>
      <c r="E391" s="34" t="s">
        <v>3490</v>
      </c>
      <c r="F391" s="33"/>
      <c r="G391" s="3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c r="A392" s="73" t="s">
        <v>3391</v>
      </c>
      <c r="B392" s="113">
        <v>-777.0</v>
      </c>
      <c r="C392" s="44" t="s">
        <v>941</v>
      </c>
      <c r="D392" s="44" t="s">
        <v>944</v>
      </c>
      <c r="E392" s="44" t="s">
        <v>3502</v>
      </c>
      <c r="F392" s="43"/>
      <c r="G392" s="43"/>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row>
    <row r="393" ht="15.75" customHeight="1">
      <c r="A393" s="73"/>
      <c r="B393" s="44"/>
      <c r="C393" s="44"/>
      <c r="D393" s="44"/>
      <c r="E393" s="44"/>
      <c r="F393" s="43"/>
      <c r="G393" s="43"/>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row>
    <row r="394" ht="15.75" customHeight="1">
      <c r="A394" s="88" t="s">
        <v>4665</v>
      </c>
      <c r="B394" s="89">
        <v>1.0</v>
      </c>
      <c r="C394" s="34" t="s">
        <v>4666</v>
      </c>
      <c r="D394" s="34" t="s">
        <v>4667</v>
      </c>
      <c r="E394" s="92" t="s">
        <v>4668</v>
      </c>
      <c r="F394" s="33"/>
      <c r="G394" s="3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c r="A395" s="88" t="s">
        <v>4665</v>
      </c>
      <c r="B395" s="89">
        <v>2.0</v>
      </c>
      <c r="C395" s="34" t="s">
        <v>4669</v>
      </c>
      <c r="D395" s="34" t="s">
        <v>4670</v>
      </c>
      <c r="E395" s="92" t="s">
        <v>4671</v>
      </c>
      <c r="F395" s="33"/>
      <c r="G395" s="3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c r="A396" s="88" t="s">
        <v>4665</v>
      </c>
      <c r="B396" s="89">
        <v>3.0</v>
      </c>
      <c r="C396" s="34" t="s">
        <v>4672</v>
      </c>
      <c r="D396" s="34" t="s">
        <v>4673</v>
      </c>
      <c r="E396" s="92" t="s">
        <v>4674</v>
      </c>
      <c r="F396" s="33"/>
      <c r="G396" s="3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c r="A397" s="88" t="s">
        <v>4665</v>
      </c>
      <c r="B397" s="89">
        <v>4.0</v>
      </c>
      <c r="C397" s="34" t="s">
        <v>4675</v>
      </c>
      <c r="D397" s="34" t="s">
        <v>4676</v>
      </c>
      <c r="E397" s="92" t="s">
        <v>4677</v>
      </c>
      <c r="F397" s="178"/>
      <c r="G397" s="3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c r="A398" s="88" t="s">
        <v>4665</v>
      </c>
      <c r="B398" s="89">
        <v>5.0</v>
      </c>
      <c r="C398" s="34" t="s">
        <v>4678</v>
      </c>
      <c r="D398" s="34" t="s">
        <v>4679</v>
      </c>
      <c r="E398" s="34" t="s">
        <v>4680</v>
      </c>
      <c r="F398" s="33"/>
      <c r="G398" s="3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c r="A399" s="73" t="s">
        <v>4665</v>
      </c>
      <c r="B399" s="113">
        <v>-777.0</v>
      </c>
      <c r="C399" s="44" t="s">
        <v>941</v>
      </c>
      <c r="D399" s="44" t="s">
        <v>944</v>
      </c>
      <c r="E399" s="44" t="s">
        <v>3502</v>
      </c>
      <c r="F399" s="43"/>
      <c r="G399" s="43"/>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row>
    <row r="400" ht="15.75" customHeight="1">
      <c r="A400" s="73"/>
      <c r="B400" s="44"/>
      <c r="C400" s="44"/>
      <c r="D400" s="44"/>
      <c r="E400" s="44"/>
      <c r="F400" s="43"/>
      <c r="G400" s="43"/>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row>
    <row r="401" ht="15.75" customHeight="1">
      <c r="A401" s="73"/>
      <c r="B401" s="44"/>
      <c r="C401" s="44"/>
      <c r="D401" s="44"/>
      <c r="E401" s="44"/>
      <c r="F401" s="43"/>
      <c r="G401" s="43"/>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row>
    <row r="402" ht="15.75" customHeight="1">
      <c r="A402" s="88" t="s">
        <v>4681</v>
      </c>
      <c r="B402" s="89">
        <v>1.0</v>
      </c>
      <c r="C402" s="34" t="s">
        <v>4682</v>
      </c>
      <c r="D402" s="34" t="s">
        <v>4683</v>
      </c>
      <c r="E402" s="34" t="s">
        <v>4684</v>
      </c>
      <c r="F402" s="33"/>
      <c r="G402" s="3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c r="A403" s="88" t="s">
        <v>4681</v>
      </c>
      <c r="B403" s="89">
        <v>2.0</v>
      </c>
      <c r="C403" s="34" t="s">
        <v>4685</v>
      </c>
      <c r="D403" s="34" t="s">
        <v>4686</v>
      </c>
      <c r="E403" s="92" t="s">
        <v>4687</v>
      </c>
      <c r="F403" s="178"/>
      <c r="G403" s="3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c r="A404" s="88" t="s">
        <v>4681</v>
      </c>
      <c r="B404" s="89">
        <v>3.0</v>
      </c>
      <c r="C404" s="34" t="s">
        <v>4688</v>
      </c>
      <c r="D404" s="34" t="s">
        <v>4689</v>
      </c>
      <c r="E404" s="92" t="s">
        <v>4690</v>
      </c>
      <c r="F404" s="178"/>
      <c r="G404" s="3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c r="A405" s="73" t="s">
        <v>4681</v>
      </c>
      <c r="B405" s="113">
        <v>4.0</v>
      </c>
      <c r="C405" s="44" t="s">
        <v>4691</v>
      </c>
      <c r="D405" s="44" t="s">
        <v>4692</v>
      </c>
      <c r="E405" s="81" t="s">
        <v>4693</v>
      </c>
      <c r="F405" s="43"/>
      <c r="G405" s="43"/>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row>
    <row r="406" ht="15.75" customHeight="1">
      <c r="A406" s="73"/>
      <c r="B406" s="44"/>
      <c r="C406" s="44"/>
      <c r="D406" s="44"/>
      <c r="E406" s="44"/>
      <c r="F406" s="43"/>
      <c r="G406" s="43"/>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row>
    <row r="407" ht="15.75" customHeight="1">
      <c r="A407" s="88" t="s">
        <v>4694</v>
      </c>
      <c r="B407" s="89">
        <v>1.0</v>
      </c>
      <c r="C407" s="34" t="s">
        <v>4695</v>
      </c>
      <c r="D407" s="34" t="s">
        <v>4696</v>
      </c>
      <c r="E407" s="34" t="s">
        <v>4697</v>
      </c>
      <c r="F407" s="33"/>
      <c r="G407" s="3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c r="A408" s="88" t="s">
        <v>4694</v>
      </c>
      <c r="B408" s="89">
        <v>2.0</v>
      </c>
      <c r="C408" s="34" t="s">
        <v>4698</v>
      </c>
      <c r="D408" s="34" t="s">
        <v>4699</v>
      </c>
      <c r="E408" s="92" t="s">
        <v>4700</v>
      </c>
      <c r="F408" s="178"/>
      <c r="G408" s="178"/>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c r="A409" s="88" t="s">
        <v>4694</v>
      </c>
      <c r="B409" s="89">
        <v>3.0</v>
      </c>
      <c r="C409" s="34" t="s">
        <v>4701</v>
      </c>
      <c r="D409" s="34" t="s">
        <v>4702</v>
      </c>
      <c r="E409" s="92" t="s">
        <v>4703</v>
      </c>
      <c r="F409" s="33"/>
      <c r="G409" s="3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c r="A410" s="88" t="s">
        <v>4694</v>
      </c>
      <c r="B410" s="89">
        <v>4.0</v>
      </c>
      <c r="C410" s="34" t="s">
        <v>4704</v>
      </c>
      <c r="D410" s="34" t="s">
        <v>4705</v>
      </c>
      <c r="E410" s="34" t="s">
        <v>4706</v>
      </c>
      <c r="F410" s="33"/>
      <c r="G410" s="3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c r="A411" s="88" t="s">
        <v>4694</v>
      </c>
      <c r="B411" s="89">
        <v>5.0</v>
      </c>
      <c r="C411" s="34" t="s">
        <v>4707</v>
      </c>
      <c r="D411" s="92" t="s">
        <v>4708</v>
      </c>
      <c r="E411" s="34"/>
      <c r="F411" s="33"/>
      <c r="G411" s="3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c r="A412" s="88" t="s">
        <v>4694</v>
      </c>
      <c r="B412" s="89">
        <v>8.0</v>
      </c>
      <c r="C412" s="34" t="s">
        <v>4709</v>
      </c>
      <c r="D412" s="34" t="s">
        <v>4710</v>
      </c>
      <c r="E412" s="92" t="s">
        <v>4711</v>
      </c>
      <c r="F412" s="178"/>
      <c r="G412" s="3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c r="A413" s="73" t="s">
        <v>4694</v>
      </c>
      <c r="B413" s="113">
        <v>-777.0</v>
      </c>
      <c r="C413" s="44" t="s">
        <v>4712</v>
      </c>
      <c r="D413" s="44" t="s">
        <v>4713</v>
      </c>
      <c r="E413" s="44" t="s">
        <v>3502</v>
      </c>
      <c r="F413" s="43"/>
      <c r="G413" s="43"/>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row>
    <row r="414" ht="15.75" customHeight="1">
      <c r="A414" s="73"/>
      <c r="B414" s="44"/>
      <c r="C414" s="44"/>
      <c r="D414" s="44"/>
      <c r="E414" s="44"/>
      <c r="F414" s="43"/>
      <c r="G414" s="43"/>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row>
    <row r="415" ht="15.75" customHeight="1">
      <c r="A415" s="88" t="s">
        <v>4714</v>
      </c>
      <c r="B415" s="89">
        <v>0.0</v>
      </c>
      <c r="C415" s="34" t="s">
        <v>4715</v>
      </c>
      <c r="D415" s="34" t="s">
        <v>4716</v>
      </c>
      <c r="E415" s="92" t="s">
        <v>4717</v>
      </c>
      <c r="F415" s="33"/>
      <c r="G415" s="3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c r="A416" s="88" t="s">
        <v>4714</v>
      </c>
      <c r="B416" s="89">
        <v>1.0</v>
      </c>
      <c r="C416" s="34" t="s">
        <v>4718</v>
      </c>
      <c r="D416" s="34" t="s">
        <v>4719</v>
      </c>
      <c r="E416" s="92" t="s">
        <v>4720</v>
      </c>
      <c r="F416" s="178"/>
      <c r="G416" s="3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c r="A417" s="88" t="s">
        <v>4714</v>
      </c>
      <c r="B417" s="89">
        <v>2.0</v>
      </c>
      <c r="C417" s="34" t="s">
        <v>4721</v>
      </c>
      <c r="D417" s="34" t="s">
        <v>4722</v>
      </c>
      <c r="E417" s="92" t="s">
        <v>4723</v>
      </c>
      <c r="F417" s="33"/>
      <c r="G417" s="3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c r="A418" s="88" t="s">
        <v>4714</v>
      </c>
      <c r="B418" s="89">
        <v>3.0</v>
      </c>
      <c r="C418" s="34" t="s">
        <v>4724</v>
      </c>
      <c r="D418" s="34" t="s">
        <v>4725</v>
      </c>
      <c r="E418" s="92" t="s">
        <v>4726</v>
      </c>
      <c r="F418" s="33"/>
      <c r="G418" s="3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c r="A419" s="88" t="s">
        <v>4714</v>
      </c>
      <c r="B419" s="89">
        <v>4.0</v>
      </c>
      <c r="C419" s="34" t="s">
        <v>4727</v>
      </c>
      <c r="D419" s="34" t="s">
        <v>4728</v>
      </c>
      <c r="E419" s="34" t="s">
        <v>4729</v>
      </c>
      <c r="F419" s="33"/>
      <c r="G419" s="3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c r="A420" s="88" t="s">
        <v>4714</v>
      </c>
      <c r="B420" s="89">
        <v>5.0</v>
      </c>
      <c r="C420" s="34" t="s">
        <v>4730</v>
      </c>
      <c r="D420" s="34" t="s">
        <v>4731</v>
      </c>
      <c r="E420" s="92" t="s">
        <v>4732</v>
      </c>
      <c r="F420" s="178"/>
      <c r="G420" s="3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c r="A421" s="88" t="s">
        <v>4714</v>
      </c>
      <c r="B421" s="89">
        <v>6.0</v>
      </c>
      <c r="C421" s="34" t="s">
        <v>4733</v>
      </c>
      <c r="D421" s="34" t="s">
        <v>4734</v>
      </c>
      <c r="E421" s="34" t="s">
        <v>4735</v>
      </c>
      <c r="F421" s="33"/>
      <c r="G421" s="3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c r="A422" s="73" t="s">
        <v>4714</v>
      </c>
      <c r="B422" s="113">
        <v>7.0</v>
      </c>
      <c r="C422" s="44" t="s">
        <v>4736</v>
      </c>
      <c r="D422" s="44" t="s">
        <v>4737</v>
      </c>
      <c r="E422" s="81" t="s">
        <v>4738</v>
      </c>
      <c r="F422" s="43"/>
      <c r="G422" s="43"/>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row>
    <row r="423" ht="15.75" customHeight="1">
      <c r="A423" s="116"/>
      <c r="B423" s="117"/>
      <c r="C423" s="116"/>
      <c r="D423" s="116"/>
      <c r="E423" s="189"/>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c r="A424" s="88" t="s">
        <v>965</v>
      </c>
      <c r="B424" s="88">
        <v>1.0</v>
      </c>
      <c r="C424" s="88" t="s">
        <v>967</v>
      </c>
      <c r="D424" s="88" t="s">
        <v>970</v>
      </c>
      <c r="E424" s="88" t="s">
        <v>972</v>
      </c>
      <c r="F424" s="136"/>
      <c r="G424" s="13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row>
    <row r="425" ht="15.75" customHeight="1">
      <c r="A425" s="88" t="s">
        <v>965</v>
      </c>
      <c r="B425" s="88">
        <v>2.0</v>
      </c>
      <c r="C425" s="88" t="s">
        <v>993</v>
      </c>
      <c r="D425" s="88" t="s">
        <v>994</v>
      </c>
      <c r="E425" s="88" t="s">
        <v>996</v>
      </c>
      <c r="F425" s="33"/>
      <c r="G425" s="3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c r="A426" s="88" t="s">
        <v>965</v>
      </c>
      <c r="B426" s="88">
        <v>3.0</v>
      </c>
      <c r="C426" s="88" t="s">
        <v>1012</v>
      </c>
      <c r="D426" s="88" t="s">
        <v>1014</v>
      </c>
      <c r="E426" s="88" t="s">
        <v>1016</v>
      </c>
      <c r="F426" s="43"/>
      <c r="G426" s="43"/>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row>
    <row r="427" ht="15.75" customHeight="1">
      <c r="A427" s="88"/>
      <c r="B427" s="88"/>
      <c r="C427" s="88"/>
      <c r="D427" s="88"/>
      <c r="E427" s="88"/>
      <c r="F427" s="43"/>
      <c r="G427" s="43"/>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row>
    <row r="428" ht="15.75" customHeight="1">
      <c r="A428" s="88" t="s">
        <v>1037</v>
      </c>
      <c r="B428" s="88">
        <v>1.0</v>
      </c>
      <c r="C428" s="88" t="s">
        <v>1040</v>
      </c>
      <c r="D428" s="88" t="s">
        <v>1040</v>
      </c>
      <c r="E428" s="88" t="s">
        <v>1041</v>
      </c>
      <c r="F428" s="33"/>
      <c r="G428" s="3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c r="A429" s="88" t="s">
        <v>1037</v>
      </c>
      <c r="B429" s="88">
        <v>2.0</v>
      </c>
      <c r="C429" s="88" t="s">
        <v>1050</v>
      </c>
      <c r="D429" s="88" t="s">
        <v>1053</v>
      </c>
      <c r="E429" s="88" t="s">
        <v>1055</v>
      </c>
      <c r="F429" s="33"/>
      <c r="G429" s="3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c r="A430" s="88" t="s">
        <v>1037</v>
      </c>
      <c r="B430" s="88">
        <v>3.0</v>
      </c>
      <c r="C430" s="88" t="s">
        <v>1069</v>
      </c>
      <c r="D430" s="88" t="s">
        <v>1071</v>
      </c>
      <c r="E430" s="88" t="s">
        <v>1072</v>
      </c>
      <c r="F430" s="43"/>
      <c r="G430" s="43"/>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row>
    <row r="431" ht="15.75" customHeight="1">
      <c r="A431" s="88"/>
      <c r="B431" s="88"/>
      <c r="C431" s="88"/>
      <c r="D431" s="88"/>
      <c r="E431" s="88"/>
      <c r="F431" s="43"/>
      <c r="G431" s="43"/>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row>
    <row r="432" ht="15.75" customHeight="1">
      <c r="A432" s="88" t="s">
        <v>4742</v>
      </c>
      <c r="B432" s="88">
        <v>1.0</v>
      </c>
      <c r="C432" s="88" t="s">
        <v>4743</v>
      </c>
      <c r="D432" s="88" t="s">
        <v>4744</v>
      </c>
      <c r="E432" s="88" t="s">
        <v>4745</v>
      </c>
      <c r="F432" s="33"/>
      <c r="G432" s="3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c r="A433" s="88" t="s">
        <v>4742</v>
      </c>
      <c r="B433" s="88">
        <v>2.0</v>
      </c>
      <c r="C433" s="88" t="s">
        <v>4746</v>
      </c>
      <c r="D433" s="88" t="s">
        <v>4747</v>
      </c>
      <c r="E433" s="88" t="s">
        <v>4748</v>
      </c>
      <c r="F433" s="33"/>
      <c r="G433" s="3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c r="A434" s="88" t="s">
        <v>4742</v>
      </c>
      <c r="B434" s="88">
        <v>3.0</v>
      </c>
      <c r="C434" s="88" t="s">
        <v>4749</v>
      </c>
      <c r="D434" s="88" t="s">
        <v>4750</v>
      </c>
      <c r="E434" s="88" t="s">
        <v>4751</v>
      </c>
      <c r="F434" s="43"/>
      <c r="G434" s="43"/>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row>
    <row r="435" ht="15.75" customHeight="1">
      <c r="A435" s="88"/>
      <c r="B435" s="88"/>
      <c r="C435" s="88"/>
      <c r="D435" s="88"/>
      <c r="E435" s="88"/>
      <c r="F435" s="43"/>
      <c r="G435" s="43"/>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row>
    <row r="436" ht="15.75" customHeight="1">
      <c r="A436" s="88" t="s">
        <v>4752</v>
      </c>
      <c r="B436" s="88">
        <v>1.0</v>
      </c>
      <c r="C436" s="88" t="s">
        <v>4753</v>
      </c>
      <c r="D436" s="88" t="s">
        <v>4754</v>
      </c>
      <c r="E436" s="88" t="s">
        <v>4755</v>
      </c>
      <c r="F436" s="33"/>
      <c r="G436" s="3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c r="A437" s="88" t="s">
        <v>4752</v>
      </c>
      <c r="B437" s="88">
        <v>2.0</v>
      </c>
      <c r="C437" s="88" t="s">
        <v>4756</v>
      </c>
      <c r="D437" s="88" t="s">
        <v>4757</v>
      </c>
      <c r="E437" s="88" t="s">
        <v>4758</v>
      </c>
      <c r="F437" s="33"/>
      <c r="G437" s="3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c r="A438" s="88" t="s">
        <v>4752</v>
      </c>
      <c r="B438" s="88">
        <v>3.0</v>
      </c>
      <c r="C438" s="88" t="s">
        <v>4759</v>
      </c>
      <c r="D438" s="88" t="s">
        <v>4760</v>
      </c>
      <c r="E438" s="88" t="s">
        <v>4761</v>
      </c>
      <c r="F438" s="33"/>
      <c r="G438" s="3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c r="A439" s="88" t="s">
        <v>4752</v>
      </c>
      <c r="B439" s="88">
        <v>4.0</v>
      </c>
      <c r="C439" s="88" t="s">
        <v>4762</v>
      </c>
      <c r="D439" s="88" t="s">
        <v>4763</v>
      </c>
      <c r="E439" s="88" t="s">
        <v>4764</v>
      </c>
      <c r="F439" s="139"/>
      <c r="G439" s="43"/>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row>
    <row r="440" ht="15.75" customHeight="1">
      <c r="A440" s="88"/>
      <c r="B440" s="88"/>
      <c r="C440" s="88"/>
      <c r="D440" s="88"/>
      <c r="E440" s="88"/>
      <c r="F440" s="43"/>
      <c r="G440" s="43"/>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row>
    <row r="441" ht="15.75" customHeight="1">
      <c r="A441" s="88" t="s">
        <v>4768</v>
      </c>
      <c r="B441" s="88">
        <v>1.0</v>
      </c>
      <c r="C441" s="88" t="s">
        <v>4769</v>
      </c>
      <c r="D441" s="88" t="s">
        <v>4770</v>
      </c>
      <c r="E441" s="88" t="s">
        <v>4771</v>
      </c>
      <c r="F441" s="33"/>
      <c r="G441" s="3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c r="A442" s="88" t="s">
        <v>4768</v>
      </c>
      <c r="B442" s="88">
        <v>2.0</v>
      </c>
      <c r="C442" s="88" t="s">
        <v>4772</v>
      </c>
      <c r="D442" s="88" t="s">
        <v>4773</v>
      </c>
      <c r="E442" s="88" t="s">
        <v>4774</v>
      </c>
      <c r="F442" s="43"/>
      <c r="G442" s="43"/>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row>
    <row r="443" ht="15.75" customHeight="1">
      <c r="A443" s="116"/>
      <c r="B443" s="117"/>
      <c r="C443" s="116"/>
      <c r="D443" s="116"/>
      <c r="E443" s="189"/>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c r="A444" s="132" t="s">
        <v>4775</v>
      </c>
      <c r="B444" s="133">
        <v>1.0</v>
      </c>
      <c r="C444" s="141" t="s">
        <v>4776</v>
      </c>
      <c r="D444" s="141" t="s">
        <v>4777</v>
      </c>
      <c r="E444" s="141" t="s">
        <v>4778</v>
      </c>
      <c r="F444" s="136"/>
      <c r="G444" s="13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row>
    <row r="445" ht="15.75" customHeight="1">
      <c r="A445" s="88" t="s">
        <v>4775</v>
      </c>
      <c r="B445" s="89">
        <v>2.0</v>
      </c>
      <c r="C445" s="34" t="s">
        <v>4779</v>
      </c>
      <c r="D445" s="34" t="s">
        <v>4780</v>
      </c>
      <c r="E445" s="34" t="s">
        <v>4781</v>
      </c>
      <c r="F445" s="33"/>
      <c r="G445" s="3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c r="A446" s="88" t="s">
        <v>4775</v>
      </c>
      <c r="B446" s="89">
        <v>3.0</v>
      </c>
      <c r="C446" s="34" t="s">
        <v>4782</v>
      </c>
      <c r="D446" s="34" t="s">
        <v>4783</v>
      </c>
      <c r="E446" s="92" t="s">
        <v>4784</v>
      </c>
      <c r="F446" s="33"/>
      <c r="G446" s="3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c r="A447" s="88" t="s">
        <v>4775</v>
      </c>
      <c r="B447" s="89">
        <v>-777.0</v>
      </c>
      <c r="C447" s="34" t="s">
        <v>941</v>
      </c>
      <c r="D447" s="34" t="s">
        <v>944</v>
      </c>
      <c r="E447" s="34" t="s">
        <v>946</v>
      </c>
      <c r="F447" s="33"/>
      <c r="G447" s="3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c r="A448" s="73" t="s">
        <v>4775</v>
      </c>
      <c r="B448" s="113">
        <v>0.0</v>
      </c>
      <c r="C448" s="44" t="s">
        <v>237</v>
      </c>
      <c r="D448" s="44" t="s">
        <v>238</v>
      </c>
      <c r="E448" s="44" t="s">
        <v>239</v>
      </c>
      <c r="F448" s="43"/>
      <c r="G448" s="43"/>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row>
    <row r="449" ht="15.75" customHeight="1">
      <c r="A449" s="116"/>
      <c r="B449" s="117"/>
      <c r="C449" s="116"/>
      <c r="D449" s="116"/>
      <c r="E449" s="189"/>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c r="A450" s="132" t="s">
        <v>4786</v>
      </c>
      <c r="B450" s="133">
        <v>0.0</v>
      </c>
      <c r="C450" s="141" t="s">
        <v>4787</v>
      </c>
      <c r="D450" s="141" t="s">
        <v>4788</v>
      </c>
      <c r="E450" s="190" t="s">
        <v>4789</v>
      </c>
      <c r="F450" s="136"/>
      <c r="G450" s="13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row>
    <row r="451" ht="15.75" customHeight="1">
      <c r="A451" s="88" t="s">
        <v>4786</v>
      </c>
      <c r="B451" s="89">
        <v>1.0</v>
      </c>
      <c r="C451" s="34" t="s">
        <v>4790</v>
      </c>
      <c r="D451" s="34" t="s">
        <v>4791</v>
      </c>
      <c r="E451" s="34" t="s">
        <v>4792</v>
      </c>
      <c r="F451" s="33"/>
      <c r="G451" s="3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c r="A452" s="73" t="s">
        <v>4786</v>
      </c>
      <c r="B452" s="113">
        <v>2.0</v>
      </c>
      <c r="C452" s="44" t="s">
        <v>4793</v>
      </c>
      <c r="D452" s="44" t="s">
        <v>4794</v>
      </c>
      <c r="E452" s="44" t="s">
        <v>4795</v>
      </c>
      <c r="F452" s="43"/>
      <c r="G452" s="43"/>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row>
    <row r="453" ht="15.75" customHeight="1">
      <c r="A453" s="116"/>
      <c r="B453" s="117"/>
      <c r="C453" s="116"/>
      <c r="D453" s="116"/>
      <c r="E453" s="189"/>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c r="A454" s="116"/>
      <c r="B454" s="117"/>
      <c r="C454" s="116"/>
      <c r="D454" s="116"/>
      <c r="E454" s="189"/>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c r="A455" s="73"/>
      <c r="B455" s="44"/>
      <c r="C455" s="44"/>
      <c r="D455" s="44"/>
      <c r="E455" s="44"/>
      <c r="F455" s="43"/>
      <c r="G455" s="43"/>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row>
    <row r="456" ht="15.75" customHeight="1">
      <c r="A456" s="88" t="s">
        <v>4796</v>
      </c>
      <c r="B456" s="89">
        <v>1.0</v>
      </c>
      <c r="C456" s="34" t="s">
        <v>4797</v>
      </c>
      <c r="D456" s="34" t="s">
        <v>4798</v>
      </c>
      <c r="E456" s="34" t="s">
        <v>4799</v>
      </c>
      <c r="F456" s="33"/>
      <c r="G456" s="3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c r="A457" s="88" t="s">
        <v>4796</v>
      </c>
      <c r="B457" s="89">
        <v>2.0</v>
      </c>
      <c r="C457" s="34" t="s">
        <v>4800</v>
      </c>
      <c r="D457" s="34" t="s">
        <v>4801</v>
      </c>
      <c r="E457" s="92" t="s">
        <v>4802</v>
      </c>
      <c r="F457" s="33"/>
      <c r="G457" s="3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c r="A458" s="88" t="s">
        <v>4796</v>
      </c>
      <c r="B458" s="89">
        <v>3.0</v>
      </c>
      <c r="C458" s="34" t="s">
        <v>4803</v>
      </c>
      <c r="D458" s="34" t="s">
        <v>4804</v>
      </c>
      <c r="E458" s="92" t="s">
        <v>4805</v>
      </c>
      <c r="F458" s="178"/>
      <c r="G458" s="3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c r="A459" s="88" t="s">
        <v>4796</v>
      </c>
      <c r="B459" s="89">
        <v>4.0</v>
      </c>
      <c r="C459" s="34" t="s">
        <v>4806</v>
      </c>
      <c r="D459" s="34" t="s">
        <v>4807</v>
      </c>
      <c r="E459" s="34" t="s">
        <v>4808</v>
      </c>
      <c r="F459" s="33"/>
      <c r="G459" s="3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c r="A460" s="73" t="s">
        <v>4796</v>
      </c>
      <c r="B460" s="113">
        <v>5.0</v>
      </c>
      <c r="C460" s="44" t="s">
        <v>4809</v>
      </c>
      <c r="D460" s="44" t="s">
        <v>4810</v>
      </c>
      <c r="E460" s="44" t="s">
        <v>4811</v>
      </c>
      <c r="F460" s="43"/>
      <c r="G460" s="43"/>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row>
    <row r="461" ht="15.75" customHeight="1">
      <c r="A461" s="73"/>
      <c r="B461" s="44"/>
      <c r="C461" s="44"/>
      <c r="D461" s="44"/>
      <c r="E461" s="44"/>
      <c r="F461" s="43"/>
      <c r="G461" s="43"/>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row>
    <row r="462" ht="15.75" customHeight="1">
      <c r="A462" s="88" t="s">
        <v>4812</v>
      </c>
      <c r="B462" s="89">
        <v>1.0</v>
      </c>
      <c r="C462" s="34" t="s">
        <v>4813</v>
      </c>
      <c r="D462" s="34" t="s">
        <v>4814</v>
      </c>
      <c r="E462" s="92" t="s">
        <v>4815</v>
      </c>
      <c r="F462" s="33"/>
      <c r="G462" s="3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c r="A463" s="88" t="s">
        <v>4812</v>
      </c>
      <c r="B463" s="89">
        <v>2.0</v>
      </c>
      <c r="C463" s="34" t="s">
        <v>4816</v>
      </c>
      <c r="D463" s="34" t="s">
        <v>4817</v>
      </c>
      <c r="E463" s="34" t="s">
        <v>4818</v>
      </c>
      <c r="F463" s="33"/>
      <c r="G463" s="3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c r="A464" s="88" t="s">
        <v>4812</v>
      </c>
      <c r="B464" s="89">
        <v>3.0</v>
      </c>
      <c r="C464" s="34" t="s">
        <v>4819</v>
      </c>
      <c r="D464" s="34" t="s">
        <v>4820</v>
      </c>
      <c r="E464" s="92" t="s">
        <v>4821</v>
      </c>
      <c r="F464" s="33"/>
      <c r="G464" s="3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c r="A465" s="88" t="s">
        <v>4812</v>
      </c>
      <c r="B465" s="89">
        <v>4.0</v>
      </c>
      <c r="C465" s="34" t="s">
        <v>4822</v>
      </c>
      <c r="D465" s="34" t="s">
        <v>4823</v>
      </c>
      <c r="E465" s="34" t="s">
        <v>4824</v>
      </c>
      <c r="F465" s="33"/>
      <c r="G465" s="3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c r="A466" s="73" t="s">
        <v>4812</v>
      </c>
      <c r="B466" s="113">
        <v>5.0</v>
      </c>
      <c r="C466" s="44" t="s">
        <v>4825</v>
      </c>
      <c r="D466" s="44" t="s">
        <v>4826</v>
      </c>
      <c r="E466" s="44" t="s">
        <v>4827</v>
      </c>
      <c r="F466" s="43"/>
      <c r="G466" s="43"/>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row>
    <row r="467" ht="15.75" customHeight="1">
      <c r="A467" s="116"/>
      <c r="B467" s="117"/>
      <c r="C467" s="116"/>
      <c r="D467" s="116"/>
      <c r="E467" s="189"/>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c r="A468" s="132" t="s">
        <v>4828</v>
      </c>
      <c r="B468" s="133">
        <v>1.0</v>
      </c>
      <c r="C468" s="141" t="s">
        <v>4829</v>
      </c>
      <c r="D468" s="141" t="s">
        <v>4830</v>
      </c>
      <c r="E468" s="190" t="s">
        <v>4831</v>
      </c>
      <c r="F468" s="136"/>
      <c r="G468" s="13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row>
    <row r="469" ht="15.75" customHeight="1">
      <c r="A469" s="88" t="s">
        <v>4828</v>
      </c>
      <c r="B469" s="89">
        <v>2.0</v>
      </c>
      <c r="C469" s="34" t="s">
        <v>4832</v>
      </c>
      <c r="D469" s="34" t="s">
        <v>4833</v>
      </c>
      <c r="E469" s="92" t="s">
        <v>4834</v>
      </c>
      <c r="F469" s="33"/>
      <c r="G469" s="3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c r="A470" s="88" t="s">
        <v>4828</v>
      </c>
      <c r="B470" s="89">
        <v>3.0</v>
      </c>
      <c r="C470" s="34" t="s">
        <v>4835</v>
      </c>
      <c r="D470" s="34" t="s">
        <v>4836</v>
      </c>
      <c r="E470" s="34" t="s">
        <v>4837</v>
      </c>
      <c r="F470" s="33"/>
      <c r="G470" s="3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c r="A471" s="73" t="s">
        <v>4828</v>
      </c>
      <c r="B471" s="113">
        <v>4.0</v>
      </c>
      <c r="C471" s="44" t="s">
        <v>4838</v>
      </c>
      <c r="D471" s="44" t="s">
        <v>4839</v>
      </c>
      <c r="E471" s="44" t="s">
        <v>4840</v>
      </c>
      <c r="F471" s="43"/>
      <c r="G471" s="43"/>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row>
    <row r="472" ht="15.75" customHeight="1">
      <c r="A472" s="116"/>
      <c r="B472" s="117"/>
      <c r="C472" s="116"/>
      <c r="D472" s="116"/>
      <c r="E472" s="189"/>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c r="A473" s="132" t="s">
        <v>4841</v>
      </c>
      <c r="B473" s="133">
        <v>1.0</v>
      </c>
      <c r="C473" s="141" t="s">
        <v>4842</v>
      </c>
      <c r="D473" s="141" t="s">
        <v>4843</v>
      </c>
      <c r="E473" s="190" t="s">
        <v>4844</v>
      </c>
      <c r="F473" s="136"/>
      <c r="G473" s="13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row>
    <row r="474" ht="15.75" customHeight="1">
      <c r="A474" s="88" t="s">
        <v>4841</v>
      </c>
      <c r="B474" s="89">
        <v>2.0</v>
      </c>
      <c r="C474" s="34" t="s">
        <v>4845</v>
      </c>
      <c r="D474" s="34" t="s">
        <v>4846</v>
      </c>
      <c r="E474" s="92" t="s">
        <v>4847</v>
      </c>
      <c r="F474" s="33"/>
      <c r="G474" s="3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c r="A475" s="88" t="s">
        <v>4841</v>
      </c>
      <c r="B475" s="89">
        <v>3.0</v>
      </c>
      <c r="C475" s="34" t="s">
        <v>4848</v>
      </c>
      <c r="D475" s="34" t="s">
        <v>4849</v>
      </c>
      <c r="E475" s="92" t="s">
        <v>4850</v>
      </c>
      <c r="F475" s="33"/>
      <c r="G475" s="3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c r="A476" s="73" t="s">
        <v>4841</v>
      </c>
      <c r="B476" s="113">
        <v>4.0</v>
      </c>
      <c r="C476" s="44" t="s">
        <v>4851</v>
      </c>
      <c r="D476" s="44" t="s">
        <v>4852</v>
      </c>
      <c r="E476" s="81" t="s">
        <v>4850</v>
      </c>
      <c r="F476" s="43"/>
      <c r="G476" s="43"/>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row>
    <row r="477" ht="15.75" customHeight="1">
      <c r="A477" s="73"/>
      <c r="B477" s="44"/>
      <c r="C477" s="44"/>
      <c r="D477" s="44"/>
      <c r="E477" s="44"/>
      <c r="F477" s="43"/>
      <c r="G477" s="43"/>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row>
    <row r="478" ht="15.75" customHeight="1">
      <c r="A478" s="88" t="s">
        <v>4853</v>
      </c>
      <c r="B478" s="89">
        <v>1.0</v>
      </c>
      <c r="C478" s="34" t="s">
        <v>4854</v>
      </c>
      <c r="D478" s="34" t="s">
        <v>4855</v>
      </c>
      <c r="E478" s="34" t="s">
        <v>4856</v>
      </c>
      <c r="F478" s="33"/>
      <c r="G478" s="3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c r="A479" s="88" t="s">
        <v>4853</v>
      </c>
      <c r="B479" s="89">
        <v>2.0</v>
      </c>
      <c r="C479" s="34" t="s">
        <v>4857</v>
      </c>
      <c r="D479" s="34" t="s">
        <v>4858</v>
      </c>
      <c r="E479" s="34" t="s">
        <v>4859</v>
      </c>
      <c r="F479" s="33"/>
      <c r="G479" s="3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c r="A480" s="73" t="s">
        <v>4853</v>
      </c>
      <c r="B480" s="113">
        <v>3.0</v>
      </c>
      <c r="C480" s="44" t="s">
        <v>4861</v>
      </c>
      <c r="D480" s="44" t="s">
        <v>4862</v>
      </c>
      <c r="E480" s="44" t="s">
        <v>4863</v>
      </c>
      <c r="F480" s="43"/>
      <c r="G480" s="43"/>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row>
    <row r="481" ht="15.75" customHeight="1">
      <c r="A481" s="73"/>
      <c r="B481" s="44"/>
      <c r="C481" s="44"/>
      <c r="D481" s="44"/>
      <c r="E481" s="44"/>
      <c r="F481" s="43"/>
      <c r="G481" s="43"/>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row>
    <row r="482" ht="15.75" customHeight="1">
      <c r="A482" s="88" t="s">
        <v>4864</v>
      </c>
      <c r="B482" s="89">
        <v>1.0</v>
      </c>
      <c r="C482" s="34" t="s">
        <v>4865</v>
      </c>
      <c r="D482" s="34" t="s">
        <v>4866</v>
      </c>
      <c r="E482" s="92" t="s">
        <v>4867</v>
      </c>
      <c r="F482" s="33"/>
      <c r="G482" s="3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c r="A483" s="73" t="s">
        <v>4864</v>
      </c>
      <c r="B483" s="113">
        <v>2.0</v>
      </c>
      <c r="C483" s="44" t="s">
        <v>4868</v>
      </c>
      <c r="D483" s="44" t="s">
        <v>4869</v>
      </c>
      <c r="E483" s="81" t="s">
        <v>4870</v>
      </c>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row>
    <row r="484" ht="15.75" customHeight="1">
      <c r="A484" s="73"/>
      <c r="B484" s="44"/>
      <c r="C484" s="44"/>
      <c r="D484" s="44"/>
      <c r="E484" s="44"/>
      <c r="F484" s="43"/>
      <c r="G484" s="43"/>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row>
    <row r="485" ht="15.75" customHeight="1">
      <c r="A485" s="88" t="s">
        <v>4871</v>
      </c>
      <c r="B485" s="89">
        <v>1.0</v>
      </c>
      <c r="C485" s="34" t="s">
        <v>4872</v>
      </c>
      <c r="D485" s="34" t="s">
        <v>4873</v>
      </c>
      <c r="E485" s="92" t="s">
        <v>4874</v>
      </c>
      <c r="F485" s="178"/>
      <c r="G485" s="178"/>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c r="A486" s="88" t="s">
        <v>4871</v>
      </c>
      <c r="B486" s="89">
        <v>2.0</v>
      </c>
      <c r="C486" s="34" t="s">
        <v>4875</v>
      </c>
      <c r="D486" s="34" t="s">
        <v>4876</v>
      </c>
      <c r="E486" s="92" t="s">
        <v>4877</v>
      </c>
      <c r="F486" s="178"/>
      <c r="G486" s="178"/>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c r="A487" s="73" t="s">
        <v>4871</v>
      </c>
      <c r="B487" s="113">
        <v>3.0</v>
      </c>
      <c r="C487" s="44" t="s">
        <v>4878</v>
      </c>
      <c r="D487" s="44" t="s">
        <v>4879</v>
      </c>
      <c r="E487" s="81" t="s">
        <v>4880</v>
      </c>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row>
    <row r="488" ht="15.75" customHeight="1">
      <c r="A488" s="73"/>
      <c r="B488" s="44"/>
      <c r="C488" s="44"/>
      <c r="D488" s="44"/>
      <c r="E488" s="44"/>
      <c r="F488" s="43"/>
      <c r="G488" s="43"/>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row>
    <row r="489" ht="15.75" customHeight="1">
      <c r="A489" s="88" t="s">
        <v>4881</v>
      </c>
      <c r="B489" s="89">
        <v>1.0</v>
      </c>
      <c r="C489" s="34" t="s">
        <v>4882</v>
      </c>
      <c r="D489" s="34" t="s">
        <v>4883</v>
      </c>
      <c r="E489" s="92" t="s">
        <v>4884</v>
      </c>
      <c r="F489" s="178"/>
      <c r="G489" s="178"/>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c r="A490" s="88" t="s">
        <v>4881</v>
      </c>
      <c r="B490" s="89">
        <v>2.0</v>
      </c>
      <c r="C490" s="34" t="s">
        <v>4885</v>
      </c>
      <c r="D490" s="34" t="s">
        <v>4886</v>
      </c>
      <c r="E490" s="92" t="s">
        <v>4887</v>
      </c>
      <c r="F490" s="178"/>
      <c r="G490" s="178"/>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c r="A491" s="73" t="s">
        <v>4881</v>
      </c>
      <c r="B491" s="113">
        <v>3.0</v>
      </c>
      <c r="C491" s="44" t="s">
        <v>4888</v>
      </c>
      <c r="D491" s="44" t="s">
        <v>4889</v>
      </c>
      <c r="E491" s="81" t="s">
        <v>4890</v>
      </c>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row>
    <row r="492" ht="15.75" customHeight="1">
      <c r="A492" s="73"/>
      <c r="B492" s="44"/>
      <c r="C492" s="44"/>
      <c r="D492" s="44"/>
      <c r="E492" s="44"/>
      <c r="F492" s="43"/>
      <c r="G492" s="43"/>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row>
    <row r="493" ht="15.75" customHeight="1">
      <c r="A493" s="88" t="s">
        <v>4891</v>
      </c>
      <c r="B493" s="89">
        <v>1.0</v>
      </c>
      <c r="C493" s="34" t="s">
        <v>4892</v>
      </c>
      <c r="D493" s="34" t="s">
        <v>4893</v>
      </c>
      <c r="E493" s="92" t="s">
        <v>4894</v>
      </c>
      <c r="F493" s="178"/>
      <c r="G493" s="3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c r="A494" s="88" t="s">
        <v>4891</v>
      </c>
      <c r="B494" s="89">
        <v>2.0</v>
      </c>
      <c r="C494" s="34" t="s">
        <v>4895</v>
      </c>
      <c r="D494" s="34" t="s">
        <v>4896</v>
      </c>
      <c r="E494" s="92" t="s">
        <v>4897</v>
      </c>
      <c r="F494" s="33"/>
      <c r="G494" s="3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c r="A495" s="88" t="s">
        <v>4891</v>
      </c>
      <c r="B495" s="89">
        <v>3.0</v>
      </c>
      <c r="C495" s="34" t="s">
        <v>4898</v>
      </c>
      <c r="D495" s="34" t="s">
        <v>4899</v>
      </c>
      <c r="E495" s="34" t="s">
        <v>4900</v>
      </c>
      <c r="F495" s="33"/>
      <c r="G495" s="3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c r="A496" s="88" t="s">
        <v>4891</v>
      </c>
      <c r="B496" s="89">
        <v>4.0</v>
      </c>
      <c r="C496" s="34" t="s">
        <v>4901</v>
      </c>
      <c r="D496" s="34" t="s">
        <v>4902</v>
      </c>
      <c r="E496" s="34" t="s">
        <v>4903</v>
      </c>
      <c r="F496" s="33"/>
      <c r="G496" s="3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c r="A497" s="73" t="s">
        <v>4891</v>
      </c>
      <c r="B497" s="113">
        <v>5.0</v>
      </c>
      <c r="C497" s="44" t="s">
        <v>4906</v>
      </c>
      <c r="D497" s="44" t="s">
        <v>4907</v>
      </c>
      <c r="E497" s="81" t="s">
        <v>4908</v>
      </c>
      <c r="F497" s="139"/>
      <c r="G497" s="43"/>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row>
    <row r="498" ht="15.75" customHeight="1">
      <c r="A498" s="73"/>
      <c r="B498" s="44"/>
      <c r="C498" s="44"/>
      <c r="D498" s="44"/>
      <c r="E498" s="44"/>
      <c r="F498" s="43"/>
      <c r="G498" s="43"/>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row>
    <row r="499" ht="15.75" customHeight="1">
      <c r="A499" s="88" t="s">
        <v>4909</v>
      </c>
      <c r="B499" s="89">
        <v>1.0</v>
      </c>
      <c r="C499" s="34" t="s">
        <v>4911</v>
      </c>
      <c r="D499" s="34" t="s">
        <v>4912</v>
      </c>
      <c r="E499" s="92" t="s">
        <v>4913</v>
      </c>
      <c r="F499" s="33"/>
      <c r="G499" s="3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c r="A500" s="88" t="s">
        <v>4909</v>
      </c>
      <c r="B500" s="89">
        <v>2.0</v>
      </c>
      <c r="C500" s="34" t="s">
        <v>4914</v>
      </c>
      <c r="D500" s="352" t="s">
        <v>4915</v>
      </c>
      <c r="E500" s="92" t="s">
        <v>4916</v>
      </c>
      <c r="F500" s="33"/>
      <c r="G500" s="3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c r="A501" s="88" t="s">
        <v>4909</v>
      </c>
      <c r="B501" s="89">
        <v>3.0</v>
      </c>
      <c r="C501" s="34" t="s">
        <v>4918</v>
      </c>
      <c r="D501" s="116" t="s">
        <v>4919</v>
      </c>
      <c r="E501" s="92" t="s">
        <v>4920</v>
      </c>
      <c r="F501" s="33"/>
      <c r="G501" s="3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c r="A502" s="88" t="s">
        <v>4909</v>
      </c>
      <c r="B502" s="89">
        <v>4.0</v>
      </c>
      <c r="C502" s="34" t="s">
        <v>4921</v>
      </c>
      <c r="D502" s="116" t="s">
        <v>4922</v>
      </c>
      <c r="E502" s="92" t="s">
        <v>4923</v>
      </c>
      <c r="F502" s="178"/>
      <c r="G502" s="178"/>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c r="A503" s="88" t="s">
        <v>4909</v>
      </c>
      <c r="B503" s="89">
        <v>5.0</v>
      </c>
      <c r="C503" s="34" t="s">
        <v>4925</v>
      </c>
      <c r="D503" s="116" t="s">
        <v>4926</v>
      </c>
      <c r="E503" s="92" t="s">
        <v>4927</v>
      </c>
      <c r="F503" s="33"/>
      <c r="G503" s="3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c r="A504" s="73" t="s">
        <v>4909</v>
      </c>
      <c r="B504" s="113">
        <v>6.0</v>
      </c>
      <c r="C504" s="44" t="s">
        <v>4929</v>
      </c>
      <c r="D504" s="114" t="s">
        <v>4930</v>
      </c>
      <c r="E504" s="81" t="s">
        <v>4931</v>
      </c>
      <c r="F504" s="43"/>
      <c r="G504" s="43"/>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row>
    <row r="505" ht="15.75" customHeight="1">
      <c r="A505" s="73"/>
      <c r="B505" s="44"/>
      <c r="C505" s="44"/>
      <c r="D505" s="44"/>
      <c r="E505" s="44"/>
      <c r="F505" s="43"/>
      <c r="G505" s="43"/>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row>
    <row r="506" ht="15.75" customHeight="1">
      <c r="A506" s="88" t="s">
        <v>4934</v>
      </c>
      <c r="B506" s="89">
        <v>1.0</v>
      </c>
      <c r="C506" s="34" t="s">
        <v>4936</v>
      </c>
      <c r="D506" s="34" t="s">
        <v>4938</v>
      </c>
      <c r="E506" s="92" t="s">
        <v>4939</v>
      </c>
      <c r="F506" s="178"/>
      <c r="G506" s="3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c r="A507" s="88" t="s">
        <v>4934</v>
      </c>
      <c r="B507" s="89">
        <v>2.0</v>
      </c>
      <c r="C507" s="34" t="s">
        <v>4940</v>
      </c>
      <c r="D507" s="34" t="s">
        <v>4941</v>
      </c>
      <c r="E507" s="92" t="s">
        <v>4942</v>
      </c>
      <c r="F507" s="178"/>
      <c r="G507" s="3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c r="A508" s="88" t="s">
        <v>4934</v>
      </c>
      <c r="B508" s="89">
        <v>3.0</v>
      </c>
      <c r="C508" s="34" t="s">
        <v>4943</v>
      </c>
      <c r="D508" s="116" t="s">
        <v>4944</v>
      </c>
      <c r="E508" s="92" t="s">
        <v>4945</v>
      </c>
      <c r="F508" s="178"/>
      <c r="G508" s="3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c r="A509" s="88" t="s">
        <v>4934</v>
      </c>
      <c r="B509" s="89">
        <v>4.0</v>
      </c>
      <c r="C509" s="34" t="s">
        <v>4946</v>
      </c>
      <c r="D509" s="116" t="s">
        <v>4947</v>
      </c>
      <c r="E509" s="92" t="s">
        <v>4948</v>
      </c>
      <c r="F509" s="178"/>
      <c r="G509" s="3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c r="A510" s="88" t="s">
        <v>4934</v>
      </c>
      <c r="B510" s="89">
        <v>5.0</v>
      </c>
      <c r="C510" s="34" t="s">
        <v>4949</v>
      </c>
      <c r="D510" s="116" t="s">
        <v>4926</v>
      </c>
      <c r="E510" s="92" t="s">
        <v>4948</v>
      </c>
      <c r="F510" s="178"/>
      <c r="G510" s="3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c r="A511" s="73" t="s">
        <v>4934</v>
      </c>
      <c r="B511" s="113">
        <v>6.0</v>
      </c>
      <c r="C511" s="44" t="s">
        <v>4950</v>
      </c>
      <c r="D511" s="114" t="s">
        <v>4930</v>
      </c>
      <c r="E511" s="81" t="s">
        <v>4951</v>
      </c>
      <c r="F511" s="139"/>
      <c r="G511" s="43"/>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row>
    <row r="512" ht="15.75" customHeight="1">
      <c r="A512" s="73"/>
      <c r="B512" s="44"/>
      <c r="C512" s="44"/>
      <c r="D512" s="44"/>
      <c r="E512" s="44"/>
      <c r="F512" s="43"/>
      <c r="G512" s="43"/>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row>
    <row r="513" ht="15.75" customHeight="1">
      <c r="A513" s="88" t="s">
        <v>4952</v>
      </c>
      <c r="B513" s="89">
        <v>1.0</v>
      </c>
      <c r="C513" s="34" t="s">
        <v>4953</v>
      </c>
      <c r="D513" s="34" t="s">
        <v>4954</v>
      </c>
      <c r="E513" s="92" t="s">
        <v>4955</v>
      </c>
      <c r="F513" s="178"/>
      <c r="G513" s="178"/>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c r="A514" s="88" t="s">
        <v>4952</v>
      </c>
      <c r="B514" s="89">
        <v>2.0</v>
      </c>
      <c r="C514" s="34" t="s">
        <v>4956</v>
      </c>
      <c r="D514" s="34" t="s">
        <v>4957</v>
      </c>
      <c r="E514" s="92" t="s">
        <v>4958</v>
      </c>
      <c r="F514" s="178"/>
      <c r="G514" s="178"/>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c r="A515" s="88" t="s">
        <v>4952</v>
      </c>
      <c r="B515" s="89">
        <v>3.0</v>
      </c>
      <c r="C515" s="34" t="s">
        <v>4961</v>
      </c>
      <c r="D515" s="34" t="s">
        <v>4962</v>
      </c>
      <c r="E515" s="92" t="s">
        <v>4963</v>
      </c>
      <c r="F515" s="178"/>
      <c r="G515" s="178"/>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c r="A516" s="88" t="s">
        <v>4952</v>
      </c>
      <c r="B516" s="89">
        <v>4.0</v>
      </c>
      <c r="C516" s="34" t="s">
        <v>4964</v>
      </c>
      <c r="D516" s="34" t="s">
        <v>4965</v>
      </c>
      <c r="E516" s="92" t="s">
        <v>4966</v>
      </c>
      <c r="F516" s="178"/>
      <c r="G516" s="178"/>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c r="A517" s="73" t="s">
        <v>4952</v>
      </c>
      <c r="B517" s="113">
        <v>5.0</v>
      </c>
      <c r="C517" s="44" t="s">
        <v>4967</v>
      </c>
      <c r="D517" s="44" t="s">
        <v>4968</v>
      </c>
      <c r="E517" s="81" t="s">
        <v>4969</v>
      </c>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row>
    <row r="518" ht="15.75" customHeight="1">
      <c r="A518" s="73"/>
      <c r="B518" s="44"/>
      <c r="C518" s="44"/>
      <c r="D518" s="44"/>
      <c r="E518" s="44"/>
      <c r="F518" s="43"/>
      <c r="G518" s="43"/>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row>
    <row r="519" ht="15.75" customHeight="1">
      <c r="A519" s="88" t="s">
        <v>4970</v>
      </c>
      <c r="B519" s="89">
        <v>1.0</v>
      </c>
      <c r="C519" s="34" t="s">
        <v>4971</v>
      </c>
      <c r="D519" s="34" t="s">
        <v>4972</v>
      </c>
      <c r="E519" s="92" t="s">
        <v>4973</v>
      </c>
      <c r="F519" s="178"/>
      <c r="G519" s="178"/>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c r="A520" s="88" t="s">
        <v>4970</v>
      </c>
      <c r="B520" s="89">
        <v>2.0</v>
      </c>
      <c r="C520" s="34" t="s">
        <v>4974</v>
      </c>
      <c r="D520" s="34" t="s">
        <v>4975</v>
      </c>
      <c r="E520" s="92" t="s">
        <v>4976</v>
      </c>
      <c r="F520" s="178"/>
      <c r="G520" s="178"/>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c r="A521" s="88" t="s">
        <v>4970</v>
      </c>
      <c r="B521" s="89">
        <v>3.0</v>
      </c>
      <c r="C521" s="34" t="s">
        <v>4977</v>
      </c>
      <c r="D521" s="34" t="s">
        <v>4978</v>
      </c>
      <c r="E521" s="92" t="s">
        <v>4979</v>
      </c>
      <c r="F521" s="178"/>
      <c r="G521" s="178"/>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c r="A522" s="88" t="s">
        <v>4970</v>
      </c>
      <c r="B522" s="89">
        <v>4.0</v>
      </c>
      <c r="C522" s="34" t="s">
        <v>4980</v>
      </c>
      <c r="D522" s="34" t="s">
        <v>4981</v>
      </c>
      <c r="E522" s="92" t="s">
        <v>4982</v>
      </c>
      <c r="F522" s="178"/>
      <c r="G522" s="178"/>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c r="A523" s="73" t="s">
        <v>4970</v>
      </c>
      <c r="B523" s="113">
        <v>5.0</v>
      </c>
      <c r="C523" s="44" t="s">
        <v>4984</v>
      </c>
      <c r="D523" s="44" t="s">
        <v>4985</v>
      </c>
      <c r="E523" s="81" t="s">
        <v>4986</v>
      </c>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row>
    <row r="524" ht="15.75" customHeight="1">
      <c r="A524" s="73"/>
      <c r="B524" s="44"/>
      <c r="C524" s="44"/>
      <c r="D524" s="44"/>
      <c r="E524" s="44"/>
      <c r="F524" s="43"/>
      <c r="G524" s="43"/>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row>
    <row r="525" ht="15.75" customHeight="1">
      <c r="A525" s="88" t="s">
        <v>4987</v>
      </c>
      <c r="B525" s="89">
        <v>1.0</v>
      </c>
      <c r="C525" s="34" t="s">
        <v>4988</v>
      </c>
      <c r="D525" s="34" t="s">
        <v>4989</v>
      </c>
      <c r="E525" s="92" t="s">
        <v>4990</v>
      </c>
      <c r="F525" s="178"/>
      <c r="G525" s="178"/>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c r="A526" s="88" t="s">
        <v>4987</v>
      </c>
      <c r="B526" s="89">
        <v>2.0</v>
      </c>
      <c r="C526" s="34" t="s">
        <v>4991</v>
      </c>
      <c r="D526" s="34" t="s">
        <v>4992</v>
      </c>
      <c r="E526" s="92" t="s">
        <v>4993</v>
      </c>
      <c r="F526" s="178"/>
      <c r="G526" s="178"/>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c r="A527" s="88" t="s">
        <v>4987</v>
      </c>
      <c r="B527" s="89">
        <v>3.0</v>
      </c>
      <c r="C527" s="34" t="s">
        <v>4961</v>
      </c>
      <c r="D527" s="34" t="s">
        <v>4994</v>
      </c>
      <c r="E527" s="92" t="s">
        <v>4963</v>
      </c>
      <c r="F527" s="178"/>
      <c r="G527" s="178"/>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c r="A528" s="88" t="s">
        <v>4987</v>
      </c>
      <c r="B528" s="89">
        <v>4.0</v>
      </c>
      <c r="C528" s="34" t="s">
        <v>4995</v>
      </c>
      <c r="D528" s="34" t="s">
        <v>4996</v>
      </c>
      <c r="E528" s="92" t="s">
        <v>4997</v>
      </c>
      <c r="F528" s="178"/>
      <c r="G528" s="178"/>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c r="A529" s="73" t="s">
        <v>4987</v>
      </c>
      <c r="B529" s="113">
        <v>5.0</v>
      </c>
      <c r="C529" s="44" t="s">
        <v>4998</v>
      </c>
      <c r="D529" s="44" t="s">
        <v>4999</v>
      </c>
      <c r="E529" s="81" t="s">
        <v>5000</v>
      </c>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row>
    <row r="530" ht="15.75" customHeight="1">
      <c r="A530" s="73"/>
      <c r="B530" s="44"/>
      <c r="C530" s="44"/>
      <c r="D530" s="44"/>
      <c r="E530" s="44"/>
      <c r="F530" s="43"/>
      <c r="G530" s="43"/>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row>
    <row r="531" ht="15.75" customHeight="1">
      <c r="A531" s="88" t="s">
        <v>5001</v>
      </c>
      <c r="B531" s="89">
        <v>1.0</v>
      </c>
      <c r="C531" s="34" t="s">
        <v>5002</v>
      </c>
      <c r="D531" s="34" t="s">
        <v>5003</v>
      </c>
      <c r="E531" s="92" t="s">
        <v>5004</v>
      </c>
      <c r="F531" s="178"/>
      <c r="G531" s="178"/>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c r="A532" s="88" t="s">
        <v>5001</v>
      </c>
      <c r="B532" s="89">
        <v>2.0</v>
      </c>
      <c r="C532" s="34" t="s">
        <v>5006</v>
      </c>
      <c r="D532" s="34" t="s">
        <v>5007</v>
      </c>
      <c r="E532" s="92" t="s">
        <v>5008</v>
      </c>
      <c r="F532" s="178"/>
      <c r="G532" s="178"/>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c r="A533" s="88" t="s">
        <v>5001</v>
      </c>
      <c r="B533" s="89">
        <v>3.0</v>
      </c>
      <c r="C533" s="34" t="s">
        <v>5009</v>
      </c>
      <c r="D533" s="34" t="s">
        <v>5010</v>
      </c>
      <c r="E533" s="92" t="s">
        <v>4979</v>
      </c>
      <c r="F533" s="178"/>
      <c r="G533" s="178"/>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c r="A534" s="88" t="s">
        <v>5001</v>
      </c>
      <c r="B534" s="89">
        <v>4.0</v>
      </c>
      <c r="C534" s="34" t="s">
        <v>5011</v>
      </c>
      <c r="D534" s="34" t="s">
        <v>5012</v>
      </c>
      <c r="E534" s="92" t="s">
        <v>5013</v>
      </c>
      <c r="F534" s="178"/>
      <c r="G534" s="178"/>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c r="A535" s="73" t="s">
        <v>5001</v>
      </c>
      <c r="B535" s="113">
        <v>5.0</v>
      </c>
      <c r="C535" s="44" t="s">
        <v>5014</v>
      </c>
      <c r="D535" s="44" t="s">
        <v>5015</v>
      </c>
      <c r="E535" s="81" t="s">
        <v>5016</v>
      </c>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row>
    <row r="536" ht="15.75" customHeight="1">
      <c r="A536" s="73"/>
      <c r="B536" s="44"/>
      <c r="C536" s="44"/>
      <c r="D536" s="44"/>
      <c r="E536" s="44"/>
      <c r="F536" s="43"/>
      <c r="G536" s="43"/>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row>
    <row r="537" ht="15.75" customHeight="1">
      <c r="A537" s="88" t="s">
        <v>5017</v>
      </c>
      <c r="B537" s="89">
        <v>1.0</v>
      </c>
      <c r="C537" s="34" t="s">
        <v>5018</v>
      </c>
      <c r="D537" s="34" t="s">
        <v>5019</v>
      </c>
      <c r="E537" s="34" t="s">
        <v>5020</v>
      </c>
      <c r="F537" s="33"/>
      <c r="G537" s="3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c r="A538" s="88" t="s">
        <v>5017</v>
      </c>
      <c r="B538" s="89">
        <v>2.0</v>
      </c>
      <c r="C538" s="34" t="s">
        <v>5021</v>
      </c>
      <c r="D538" s="34" t="s">
        <v>5021</v>
      </c>
      <c r="E538" s="92" t="s">
        <v>5022</v>
      </c>
      <c r="F538" s="33"/>
      <c r="G538" s="3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c r="A539" s="88" t="s">
        <v>5017</v>
      </c>
      <c r="B539" s="89">
        <v>3.0</v>
      </c>
      <c r="C539" s="34" t="s">
        <v>5023</v>
      </c>
      <c r="D539" s="34" t="s">
        <v>5023</v>
      </c>
      <c r="E539" s="34" t="s">
        <v>5024</v>
      </c>
      <c r="F539" s="33"/>
      <c r="G539" s="3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c r="A540" s="88" t="s">
        <v>5017</v>
      </c>
      <c r="B540" s="89">
        <v>4.0</v>
      </c>
      <c r="C540" s="34" t="s">
        <v>5025</v>
      </c>
      <c r="D540" s="34" t="s">
        <v>5025</v>
      </c>
      <c r="E540" s="34" t="s">
        <v>5026</v>
      </c>
      <c r="F540" s="33"/>
      <c r="G540" s="3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c r="A541" s="88" t="s">
        <v>5017</v>
      </c>
      <c r="B541" s="89">
        <v>5.0</v>
      </c>
      <c r="C541" s="34" t="s">
        <v>5027</v>
      </c>
      <c r="D541" s="34" t="s">
        <v>5027</v>
      </c>
      <c r="E541" s="92" t="s">
        <v>5028</v>
      </c>
      <c r="F541" s="33"/>
      <c r="G541" s="3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c r="A542" s="88" t="s">
        <v>5017</v>
      </c>
      <c r="B542" s="89">
        <v>6.0</v>
      </c>
      <c r="C542" s="34" t="s">
        <v>5029</v>
      </c>
      <c r="D542" s="34" t="s">
        <v>5029</v>
      </c>
      <c r="E542" s="34" t="s">
        <v>5030</v>
      </c>
      <c r="F542" s="33"/>
      <c r="G542" s="3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c r="A543" s="88" t="s">
        <v>5017</v>
      </c>
      <c r="B543" s="89">
        <v>7.0</v>
      </c>
      <c r="C543" s="34" t="s">
        <v>5031</v>
      </c>
      <c r="D543" s="34" t="s">
        <v>5031</v>
      </c>
      <c r="E543" s="92" t="s">
        <v>5032</v>
      </c>
      <c r="F543" s="33"/>
      <c r="G543" s="3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c r="A544" s="88" t="s">
        <v>5017</v>
      </c>
      <c r="B544" s="89">
        <v>8.0</v>
      </c>
      <c r="C544" s="34" t="s">
        <v>5033</v>
      </c>
      <c r="D544" s="34" t="s">
        <v>5033</v>
      </c>
      <c r="E544" s="34" t="s">
        <v>5034</v>
      </c>
      <c r="F544" s="33"/>
      <c r="G544" s="3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c r="A545" s="73" t="s">
        <v>5017</v>
      </c>
      <c r="B545" s="113">
        <v>-777.0</v>
      </c>
      <c r="C545" s="44" t="s">
        <v>941</v>
      </c>
      <c r="D545" s="44" t="s">
        <v>944</v>
      </c>
      <c r="E545" s="44" t="s">
        <v>946</v>
      </c>
      <c r="F545" s="43"/>
      <c r="G545" s="43"/>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row>
    <row r="546" ht="15.75" customHeight="1">
      <c r="A546" s="116"/>
      <c r="B546" s="117"/>
      <c r="C546" s="116"/>
      <c r="D546" s="116"/>
      <c r="E546" s="189"/>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c r="A547" s="132" t="s">
        <v>5035</v>
      </c>
      <c r="B547" s="133">
        <v>0.0</v>
      </c>
      <c r="C547" s="141" t="s">
        <v>237</v>
      </c>
      <c r="D547" s="141" t="s">
        <v>238</v>
      </c>
      <c r="E547" s="141" t="s">
        <v>5036</v>
      </c>
      <c r="F547" s="136"/>
      <c r="G547" s="13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row>
    <row r="548" ht="15.75" customHeight="1">
      <c r="A548" s="88" t="s">
        <v>5035</v>
      </c>
      <c r="B548" s="89">
        <v>1.0</v>
      </c>
      <c r="C548" s="34" t="s">
        <v>5037</v>
      </c>
      <c r="D548" s="34" t="s">
        <v>2395</v>
      </c>
      <c r="E548" s="34" t="s">
        <v>5038</v>
      </c>
      <c r="F548" s="33"/>
      <c r="G548" s="3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c r="A549" s="88" t="s">
        <v>5035</v>
      </c>
      <c r="B549" s="89">
        <v>2.0</v>
      </c>
      <c r="C549" s="34" t="s">
        <v>5039</v>
      </c>
      <c r="D549" s="34" t="s">
        <v>2456</v>
      </c>
      <c r="E549" s="34" t="s">
        <v>5040</v>
      </c>
      <c r="F549" s="33"/>
      <c r="G549" s="3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c r="A550" s="88" t="s">
        <v>5035</v>
      </c>
      <c r="B550" s="89">
        <v>3.0</v>
      </c>
      <c r="C550" s="34" t="s">
        <v>5041</v>
      </c>
      <c r="D550" s="34" t="s">
        <v>5042</v>
      </c>
      <c r="E550" s="92" t="s">
        <v>5043</v>
      </c>
      <c r="F550" s="33"/>
      <c r="G550" s="3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c r="A551" s="88" t="s">
        <v>5035</v>
      </c>
      <c r="B551" s="89">
        <v>4.0</v>
      </c>
      <c r="C551" s="34" t="s">
        <v>5044</v>
      </c>
      <c r="D551" s="34" t="s">
        <v>5044</v>
      </c>
      <c r="E551" s="92" t="s">
        <v>5045</v>
      </c>
      <c r="F551" s="33"/>
      <c r="G551" s="3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c r="A552" s="88" t="s">
        <v>5035</v>
      </c>
      <c r="B552" s="89">
        <v>5.0</v>
      </c>
      <c r="C552" s="34" t="s">
        <v>5046</v>
      </c>
      <c r="D552" s="34" t="s">
        <v>2375</v>
      </c>
      <c r="E552" s="34" t="s">
        <v>5047</v>
      </c>
      <c r="F552" s="33"/>
      <c r="G552" s="3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c r="A553" s="73" t="s">
        <v>5035</v>
      </c>
      <c r="B553" s="113">
        <v>-777.0</v>
      </c>
      <c r="C553" s="44" t="s">
        <v>941</v>
      </c>
      <c r="D553" s="44" t="s">
        <v>944</v>
      </c>
      <c r="E553" s="44" t="s">
        <v>946</v>
      </c>
      <c r="F553" s="43"/>
      <c r="G553" s="43"/>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row>
    <row r="554" ht="15.75" customHeight="1">
      <c r="A554" s="116"/>
      <c r="B554" s="117"/>
      <c r="C554" s="116"/>
      <c r="D554" s="116"/>
      <c r="E554" s="189"/>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c r="A555" s="132" t="s">
        <v>5049</v>
      </c>
      <c r="B555" s="133">
        <v>1.0</v>
      </c>
      <c r="C555" s="141" t="s">
        <v>5050</v>
      </c>
      <c r="D555" s="141" t="s">
        <v>5051</v>
      </c>
      <c r="E555" s="141" t="s">
        <v>5052</v>
      </c>
      <c r="F555" s="358"/>
      <c r="G555" s="358"/>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row>
    <row r="556" ht="15.75" customHeight="1">
      <c r="A556" s="88" t="s">
        <v>5049</v>
      </c>
      <c r="B556" s="89">
        <v>2.0</v>
      </c>
      <c r="C556" s="34" t="s">
        <v>5053</v>
      </c>
      <c r="D556" s="34" t="s">
        <v>5054</v>
      </c>
      <c r="E556" s="34" t="s">
        <v>5055</v>
      </c>
      <c r="F556" s="109"/>
      <c r="G556" s="109"/>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c r="A557" s="88" t="s">
        <v>5049</v>
      </c>
      <c r="B557" s="89">
        <v>3.0</v>
      </c>
      <c r="C557" s="34" t="s">
        <v>5056</v>
      </c>
      <c r="D557" s="34" t="s">
        <v>5025</v>
      </c>
      <c r="E557" s="34" t="s">
        <v>5057</v>
      </c>
      <c r="F557" s="109"/>
      <c r="G557" s="109"/>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c r="A558" s="88" t="s">
        <v>5049</v>
      </c>
      <c r="B558" s="89">
        <v>4.0</v>
      </c>
      <c r="C558" s="34" t="s">
        <v>5058</v>
      </c>
      <c r="D558" s="34" t="s">
        <v>5059</v>
      </c>
      <c r="E558" s="92" t="s">
        <v>5060</v>
      </c>
      <c r="F558" s="109"/>
      <c r="G558" s="109"/>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c r="A559" s="88" t="s">
        <v>5049</v>
      </c>
      <c r="B559" s="89">
        <v>5.0</v>
      </c>
      <c r="C559" s="34" t="s">
        <v>5061</v>
      </c>
      <c r="D559" s="34" t="s">
        <v>5061</v>
      </c>
      <c r="E559" s="34" t="s">
        <v>5062</v>
      </c>
      <c r="F559" s="109"/>
      <c r="G559" s="109"/>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c r="A560" s="88" t="s">
        <v>5049</v>
      </c>
      <c r="B560" s="89">
        <v>6.0</v>
      </c>
      <c r="C560" s="34" t="s">
        <v>5063</v>
      </c>
      <c r="D560" s="34" t="s">
        <v>5063</v>
      </c>
      <c r="E560" s="92" t="s">
        <v>5064</v>
      </c>
      <c r="F560" s="109"/>
      <c r="G560" s="109"/>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c r="A561" s="88" t="s">
        <v>5049</v>
      </c>
      <c r="B561" s="89">
        <v>7.0</v>
      </c>
      <c r="C561" s="34" t="s">
        <v>5065</v>
      </c>
      <c r="D561" s="34" t="s">
        <v>5065</v>
      </c>
      <c r="E561" s="92" t="s">
        <v>5066</v>
      </c>
      <c r="F561" s="33"/>
      <c r="G561" s="3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c r="A562" s="88" t="s">
        <v>5049</v>
      </c>
      <c r="B562" s="89">
        <v>8.0</v>
      </c>
      <c r="C562" s="34" t="s">
        <v>5067</v>
      </c>
      <c r="D562" s="34" t="s">
        <v>5067</v>
      </c>
      <c r="E562" s="34" t="s">
        <v>5068</v>
      </c>
      <c r="F562" s="33"/>
      <c r="G562" s="3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c r="A563" s="88" t="s">
        <v>5049</v>
      </c>
      <c r="B563" s="89">
        <v>9.0</v>
      </c>
      <c r="C563" s="34" t="s">
        <v>5069</v>
      </c>
      <c r="D563" s="34" t="s">
        <v>5033</v>
      </c>
      <c r="E563" s="34" t="s">
        <v>5070</v>
      </c>
      <c r="F563" s="33"/>
      <c r="G563" s="3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c r="A564" s="88" t="s">
        <v>5049</v>
      </c>
      <c r="B564" s="89">
        <v>10.0</v>
      </c>
      <c r="C564" s="34" t="s">
        <v>5071</v>
      </c>
      <c r="D564" s="34" t="s">
        <v>5072</v>
      </c>
      <c r="E564" s="34" t="s">
        <v>5073</v>
      </c>
      <c r="F564" s="33"/>
      <c r="G564" s="3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c r="A565" s="359" t="s">
        <v>5049</v>
      </c>
      <c r="B565" s="347">
        <v>11.0</v>
      </c>
      <c r="C565" s="154" t="s">
        <v>5074</v>
      </c>
      <c r="D565" s="154" t="s">
        <v>5074</v>
      </c>
      <c r="E565" s="154" t="s">
        <v>5074</v>
      </c>
      <c r="F565" s="33"/>
      <c r="G565" s="3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c r="A566" s="359" t="s">
        <v>5049</v>
      </c>
      <c r="B566" s="347">
        <v>12.0</v>
      </c>
      <c r="C566" s="154" t="s">
        <v>5076</v>
      </c>
      <c r="D566" s="154" t="s">
        <v>5076</v>
      </c>
      <c r="E566" s="154" t="s">
        <v>5076</v>
      </c>
      <c r="F566" s="33"/>
      <c r="G566" s="3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c r="A567" s="359" t="s">
        <v>5049</v>
      </c>
      <c r="B567" s="347">
        <v>13.0</v>
      </c>
      <c r="C567" s="154" t="s">
        <v>5077</v>
      </c>
      <c r="D567" s="154" t="s">
        <v>5077</v>
      </c>
      <c r="E567" s="154" t="s">
        <v>5077</v>
      </c>
      <c r="F567" s="33"/>
      <c r="G567" s="3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c r="A568" s="73" t="s">
        <v>5049</v>
      </c>
      <c r="B568" s="113">
        <v>14.0</v>
      </c>
      <c r="C568" s="44" t="s">
        <v>5078</v>
      </c>
      <c r="D568" s="44" t="s">
        <v>5079</v>
      </c>
      <c r="E568" s="34" t="s">
        <v>5080</v>
      </c>
      <c r="F568" s="43"/>
      <c r="G568" s="43"/>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row>
    <row r="569" ht="15.75" customHeight="1">
      <c r="A569" s="73" t="s">
        <v>5049</v>
      </c>
      <c r="B569" s="113">
        <v>-777.0</v>
      </c>
      <c r="C569" s="44" t="s">
        <v>941</v>
      </c>
      <c r="D569" s="44" t="s">
        <v>944</v>
      </c>
      <c r="E569" s="44" t="s">
        <v>946</v>
      </c>
      <c r="F569" s="43"/>
      <c r="G569" s="43"/>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row>
    <row r="570" ht="15.75" customHeight="1">
      <c r="A570" s="116"/>
      <c r="B570" s="117"/>
      <c r="C570" s="116"/>
      <c r="D570" s="116"/>
      <c r="E570" s="189"/>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c r="A571" s="191" t="s">
        <v>5083</v>
      </c>
      <c r="B571" s="133">
        <v>1.0</v>
      </c>
      <c r="C571" s="141" t="s">
        <v>3529</v>
      </c>
      <c r="D571" s="141" t="s">
        <v>3531</v>
      </c>
      <c r="E571" s="190" t="s">
        <v>3621</v>
      </c>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c r="AC571" s="194"/>
      <c r="AD571" s="194"/>
      <c r="AE571" s="194"/>
      <c r="AF571" s="194"/>
    </row>
    <row r="572" ht="15.75" customHeight="1">
      <c r="A572" s="73" t="s">
        <v>5083</v>
      </c>
      <c r="B572" s="89">
        <v>2.0</v>
      </c>
      <c r="C572" s="34" t="s">
        <v>3543</v>
      </c>
      <c r="D572" s="34" t="s">
        <v>3544</v>
      </c>
      <c r="E572" s="92" t="s">
        <v>3637</v>
      </c>
      <c r="F572" s="63"/>
      <c r="G572" s="43"/>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row>
    <row r="573" ht="15.75" customHeight="1">
      <c r="A573" s="73" t="s">
        <v>5083</v>
      </c>
      <c r="B573" s="89">
        <v>3.0</v>
      </c>
      <c r="C573" s="34" t="s">
        <v>3557</v>
      </c>
      <c r="D573" s="34" t="s">
        <v>3558</v>
      </c>
      <c r="E573" s="92" t="s">
        <v>3652</v>
      </c>
      <c r="F573" s="63"/>
      <c r="G573" s="109"/>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c r="A574" s="73" t="s">
        <v>5083</v>
      </c>
      <c r="B574" s="89">
        <v>4.0</v>
      </c>
      <c r="C574" s="44" t="s">
        <v>3564</v>
      </c>
      <c r="D574" s="44" t="s">
        <v>3565</v>
      </c>
      <c r="E574" s="81" t="s">
        <v>5088</v>
      </c>
      <c r="F574" s="63"/>
      <c r="G574" s="109"/>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c r="A575" s="73" t="s">
        <v>5083</v>
      </c>
      <c r="B575" s="89">
        <v>5.0</v>
      </c>
      <c r="C575" s="304" t="s">
        <v>3574</v>
      </c>
      <c r="D575" s="138" t="s">
        <v>3576</v>
      </c>
      <c r="E575" s="81" t="s">
        <v>3577</v>
      </c>
      <c r="F575" s="63"/>
      <c r="G575" s="109"/>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c r="A576" s="73" t="s">
        <v>5083</v>
      </c>
      <c r="B576" s="89">
        <v>6.0</v>
      </c>
      <c r="C576" s="305" t="s">
        <v>3582</v>
      </c>
      <c r="D576" s="116" t="s">
        <v>3583</v>
      </c>
      <c r="E576" s="189" t="s">
        <v>3583</v>
      </c>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c r="A577" s="73" t="s">
        <v>5083</v>
      </c>
      <c r="B577" s="113">
        <v>-777.0</v>
      </c>
      <c r="C577" s="44" t="s">
        <v>3591</v>
      </c>
      <c r="D577" s="44" t="s">
        <v>944</v>
      </c>
      <c r="E577" s="81" t="s">
        <v>3596</v>
      </c>
      <c r="F577" s="139"/>
      <c r="G577" s="43"/>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row>
    <row r="578" ht="15.75" customHeight="1">
      <c r="A578" s="116"/>
      <c r="B578" s="117"/>
      <c r="C578" s="116"/>
      <c r="D578" s="116"/>
      <c r="E578" s="189"/>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c r="A579" s="132" t="s">
        <v>5091</v>
      </c>
      <c r="B579" s="133">
        <v>0.0</v>
      </c>
      <c r="C579" s="141" t="s">
        <v>5092</v>
      </c>
      <c r="D579" s="141" t="s">
        <v>5094</v>
      </c>
      <c r="E579" s="141" t="s">
        <v>5095</v>
      </c>
      <c r="F579" s="136"/>
      <c r="G579" s="13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row>
    <row r="580" ht="15.75" customHeight="1">
      <c r="A580" s="88" t="s">
        <v>5091</v>
      </c>
      <c r="B580" s="89">
        <v>1.0</v>
      </c>
      <c r="C580" s="34" t="s">
        <v>5098</v>
      </c>
      <c r="D580" s="34" t="s">
        <v>5099</v>
      </c>
      <c r="E580" s="92" t="s">
        <v>5100</v>
      </c>
      <c r="F580" s="33"/>
      <c r="G580" s="3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c r="A581" s="88" t="s">
        <v>5091</v>
      </c>
      <c r="B581" s="89">
        <v>2.0</v>
      </c>
      <c r="C581" s="34" t="s">
        <v>5102</v>
      </c>
      <c r="D581" s="34" t="s">
        <v>5103</v>
      </c>
      <c r="E581" s="92" t="s">
        <v>5104</v>
      </c>
      <c r="F581" s="33"/>
      <c r="G581" s="3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c r="A582" s="88" t="s">
        <v>5091</v>
      </c>
      <c r="B582" s="89">
        <v>3.0</v>
      </c>
      <c r="C582" s="34" t="s">
        <v>5106</v>
      </c>
      <c r="D582" s="34" t="s">
        <v>5107</v>
      </c>
      <c r="E582" s="92" t="s">
        <v>5108</v>
      </c>
      <c r="F582" s="178"/>
      <c r="G582" s="178"/>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c r="A583" s="88" t="s">
        <v>5091</v>
      </c>
      <c r="B583" s="89">
        <v>4.0</v>
      </c>
      <c r="C583" s="34" t="s">
        <v>5111</v>
      </c>
      <c r="D583" s="34" t="s">
        <v>5112</v>
      </c>
      <c r="E583" s="92" t="s">
        <v>5113</v>
      </c>
      <c r="F583" s="33"/>
      <c r="G583" s="3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c r="A584" s="88" t="s">
        <v>5091</v>
      </c>
      <c r="B584" s="89">
        <v>5.0</v>
      </c>
      <c r="C584" s="34" t="s">
        <v>5115</v>
      </c>
      <c r="D584" s="34" t="s">
        <v>5116</v>
      </c>
      <c r="E584" s="92" t="s">
        <v>5117</v>
      </c>
      <c r="F584" s="33"/>
      <c r="G584" s="3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c r="A585" s="88" t="s">
        <v>5091</v>
      </c>
      <c r="B585" s="89">
        <v>6.0</v>
      </c>
      <c r="C585" s="34" t="s">
        <v>5120</v>
      </c>
      <c r="D585" s="34" t="s">
        <v>5121</v>
      </c>
      <c r="E585" s="92" t="s">
        <v>5122</v>
      </c>
      <c r="F585" s="33"/>
      <c r="G585" s="3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c r="A586" s="88" t="s">
        <v>5091</v>
      </c>
      <c r="B586" s="89">
        <v>7.0</v>
      </c>
      <c r="C586" s="34" t="s">
        <v>5124</v>
      </c>
      <c r="D586" s="34" t="s">
        <v>5125</v>
      </c>
      <c r="E586" s="92" t="s">
        <v>5126</v>
      </c>
      <c r="F586" s="33"/>
      <c r="G586" s="3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c r="A587" s="73" t="s">
        <v>5091</v>
      </c>
      <c r="B587" s="113">
        <v>-777.0</v>
      </c>
      <c r="C587" s="44" t="s">
        <v>941</v>
      </c>
      <c r="D587" s="44" t="s">
        <v>944</v>
      </c>
      <c r="E587" s="81" t="s">
        <v>3596</v>
      </c>
      <c r="F587" s="43"/>
      <c r="G587" s="43"/>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row>
    <row r="588" ht="15.75" customHeight="1">
      <c r="A588" s="116"/>
      <c r="B588" s="117"/>
      <c r="C588" s="116"/>
      <c r="D588" s="116"/>
      <c r="E588" s="189"/>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c r="A589" s="132" t="s">
        <v>5129</v>
      </c>
      <c r="B589" s="133">
        <v>1.0</v>
      </c>
      <c r="C589" s="141" t="s">
        <v>5130</v>
      </c>
      <c r="D589" s="141" t="s">
        <v>5131</v>
      </c>
      <c r="E589" s="141" t="s">
        <v>5132</v>
      </c>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63"/>
      <c r="AF589" s="63"/>
    </row>
    <row r="590" ht="15.75" customHeight="1">
      <c r="A590" s="88" t="s">
        <v>5129</v>
      </c>
      <c r="B590" s="89">
        <v>2.0</v>
      </c>
      <c r="C590" s="34" t="s">
        <v>5134</v>
      </c>
      <c r="D590" s="34" t="s">
        <v>5135</v>
      </c>
      <c r="E590" s="92" t="s">
        <v>5137</v>
      </c>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c r="A591" s="88" t="s">
        <v>5129</v>
      </c>
      <c r="B591" s="89">
        <v>3.0</v>
      </c>
      <c r="C591" s="34" t="s">
        <v>5139</v>
      </c>
      <c r="D591" s="34" t="s">
        <v>5140</v>
      </c>
      <c r="E591" s="92" t="s">
        <v>5141</v>
      </c>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c r="A592" s="88" t="s">
        <v>5129</v>
      </c>
      <c r="B592" s="89">
        <v>4.0</v>
      </c>
      <c r="C592" s="34" t="s">
        <v>5142</v>
      </c>
      <c r="D592" s="34" t="s">
        <v>5143</v>
      </c>
      <c r="E592" s="92" t="s">
        <v>5144</v>
      </c>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c r="A593" s="88" t="s">
        <v>5129</v>
      </c>
      <c r="B593" s="89">
        <v>5.0</v>
      </c>
      <c r="C593" s="34" t="s">
        <v>5145</v>
      </c>
      <c r="D593" s="34" t="s">
        <v>5146</v>
      </c>
      <c r="E593" s="34" t="s">
        <v>5147</v>
      </c>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c r="A594" s="88" t="s">
        <v>5129</v>
      </c>
      <c r="B594" s="89">
        <v>6.0</v>
      </c>
      <c r="C594" s="34" t="s">
        <v>5148</v>
      </c>
      <c r="D594" s="34" t="s">
        <v>5149</v>
      </c>
      <c r="E594" s="92" t="s">
        <v>5150</v>
      </c>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c r="A595" s="88" t="s">
        <v>5129</v>
      </c>
      <c r="B595" s="89">
        <v>7.0</v>
      </c>
      <c r="C595" s="34" t="s">
        <v>5151</v>
      </c>
      <c r="D595" s="34" t="s">
        <v>5152</v>
      </c>
      <c r="E595" s="34" t="s">
        <v>5153</v>
      </c>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c r="A596" s="88" t="s">
        <v>5129</v>
      </c>
      <c r="B596" s="89">
        <v>-777.0</v>
      </c>
      <c r="C596" s="34" t="s">
        <v>941</v>
      </c>
      <c r="D596" s="34" t="s">
        <v>944</v>
      </c>
      <c r="E596" s="34" t="s">
        <v>946</v>
      </c>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c r="A597" s="73" t="s">
        <v>5129</v>
      </c>
      <c r="B597" s="113">
        <v>-999.0</v>
      </c>
      <c r="C597" s="44" t="s">
        <v>111</v>
      </c>
      <c r="D597" s="44" t="s">
        <v>5157</v>
      </c>
      <c r="E597" s="44" t="s">
        <v>113</v>
      </c>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63"/>
      <c r="AF597" s="63"/>
    </row>
    <row r="598" ht="15.75" customHeight="1">
      <c r="A598" s="116"/>
      <c r="B598" s="117"/>
      <c r="C598" s="116"/>
      <c r="D598" s="116"/>
      <c r="E598" s="189"/>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c r="A599" s="132" t="s">
        <v>5160</v>
      </c>
      <c r="B599" s="133">
        <v>1.0</v>
      </c>
      <c r="C599" s="141" t="s">
        <v>5161</v>
      </c>
      <c r="D599" s="141" t="s">
        <v>5162</v>
      </c>
      <c r="E599" s="190" t="s">
        <v>5163</v>
      </c>
      <c r="F599" s="136"/>
      <c r="G599" s="13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row>
    <row r="600" ht="15.75" customHeight="1">
      <c r="A600" s="88" t="s">
        <v>5160</v>
      </c>
      <c r="B600" s="89">
        <v>2.0</v>
      </c>
      <c r="C600" s="34" t="s">
        <v>5165</v>
      </c>
      <c r="D600" s="34" t="s">
        <v>5166</v>
      </c>
      <c r="E600" s="92" t="s">
        <v>5167</v>
      </c>
      <c r="F600" s="33"/>
      <c r="G600" s="3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c r="A601" s="73" t="s">
        <v>5160</v>
      </c>
      <c r="B601" s="113">
        <v>3.0</v>
      </c>
      <c r="C601" s="44" t="s">
        <v>5169</v>
      </c>
      <c r="D601" s="44" t="s">
        <v>5170</v>
      </c>
      <c r="E601" s="81" t="s">
        <v>5171</v>
      </c>
      <c r="F601" s="43"/>
      <c r="G601" s="43"/>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row>
    <row r="602" ht="15.75" customHeight="1">
      <c r="A602" s="116"/>
      <c r="B602" s="117"/>
      <c r="C602" s="116"/>
      <c r="D602" s="116"/>
      <c r="E602" s="189"/>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c r="A603" s="368" t="s">
        <v>5174</v>
      </c>
      <c r="B603" s="369">
        <v>1.0</v>
      </c>
      <c r="C603" s="370" t="s">
        <v>5175</v>
      </c>
      <c r="D603" s="372" t="s">
        <v>5177</v>
      </c>
      <c r="E603" s="370" t="s">
        <v>5178</v>
      </c>
      <c r="F603" s="373"/>
      <c r="G603" s="373"/>
      <c r="H603" s="373"/>
      <c r="I603" s="373"/>
      <c r="J603" s="373"/>
      <c r="K603" s="373"/>
      <c r="L603" s="373"/>
      <c r="M603" s="373"/>
      <c r="N603" s="373"/>
      <c r="O603" s="373"/>
      <c r="P603" s="373"/>
      <c r="Q603" s="373"/>
      <c r="R603" s="373"/>
      <c r="S603" s="373"/>
      <c r="T603" s="373"/>
      <c r="U603" s="373"/>
      <c r="V603" s="373"/>
      <c r="W603" s="373"/>
      <c r="X603" s="373"/>
      <c r="Y603" s="373"/>
      <c r="Z603" s="373"/>
      <c r="AA603" s="373"/>
      <c r="AB603" s="373"/>
      <c r="AC603" s="373"/>
      <c r="AD603" s="373"/>
      <c r="AE603" s="373"/>
      <c r="AF603" s="373"/>
    </row>
    <row r="604" ht="15.75" customHeight="1">
      <c r="A604" s="374" t="s">
        <v>5174</v>
      </c>
      <c r="B604" s="375">
        <v>2.0</v>
      </c>
      <c r="C604" s="376" t="s">
        <v>2328</v>
      </c>
      <c r="D604" s="376" t="s">
        <v>2331</v>
      </c>
      <c r="E604" s="376" t="s">
        <v>5180</v>
      </c>
      <c r="F604" s="377"/>
      <c r="G604" s="377"/>
      <c r="H604" s="377"/>
      <c r="I604" s="377"/>
      <c r="J604" s="377"/>
      <c r="K604" s="377"/>
      <c r="L604" s="377"/>
      <c r="M604" s="377"/>
      <c r="N604" s="377"/>
      <c r="O604" s="377"/>
      <c r="P604" s="377"/>
      <c r="Q604" s="377"/>
      <c r="R604" s="377"/>
      <c r="S604" s="377"/>
      <c r="T604" s="377"/>
      <c r="U604" s="377"/>
      <c r="V604" s="377"/>
      <c r="W604" s="377"/>
      <c r="X604" s="377"/>
      <c r="Y604" s="377"/>
      <c r="Z604" s="377"/>
      <c r="AA604" s="377"/>
      <c r="AB604" s="377"/>
      <c r="AC604" s="377"/>
      <c r="AD604" s="377"/>
      <c r="AE604" s="377"/>
      <c r="AF604" s="377"/>
    </row>
    <row r="605" ht="15.75" customHeight="1">
      <c r="A605" s="374" t="s">
        <v>5174</v>
      </c>
      <c r="B605" s="375">
        <v>3.0</v>
      </c>
      <c r="C605" s="376" t="s">
        <v>2315</v>
      </c>
      <c r="D605" s="376" t="s">
        <v>2316</v>
      </c>
      <c r="E605" s="376" t="s">
        <v>5182</v>
      </c>
      <c r="F605" s="377"/>
      <c r="G605" s="377"/>
      <c r="H605" s="377"/>
      <c r="I605" s="377"/>
      <c r="J605" s="377"/>
      <c r="K605" s="377"/>
      <c r="L605" s="377"/>
      <c r="M605" s="377"/>
      <c r="N605" s="377"/>
      <c r="O605" s="377"/>
      <c r="P605" s="377"/>
      <c r="Q605" s="377"/>
      <c r="R605" s="377"/>
      <c r="S605" s="377"/>
      <c r="T605" s="377"/>
      <c r="U605" s="377"/>
      <c r="V605" s="377"/>
      <c r="W605" s="377"/>
      <c r="X605" s="377"/>
      <c r="Y605" s="377"/>
      <c r="Z605" s="377"/>
      <c r="AA605" s="377"/>
      <c r="AB605" s="377"/>
      <c r="AC605" s="377"/>
      <c r="AD605" s="377"/>
      <c r="AE605" s="377"/>
      <c r="AF605" s="377"/>
    </row>
    <row r="606" ht="15.75" customHeight="1">
      <c r="A606" s="374" t="s">
        <v>5174</v>
      </c>
      <c r="B606" s="375">
        <v>4.0</v>
      </c>
      <c r="C606" s="376" t="s">
        <v>5183</v>
      </c>
      <c r="D606" s="376" t="s">
        <v>5184</v>
      </c>
      <c r="E606" s="376" t="s">
        <v>5185</v>
      </c>
      <c r="F606" s="377"/>
      <c r="G606" s="377"/>
      <c r="H606" s="377"/>
      <c r="I606" s="377"/>
      <c r="J606" s="377"/>
      <c r="K606" s="377"/>
      <c r="L606" s="377"/>
      <c r="M606" s="377"/>
      <c r="N606" s="377"/>
      <c r="O606" s="377"/>
      <c r="P606" s="377"/>
      <c r="Q606" s="377"/>
      <c r="R606" s="377"/>
      <c r="S606" s="377"/>
      <c r="T606" s="377"/>
      <c r="U606" s="377"/>
      <c r="V606" s="377"/>
      <c r="W606" s="377"/>
      <c r="X606" s="377"/>
      <c r="Y606" s="377"/>
      <c r="Z606" s="377"/>
      <c r="AA606" s="377"/>
      <c r="AB606" s="377"/>
      <c r="AC606" s="377"/>
      <c r="AD606" s="377"/>
      <c r="AE606" s="377"/>
      <c r="AF606" s="377"/>
    </row>
    <row r="607" ht="15.75" customHeight="1">
      <c r="A607" s="374" t="s">
        <v>5174</v>
      </c>
      <c r="B607" s="375">
        <v>5.0</v>
      </c>
      <c r="C607" s="376" t="s">
        <v>5187</v>
      </c>
      <c r="D607" s="376" t="s">
        <v>5188</v>
      </c>
      <c r="E607" s="378" t="s">
        <v>5189</v>
      </c>
      <c r="F607" s="377"/>
      <c r="G607" s="377"/>
      <c r="H607" s="377"/>
      <c r="I607" s="377"/>
      <c r="J607" s="377"/>
      <c r="K607" s="377"/>
      <c r="L607" s="377"/>
      <c r="M607" s="377"/>
      <c r="N607" s="377"/>
      <c r="O607" s="377"/>
      <c r="P607" s="377"/>
      <c r="Q607" s="377"/>
      <c r="R607" s="377"/>
      <c r="S607" s="377"/>
      <c r="T607" s="377"/>
      <c r="U607" s="377"/>
      <c r="V607" s="377"/>
      <c r="W607" s="377"/>
      <c r="X607" s="377"/>
      <c r="Y607" s="377"/>
      <c r="Z607" s="377"/>
      <c r="AA607" s="377"/>
      <c r="AB607" s="377"/>
      <c r="AC607" s="377"/>
      <c r="AD607" s="377"/>
      <c r="AE607" s="377"/>
      <c r="AF607" s="377"/>
    </row>
    <row r="608" ht="15.75" customHeight="1">
      <c r="A608" s="376" t="s">
        <v>5174</v>
      </c>
      <c r="B608" s="379">
        <v>-777.0</v>
      </c>
      <c r="C608" s="376" t="s">
        <v>941</v>
      </c>
      <c r="D608" s="376" t="s">
        <v>944</v>
      </c>
      <c r="E608" s="376" t="s">
        <v>946</v>
      </c>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c r="AC608" s="380"/>
      <c r="AD608" s="380"/>
      <c r="AE608" s="380"/>
      <c r="AF608" s="380"/>
    </row>
    <row r="609" ht="15.75" customHeight="1">
      <c r="A609" s="116"/>
      <c r="B609" s="117"/>
      <c r="C609" s="116"/>
      <c r="D609" s="116"/>
      <c r="E609" s="189"/>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c r="A610" s="116"/>
      <c r="B610" s="117"/>
      <c r="C610" s="116"/>
      <c r="D610" s="116"/>
      <c r="E610" s="189"/>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c r="A611" s="116"/>
      <c r="B611" s="117"/>
      <c r="C611" s="116"/>
      <c r="D611" s="116"/>
      <c r="E611" s="189"/>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c r="A612" s="116"/>
      <c r="B612" s="117"/>
      <c r="C612" s="116"/>
      <c r="D612" s="116"/>
      <c r="E612" s="189"/>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c r="A613" s="116"/>
      <c r="B613" s="117"/>
      <c r="C613" s="116"/>
      <c r="D613" s="116"/>
      <c r="E613" s="189"/>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c r="A614" s="116"/>
      <c r="B614" s="117"/>
      <c r="C614" s="116"/>
      <c r="D614" s="116"/>
      <c r="E614" s="189"/>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c r="A615" s="116"/>
      <c r="B615" s="117"/>
      <c r="C615" s="116"/>
      <c r="D615" s="116"/>
      <c r="E615" s="189"/>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c r="A616" s="116"/>
      <c r="B616" s="117"/>
      <c r="C616" s="116"/>
      <c r="D616" s="116"/>
      <c r="E616" s="189"/>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c r="A617" s="116"/>
      <c r="B617" s="117"/>
      <c r="C617" s="116"/>
      <c r="D617" s="116"/>
      <c r="E617" s="189"/>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c r="A618" s="116"/>
      <c r="B618" s="117"/>
      <c r="C618" s="116"/>
      <c r="D618" s="116"/>
      <c r="E618" s="189"/>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c r="A619" s="116"/>
      <c r="B619" s="117"/>
      <c r="C619" s="116"/>
      <c r="D619" s="116"/>
      <c r="E619" s="189"/>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c r="A620" s="116"/>
      <c r="B620" s="117"/>
      <c r="C620" s="116"/>
      <c r="D620" s="116"/>
      <c r="E620" s="189"/>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c r="A621" s="116"/>
      <c r="B621" s="117"/>
      <c r="C621" s="116"/>
      <c r="D621" s="116"/>
      <c r="E621" s="189"/>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c r="A622" s="116"/>
      <c r="B622" s="117"/>
      <c r="C622" s="116"/>
      <c r="D622" s="116"/>
      <c r="E622" s="189"/>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c r="A623" s="116"/>
      <c r="B623" s="117"/>
      <c r="C623" s="116"/>
      <c r="D623" s="116"/>
      <c r="E623" s="189"/>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c r="A624" s="116"/>
      <c r="B624" s="117"/>
      <c r="C624" s="116"/>
      <c r="D624" s="116"/>
      <c r="E624" s="189"/>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c r="A625" s="116"/>
      <c r="B625" s="117"/>
      <c r="C625" s="116"/>
      <c r="D625" s="116"/>
      <c r="E625" s="189"/>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c r="A626" s="116"/>
      <c r="B626" s="117"/>
      <c r="C626" s="116"/>
      <c r="D626" s="116"/>
      <c r="E626" s="189"/>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c r="A627" s="116"/>
      <c r="B627" s="117"/>
      <c r="C627" s="116"/>
      <c r="D627" s="116"/>
      <c r="E627" s="189"/>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c r="A628" s="116"/>
      <c r="B628" s="117"/>
      <c r="C628" s="116"/>
      <c r="D628" s="116"/>
      <c r="E628" s="189"/>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c r="A629" s="116"/>
      <c r="B629" s="117"/>
      <c r="C629" s="116"/>
      <c r="D629" s="116"/>
      <c r="E629" s="189"/>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c r="A630" s="116"/>
      <c r="B630" s="117"/>
      <c r="C630" s="116"/>
      <c r="D630" s="116"/>
      <c r="E630" s="189"/>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c r="A631" s="116"/>
      <c r="B631" s="117"/>
      <c r="C631" s="116"/>
      <c r="D631" s="116"/>
      <c r="E631" s="189"/>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c r="A632" s="116"/>
      <c r="B632" s="117"/>
      <c r="C632" s="116"/>
      <c r="D632" s="116"/>
      <c r="E632" s="189"/>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c r="A633" s="116"/>
      <c r="B633" s="117"/>
      <c r="C633" s="116"/>
      <c r="D633" s="116"/>
      <c r="E633" s="189"/>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c r="A634" s="116"/>
      <c r="B634" s="117"/>
      <c r="C634" s="116"/>
      <c r="D634" s="116"/>
      <c r="E634" s="189"/>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c r="A635" s="116"/>
      <c r="B635" s="117"/>
      <c r="C635" s="116"/>
      <c r="D635" s="116"/>
      <c r="E635" s="189"/>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c r="A636" s="116"/>
      <c r="B636" s="117"/>
      <c r="C636" s="116"/>
      <c r="D636" s="116"/>
      <c r="E636" s="189"/>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c r="A637" s="116"/>
      <c r="B637" s="117"/>
      <c r="C637" s="116"/>
      <c r="D637" s="116"/>
      <c r="E637" s="189"/>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c r="A638" s="116"/>
      <c r="B638" s="117"/>
      <c r="C638" s="116"/>
      <c r="D638" s="116"/>
      <c r="E638" s="189"/>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c r="A639" s="116"/>
      <c r="B639" s="117"/>
      <c r="C639" s="116"/>
      <c r="D639" s="116"/>
      <c r="E639" s="189"/>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c r="A640" s="116"/>
      <c r="B640" s="117"/>
      <c r="C640" s="116"/>
      <c r="D640" s="116"/>
      <c r="E640" s="189"/>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c r="A641" s="116"/>
      <c r="B641" s="117"/>
      <c r="C641" s="116"/>
      <c r="D641" s="116"/>
      <c r="E641" s="189"/>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c r="A642" s="116"/>
      <c r="B642" s="117"/>
      <c r="C642" s="116"/>
      <c r="D642" s="116"/>
      <c r="E642" s="189"/>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c r="A643" s="116"/>
      <c r="B643" s="117"/>
      <c r="C643" s="116"/>
      <c r="D643" s="116"/>
      <c r="E643" s="189"/>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c r="A644" s="116"/>
      <c r="B644" s="117"/>
      <c r="C644" s="116"/>
      <c r="D644" s="116"/>
      <c r="E644" s="189"/>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c r="A645" s="116"/>
      <c r="B645" s="117"/>
      <c r="C645" s="116"/>
      <c r="D645" s="116"/>
      <c r="E645" s="189"/>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c r="A646" s="116"/>
      <c r="B646" s="117"/>
      <c r="C646" s="116"/>
      <c r="D646" s="116"/>
      <c r="E646" s="189"/>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c r="A647" s="116"/>
      <c r="B647" s="117"/>
      <c r="C647" s="116"/>
      <c r="D647" s="116"/>
      <c r="E647" s="189"/>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c r="A648" s="116"/>
      <c r="B648" s="117"/>
      <c r="C648" s="116"/>
      <c r="D648" s="116"/>
      <c r="E648" s="189"/>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c r="A649" s="116"/>
      <c r="B649" s="117"/>
      <c r="C649" s="116"/>
      <c r="D649" s="116"/>
      <c r="E649" s="189"/>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c r="A650" s="116"/>
      <c r="B650" s="117"/>
      <c r="C650" s="116"/>
      <c r="D650" s="116"/>
      <c r="E650" s="189"/>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c r="A651" s="116"/>
      <c r="B651" s="117"/>
      <c r="C651" s="116"/>
      <c r="D651" s="116"/>
      <c r="E651" s="189"/>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c r="A652" s="116"/>
      <c r="B652" s="117"/>
      <c r="C652" s="116"/>
      <c r="D652" s="116"/>
      <c r="E652" s="189"/>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c r="A653" s="116"/>
      <c r="B653" s="117"/>
      <c r="C653" s="116"/>
      <c r="D653" s="116"/>
      <c r="E653" s="189"/>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c r="A654" s="116"/>
      <c r="B654" s="117"/>
      <c r="C654" s="116"/>
      <c r="D654" s="116"/>
      <c r="E654" s="189"/>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c r="A655" s="116"/>
      <c r="B655" s="117"/>
      <c r="C655" s="116"/>
      <c r="D655" s="116"/>
      <c r="E655" s="189"/>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c r="A656" s="116"/>
      <c r="B656" s="117"/>
      <c r="C656" s="116"/>
      <c r="D656" s="116"/>
      <c r="E656" s="189"/>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c r="A657" s="116"/>
      <c r="B657" s="117"/>
      <c r="C657" s="116"/>
      <c r="D657" s="116"/>
      <c r="E657" s="189"/>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c r="A658" s="116"/>
      <c r="B658" s="117"/>
      <c r="C658" s="116"/>
      <c r="D658" s="116"/>
      <c r="E658" s="189"/>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c r="A659" s="116"/>
      <c r="B659" s="117"/>
      <c r="C659" s="116"/>
      <c r="D659" s="116"/>
      <c r="E659" s="189"/>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c r="A660" s="116"/>
      <c r="B660" s="117"/>
      <c r="C660" s="116"/>
      <c r="D660" s="116"/>
      <c r="E660" s="189"/>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c r="A661" s="116"/>
      <c r="B661" s="117"/>
      <c r="C661" s="116"/>
      <c r="D661" s="116"/>
      <c r="E661" s="189"/>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c r="A662" s="116"/>
      <c r="B662" s="117"/>
      <c r="C662" s="116"/>
      <c r="D662" s="116"/>
      <c r="E662" s="189"/>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c r="A663" s="116"/>
      <c r="B663" s="117"/>
      <c r="C663" s="116"/>
      <c r="D663" s="116"/>
      <c r="E663" s="189"/>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c r="A664" s="116"/>
      <c r="B664" s="117"/>
      <c r="C664" s="116"/>
      <c r="D664" s="116"/>
      <c r="E664" s="189"/>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c r="A665" s="116"/>
      <c r="B665" s="117"/>
      <c r="C665" s="116"/>
      <c r="D665" s="116"/>
      <c r="E665" s="189"/>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c r="A666" s="116"/>
      <c r="B666" s="117"/>
      <c r="C666" s="116"/>
      <c r="D666" s="116"/>
      <c r="E666" s="189"/>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c r="A667" s="116"/>
      <c r="B667" s="117"/>
      <c r="C667" s="116"/>
      <c r="D667" s="116"/>
      <c r="E667" s="189"/>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c r="A668" s="116"/>
      <c r="B668" s="117"/>
      <c r="C668" s="116"/>
      <c r="D668" s="116"/>
      <c r="E668" s="189"/>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c r="A669" s="116"/>
      <c r="B669" s="117"/>
      <c r="C669" s="116"/>
      <c r="D669" s="116"/>
      <c r="E669" s="189"/>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c r="A670" s="116"/>
      <c r="B670" s="117"/>
      <c r="C670" s="116"/>
      <c r="D670" s="116"/>
      <c r="E670" s="189"/>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c r="A671" s="116"/>
      <c r="B671" s="117"/>
      <c r="C671" s="116"/>
      <c r="D671" s="116"/>
      <c r="E671" s="189"/>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c r="A672" s="116"/>
      <c r="B672" s="117"/>
      <c r="C672" s="116"/>
      <c r="D672" s="116"/>
      <c r="E672" s="189"/>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c r="A673" s="116"/>
      <c r="B673" s="117"/>
      <c r="C673" s="116"/>
      <c r="D673" s="116"/>
      <c r="E673" s="189"/>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c r="A674" s="116"/>
      <c r="B674" s="117"/>
      <c r="C674" s="116"/>
      <c r="D674" s="116"/>
      <c r="E674" s="189"/>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c r="A675" s="116"/>
      <c r="B675" s="117"/>
      <c r="C675" s="116"/>
      <c r="D675" s="116"/>
      <c r="E675" s="189"/>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c r="A676" s="116"/>
      <c r="B676" s="117"/>
      <c r="C676" s="116"/>
      <c r="D676" s="116"/>
      <c r="E676" s="189"/>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c r="A677" s="116"/>
      <c r="B677" s="117"/>
      <c r="C677" s="116"/>
      <c r="D677" s="116"/>
      <c r="E677" s="189"/>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c r="A678" s="116"/>
      <c r="B678" s="117"/>
      <c r="C678" s="116"/>
      <c r="D678" s="116"/>
      <c r="E678" s="189"/>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c r="A679" s="116"/>
      <c r="B679" s="117"/>
      <c r="C679" s="116"/>
      <c r="D679" s="116"/>
      <c r="E679" s="189"/>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c r="A680" s="116"/>
      <c r="B680" s="117"/>
      <c r="C680" s="116"/>
      <c r="D680" s="116"/>
      <c r="E680" s="189"/>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c r="A681" s="116"/>
      <c r="B681" s="117"/>
      <c r="C681" s="116"/>
      <c r="D681" s="116"/>
      <c r="E681" s="189"/>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c r="A682" s="116"/>
      <c r="B682" s="117"/>
      <c r="C682" s="116"/>
      <c r="D682" s="116"/>
      <c r="E682" s="189"/>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c r="A683" s="116"/>
      <c r="B683" s="117"/>
      <c r="C683" s="116"/>
      <c r="D683" s="116"/>
      <c r="E683" s="189"/>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c r="A684" s="116"/>
      <c r="B684" s="117"/>
      <c r="C684" s="116"/>
      <c r="D684" s="116"/>
      <c r="E684" s="189"/>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c r="A685" s="116"/>
      <c r="B685" s="117"/>
      <c r="C685" s="116"/>
      <c r="D685" s="116"/>
      <c r="E685" s="189"/>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c r="A686" s="116"/>
      <c r="B686" s="117"/>
      <c r="C686" s="116"/>
      <c r="D686" s="116"/>
      <c r="E686" s="189"/>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c r="A687" s="116"/>
      <c r="B687" s="117"/>
      <c r="C687" s="116"/>
      <c r="D687" s="116"/>
      <c r="E687" s="189"/>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c r="A688" s="116"/>
      <c r="B688" s="117"/>
      <c r="C688" s="116"/>
      <c r="D688" s="116"/>
      <c r="E688" s="189"/>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c r="A689" s="116"/>
      <c r="B689" s="117"/>
      <c r="C689" s="116"/>
      <c r="D689" s="116"/>
      <c r="E689" s="189"/>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c r="A690" s="116"/>
      <c r="B690" s="117"/>
      <c r="C690" s="116"/>
      <c r="D690" s="116"/>
      <c r="E690" s="189"/>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c r="A691" s="116"/>
      <c r="B691" s="117"/>
      <c r="C691" s="116"/>
      <c r="D691" s="116"/>
      <c r="E691" s="189"/>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c r="A692" s="116"/>
      <c r="B692" s="117"/>
      <c r="C692" s="116"/>
      <c r="D692" s="116"/>
      <c r="E692" s="189"/>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c r="A693" s="116"/>
      <c r="B693" s="117"/>
      <c r="C693" s="116"/>
      <c r="D693" s="116"/>
      <c r="E693" s="189"/>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c r="A694" s="116"/>
      <c r="B694" s="117"/>
      <c r="C694" s="116"/>
      <c r="D694" s="116"/>
      <c r="E694" s="189"/>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c r="A695" s="116"/>
      <c r="B695" s="117"/>
      <c r="C695" s="116"/>
      <c r="D695" s="116"/>
      <c r="E695" s="189"/>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c r="A696" s="116"/>
      <c r="B696" s="117"/>
      <c r="C696" s="116"/>
      <c r="D696" s="116"/>
      <c r="E696" s="189"/>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c r="A697" s="116"/>
      <c r="B697" s="117"/>
      <c r="C697" s="116"/>
      <c r="D697" s="116"/>
      <c r="E697" s="189"/>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c r="A698" s="116"/>
      <c r="B698" s="117"/>
      <c r="C698" s="116"/>
      <c r="D698" s="116"/>
      <c r="E698" s="189"/>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c r="A699" s="116"/>
      <c r="B699" s="117"/>
      <c r="C699" s="116"/>
      <c r="D699" s="116"/>
      <c r="E699" s="189"/>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c r="A700" s="116"/>
      <c r="B700" s="117"/>
      <c r="C700" s="116"/>
      <c r="D700" s="116"/>
      <c r="E700" s="189"/>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c r="A701" s="116"/>
      <c r="B701" s="117"/>
      <c r="C701" s="116"/>
      <c r="D701" s="116"/>
      <c r="E701" s="189"/>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c r="A702" s="116"/>
      <c r="B702" s="117"/>
      <c r="C702" s="116"/>
      <c r="D702" s="116"/>
      <c r="E702" s="189"/>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c r="A703" s="116"/>
      <c r="B703" s="117"/>
      <c r="C703" s="116"/>
      <c r="D703" s="116"/>
      <c r="E703" s="189"/>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c r="A704" s="116"/>
      <c r="B704" s="117"/>
      <c r="C704" s="116"/>
      <c r="D704" s="116"/>
      <c r="E704" s="189"/>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c r="A705" s="116"/>
      <c r="B705" s="117"/>
      <c r="C705" s="116"/>
      <c r="D705" s="116"/>
      <c r="E705" s="189"/>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c r="A706" s="116"/>
      <c r="B706" s="117"/>
      <c r="C706" s="116"/>
      <c r="D706" s="116"/>
      <c r="E706" s="189"/>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c r="A707" s="116"/>
      <c r="B707" s="117"/>
      <c r="C707" s="116"/>
      <c r="D707" s="116"/>
      <c r="E707" s="189"/>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c r="A708" s="116"/>
      <c r="B708" s="117"/>
      <c r="C708" s="116"/>
      <c r="D708" s="116"/>
      <c r="E708" s="189"/>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c r="A709" s="116"/>
      <c r="B709" s="117"/>
      <c r="C709" s="116"/>
      <c r="D709" s="116"/>
      <c r="E709" s="189"/>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c r="A710" s="116"/>
      <c r="B710" s="117"/>
      <c r="C710" s="116"/>
      <c r="D710" s="116"/>
      <c r="E710" s="189"/>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c r="A711" s="116"/>
      <c r="B711" s="117"/>
      <c r="C711" s="116"/>
      <c r="D711" s="116"/>
      <c r="E711" s="189"/>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c r="A712" s="116"/>
      <c r="B712" s="117"/>
      <c r="C712" s="116"/>
      <c r="D712" s="116"/>
      <c r="E712" s="189"/>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c r="A713" s="116"/>
      <c r="B713" s="117"/>
      <c r="C713" s="116"/>
      <c r="D713" s="116"/>
      <c r="E713" s="189"/>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c r="A714" s="116"/>
      <c r="B714" s="117"/>
      <c r="C714" s="116"/>
      <c r="D714" s="116"/>
      <c r="E714" s="189"/>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c r="A715" s="116"/>
      <c r="B715" s="117"/>
      <c r="C715" s="116"/>
      <c r="D715" s="116"/>
      <c r="E715" s="189"/>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c r="A716" s="116"/>
      <c r="B716" s="117"/>
      <c r="C716" s="116"/>
      <c r="D716" s="116"/>
      <c r="E716" s="189"/>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c r="A717" s="116"/>
      <c r="B717" s="117"/>
      <c r="C717" s="116"/>
      <c r="D717" s="116"/>
      <c r="E717" s="189"/>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c r="A718" s="116"/>
      <c r="B718" s="117"/>
      <c r="C718" s="116"/>
      <c r="D718" s="116"/>
      <c r="E718" s="189"/>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c r="A719" s="116"/>
      <c r="B719" s="117"/>
      <c r="C719" s="116"/>
      <c r="D719" s="116"/>
      <c r="E719" s="189"/>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c r="A720" s="116"/>
      <c r="B720" s="117"/>
      <c r="C720" s="116"/>
      <c r="D720" s="116"/>
      <c r="E720" s="189"/>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c r="A721" s="116"/>
      <c r="B721" s="117"/>
      <c r="C721" s="116"/>
      <c r="D721" s="116"/>
      <c r="E721" s="189"/>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c r="A722" s="116"/>
      <c r="B722" s="117"/>
      <c r="C722" s="116"/>
      <c r="D722" s="116"/>
      <c r="E722" s="189"/>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c r="A723" s="116"/>
      <c r="B723" s="117"/>
      <c r="C723" s="116"/>
      <c r="D723" s="116"/>
      <c r="E723" s="189"/>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c r="A724" s="116"/>
      <c r="B724" s="117"/>
      <c r="C724" s="116"/>
      <c r="D724" s="116"/>
      <c r="E724" s="189"/>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c r="A725" s="116"/>
      <c r="B725" s="117"/>
      <c r="C725" s="116"/>
      <c r="D725" s="116"/>
      <c r="E725" s="189"/>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c r="A726" s="116"/>
      <c r="B726" s="117"/>
      <c r="C726" s="116"/>
      <c r="D726" s="116"/>
      <c r="E726" s="189"/>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c r="A727" s="116"/>
      <c r="B727" s="117"/>
      <c r="C727" s="116"/>
      <c r="D727" s="116"/>
      <c r="E727" s="189"/>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c r="A728" s="116"/>
      <c r="B728" s="117"/>
      <c r="C728" s="116"/>
      <c r="D728" s="116"/>
      <c r="E728" s="189"/>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c r="A729" s="116"/>
      <c r="B729" s="117"/>
      <c r="C729" s="116"/>
      <c r="D729" s="116"/>
      <c r="E729" s="189"/>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c r="A730" s="116"/>
      <c r="B730" s="117"/>
      <c r="C730" s="116"/>
      <c r="D730" s="116"/>
      <c r="E730" s="189"/>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c r="A731" s="116"/>
      <c r="B731" s="117"/>
      <c r="C731" s="116"/>
      <c r="D731" s="116"/>
      <c r="E731" s="189"/>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c r="A732" s="116"/>
      <c r="B732" s="117"/>
      <c r="C732" s="116"/>
      <c r="D732" s="116"/>
      <c r="E732" s="189"/>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c r="A733" s="116"/>
      <c r="B733" s="117"/>
      <c r="C733" s="116"/>
      <c r="D733" s="116"/>
      <c r="E733" s="189"/>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c r="A734" s="116"/>
      <c r="B734" s="117"/>
      <c r="C734" s="116"/>
      <c r="D734" s="116"/>
      <c r="E734" s="189"/>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c r="A735" s="116"/>
      <c r="B735" s="117"/>
      <c r="C735" s="116"/>
      <c r="D735" s="116"/>
      <c r="E735" s="189"/>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c r="A736" s="116"/>
      <c r="B736" s="117"/>
      <c r="C736" s="116"/>
      <c r="D736" s="116"/>
      <c r="E736" s="189"/>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c r="A737" s="116"/>
      <c r="B737" s="117"/>
      <c r="C737" s="116"/>
      <c r="D737" s="116"/>
      <c r="E737" s="189"/>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c r="A738" s="116"/>
      <c r="B738" s="117"/>
      <c r="C738" s="116"/>
      <c r="D738" s="116"/>
      <c r="E738" s="189"/>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c r="A739" s="116"/>
      <c r="B739" s="117"/>
      <c r="C739" s="116"/>
      <c r="D739" s="116"/>
      <c r="E739" s="189"/>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c r="A740" s="116"/>
      <c r="B740" s="117"/>
      <c r="C740" s="116"/>
      <c r="D740" s="116"/>
      <c r="E740" s="189"/>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c r="A741" s="116"/>
      <c r="B741" s="117"/>
      <c r="C741" s="116"/>
      <c r="D741" s="116"/>
      <c r="E741" s="189"/>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c r="A742" s="116"/>
      <c r="B742" s="117"/>
      <c r="C742" s="116"/>
      <c r="D742" s="116"/>
      <c r="E742" s="189"/>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c r="A743" s="116"/>
      <c r="B743" s="117"/>
      <c r="C743" s="116"/>
      <c r="D743" s="116"/>
      <c r="E743" s="189"/>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c r="A744" s="116"/>
      <c r="B744" s="117"/>
      <c r="C744" s="116"/>
      <c r="D744" s="116"/>
      <c r="E744" s="189"/>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c r="A745" s="116"/>
      <c r="B745" s="117"/>
      <c r="C745" s="116"/>
      <c r="D745" s="116"/>
      <c r="E745" s="189"/>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c r="A746" s="116"/>
      <c r="B746" s="117"/>
      <c r="C746" s="116"/>
      <c r="D746" s="116"/>
      <c r="E746" s="189"/>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c r="A747" s="116"/>
      <c r="B747" s="117"/>
      <c r="C747" s="116"/>
      <c r="D747" s="116"/>
      <c r="E747" s="189"/>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c r="A748" s="116"/>
      <c r="B748" s="117"/>
      <c r="C748" s="116"/>
      <c r="D748" s="116"/>
      <c r="E748" s="189"/>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c r="A749" s="116"/>
      <c r="B749" s="117"/>
      <c r="C749" s="116"/>
      <c r="D749" s="116"/>
      <c r="E749" s="189"/>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c r="A750" s="116"/>
      <c r="B750" s="117"/>
      <c r="C750" s="116"/>
      <c r="D750" s="116"/>
      <c r="E750" s="189"/>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c r="A751" s="116"/>
      <c r="B751" s="117"/>
      <c r="C751" s="116"/>
      <c r="D751" s="116"/>
      <c r="E751" s="189"/>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c r="A752" s="116"/>
      <c r="B752" s="117"/>
      <c r="C752" s="116"/>
      <c r="D752" s="116"/>
      <c r="E752" s="189"/>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c r="A753" s="116"/>
      <c r="B753" s="117"/>
      <c r="C753" s="116"/>
      <c r="D753" s="116"/>
      <c r="E753" s="189"/>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c r="A754" s="116"/>
      <c r="B754" s="117"/>
      <c r="C754" s="116"/>
      <c r="D754" s="116"/>
      <c r="E754" s="189"/>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c r="A755" s="116"/>
      <c r="B755" s="117"/>
      <c r="C755" s="116"/>
      <c r="D755" s="116"/>
      <c r="E755" s="189"/>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c r="A756" s="116"/>
      <c r="B756" s="117"/>
      <c r="C756" s="116"/>
      <c r="D756" s="116"/>
      <c r="E756" s="189"/>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c r="A757" s="116"/>
      <c r="B757" s="117"/>
      <c r="C757" s="116"/>
      <c r="D757" s="116"/>
      <c r="E757" s="189"/>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c r="A758" s="116"/>
      <c r="B758" s="117"/>
      <c r="C758" s="116"/>
      <c r="D758" s="116"/>
      <c r="E758" s="189"/>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c r="A759" s="116"/>
      <c r="B759" s="117"/>
      <c r="C759" s="116"/>
      <c r="D759" s="116"/>
      <c r="E759" s="189"/>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c r="A760" s="116"/>
      <c r="B760" s="117"/>
      <c r="C760" s="116"/>
      <c r="D760" s="116"/>
      <c r="E760" s="189"/>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c r="A761" s="116"/>
      <c r="B761" s="117"/>
      <c r="C761" s="116"/>
      <c r="D761" s="116"/>
      <c r="E761" s="189"/>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c r="A762" s="116"/>
      <c r="B762" s="117"/>
      <c r="C762" s="116"/>
      <c r="D762" s="116"/>
      <c r="E762" s="189"/>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c r="A763" s="116"/>
      <c r="B763" s="117"/>
      <c r="C763" s="116"/>
      <c r="D763" s="116"/>
      <c r="E763" s="189"/>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c r="A764" s="116"/>
      <c r="B764" s="117"/>
      <c r="C764" s="116"/>
      <c r="D764" s="116"/>
      <c r="E764" s="189"/>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c r="A765" s="116"/>
      <c r="B765" s="117"/>
      <c r="C765" s="116"/>
      <c r="D765" s="116"/>
      <c r="E765" s="189"/>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c r="A766" s="116"/>
      <c r="B766" s="117"/>
      <c r="C766" s="116"/>
      <c r="D766" s="116"/>
      <c r="E766" s="189"/>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c r="A767" s="116"/>
      <c r="B767" s="117"/>
      <c r="C767" s="116"/>
      <c r="D767" s="116"/>
      <c r="E767" s="189"/>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c r="A768" s="116"/>
      <c r="B768" s="117"/>
      <c r="C768" s="116"/>
      <c r="D768" s="116"/>
      <c r="E768" s="189"/>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c r="A769" s="116"/>
      <c r="B769" s="117"/>
      <c r="C769" s="116"/>
      <c r="D769" s="116"/>
      <c r="E769" s="189"/>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c r="A770" s="116"/>
      <c r="B770" s="117"/>
      <c r="C770" s="116"/>
      <c r="D770" s="116"/>
      <c r="E770" s="189"/>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c r="A771" s="116"/>
      <c r="B771" s="117"/>
      <c r="C771" s="116"/>
      <c r="D771" s="116"/>
      <c r="E771" s="189"/>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c r="A772" s="116"/>
      <c r="B772" s="117"/>
      <c r="C772" s="116"/>
      <c r="D772" s="116"/>
      <c r="E772" s="189"/>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c r="A773" s="116"/>
      <c r="B773" s="117"/>
      <c r="C773" s="116"/>
      <c r="D773" s="116"/>
      <c r="E773" s="189"/>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c r="A774" s="116"/>
      <c r="B774" s="117"/>
      <c r="C774" s="116"/>
      <c r="D774" s="116"/>
      <c r="E774" s="189"/>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c r="A775" s="116"/>
      <c r="B775" s="117"/>
      <c r="C775" s="116"/>
      <c r="D775" s="116"/>
      <c r="E775" s="189"/>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c r="A776" s="116"/>
      <c r="B776" s="117"/>
      <c r="C776" s="116"/>
      <c r="D776" s="116"/>
      <c r="E776" s="189"/>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c r="A777" s="116"/>
      <c r="B777" s="117"/>
      <c r="C777" s="116"/>
      <c r="D777" s="116"/>
      <c r="E777" s="189"/>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c r="A778" s="116"/>
      <c r="B778" s="117"/>
      <c r="C778" s="116"/>
      <c r="D778" s="116"/>
      <c r="E778" s="189"/>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c r="A779" s="116"/>
      <c r="B779" s="117"/>
      <c r="C779" s="116"/>
      <c r="D779" s="116"/>
      <c r="E779" s="189"/>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c r="A780" s="116"/>
      <c r="B780" s="117"/>
      <c r="C780" s="116"/>
      <c r="D780" s="116"/>
      <c r="E780" s="189"/>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c r="A781" s="116"/>
      <c r="B781" s="117"/>
      <c r="C781" s="116"/>
      <c r="D781" s="116"/>
      <c r="E781" s="189"/>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c r="A782" s="116"/>
      <c r="B782" s="117"/>
      <c r="C782" s="116"/>
      <c r="D782" s="116"/>
      <c r="E782" s="189"/>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c r="A783" s="116"/>
      <c r="B783" s="117"/>
      <c r="C783" s="116"/>
      <c r="D783" s="116"/>
      <c r="E783" s="189"/>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c r="A784" s="116"/>
      <c r="B784" s="117"/>
      <c r="C784" s="116"/>
      <c r="D784" s="116"/>
      <c r="E784" s="189"/>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c r="A785" s="116"/>
      <c r="B785" s="117"/>
      <c r="C785" s="116"/>
      <c r="D785" s="116"/>
      <c r="E785" s="189"/>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c r="A786" s="116"/>
      <c r="B786" s="117"/>
      <c r="C786" s="116"/>
      <c r="D786" s="116"/>
      <c r="E786" s="189"/>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c r="A787" s="116"/>
      <c r="B787" s="117"/>
      <c r="C787" s="116"/>
      <c r="D787" s="116"/>
      <c r="E787" s="189"/>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c r="A788" s="116"/>
      <c r="B788" s="117"/>
      <c r="C788" s="116"/>
      <c r="D788" s="116"/>
      <c r="E788" s="189"/>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c r="A789" s="116"/>
      <c r="B789" s="117"/>
      <c r="C789" s="116"/>
      <c r="D789" s="116"/>
      <c r="E789" s="189"/>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c r="A790" s="116"/>
      <c r="B790" s="117"/>
      <c r="C790" s="116"/>
      <c r="D790" s="116"/>
      <c r="E790" s="189"/>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c r="A791" s="116"/>
      <c r="B791" s="117"/>
      <c r="C791" s="116"/>
      <c r="D791" s="116"/>
      <c r="E791" s="189"/>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c r="A792" s="116"/>
      <c r="B792" s="117"/>
      <c r="C792" s="116"/>
      <c r="D792" s="116"/>
      <c r="E792" s="189"/>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c r="A793" s="116"/>
      <c r="B793" s="117"/>
      <c r="C793" s="116"/>
      <c r="D793" s="116"/>
      <c r="E793" s="189"/>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c r="A794" s="116"/>
      <c r="B794" s="117"/>
      <c r="C794" s="116"/>
      <c r="D794" s="116"/>
      <c r="E794" s="189"/>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c r="A795" s="116"/>
      <c r="B795" s="117"/>
      <c r="C795" s="116"/>
      <c r="D795" s="116"/>
      <c r="E795" s="189"/>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c r="A796" s="116"/>
      <c r="B796" s="117"/>
      <c r="C796" s="116"/>
      <c r="D796" s="116"/>
      <c r="E796" s="189"/>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c r="A797" s="116"/>
      <c r="B797" s="117"/>
      <c r="C797" s="116"/>
      <c r="D797" s="116"/>
      <c r="E797" s="189"/>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c r="A798" s="116"/>
      <c r="B798" s="117"/>
      <c r="C798" s="116"/>
      <c r="D798" s="116"/>
      <c r="E798" s="189"/>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c r="A799" s="116"/>
      <c r="B799" s="117"/>
      <c r="C799" s="116"/>
      <c r="D799" s="116"/>
      <c r="E799" s="189"/>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c r="A800" s="116"/>
      <c r="B800" s="117"/>
      <c r="C800" s="116"/>
      <c r="D800" s="116"/>
      <c r="E800" s="189"/>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c r="A801" s="116"/>
      <c r="B801" s="117"/>
      <c r="C801" s="116"/>
      <c r="D801" s="116"/>
      <c r="E801" s="189"/>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c r="A802" s="116"/>
      <c r="B802" s="117"/>
      <c r="C802" s="116"/>
      <c r="D802" s="116"/>
      <c r="E802" s="189"/>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c r="A803" s="116"/>
      <c r="B803" s="117"/>
      <c r="C803" s="116"/>
      <c r="D803" s="116"/>
      <c r="E803" s="189"/>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c r="A804" s="116"/>
      <c r="B804" s="117"/>
      <c r="C804" s="116"/>
      <c r="D804" s="116"/>
      <c r="E804" s="189"/>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c r="A805" s="116"/>
      <c r="B805" s="117"/>
      <c r="C805" s="116"/>
      <c r="D805" s="116"/>
      <c r="E805" s="189"/>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c r="A806" s="116"/>
      <c r="B806" s="117"/>
      <c r="C806" s="116"/>
      <c r="D806" s="116"/>
      <c r="E806" s="189"/>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c r="A807" s="116"/>
      <c r="B807" s="117"/>
      <c r="C807" s="116"/>
      <c r="D807" s="116"/>
      <c r="E807" s="189"/>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c r="A808" s="116"/>
      <c r="B808" s="117"/>
      <c r="C808" s="116"/>
      <c r="D808" s="116"/>
      <c r="E808" s="189"/>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c r="A809" s="116"/>
      <c r="B809" s="117"/>
      <c r="C809" s="116"/>
      <c r="D809" s="116"/>
      <c r="E809" s="189"/>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c r="A810" s="116"/>
      <c r="B810" s="117"/>
      <c r="C810" s="116"/>
      <c r="D810" s="116"/>
      <c r="E810" s="189"/>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c r="A811" s="116"/>
      <c r="B811" s="117"/>
      <c r="C811" s="116"/>
      <c r="D811" s="116"/>
      <c r="E811" s="189"/>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c r="A812" s="116"/>
      <c r="B812" s="117"/>
      <c r="C812" s="116"/>
      <c r="D812" s="116"/>
      <c r="E812" s="189"/>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c r="A813" s="116"/>
      <c r="B813" s="117"/>
      <c r="C813" s="116"/>
      <c r="D813" s="116"/>
      <c r="E813" s="189"/>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c r="A814" s="116"/>
      <c r="B814" s="117"/>
      <c r="C814" s="116"/>
      <c r="D814" s="116"/>
      <c r="E814" s="189"/>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c r="A815" s="116"/>
      <c r="B815" s="117"/>
      <c r="C815" s="116"/>
      <c r="D815" s="116"/>
      <c r="E815" s="189"/>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c r="A816" s="116"/>
      <c r="B816" s="117"/>
      <c r="C816" s="116"/>
      <c r="D816" s="116"/>
      <c r="E816" s="189"/>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c r="A817" s="116"/>
      <c r="B817" s="117"/>
      <c r="C817" s="116"/>
      <c r="D817" s="116"/>
      <c r="E817" s="189"/>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c r="A818" s="116"/>
      <c r="B818" s="117"/>
      <c r="C818" s="116"/>
      <c r="D818" s="116"/>
      <c r="E818" s="189"/>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c r="A819" s="116"/>
      <c r="B819" s="117"/>
      <c r="C819" s="116"/>
      <c r="D819" s="116"/>
      <c r="E819" s="189"/>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c r="A820" s="116"/>
      <c r="B820" s="117"/>
      <c r="C820" s="116"/>
      <c r="D820" s="116"/>
      <c r="E820" s="189"/>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c r="A821" s="116"/>
      <c r="B821" s="117"/>
      <c r="C821" s="116"/>
      <c r="D821" s="116"/>
      <c r="E821" s="189"/>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c r="A822" s="116"/>
      <c r="B822" s="117"/>
      <c r="C822" s="116"/>
      <c r="D822" s="116"/>
      <c r="E822" s="189"/>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c r="A823" s="116"/>
      <c r="B823" s="117"/>
      <c r="C823" s="116"/>
      <c r="D823" s="116"/>
      <c r="E823" s="189"/>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c r="A824" s="116"/>
      <c r="B824" s="117"/>
      <c r="C824" s="116"/>
      <c r="D824" s="116"/>
      <c r="E824" s="189"/>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c r="A825" s="116"/>
      <c r="B825" s="117"/>
      <c r="C825" s="116"/>
      <c r="D825" s="116"/>
      <c r="E825" s="189"/>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c r="A826" s="116"/>
      <c r="B826" s="117"/>
      <c r="C826" s="116"/>
      <c r="D826" s="116"/>
      <c r="E826" s="189"/>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c r="A827" s="116"/>
      <c r="B827" s="117"/>
      <c r="C827" s="116"/>
      <c r="D827" s="116"/>
      <c r="E827" s="189"/>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c r="A828" s="116"/>
      <c r="B828" s="117"/>
      <c r="C828" s="116"/>
      <c r="D828" s="116"/>
      <c r="E828" s="189"/>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c r="A829" s="116"/>
      <c r="B829" s="117"/>
      <c r="C829" s="116"/>
      <c r="D829" s="116"/>
      <c r="E829" s="189"/>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c r="A830" s="116"/>
      <c r="B830" s="117"/>
      <c r="C830" s="116"/>
      <c r="D830" s="116"/>
      <c r="E830" s="189"/>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c r="A831" s="116"/>
      <c r="B831" s="117"/>
      <c r="C831" s="116"/>
      <c r="D831" s="116"/>
      <c r="E831" s="189"/>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c r="A832" s="116"/>
      <c r="B832" s="117"/>
      <c r="C832" s="116"/>
      <c r="D832" s="116"/>
      <c r="E832" s="189"/>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c r="A833" s="116"/>
      <c r="B833" s="117"/>
      <c r="C833" s="116"/>
      <c r="D833" s="116"/>
      <c r="E833" s="189"/>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c r="A834" s="116"/>
      <c r="B834" s="117"/>
      <c r="C834" s="116"/>
      <c r="D834" s="116"/>
      <c r="E834" s="189"/>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c r="A835" s="116"/>
      <c r="B835" s="117"/>
      <c r="C835" s="116"/>
      <c r="D835" s="116"/>
      <c r="E835" s="189"/>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c r="A836" s="116"/>
      <c r="B836" s="117"/>
      <c r="C836" s="116"/>
      <c r="D836" s="116"/>
      <c r="E836" s="189"/>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c r="A837" s="116"/>
      <c r="B837" s="117"/>
      <c r="C837" s="116"/>
      <c r="D837" s="116"/>
      <c r="E837" s="189"/>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c r="A838" s="116"/>
      <c r="B838" s="117"/>
      <c r="C838" s="116"/>
      <c r="D838" s="116"/>
      <c r="E838" s="189"/>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c r="A839" s="116"/>
      <c r="B839" s="117"/>
      <c r="C839" s="116"/>
      <c r="D839" s="116"/>
      <c r="E839" s="189"/>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c r="A840" s="116"/>
      <c r="B840" s="117"/>
      <c r="C840" s="116"/>
      <c r="D840" s="116"/>
      <c r="E840" s="189"/>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c r="A841" s="116"/>
      <c r="B841" s="117"/>
      <c r="C841" s="116"/>
      <c r="D841" s="116"/>
      <c r="E841" s="189"/>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c r="A842" s="116"/>
      <c r="B842" s="117"/>
      <c r="C842" s="116"/>
      <c r="D842" s="116"/>
      <c r="E842" s="189"/>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c r="A843" s="116"/>
      <c r="B843" s="117"/>
      <c r="C843" s="116"/>
      <c r="D843" s="116"/>
      <c r="E843" s="189"/>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c r="A844" s="116"/>
      <c r="B844" s="117"/>
      <c r="C844" s="116"/>
      <c r="D844" s="116"/>
      <c r="E844" s="189"/>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c r="A845" s="116"/>
      <c r="B845" s="117"/>
      <c r="C845" s="116"/>
      <c r="D845" s="116"/>
      <c r="E845" s="189"/>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c r="A846" s="116"/>
      <c r="B846" s="117"/>
      <c r="C846" s="116"/>
      <c r="D846" s="116"/>
      <c r="E846" s="189"/>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c r="A847" s="116"/>
      <c r="B847" s="117"/>
      <c r="C847" s="116"/>
      <c r="D847" s="116"/>
      <c r="E847" s="189"/>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c r="A848" s="116"/>
      <c r="B848" s="117"/>
      <c r="C848" s="116"/>
      <c r="D848" s="116"/>
      <c r="E848" s="189"/>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c r="A849" s="116"/>
      <c r="B849" s="117"/>
      <c r="C849" s="116"/>
      <c r="D849" s="116"/>
      <c r="E849" s="189"/>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c r="A850" s="116"/>
      <c r="B850" s="117"/>
      <c r="C850" s="116"/>
      <c r="D850" s="116"/>
      <c r="E850" s="189"/>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c r="A851" s="116"/>
      <c r="B851" s="117"/>
      <c r="C851" s="116"/>
      <c r="D851" s="116"/>
      <c r="E851" s="189"/>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c r="A852" s="116"/>
      <c r="B852" s="117"/>
      <c r="C852" s="116"/>
      <c r="D852" s="116"/>
      <c r="E852" s="189"/>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c r="A853" s="116"/>
      <c r="B853" s="117"/>
      <c r="C853" s="116"/>
      <c r="D853" s="116"/>
      <c r="E853" s="189"/>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c r="A854" s="116"/>
      <c r="B854" s="117"/>
      <c r="C854" s="116"/>
      <c r="D854" s="116"/>
      <c r="E854" s="189"/>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c r="A855" s="116"/>
      <c r="B855" s="117"/>
      <c r="C855" s="116"/>
      <c r="D855" s="116"/>
      <c r="E855" s="189"/>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c r="A856" s="116"/>
      <c r="B856" s="117"/>
      <c r="C856" s="116"/>
      <c r="D856" s="116"/>
      <c r="E856" s="189"/>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c r="A857" s="116"/>
      <c r="B857" s="117"/>
      <c r="C857" s="116"/>
      <c r="D857" s="116"/>
      <c r="E857" s="189"/>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c r="A858" s="116"/>
      <c r="B858" s="117"/>
      <c r="C858" s="116"/>
      <c r="D858" s="116"/>
      <c r="E858" s="189"/>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c r="A859" s="116"/>
      <c r="B859" s="117"/>
      <c r="C859" s="116"/>
      <c r="D859" s="116"/>
      <c r="E859" s="189"/>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c r="A860" s="116"/>
      <c r="B860" s="117"/>
      <c r="C860" s="116"/>
      <c r="D860" s="116"/>
      <c r="E860" s="189"/>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c r="A861" s="116"/>
      <c r="B861" s="117"/>
      <c r="C861" s="116"/>
      <c r="D861" s="116"/>
      <c r="E861" s="189"/>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c r="A862" s="116"/>
      <c r="B862" s="117"/>
      <c r="C862" s="116"/>
      <c r="D862" s="116"/>
      <c r="E862" s="189"/>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c r="A863" s="116"/>
      <c r="B863" s="117"/>
      <c r="C863" s="116"/>
      <c r="D863" s="116"/>
      <c r="E863" s="189"/>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c r="A864" s="116"/>
      <c r="B864" s="117"/>
      <c r="C864" s="116"/>
      <c r="D864" s="116"/>
      <c r="E864" s="189"/>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c r="A865" s="116"/>
      <c r="B865" s="117"/>
      <c r="C865" s="116"/>
      <c r="D865" s="116"/>
      <c r="E865" s="189"/>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c r="A866" s="116"/>
      <c r="B866" s="117"/>
      <c r="C866" s="116"/>
      <c r="D866" s="116"/>
      <c r="E866" s="189"/>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c r="A867" s="116"/>
      <c r="B867" s="117"/>
      <c r="C867" s="116"/>
      <c r="D867" s="116"/>
      <c r="E867" s="189"/>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c r="A868" s="116"/>
      <c r="B868" s="117"/>
      <c r="C868" s="116"/>
      <c r="D868" s="116"/>
      <c r="E868" s="189"/>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c r="A869" s="116"/>
      <c r="B869" s="117"/>
      <c r="C869" s="116"/>
      <c r="D869" s="116"/>
      <c r="E869" s="189"/>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c r="A870" s="116"/>
      <c r="B870" s="117"/>
      <c r="C870" s="116"/>
      <c r="D870" s="116"/>
      <c r="E870" s="189"/>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c r="A871" s="116"/>
      <c r="B871" s="117"/>
      <c r="C871" s="116"/>
      <c r="D871" s="116"/>
      <c r="E871" s="189"/>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c r="A872" s="116"/>
      <c r="B872" s="117"/>
      <c r="C872" s="116"/>
      <c r="D872" s="116"/>
      <c r="E872" s="189"/>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c r="A873" s="116"/>
      <c r="B873" s="117"/>
      <c r="C873" s="116"/>
      <c r="D873" s="116"/>
      <c r="E873" s="189"/>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c r="A874" s="116"/>
      <c r="B874" s="117"/>
      <c r="C874" s="116"/>
      <c r="D874" s="116"/>
      <c r="E874" s="189"/>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c r="A875" s="116"/>
      <c r="B875" s="117"/>
      <c r="C875" s="116"/>
      <c r="D875" s="116"/>
      <c r="E875" s="189"/>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c r="A876" s="116"/>
      <c r="B876" s="117"/>
      <c r="C876" s="116"/>
      <c r="D876" s="116"/>
      <c r="E876" s="189"/>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c r="A877" s="116"/>
      <c r="B877" s="117"/>
      <c r="C877" s="116"/>
      <c r="D877" s="116"/>
      <c r="E877" s="189"/>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c r="A878" s="116"/>
      <c r="B878" s="117"/>
      <c r="C878" s="116"/>
      <c r="D878" s="116"/>
      <c r="E878" s="189"/>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c r="A879" s="116"/>
      <c r="B879" s="117"/>
      <c r="C879" s="116"/>
      <c r="D879" s="116"/>
      <c r="E879" s="189"/>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c r="A880" s="116"/>
      <c r="B880" s="117"/>
      <c r="C880" s="116"/>
      <c r="D880" s="116"/>
      <c r="E880" s="189"/>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c r="A881" s="116"/>
      <c r="B881" s="117"/>
      <c r="C881" s="116"/>
      <c r="D881" s="116"/>
      <c r="E881" s="189"/>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c r="A882" s="116"/>
      <c r="B882" s="117"/>
      <c r="C882" s="116"/>
      <c r="D882" s="116"/>
      <c r="E882" s="189"/>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c r="A883" s="116"/>
      <c r="B883" s="117"/>
      <c r="C883" s="116"/>
      <c r="D883" s="116"/>
      <c r="E883" s="189"/>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c r="A884" s="116"/>
      <c r="B884" s="117"/>
      <c r="C884" s="116"/>
      <c r="D884" s="116"/>
      <c r="E884" s="189"/>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c r="A885" s="116"/>
      <c r="B885" s="117"/>
      <c r="C885" s="116"/>
      <c r="D885" s="116"/>
      <c r="E885" s="189"/>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c r="A886" s="116"/>
      <c r="B886" s="117"/>
      <c r="C886" s="116"/>
      <c r="D886" s="116"/>
      <c r="E886" s="189"/>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c r="A887" s="116"/>
      <c r="B887" s="117"/>
      <c r="C887" s="116"/>
      <c r="D887" s="116"/>
      <c r="E887" s="189"/>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c r="A888" s="116"/>
      <c r="B888" s="117"/>
      <c r="C888" s="116"/>
      <c r="D888" s="116"/>
      <c r="E888" s="189"/>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c r="A889" s="116"/>
      <c r="B889" s="117"/>
      <c r="C889" s="116"/>
      <c r="D889" s="116"/>
      <c r="E889" s="189"/>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c r="A890" s="116"/>
      <c r="B890" s="117"/>
      <c r="C890" s="116"/>
      <c r="D890" s="116"/>
      <c r="E890" s="189"/>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c r="A891" s="116"/>
      <c r="B891" s="117"/>
      <c r="C891" s="116"/>
      <c r="D891" s="116"/>
      <c r="E891" s="189"/>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c r="A892" s="116"/>
      <c r="B892" s="117"/>
      <c r="C892" s="116"/>
      <c r="D892" s="116"/>
      <c r="E892" s="189"/>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c r="A893" s="116"/>
      <c r="B893" s="117"/>
      <c r="C893" s="116"/>
      <c r="D893" s="116"/>
      <c r="E893" s="189"/>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c r="A894" s="116"/>
      <c r="B894" s="117"/>
      <c r="C894" s="116"/>
      <c r="D894" s="116"/>
      <c r="E894" s="189"/>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c r="A895" s="116"/>
      <c r="B895" s="117"/>
      <c r="C895" s="116"/>
      <c r="D895" s="116"/>
      <c r="E895" s="189"/>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c r="A896" s="116"/>
      <c r="B896" s="117"/>
      <c r="C896" s="116"/>
      <c r="D896" s="116"/>
      <c r="E896" s="189"/>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c r="A897" s="116"/>
      <c r="B897" s="117"/>
      <c r="C897" s="116"/>
      <c r="D897" s="116"/>
      <c r="E897" s="189"/>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c r="A898" s="116"/>
      <c r="B898" s="117"/>
      <c r="C898" s="116"/>
      <c r="D898" s="116"/>
      <c r="E898" s="189"/>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c r="A899" s="116"/>
      <c r="B899" s="117"/>
      <c r="C899" s="116"/>
      <c r="D899" s="116"/>
      <c r="E899" s="189"/>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c r="A900" s="116"/>
      <c r="B900" s="117"/>
      <c r="C900" s="116"/>
      <c r="D900" s="116"/>
      <c r="E900" s="189"/>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c r="A901" s="116"/>
      <c r="B901" s="117"/>
      <c r="C901" s="116"/>
      <c r="D901" s="116"/>
      <c r="E901" s="189"/>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c r="A902" s="116"/>
      <c r="B902" s="117"/>
      <c r="C902" s="116"/>
      <c r="D902" s="116"/>
      <c r="E902" s="189"/>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c r="A903" s="116"/>
      <c r="B903" s="117"/>
      <c r="C903" s="116"/>
      <c r="D903" s="116"/>
      <c r="E903" s="189"/>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c r="A904" s="116"/>
      <c r="B904" s="117"/>
      <c r="C904" s="116"/>
      <c r="D904" s="116"/>
      <c r="E904" s="189"/>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c r="A905" s="116"/>
      <c r="B905" s="117"/>
      <c r="C905" s="116"/>
      <c r="D905" s="116"/>
      <c r="E905" s="189"/>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c r="A906" s="116"/>
      <c r="B906" s="117"/>
      <c r="C906" s="116"/>
      <c r="D906" s="116"/>
      <c r="E906" s="189"/>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c r="A907" s="116"/>
      <c r="B907" s="117"/>
      <c r="C907" s="116"/>
      <c r="D907" s="116"/>
      <c r="E907" s="189"/>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c r="A908" s="116"/>
      <c r="B908" s="117"/>
      <c r="C908" s="116"/>
      <c r="D908" s="116"/>
      <c r="E908" s="189"/>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c r="A909" s="116"/>
      <c r="B909" s="117"/>
      <c r="C909" s="116"/>
      <c r="D909" s="116"/>
      <c r="E909" s="189"/>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c r="A910" s="116"/>
      <c r="B910" s="117"/>
      <c r="C910" s="116"/>
      <c r="D910" s="116"/>
      <c r="E910" s="189"/>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c r="A911" s="116"/>
      <c r="B911" s="117"/>
      <c r="C911" s="116"/>
      <c r="D911" s="116"/>
      <c r="E911" s="189"/>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c r="A912" s="116"/>
      <c r="B912" s="117"/>
      <c r="C912" s="116"/>
      <c r="D912" s="116"/>
      <c r="E912" s="189"/>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c r="A913" s="116"/>
      <c r="B913" s="117"/>
      <c r="C913" s="116"/>
      <c r="D913" s="116"/>
      <c r="E913" s="189"/>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c r="A914" s="116"/>
      <c r="B914" s="117"/>
      <c r="C914" s="116"/>
      <c r="D914" s="116"/>
      <c r="E914" s="189"/>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c r="A915" s="116"/>
      <c r="B915" s="117"/>
      <c r="C915" s="116"/>
      <c r="D915" s="116"/>
      <c r="E915" s="189"/>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c r="A916" s="116"/>
      <c r="B916" s="117"/>
      <c r="C916" s="116"/>
      <c r="D916" s="116"/>
      <c r="E916" s="189"/>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c r="A917" s="116"/>
      <c r="B917" s="117"/>
      <c r="C917" s="116"/>
      <c r="D917" s="116"/>
      <c r="E917" s="189"/>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c r="A918" s="116"/>
      <c r="B918" s="117"/>
      <c r="C918" s="116"/>
      <c r="D918" s="116"/>
      <c r="E918" s="189"/>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c r="A919" s="116"/>
      <c r="B919" s="117"/>
      <c r="C919" s="116"/>
      <c r="D919" s="116"/>
      <c r="E919" s="189"/>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c r="A920" s="116"/>
      <c r="B920" s="117"/>
      <c r="C920" s="116"/>
      <c r="D920" s="116"/>
      <c r="E920" s="189"/>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c r="A921" s="116"/>
      <c r="B921" s="117"/>
      <c r="C921" s="116"/>
      <c r="D921" s="116"/>
      <c r="E921" s="189"/>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c r="A922" s="116"/>
      <c r="B922" s="117"/>
      <c r="C922" s="116"/>
      <c r="D922" s="116"/>
      <c r="E922" s="189"/>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c r="A923" s="116"/>
      <c r="B923" s="117"/>
      <c r="C923" s="116"/>
      <c r="D923" s="116"/>
      <c r="E923" s="189"/>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c r="A924" s="116"/>
      <c r="B924" s="117"/>
      <c r="C924" s="116"/>
      <c r="D924" s="116"/>
      <c r="E924" s="189"/>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c r="A925" s="116"/>
      <c r="B925" s="117"/>
      <c r="C925" s="116"/>
      <c r="D925" s="116"/>
      <c r="E925" s="189"/>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c r="A926" s="116"/>
      <c r="B926" s="117"/>
      <c r="C926" s="116"/>
      <c r="D926" s="116"/>
      <c r="E926" s="189"/>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c r="A927" s="116"/>
      <c r="B927" s="117"/>
      <c r="C927" s="116"/>
      <c r="D927" s="116"/>
      <c r="E927" s="189"/>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c r="A928" s="116"/>
      <c r="B928" s="117"/>
      <c r="C928" s="116"/>
      <c r="D928" s="116"/>
      <c r="E928" s="189"/>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c r="A929" s="116"/>
      <c r="B929" s="117"/>
      <c r="C929" s="116"/>
      <c r="D929" s="116"/>
      <c r="E929" s="189"/>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c r="A930" s="116"/>
      <c r="B930" s="117"/>
      <c r="C930" s="116"/>
      <c r="D930" s="116"/>
      <c r="E930" s="189"/>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c r="A931" s="116"/>
      <c r="B931" s="117"/>
      <c r="C931" s="116"/>
      <c r="D931" s="116"/>
      <c r="E931" s="189"/>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c r="A932" s="116"/>
      <c r="B932" s="117"/>
      <c r="C932" s="116"/>
      <c r="D932" s="116"/>
      <c r="E932" s="189"/>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c r="A933" s="116"/>
      <c r="B933" s="117"/>
      <c r="C933" s="116"/>
      <c r="D933" s="116"/>
      <c r="E933" s="189"/>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c r="A934" s="116"/>
      <c r="B934" s="117"/>
      <c r="C934" s="116"/>
      <c r="D934" s="116"/>
      <c r="E934" s="189"/>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c r="A935" s="116"/>
      <c r="B935" s="117"/>
      <c r="C935" s="116"/>
      <c r="D935" s="116"/>
      <c r="E935" s="189"/>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c r="A936" s="116"/>
      <c r="B936" s="117"/>
      <c r="C936" s="116"/>
      <c r="D936" s="116"/>
      <c r="E936" s="189"/>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c r="A937" s="116"/>
      <c r="B937" s="117"/>
      <c r="C937" s="116"/>
      <c r="D937" s="116"/>
      <c r="E937" s="189"/>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c r="A938" s="116"/>
      <c r="B938" s="117"/>
      <c r="C938" s="116"/>
      <c r="D938" s="116"/>
      <c r="E938" s="189"/>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c r="A939" s="116"/>
      <c r="B939" s="117"/>
      <c r="C939" s="116"/>
      <c r="D939" s="116"/>
      <c r="E939" s="189"/>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c r="A940" s="116"/>
      <c r="B940" s="117"/>
      <c r="C940" s="116"/>
      <c r="D940" s="116"/>
      <c r="E940" s="189"/>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c r="A941" s="116"/>
      <c r="B941" s="117"/>
      <c r="C941" s="116"/>
      <c r="D941" s="116"/>
      <c r="E941" s="189"/>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c r="A942" s="116"/>
      <c r="B942" s="117"/>
      <c r="C942" s="116"/>
      <c r="D942" s="116"/>
      <c r="E942" s="189"/>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c r="A943" s="116"/>
      <c r="B943" s="117"/>
      <c r="C943" s="116"/>
      <c r="D943" s="116"/>
      <c r="E943" s="189"/>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c r="A944" s="116"/>
      <c r="B944" s="117"/>
      <c r="C944" s="116"/>
      <c r="D944" s="116"/>
      <c r="E944" s="189"/>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c r="A945" s="116"/>
      <c r="B945" s="117"/>
      <c r="C945" s="116"/>
      <c r="D945" s="116"/>
      <c r="E945" s="189"/>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c r="A946" s="116"/>
      <c r="B946" s="117"/>
      <c r="C946" s="116"/>
      <c r="D946" s="116"/>
      <c r="E946" s="189"/>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c r="A947" s="116"/>
      <c r="B947" s="117"/>
      <c r="C947" s="116"/>
      <c r="D947" s="116"/>
      <c r="E947" s="189"/>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c r="A948" s="116"/>
      <c r="B948" s="117"/>
      <c r="C948" s="116"/>
      <c r="D948" s="116"/>
      <c r="E948" s="189"/>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c r="A949" s="116"/>
      <c r="B949" s="117"/>
      <c r="C949" s="116"/>
      <c r="D949" s="116"/>
      <c r="E949" s="189"/>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c r="A950" s="116"/>
      <c r="B950" s="117"/>
      <c r="C950" s="116"/>
      <c r="D950" s="116"/>
      <c r="E950" s="189"/>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c r="A951" s="116"/>
      <c r="B951" s="117"/>
      <c r="C951" s="116"/>
      <c r="D951" s="116"/>
      <c r="E951" s="189"/>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c r="A952" s="116"/>
      <c r="B952" s="117"/>
      <c r="C952" s="116"/>
      <c r="D952" s="116"/>
      <c r="E952" s="189"/>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c r="A953" s="116"/>
      <c r="B953" s="117"/>
      <c r="C953" s="116"/>
      <c r="D953" s="116"/>
      <c r="E953" s="189"/>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c r="A954" s="116"/>
      <c r="B954" s="117"/>
      <c r="C954" s="116"/>
      <c r="D954" s="116"/>
      <c r="E954" s="189"/>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c r="A955" s="116"/>
      <c r="B955" s="117"/>
      <c r="C955" s="116"/>
      <c r="D955" s="116"/>
      <c r="E955" s="189"/>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c r="A956" s="116"/>
      <c r="B956" s="117"/>
      <c r="C956" s="116"/>
      <c r="D956" s="116"/>
      <c r="E956" s="189"/>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c r="A957" s="116"/>
      <c r="B957" s="117"/>
      <c r="C957" s="116"/>
      <c r="D957" s="116"/>
      <c r="E957" s="189"/>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c r="A958" s="116"/>
      <c r="B958" s="117"/>
      <c r="C958" s="116"/>
      <c r="D958" s="116"/>
      <c r="E958" s="189"/>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c r="A959" s="116"/>
      <c r="B959" s="117"/>
      <c r="C959" s="116"/>
      <c r="D959" s="116"/>
      <c r="E959" s="189"/>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c r="A960" s="116"/>
      <c r="B960" s="117"/>
      <c r="C960" s="116"/>
      <c r="D960" s="116"/>
      <c r="E960" s="189"/>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c r="A961" s="116"/>
      <c r="B961" s="117"/>
      <c r="C961" s="116"/>
      <c r="D961" s="116"/>
      <c r="E961" s="189"/>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c r="A962" s="116"/>
      <c r="B962" s="117"/>
      <c r="C962" s="116"/>
      <c r="D962" s="116"/>
      <c r="E962" s="189"/>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c r="A963" s="116"/>
      <c r="B963" s="117"/>
      <c r="C963" s="116"/>
      <c r="D963" s="116"/>
      <c r="E963" s="189"/>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c r="A964" s="116"/>
      <c r="B964" s="117"/>
      <c r="C964" s="116"/>
      <c r="D964" s="116"/>
      <c r="E964" s="189"/>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c r="A965" s="116"/>
      <c r="B965" s="117"/>
      <c r="C965" s="116"/>
      <c r="D965" s="116"/>
      <c r="E965" s="189"/>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c r="A966" s="116"/>
      <c r="B966" s="117"/>
      <c r="C966" s="116"/>
      <c r="D966" s="116"/>
      <c r="E966" s="189"/>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c r="A967" s="116"/>
      <c r="B967" s="117"/>
      <c r="C967" s="116"/>
      <c r="D967" s="116"/>
      <c r="E967" s="189"/>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c r="A968" s="116"/>
      <c r="B968" s="117"/>
      <c r="C968" s="116"/>
      <c r="D968" s="116"/>
      <c r="E968" s="189"/>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c r="A969" s="116"/>
      <c r="B969" s="117"/>
      <c r="C969" s="116"/>
      <c r="D969" s="116"/>
      <c r="E969" s="189"/>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c r="A970" s="116"/>
      <c r="B970" s="117"/>
      <c r="C970" s="116"/>
      <c r="D970" s="116"/>
      <c r="E970" s="189"/>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c r="A971" s="116"/>
      <c r="B971" s="117"/>
      <c r="C971" s="116"/>
      <c r="D971" s="116"/>
      <c r="E971" s="189"/>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c r="A972" s="116"/>
      <c r="B972" s="117"/>
      <c r="C972" s="116"/>
      <c r="D972" s="116"/>
      <c r="E972" s="189"/>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c r="A973" s="116"/>
      <c r="B973" s="117"/>
      <c r="C973" s="116"/>
      <c r="D973" s="116"/>
      <c r="E973" s="189"/>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c r="A974" s="116"/>
      <c r="B974" s="117"/>
      <c r="C974" s="116"/>
      <c r="D974" s="116"/>
      <c r="E974" s="189"/>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c r="A975" s="116"/>
      <c r="B975" s="117"/>
      <c r="C975" s="116"/>
      <c r="D975" s="116"/>
      <c r="E975" s="189"/>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c r="A976" s="116"/>
      <c r="B976" s="117"/>
      <c r="C976" s="116"/>
      <c r="D976" s="116"/>
      <c r="E976" s="189"/>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c r="A977" s="116"/>
      <c r="B977" s="117"/>
      <c r="C977" s="116"/>
      <c r="D977" s="116"/>
      <c r="E977" s="189"/>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c r="A978" s="116"/>
      <c r="B978" s="117"/>
      <c r="C978" s="116"/>
      <c r="D978" s="116"/>
      <c r="E978" s="189"/>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c r="A979" s="116"/>
      <c r="B979" s="117"/>
      <c r="C979" s="116"/>
      <c r="D979" s="116"/>
      <c r="E979" s="189"/>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c r="A980" s="116"/>
      <c r="B980" s="117"/>
      <c r="C980" s="116"/>
      <c r="D980" s="116"/>
      <c r="E980" s="189"/>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c r="A981" s="116"/>
      <c r="B981" s="117"/>
      <c r="C981" s="116"/>
      <c r="D981" s="116"/>
      <c r="E981" s="189"/>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c r="A982" s="116"/>
      <c r="B982" s="117"/>
      <c r="C982" s="116"/>
      <c r="D982" s="116"/>
      <c r="E982" s="189"/>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c r="A983" s="116"/>
      <c r="B983" s="117"/>
      <c r="C983" s="116"/>
      <c r="D983" s="116"/>
      <c r="E983" s="189"/>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c r="A984" s="116"/>
      <c r="B984" s="117"/>
      <c r="C984" s="116"/>
      <c r="D984" s="116"/>
      <c r="E984" s="189"/>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c r="A985" s="116"/>
      <c r="B985" s="117"/>
      <c r="C985" s="116"/>
      <c r="D985" s="116"/>
      <c r="E985" s="189"/>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c r="A986" s="116"/>
      <c r="B986" s="117"/>
      <c r="C986" s="116"/>
      <c r="D986" s="116"/>
      <c r="E986" s="189"/>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c r="A987" s="116"/>
      <c r="B987" s="117"/>
      <c r="C987" s="116"/>
      <c r="D987" s="116"/>
      <c r="E987" s="189"/>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c r="A988" s="116"/>
      <c r="B988" s="117"/>
      <c r="C988" s="116"/>
      <c r="D988" s="116"/>
      <c r="E988" s="189"/>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c r="A989" s="116"/>
      <c r="B989" s="117"/>
      <c r="C989" s="116"/>
      <c r="D989" s="116"/>
      <c r="E989" s="189"/>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c r="A990" s="116"/>
      <c r="B990" s="117"/>
      <c r="C990" s="116"/>
      <c r="D990" s="116"/>
      <c r="E990" s="189"/>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c r="A991" s="116"/>
      <c r="B991" s="117"/>
      <c r="C991" s="116"/>
      <c r="D991" s="116"/>
      <c r="E991" s="189"/>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c r="A992" s="116"/>
      <c r="B992" s="117"/>
      <c r="C992" s="116"/>
      <c r="D992" s="116"/>
      <c r="E992" s="189"/>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c r="A993" s="116"/>
      <c r="B993" s="117"/>
      <c r="C993" s="116"/>
      <c r="D993" s="116"/>
      <c r="E993" s="189"/>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c r="A994" s="116"/>
      <c r="B994" s="117"/>
      <c r="C994" s="116"/>
      <c r="D994" s="116"/>
      <c r="E994" s="189"/>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c r="A995" s="116"/>
      <c r="B995" s="117"/>
      <c r="C995" s="116"/>
      <c r="D995" s="116"/>
      <c r="E995" s="189"/>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c r="A996" s="116"/>
      <c r="B996" s="117"/>
      <c r="C996" s="116"/>
      <c r="D996" s="116"/>
      <c r="E996" s="189"/>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c r="A997" s="116"/>
      <c r="B997" s="117"/>
      <c r="C997" s="116"/>
      <c r="D997" s="116"/>
      <c r="E997" s="189"/>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c r="A998" s="116"/>
      <c r="B998" s="117"/>
      <c r="C998" s="116"/>
      <c r="D998" s="116"/>
      <c r="E998" s="189"/>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c r="A999" s="116"/>
      <c r="B999" s="117"/>
      <c r="C999" s="116"/>
      <c r="D999" s="116"/>
      <c r="E999" s="189"/>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c r="A1000" s="116"/>
      <c r="B1000" s="117"/>
      <c r="C1000" s="116"/>
      <c r="D1000" s="116"/>
      <c r="E1000" s="189"/>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row r="1001" ht="15.75" customHeight="1">
      <c r="A1001" s="116"/>
      <c r="B1001" s="117"/>
      <c r="C1001" s="116"/>
      <c r="D1001" s="116"/>
      <c r="E1001" s="189"/>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row>
    <row r="1002" ht="15.75" customHeight="1">
      <c r="A1002" s="116"/>
      <c r="B1002" s="117"/>
      <c r="C1002" s="116"/>
      <c r="D1002" s="116"/>
      <c r="E1002" s="189"/>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c r="AC1002" s="63"/>
      <c r="AD1002" s="63"/>
      <c r="AE1002" s="63"/>
      <c r="AF1002" s="63"/>
    </row>
    <row r="1003" ht="15.75" customHeight="1">
      <c r="A1003" s="116"/>
      <c r="B1003" s="117"/>
      <c r="C1003" s="116"/>
      <c r="D1003" s="116"/>
      <c r="E1003" s="189"/>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c r="AC1003" s="63"/>
      <c r="AD1003" s="63"/>
      <c r="AE1003" s="63"/>
      <c r="AF1003" s="63"/>
    </row>
    <row r="1004" ht="15.75" customHeight="1">
      <c r="A1004" s="116"/>
      <c r="B1004" s="117"/>
      <c r="C1004" s="116"/>
      <c r="D1004" s="116"/>
      <c r="E1004" s="189"/>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c r="AC1004" s="63"/>
      <c r="AD1004" s="63"/>
      <c r="AE1004" s="63"/>
      <c r="AF1004" s="63"/>
    </row>
    <row r="1005" ht="15.75" customHeight="1">
      <c r="A1005" s="116"/>
      <c r="B1005" s="117"/>
      <c r="C1005" s="116"/>
      <c r="D1005" s="116"/>
      <c r="E1005" s="189"/>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c r="AC1005" s="63"/>
      <c r="AD1005" s="63"/>
      <c r="AE1005" s="63"/>
      <c r="AF1005" s="63"/>
    </row>
    <row r="1006" ht="15.75" customHeight="1">
      <c r="A1006" s="116"/>
      <c r="B1006" s="117"/>
      <c r="C1006" s="116"/>
      <c r="D1006" s="116"/>
      <c r="E1006" s="189"/>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c r="AB1006" s="63"/>
      <c r="AC1006" s="63"/>
      <c r="AD1006" s="63"/>
      <c r="AE1006" s="63"/>
      <c r="AF1006" s="63"/>
    </row>
    <row r="1007" ht="15.75" customHeight="1">
      <c r="A1007" s="116"/>
      <c r="B1007" s="117"/>
      <c r="C1007" s="116"/>
      <c r="D1007" s="116"/>
      <c r="E1007" s="189"/>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c r="AB1007" s="63"/>
      <c r="AC1007" s="63"/>
      <c r="AD1007" s="63"/>
      <c r="AE1007" s="63"/>
      <c r="AF1007" s="63"/>
    </row>
    <row r="1008" ht="15.75" customHeight="1">
      <c r="A1008" s="116"/>
      <c r="B1008" s="117"/>
      <c r="C1008" s="116"/>
      <c r="D1008" s="116"/>
      <c r="E1008" s="189"/>
      <c r="F1008" s="63"/>
      <c r="G1008" s="63"/>
      <c r="H1008" s="63"/>
      <c r="I1008" s="63"/>
      <c r="J1008" s="63"/>
      <c r="K1008" s="63"/>
      <c r="L1008" s="63"/>
      <c r="M1008" s="63"/>
      <c r="N1008" s="63"/>
      <c r="O1008" s="63"/>
      <c r="P1008" s="63"/>
      <c r="Q1008" s="63"/>
      <c r="R1008" s="63"/>
      <c r="S1008" s="63"/>
      <c r="T1008" s="63"/>
      <c r="U1008" s="63"/>
      <c r="V1008" s="63"/>
      <c r="W1008" s="63"/>
      <c r="X1008" s="63"/>
      <c r="Y1008" s="63"/>
      <c r="Z1008" s="63"/>
      <c r="AA1008" s="63"/>
      <c r="AB1008" s="63"/>
      <c r="AC1008" s="63"/>
      <c r="AD1008" s="63"/>
      <c r="AE1008" s="63"/>
      <c r="AF1008" s="63"/>
    </row>
    <row r="1009" ht="15.75" customHeight="1">
      <c r="A1009" s="116"/>
      <c r="B1009" s="117"/>
      <c r="C1009" s="116"/>
      <c r="D1009" s="116"/>
      <c r="E1009" s="189"/>
      <c r="F1009" s="63"/>
      <c r="G1009" s="63"/>
      <c r="H1009" s="63"/>
      <c r="I1009" s="63"/>
      <c r="J1009" s="63"/>
      <c r="K1009" s="63"/>
      <c r="L1009" s="63"/>
      <c r="M1009" s="63"/>
      <c r="N1009" s="63"/>
      <c r="O1009" s="63"/>
      <c r="P1009" s="63"/>
      <c r="Q1009" s="63"/>
      <c r="R1009" s="63"/>
      <c r="S1009" s="63"/>
      <c r="T1009" s="63"/>
      <c r="U1009" s="63"/>
      <c r="V1009" s="63"/>
      <c r="W1009" s="63"/>
      <c r="X1009" s="63"/>
      <c r="Y1009" s="63"/>
      <c r="Z1009" s="63"/>
      <c r="AA1009" s="63"/>
      <c r="AB1009" s="63"/>
      <c r="AC1009" s="63"/>
      <c r="AD1009" s="63"/>
      <c r="AE1009" s="63"/>
      <c r="AF1009" s="63"/>
    </row>
    <row r="1010" ht="15.75" customHeight="1">
      <c r="A1010" s="116"/>
      <c r="B1010" s="117"/>
      <c r="C1010" s="116"/>
      <c r="D1010" s="116"/>
      <c r="E1010" s="189"/>
      <c r="F1010" s="63"/>
      <c r="G1010" s="63"/>
      <c r="H1010" s="63"/>
      <c r="I1010" s="63"/>
      <c r="J1010" s="63"/>
      <c r="K1010" s="63"/>
      <c r="L1010" s="63"/>
      <c r="M1010" s="63"/>
      <c r="N1010" s="63"/>
      <c r="O1010" s="63"/>
      <c r="P1010" s="63"/>
      <c r="Q1010" s="63"/>
      <c r="R1010" s="63"/>
      <c r="S1010" s="63"/>
      <c r="T1010" s="63"/>
      <c r="U1010" s="63"/>
      <c r="V1010" s="63"/>
      <c r="W1010" s="63"/>
      <c r="X1010" s="63"/>
      <c r="Y1010" s="63"/>
      <c r="Z1010" s="63"/>
      <c r="AA1010" s="63"/>
      <c r="AB1010" s="63"/>
      <c r="AC1010" s="63"/>
      <c r="AD1010" s="63"/>
      <c r="AE1010" s="63"/>
      <c r="AF1010" s="63"/>
    </row>
    <row r="1011" ht="15.75" customHeight="1">
      <c r="A1011" s="116"/>
      <c r="B1011" s="117"/>
      <c r="C1011" s="116"/>
      <c r="D1011" s="116"/>
      <c r="E1011" s="189"/>
      <c r="F1011" s="63"/>
      <c r="G1011" s="63"/>
      <c r="H1011" s="63"/>
      <c r="I1011" s="63"/>
      <c r="J1011" s="63"/>
      <c r="K1011" s="63"/>
      <c r="L1011" s="63"/>
      <c r="M1011" s="63"/>
      <c r="N1011" s="63"/>
      <c r="O1011" s="63"/>
      <c r="P1011" s="63"/>
      <c r="Q1011" s="63"/>
      <c r="R1011" s="63"/>
      <c r="S1011" s="63"/>
      <c r="T1011" s="63"/>
      <c r="U1011" s="63"/>
      <c r="V1011" s="63"/>
      <c r="W1011" s="63"/>
      <c r="X1011" s="63"/>
      <c r="Y1011" s="63"/>
      <c r="Z1011" s="63"/>
      <c r="AA1011" s="63"/>
      <c r="AB1011" s="63"/>
      <c r="AC1011" s="63"/>
      <c r="AD1011" s="63"/>
      <c r="AE1011" s="63"/>
      <c r="AF1011" s="63"/>
    </row>
    <row r="1012" ht="15.75" customHeight="1">
      <c r="A1012" s="116"/>
      <c r="B1012" s="117"/>
      <c r="C1012" s="116"/>
      <c r="D1012" s="116"/>
      <c r="E1012" s="189"/>
      <c r="F1012" s="63"/>
      <c r="G1012" s="63"/>
      <c r="H1012" s="63"/>
      <c r="I1012" s="63"/>
      <c r="J1012" s="63"/>
      <c r="K1012" s="63"/>
      <c r="L1012" s="63"/>
      <c r="M1012" s="63"/>
      <c r="N1012" s="63"/>
      <c r="O1012" s="63"/>
      <c r="P1012" s="63"/>
      <c r="Q1012" s="63"/>
      <c r="R1012" s="63"/>
      <c r="S1012" s="63"/>
      <c r="T1012" s="63"/>
      <c r="U1012" s="63"/>
      <c r="V1012" s="63"/>
      <c r="W1012" s="63"/>
      <c r="X1012" s="63"/>
      <c r="Y1012" s="63"/>
      <c r="Z1012" s="63"/>
      <c r="AA1012" s="63"/>
      <c r="AB1012" s="63"/>
      <c r="AC1012" s="63"/>
      <c r="AD1012" s="63"/>
      <c r="AE1012" s="63"/>
      <c r="AF1012" s="63"/>
    </row>
    <row r="1013" ht="15.75" customHeight="1">
      <c r="A1013" s="116"/>
      <c r="B1013" s="117"/>
      <c r="C1013" s="116"/>
      <c r="D1013" s="116"/>
      <c r="E1013" s="189"/>
      <c r="F1013" s="63"/>
      <c r="G1013" s="63"/>
      <c r="H1013" s="63"/>
      <c r="I1013" s="63"/>
      <c r="J1013" s="63"/>
      <c r="K1013" s="63"/>
      <c r="L1013" s="63"/>
      <c r="M1013" s="63"/>
      <c r="N1013" s="63"/>
      <c r="O1013" s="63"/>
      <c r="P1013" s="63"/>
      <c r="Q1013" s="63"/>
      <c r="R1013" s="63"/>
      <c r="S1013" s="63"/>
      <c r="T1013" s="63"/>
      <c r="U1013" s="63"/>
      <c r="V1013" s="63"/>
      <c r="W1013" s="63"/>
      <c r="X1013" s="63"/>
      <c r="Y1013" s="63"/>
      <c r="Z1013" s="63"/>
      <c r="AA1013" s="63"/>
      <c r="AB1013" s="63"/>
      <c r="AC1013" s="63"/>
      <c r="AD1013" s="63"/>
      <c r="AE1013" s="63"/>
      <c r="AF1013" s="63"/>
    </row>
    <row r="1014" ht="15.75" customHeight="1">
      <c r="A1014" s="116"/>
      <c r="B1014" s="117"/>
      <c r="C1014" s="116"/>
      <c r="D1014" s="116"/>
      <c r="E1014" s="189"/>
      <c r="F1014" s="63"/>
      <c r="G1014" s="63"/>
      <c r="H1014" s="63"/>
      <c r="I1014" s="63"/>
      <c r="J1014" s="63"/>
      <c r="K1014" s="63"/>
      <c r="L1014" s="63"/>
      <c r="M1014" s="63"/>
      <c r="N1014" s="63"/>
      <c r="O1014" s="63"/>
      <c r="P1014" s="63"/>
      <c r="Q1014" s="63"/>
      <c r="R1014" s="63"/>
      <c r="S1014" s="63"/>
      <c r="T1014" s="63"/>
      <c r="U1014" s="63"/>
      <c r="V1014" s="63"/>
      <c r="W1014" s="63"/>
      <c r="X1014" s="63"/>
      <c r="Y1014" s="63"/>
      <c r="Z1014" s="63"/>
      <c r="AA1014" s="63"/>
      <c r="AB1014" s="63"/>
      <c r="AC1014" s="63"/>
      <c r="AD1014" s="63"/>
      <c r="AE1014" s="63"/>
      <c r="AF1014" s="63"/>
    </row>
    <row r="1015" ht="15.75" customHeight="1">
      <c r="A1015" s="116"/>
      <c r="B1015" s="117"/>
      <c r="C1015" s="116"/>
      <c r="D1015" s="116"/>
      <c r="E1015" s="189"/>
      <c r="F1015" s="63"/>
      <c r="G1015" s="63"/>
      <c r="H1015" s="63"/>
      <c r="I1015" s="63"/>
      <c r="J1015" s="63"/>
      <c r="K1015" s="63"/>
      <c r="L1015" s="63"/>
      <c r="M1015" s="63"/>
      <c r="N1015" s="63"/>
      <c r="O1015" s="63"/>
      <c r="P1015" s="63"/>
      <c r="Q1015" s="63"/>
      <c r="R1015" s="63"/>
      <c r="S1015" s="63"/>
      <c r="T1015" s="63"/>
      <c r="U1015" s="63"/>
      <c r="V1015" s="63"/>
      <c r="W1015" s="63"/>
      <c r="X1015" s="63"/>
      <c r="Y1015" s="63"/>
      <c r="Z1015" s="63"/>
      <c r="AA1015" s="63"/>
      <c r="AB1015" s="63"/>
      <c r="AC1015" s="63"/>
      <c r="AD1015" s="63"/>
      <c r="AE1015" s="63"/>
      <c r="AF1015" s="63"/>
    </row>
    <row r="1016" ht="15.75" customHeight="1">
      <c r="A1016" s="116"/>
      <c r="B1016" s="117"/>
      <c r="C1016" s="116"/>
      <c r="D1016" s="116"/>
      <c r="E1016" s="189"/>
      <c r="F1016" s="63"/>
      <c r="G1016" s="63"/>
      <c r="H1016" s="63"/>
      <c r="I1016" s="63"/>
      <c r="J1016" s="63"/>
      <c r="K1016" s="63"/>
      <c r="L1016" s="63"/>
      <c r="M1016" s="63"/>
      <c r="N1016" s="63"/>
      <c r="O1016" s="63"/>
      <c r="P1016" s="63"/>
      <c r="Q1016" s="63"/>
      <c r="R1016" s="63"/>
      <c r="S1016" s="63"/>
      <c r="T1016" s="63"/>
      <c r="U1016" s="63"/>
      <c r="V1016" s="63"/>
      <c r="W1016" s="63"/>
      <c r="X1016" s="63"/>
      <c r="Y1016" s="63"/>
      <c r="Z1016" s="63"/>
      <c r="AA1016" s="63"/>
      <c r="AB1016" s="63"/>
      <c r="AC1016" s="63"/>
      <c r="AD1016" s="63"/>
      <c r="AE1016" s="63"/>
      <c r="AF1016" s="63"/>
    </row>
    <row r="1017" ht="15.75" customHeight="1">
      <c r="A1017" s="116"/>
      <c r="B1017" s="117"/>
      <c r="C1017" s="116"/>
      <c r="D1017" s="116"/>
      <c r="E1017" s="189"/>
      <c r="F1017" s="63"/>
      <c r="G1017" s="63"/>
      <c r="H1017" s="63"/>
      <c r="I1017" s="63"/>
      <c r="J1017" s="63"/>
      <c r="K1017" s="63"/>
      <c r="L1017" s="63"/>
      <c r="M1017" s="63"/>
      <c r="N1017" s="63"/>
      <c r="O1017" s="63"/>
      <c r="P1017" s="63"/>
      <c r="Q1017" s="63"/>
      <c r="R1017" s="63"/>
      <c r="S1017" s="63"/>
      <c r="T1017" s="63"/>
      <c r="U1017" s="63"/>
      <c r="V1017" s="63"/>
      <c r="W1017" s="63"/>
      <c r="X1017" s="63"/>
      <c r="Y1017" s="63"/>
      <c r="Z1017" s="63"/>
      <c r="AA1017" s="63"/>
      <c r="AB1017" s="63"/>
      <c r="AC1017" s="63"/>
      <c r="AD1017" s="63"/>
      <c r="AE1017" s="63"/>
      <c r="AF1017" s="63"/>
    </row>
    <row r="1018" ht="15.75" customHeight="1">
      <c r="A1018" s="116"/>
      <c r="B1018" s="117"/>
      <c r="C1018" s="116"/>
      <c r="D1018" s="116"/>
      <c r="E1018" s="189"/>
      <c r="F1018" s="63"/>
      <c r="G1018" s="63"/>
      <c r="H1018" s="63"/>
      <c r="I1018" s="63"/>
      <c r="J1018" s="63"/>
      <c r="K1018" s="63"/>
      <c r="L1018" s="63"/>
      <c r="M1018" s="63"/>
      <c r="N1018" s="63"/>
      <c r="O1018" s="63"/>
      <c r="P1018" s="63"/>
      <c r="Q1018" s="63"/>
      <c r="R1018" s="63"/>
      <c r="S1018" s="63"/>
      <c r="T1018" s="63"/>
      <c r="U1018" s="63"/>
      <c r="V1018" s="63"/>
      <c r="W1018" s="63"/>
      <c r="X1018" s="63"/>
      <c r="Y1018" s="63"/>
      <c r="Z1018" s="63"/>
      <c r="AA1018" s="63"/>
      <c r="AB1018" s="63"/>
      <c r="AC1018" s="63"/>
      <c r="AD1018" s="63"/>
      <c r="AE1018" s="63"/>
      <c r="AF1018" s="63"/>
    </row>
    <row r="1019" ht="15.75" customHeight="1">
      <c r="A1019" s="116"/>
      <c r="B1019" s="117"/>
      <c r="C1019" s="116"/>
      <c r="D1019" s="116"/>
      <c r="E1019" s="189"/>
      <c r="F1019" s="63"/>
      <c r="G1019" s="63"/>
      <c r="H1019" s="63"/>
      <c r="I1019" s="63"/>
      <c r="J1019" s="63"/>
      <c r="K1019" s="63"/>
      <c r="L1019" s="63"/>
      <c r="M1019" s="63"/>
      <c r="N1019" s="63"/>
      <c r="O1019" s="63"/>
      <c r="P1019" s="63"/>
      <c r="Q1019" s="63"/>
      <c r="R1019" s="63"/>
      <c r="S1019" s="63"/>
      <c r="T1019" s="63"/>
      <c r="U1019" s="63"/>
      <c r="V1019" s="63"/>
      <c r="W1019" s="63"/>
      <c r="X1019" s="63"/>
      <c r="Y1019" s="63"/>
      <c r="Z1019" s="63"/>
      <c r="AA1019" s="63"/>
      <c r="AB1019" s="63"/>
      <c r="AC1019" s="63"/>
      <c r="AD1019" s="63"/>
      <c r="AE1019" s="63"/>
      <c r="AF1019" s="63"/>
    </row>
    <row r="1020" ht="15.75" customHeight="1">
      <c r="A1020" s="116"/>
      <c r="B1020" s="117"/>
      <c r="C1020" s="116"/>
      <c r="D1020" s="116"/>
      <c r="E1020" s="189"/>
      <c r="F1020" s="63"/>
      <c r="G1020" s="63"/>
      <c r="H1020" s="63"/>
      <c r="I1020" s="63"/>
      <c r="J1020" s="63"/>
      <c r="K1020" s="63"/>
      <c r="L1020" s="63"/>
      <c r="M1020" s="63"/>
      <c r="N1020" s="63"/>
      <c r="O1020" s="63"/>
      <c r="P1020" s="63"/>
      <c r="Q1020" s="63"/>
      <c r="R1020" s="63"/>
      <c r="S1020" s="63"/>
      <c r="T1020" s="63"/>
      <c r="U1020" s="63"/>
      <c r="V1020" s="63"/>
      <c r="W1020" s="63"/>
      <c r="X1020" s="63"/>
      <c r="Y1020" s="63"/>
      <c r="Z1020" s="63"/>
      <c r="AA1020" s="63"/>
      <c r="AB1020" s="63"/>
      <c r="AC1020" s="63"/>
      <c r="AD1020" s="63"/>
      <c r="AE1020" s="63"/>
      <c r="AF1020" s="63"/>
    </row>
    <row r="1021" ht="15.75" customHeight="1">
      <c r="A1021" s="116"/>
      <c r="B1021" s="117"/>
      <c r="C1021" s="116"/>
      <c r="D1021" s="116"/>
      <c r="E1021" s="189"/>
      <c r="F1021" s="63"/>
      <c r="G1021" s="63"/>
      <c r="H1021" s="63"/>
      <c r="I1021" s="63"/>
      <c r="J1021" s="63"/>
      <c r="K1021" s="63"/>
      <c r="L1021" s="63"/>
      <c r="M1021" s="63"/>
      <c r="N1021" s="63"/>
      <c r="O1021" s="63"/>
      <c r="P1021" s="63"/>
      <c r="Q1021" s="63"/>
      <c r="R1021" s="63"/>
      <c r="S1021" s="63"/>
      <c r="T1021" s="63"/>
      <c r="U1021" s="63"/>
      <c r="V1021" s="63"/>
      <c r="W1021" s="63"/>
      <c r="X1021" s="63"/>
      <c r="Y1021" s="63"/>
      <c r="Z1021" s="63"/>
      <c r="AA1021" s="63"/>
      <c r="AB1021" s="63"/>
      <c r="AC1021" s="63"/>
      <c r="AD1021" s="63"/>
      <c r="AE1021" s="63"/>
      <c r="AF1021" s="63"/>
    </row>
    <row r="1022" ht="15.75" customHeight="1">
      <c r="A1022" s="116"/>
      <c r="B1022" s="117"/>
      <c r="C1022" s="116"/>
      <c r="D1022" s="116"/>
      <c r="E1022" s="189"/>
      <c r="F1022" s="63"/>
      <c r="G1022" s="63"/>
      <c r="H1022" s="63"/>
      <c r="I1022" s="63"/>
      <c r="J1022" s="63"/>
      <c r="K1022" s="63"/>
      <c r="L1022" s="63"/>
      <c r="M1022" s="63"/>
      <c r="N1022" s="63"/>
      <c r="O1022" s="63"/>
      <c r="P1022" s="63"/>
      <c r="Q1022" s="63"/>
      <c r="R1022" s="63"/>
      <c r="S1022" s="63"/>
      <c r="T1022" s="63"/>
      <c r="U1022" s="63"/>
      <c r="V1022" s="63"/>
      <c r="W1022" s="63"/>
      <c r="X1022" s="63"/>
      <c r="Y1022" s="63"/>
      <c r="Z1022" s="63"/>
      <c r="AA1022" s="63"/>
      <c r="AB1022" s="63"/>
      <c r="AC1022" s="63"/>
      <c r="AD1022" s="63"/>
      <c r="AE1022" s="63"/>
      <c r="AF1022" s="63"/>
    </row>
    <row r="1023" ht="15.75" customHeight="1">
      <c r="A1023" s="116"/>
      <c r="B1023" s="117"/>
      <c r="C1023" s="116"/>
      <c r="D1023" s="116"/>
      <c r="E1023" s="189"/>
      <c r="F1023" s="63"/>
      <c r="G1023" s="63"/>
      <c r="H1023" s="63"/>
      <c r="I1023" s="63"/>
      <c r="J1023" s="63"/>
      <c r="K1023" s="63"/>
      <c r="L1023" s="63"/>
      <c r="M1023" s="63"/>
      <c r="N1023" s="63"/>
      <c r="O1023" s="63"/>
      <c r="P1023" s="63"/>
      <c r="Q1023" s="63"/>
      <c r="R1023" s="63"/>
      <c r="S1023" s="63"/>
      <c r="T1023" s="63"/>
      <c r="U1023" s="63"/>
      <c r="V1023" s="63"/>
      <c r="W1023" s="63"/>
      <c r="X1023" s="63"/>
      <c r="Y1023" s="63"/>
      <c r="Z1023" s="63"/>
      <c r="AA1023" s="63"/>
      <c r="AB1023" s="63"/>
      <c r="AC1023" s="63"/>
      <c r="AD1023" s="63"/>
      <c r="AE1023" s="63"/>
      <c r="AF1023" s="63"/>
    </row>
    <row r="1024" ht="15.75" customHeight="1">
      <c r="A1024" s="116"/>
      <c r="B1024" s="117"/>
      <c r="C1024" s="116"/>
      <c r="D1024" s="116"/>
      <c r="E1024" s="189"/>
      <c r="F1024" s="63"/>
      <c r="G1024" s="63"/>
      <c r="H1024" s="63"/>
      <c r="I1024" s="63"/>
      <c r="J1024" s="63"/>
      <c r="K1024" s="63"/>
      <c r="L1024" s="63"/>
      <c r="M1024" s="63"/>
      <c r="N1024" s="63"/>
      <c r="O1024" s="63"/>
      <c r="P1024" s="63"/>
      <c r="Q1024" s="63"/>
      <c r="R1024" s="63"/>
      <c r="S1024" s="63"/>
      <c r="T1024" s="63"/>
      <c r="U1024" s="63"/>
      <c r="V1024" s="63"/>
      <c r="W1024" s="63"/>
      <c r="X1024" s="63"/>
      <c r="Y1024" s="63"/>
      <c r="Z1024" s="63"/>
      <c r="AA1024" s="63"/>
      <c r="AB1024" s="63"/>
      <c r="AC1024" s="63"/>
      <c r="AD1024" s="63"/>
      <c r="AE1024" s="63"/>
      <c r="AF1024" s="63"/>
    </row>
    <row r="1025" ht="15.75" customHeight="1">
      <c r="A1025" s="116"/>
      <c r="B1025" s="117"/>
      <c r="C1025" s="116"/>
      <c r="D1025" s="116"/>
      <c r="E1025" s="189"/>
      <c r="F1025" s="63"/>
      <c r="G1025" s="63"/>
      <c r="H1025" s="63"/>
      <c r="I1025" s="63"/>
      <c r="J1025" s="63"/>
      <c r="K1025" s="63"/>
      <c r="L1025" s="63"/>
      <c r="M1025" s="63"/>
      <c r="N1025" s="63"/>
      <c r="O1025" s="63"/>
      <c r="P1025" s="63"/>
      <c r="Q1025" s="63"/>
      <c r="R1025" s="63"/>
      <c r="S1025" s="63"/>
      <c r="T1025" s="63"/>
      <c r="U1025" s="63"/>
      <c r="V1025" s="63"/>
      <c r="W1025" s="63"/>
      <c r="X1025" s="63"/>
      <c r="Y1025" s="63"/>
      <c r="Z1025" s="63"/>
      <c r="AA1025" s="63"/>
      <c r="AB1025" s="63"/>
      <c r="AC1025" s="63"/>
      <c r="AD1025" s="63"/>
      <c r="AE1025" s="63"/>
      <c r="AF1025" s="63"/>
    </row>
    <row r="1026" ht="15.75" customHeight="1">
      <c r="A1026" s="116"/>
      <c r="B1026" s="117"/>
      <c r="C1026" s="116"/>
      <c r="D1026" s="116"/>
      <c r="E1026" s="189"/>
      <c r="F1026" s="63"/>
      <c r="G1026" s="63"/>
      <c r="H1026" s="63"/>
      <c r="I1026" s="63"/>
      <c r="J1026" s="63"/>
      <c r="K1026" s="63"/>
      <c r="L1026" s="63"/>
      <c r="M1026" s="63"/>
      <c r="N1026" s="63"/>
      <c r="O1026" s="63"/>
      <c r="P1026" s="63"/>
      <c r="Q1026" s="63"/>
      <c r="R1026" s="63"/>
      <c r="S1026" s="63"/>
      <c r="T1026" s="63"/>
      <c r="U1026" s="63"/>
      <c r="V1026" s="63"/>
      <c r="W1026" s="63"/>
      <c r="X1026" s="63"/>
      <c r="Y1026" s="63"/>
      <c r="Z1026" s="63"/>
      <c r="AA1026" s="63"/>
      <c r="AB1026" s="63"/>
      <c r="AC1026" s="63"/>
      <c r="AD1026" s="63"/>
      <c r="AE1026" s="63"/>
      <c r="AF1026" s="63"/>
    </row>
    <row r="1027" ht="15.75" customHeight="1">
      <c r="A1027" s="116"/>
      <c r="B1027" s="117"/>
      <c r="C1027" s="116"/>
      <c r="D1027" s="116"/>
      <c r="E1027" s="189"/>
      <c r="F1027" s="63"/>
      <c r="G1027" s="63"/>
      <c r="H1027" s="63"/>
      <c r="I1027" s="63"/>
      <c r="J1027" s="63"/>
      <c r="K1027" s="63"/>
      <c r="L1027" s="63"/>
      <c r="M1027" s="63"/>
      <c r="N1027" s="63"/>
      <c r="O1027" s="63"/>
      <c r="P1027" s="63"/>
      <c r="Q1027" s="63"/>
      <c r="R1027" s="63"/>
      <c r="S1027" s="63"/>
      <c r="T1027" s="63"/>
      <c r="U1027" s="63"/>
      <c r="V1027" s="63"/>
      <c r="W1027" s="63"/>
      <c r="X1027" s="63"/>
      <c r="Y1027" s="63"/>
      <c r="Z1027" s="63"/>
      <c r="AA1027" s="63"/>
      <c r="AB1027" s="63"/>
      <c r="AC1027" s="63"/>
      <c r="AD1027" s="63"/>
      <c r="AE1027" s="63"/>
      <c r="AF1027" s="63"/>
    </row>
    <row r="1028" ht="15.75" customHeight="1">
      <c r="A1028" s="116"/>
      <c r="B1028" s="117"/>
      <c r="C1028" s="116"/>
      <c r="D1028" s="116"/>
      <c r="E1028" s="189"/>
      <c r="F1028" s="63"/>
      <c r="G1028" s="63"/>
      <c r="H1028" s="63"/>
      <c r="I1028" s="63"/>
      <c r="J1028" s="63"/>
      <c r="K1028" s="63"/>
      <c r="L1028" s="63"/>
      <c r="M1028" s="63"/>
      <c r="N1028" s="63"/>
      <c r="O1028" s="63"/>
      <c r="P1028" s="63"/>
      <c r="Q1028" s="63"/>
      <c r="R1028" s="63"/>
      <c r="S1028" s="63"/>
      <c r="T1028" s="63"/>
      <c r="U1028" s="63"/>
      <c r="V1028" s="63"/>
      <c r="W1028" s="63"/>
      <c r="X1028" s="63"/>
      <c r="Y1028" s="63"/>
      <c r="Z1028" s="63"/>
      <c r="AA1028" s="63"/>
      <c r="AB1028" s="63"/>
      <c r="AC1028" s="63"/>
      <c r="AD1028" s="63"/>
      <c r="AE1028" s="63"/>
      <c r="AF1028" s="63"/>
    </row>
    <row r="1029" ht="15.75" customHeight="1">
      <c r="A1029" s="116"/>
      <c r="B1029" s="117"/>
      <c r="C1029" s="116"/>
      <c r="D1029" s="116"/>
      <c r="E1029" s="189"/>
      <c r="F1029" s="63"/>
      <c r="G1029" s="63"/>
      <c r="H1029" s="63"/>
      <c r="I1029" s="63"/>
      <c r="J1029" s="63"/>
      <c r="K1029" s="63"/>
      <c r="L1029" s="63"/>
      <c r="M1029" s="63"/>
      <c r="N1029" s="63"/>
      <c r="O1029" s="63"/>
      <c r="P1029" s="63"/>
      <c r="Q1029" s="63"/>
      <c r="R1029" s="63"/>
      <c r="S1029" s="63"/>
      <c r="T1029" s="63"/>
      <c r="U1029" s="63"/>
      <c r="V1029" s="63"/>
      <c r="W1029" s="63"/>
      <c r="X1029" s="63"/>
      <c r="Y1029" s="63"/>
      <c r="Z1029" s="63"/>
      <c r="AA1029" s="63"/>
      <c r="AB1029" s="63"/>
      <c r="AC1029" s="63"/>
      <c r="AD1029" s="63"/>
      <c r="AE1029" s="63"/>
      <c r="AF1029" s="63"/>
    </row>
    <row r="1030" ht="15.75" customHeight="1">
      <c r="A1030" s="116"/>
      <c r="B1030" s="117"/>
      <c r="C1030" s="116"/>
      <c r="D1030" s="116"/>
      <c r="E1030" s="189"/>
      <c r="F1030" s="63"/>
      <c r="G1030" s="63"/>
      <c r="H1030" s="63"/>
      <c r="I1030" s="63"/>
      <c r="J1030" s="63"/>
      <c r="K1030" s="63"/>
      <c r="L1030" s="63"/>
      <c r="M1030" s="63"/>
      <c r="N1030" s="63"/>
      <c r="O1030" s="63"/>
      <c r="P1030" s="63"/>
      <c r="Q1030" s="63"/>
      <c r="R1030" s="63"/>
      <c r="S1030" s="63"/>
      <c r="T1030" s="63"/>
      <c r="U1030" s="63"/>
      <c r="V1030" s="63"/>
      <c r="W1030" s="63"/>
      <c r="X1030" s="63"/>
      <c r="Y1030" s="63"/>
      <c r="Z1030" s="63"/>
      <c r="AA1030" s="63"/>
      <c r="AB1030" s="63"/>
      <c r="AC1030" s="63"/>
      <c r="AD1030" s="63"/>
      <c r="AE1030" s="63"/>
      <c r="AF1030" s="63"/>
    </row>
    <row r="1031" ht="15.75" customHeight="1">
      <c r="A1031" s="116"/>
      <c r="B1031" s="117"/>
      <c r="C1031" s="116"/>
      <c r="D1031" s="116"/>
      <c r="E1031" s="189"/>
      <c r="F1031" s="63"/>
      <c r="G1031" s="63"/>
      <c r="H1031" s="63"/>
      <c r="I1031" s="63"/>
      <c r="J1031" s="63"/>
      <c r="K1031" s="63"/>
      <c r="L1031" s="63"/>
      <c r="M1031" s="63"/>
      <c r="N1031" s="63"/>
      <c r="O1031" s="63"/>
      <c r="P1031" s="63"/>
      <c r="Q1031" s="63"/>
      <c r="R1031" s="63"/>
      <c r="S1031" s="63"/>
      <c r="T1031" s="63"/>
      <c r="U1031" s="63"/>
      <c r="V1031" s="63"/>
      <c r="W1031" s="63"/>
      <c r="X1031" s="63"/>
      <c r="Y1031" s="63"/>
      <c r="Z1031" s="63"/>
      <c r="AA1031" s="63"/>
      <c r="AB1031" s="63"/>
      <c r="AC1031" s="63"/>
      <c r="AD1031" s="63"/>
      <c r="AE1031" s="63"/>
      <c r="AF1031" s="63"/>
    </row>
    <row r="1032" ht="15.75" customHeight="1">
      <c r="A1032" s="116"/>
      <c r="B1032" s="117"/>
      <c r="C1032" s="116"/>
      <c r="D1032" s="116"/>
      <c r="E1032" s="189"/>
      <c r="F1032" s="63"/>
      <c r="G1032" s="63"/>
      <c r="H1032" s="63"/>
      <c r="I1032" s="63"/>
      <c r="J1032" s="63"/>
      <c r="K1032" s="63"/>
      <c r="L1032" s="63"/>
      <c r="M1032" s="63"/>
      <c r="N1032" s="63"/>
      <c r="O1032" s="63"/>
      <c r="P1032" s="63"/>
      <c r="Q1032" s="63"/>
      <c r="R1032" s="63"/>
      <c r="S1032" s="63"/>
      <c r="T1032" s="63"/>
      <c r="U1032" s="63"/>
      <c r="V1032" s="63"/>
      <c r="W1032" s="63"/>
      <c r="X1032" s="63"/>
      <c r="Y1032" s="63"/>
      <c r="Z1032" s="63"/>
      <c r="AA1032" s="63"/>
      <c r="AB1032" s="63"/>
      <c r="AC1032" s="63"/>
      <c r="AD1032" s="63"/>
      <c r="AE1032" s="63"/>
      <c r="AF1032" s="63"/>
    </row>
    <row r="1033" ht="15.75" customHeight="1">
      <c r="A1033" s="116"/>
      <c r="B1033" s="117"/>
      <c r="C1033" s="116"/>
      <c r="D1033" s="116"/>
      <c r="E1033" s="189"/>
      <c r="F1033" s="63"/>
      <c r="G1033" s="63"/>
      <c r="H1033" s="63"/>
      <c r="I1033" s="63"/>
      <c r="J1033" s="63"/>
      <c r="K1033" s="63"/>
      <c r="L1033" s="63"/>
      <c r="M1033" s="63"/>
      <c r="N1033" s="63"/>
      <c r="O1033" s="63"/>
      <c r="P1033" s="63"/>
      <c r="Q1033" s="63"/>
      <c r="R1033" s="63"/>
      <c r="S1033" s="63"/>
      <c r="T1033" s="63"/>
      <c r="U1033" s="63"/>
      <c r="V1033" s="63"/>
      <c r="W1033" s="63"/>
      <c r="X1033" s="63"/>
      <c r="Y1033" s="63"/>
      <c r="Z1033" s="63"/>
      <c r="AA1033" s="63"/>
      <c r="AB1033" s="63"/>
      <c r="AC1033" s="63"/>
      <c r="AD1033" s="63"/>
      <c r="AE1033" s="63"/>
      <c r="AF1033" s="63"/>
    </row>
    <row r="1034" ht="15.75" customHeight="1">
      <c r="A1034" s="116"/>
      <c r="B1034" s="117"/>
      <c r="C1034" s="116"/>
      <c r="D1034" s="116"/>
      <c r="E1034" s="189"/>
      <c r="F1034" s="63"/>
      <c r="G1034" s="63"/>
      <c r="H1034" s="63"/>
      <c r="I1034" s="63"/>
      <c r="J1034" s="63"/>
      <c r="K1034" s="63"/>
      <c r="L1034" s="63"/>
      <c r="M1034" s="63"/>
      <c r="N1034" s="63"/>
      <c r="O1034" s="63"/>
      <c r="P1034" s="63"/>
      <c r="Q1034" s="63"/>
      <c r="R1034" s="63"/>
      <c r="S1034" s="63"/>
      <c r="T1034" s="63"/>
      <c r="U1034" s="63"/>
      <c r="V1034" s="63"/>
      <c r="W1034" s="63"/>
      <c r="X1034" s="63"/>
      <c r="Y1034" s="63"/>
      <c r="Z1034" s="63"/>
      <c r="AA1034" s="63"/>
      <c r="AB1034" s="63"/>
      <c r="AC1034" s="63"/>
      <c r="AD1034" s="63"/>
      <c r="AE1034" s="63"/>
      <c r="AF1034" s="63"/>
    </row>
    <row r="1035" ht="15.75" customHeight="1">
      <c r="A1035" s="116"/>
      <c r="B1035" s="117"/>
      <c r="C1035" s="116"/>
      <c r="D1035" s="116"/>
      <c r="E1035" s="189"/>
      <c r="F1035" s="63"/>
      <c r="G1035" s="63"/>
      <c r="H1035" s="63"/>
      <c r="I1035" s="63"/>
      <c r="J1035" s="63"/>
      <c r="K1035" s="63"/>
      <c r="L1035" s="63"/>
      <c r="M1035" s="63"/>
      <c r="N1035" s="63"/>
      <c r="O1035" s="63"/>
      <c r="P1035" s="63"/>
      <c r="Q1035" s="63"/>
      <c r="R1035" s="63"/>
      <c r="S1035" s="63"/>
      <c r="T1035" s="63"/>
      <c r="U1035" s="63"/>
      <c r="V1035" s="63"/>
      <c r="W1035" s="63"/>
      <c r="X1035" s="63"/>
      <c r="Y1035" s="63"/>
      <c r="Z1035" s="63"/>
      <c r="AA1035" s="63"/>
      <c r="AB1035" s="63"/>
      <c r="AC1035" s="63"/>
      <c r="AD1035" s="63"/>
      <c r="AE1035" s="63"/>
      <c r="AF1035" s="63"/>
    </row>
    <row r="1036" ht="15.75" customHeight="1">
      <c r="A1036" s="116"/>
      <c r="B1036" s="117"/>
      <c r="C1036" s="116"/>
      <c r="D1036" s="116"/>
      <c r="E1036" s="189"/>
      <c r="F1036" s="63"/>
      <c r="G1036" s="63"/>
      <c r="H1036" s="63"/>
      <c r="I1036" s="63"/>
      <c r="J1036" s="63"/>
      <c r="K1036" s="63"/>
      <c r="L1036" s="63"/>
      <c r="M1036" s="63"/>
      <c r="N1036" s="63"/>
      <c r="O1036" s="63"/>
      <c r="P1036" s="63"/>
      <c r="Q1036" s="63"/>
      <c r="R1036" s="63"/>
      <c r="S1036" s="63"/>
      <c r="T1036" s="63"/>
      <c r="U1036" s="63"/>
      <c r="V1036" s="63"/>
      <c r="W1036" s="63"/>
      <c r="X1036" s="63"/>
      <c r="Y1036" s="63"/>
      <c r="Z1036" s="63"/>
      <c r="AA1036" s="63"/>
      <c r="AB1036" s="63"/>
      <c r="AC1036" s="63"/>
      <c r="AD1036" s="63"/>
      <c r="AE1036" s="63"/>
      <c r="AF1036" s="63"/>
    </row>
    <row r="1037" ht="15.75" customHeight="1">
      <c r="A1037" s="116"/>
      <c r="B1037" s="117"/>
      <c r="C1037" s="116"/>
      <c r="D1037" s="116"/>
      <c r="E1037" s="189"/>
      <c r="F1037" s="63"/>
      <c r="G1037" s="63"/>
      <c r="H1037" s="63"/>
      <c r="I1037" s="63"/>
      <c r="J1037" s="63"/>
      <c r="K1037" s="63"/>
      <c r="L1037" s="63"/>
      <c r="M1037" s="63"/>
      <c r="N1037" s="63"/>
      <c r="O1037" s="63"/>
      <c r="P1037" s="63"/>
      <c r="Q1037" s="63"/>
      <c r="R1037" s="63"/>
      <c r="S1037" s="63"/>
      <c r="T1037" s="63"/>
      <c r="U1037" s="63"/>
      <c r="V1037" s="63"/>
      <c r="W1037" s="63"/>
      <c r="X1037" s="63"/>
      <c r="Y1037" s="63"/>
      <c r="Z1037" s="63"/>
      <c r="AA1037" s="63"/>
      <c r="AB1037" s="63"/>
      <c r="AC1037" s="63"/>
      <c r="AD1037" s="63"/>
      <c r="AE1037" s="63"/>
      <c r="AF1037" s="63"/>
    </row>
    <row r="1038" ht="15.75" customHeight="1">
      <c r="A1038" s="116"/>
      <c r="B1038" s="117"/>
      <c r="C1038" s="116"/>
      <c r="D1038" s="116"/>
      <c r="E1038" s="189"/>
      <c r="F1038" s="63"/>
      <c r="G1038" s="63"/>
      <c r="H1038" s="63"/>
      <c r="I1038" s="63"/>
      <c r="J1038" s="63"/>
      <c r="K1038" s="63"/>
      <c r="L1038" s="63"/>
      <c r="M1038" s="63"/>
      <c r="N1038" s="63"/>
      <c r="O1038" s="63"/>
      <c r="P1038" s="63"/>
      <c r="Q1038" s="63"/>
      <c r="R1038" s="63"/>
      <c r="S1038" s="63"/>
      <c r="T1038" s="63"/>
      <c r="U1038" s="63"/>
      <c r="V1038" s="63"/>
      <c r="W1038" s="63"/>
      <c r="X1038" s="63"/>
      <c r="Y1038" s="63"/>
      <c r="Z1038" s="63"/>
      <c r="AA1038" s="63"/>
      <c r="AB1038" s="63"/>
      <c r="AC1038" s="63"/>
      <c r="AD1038" s="63"/>
      <c r="AE1038" s="63"/>
      <c r="AF1038" s="63"/>
    </row>
    <row r="1039" ht="15.75" customHeight="1">
      <c r="A1039" s="116"/>
      <c r="B1039" s="117"/>
      <c r="C1039" s="116"/>
      <c r="D1039" s="116"/>
      <c r="E1039" s="189"/>
      <c r="F1039" s="63"/>
      <c r="G1039" s="63"/>
      <c r="H1039" s="63"/>
      <c r="I1039" s="63"/>
      <c r="J1039" s="63"/>
      <c r="K1039" s="63"/>
      <c r="L1039" s="63"/>
      <c r="M1039" s="63"/>
      <c r="N1039" s="63"/>
      <c r="O1039" s="63"/>
      <c r="P1039" s="63"/>
      <c r="Q1039" s="63"/>
      <c r="R1039" s="63"/>
      <c r="S1039" s="63"/>
      <c r="T1039" s="63"/>
      <c r="U1039" s="63"/>
      <c r="V1039" s="63"/>
      <c r="W1039" s="63"/>
      <c r="X1039" s="63"/>
      <c r="Y1039" s="63"/>
      <c r="Z1039" s="63"/>
      <c r="AA1039" s="63"/>
      <c r="AB1039" s="63"/>
      <c r="AC1039" s="63"/>
      <c r="AD1039" s="63"/>
      <c r="AE1039" s="63"/>
      <c r="AF1039" s="63"/>
    </row>
    <row r="1040" ht="15.75" customHeight="1">
      <c r="A1040" s="116"/>
      <c r="B1040" s="117"/>
      <c r="C1040" s="116"/>
      <c r="D1040" s="116"/>
      <c r="E1040" s="189"/>
      <c r="F1040" s="63"/>
      <c r="G1040" s="63"/>
      <c r="H1040" s="63"/>
      <c r="I1040" s="63"/>
      <c r="J1040" s="63"/>
      <c r="K1040" s="63"/>
      <c r="L1040" s="63"/>
      <c r="M1040" s="63"/>
      <c r="N1040" s="63"/>
      <c r="O1040" s="63"/>
      <c r="P1040" s="63"/>
      <c r="Q1040" s="63"/>
      <c r="R1040" s="63"/>
      <c r="S1040" s="63"/>
      <c r="T1040" s="63"/>
      <c r="U1040" s="63"/>
      <c r="V1040" s="63"/>
      <c r="W1040" s="63"/>
      <c r="X1040" s="63"/>
      <c r="Y1040" s="63"/>
      <c r="Z1040" s="63"/>
      <c r="AA1040" s="63"/>
      <c r="AB1040" s="63"/>
      <c r="AC1040" s="63"/>
      <c r="AD1040" s="63"/>
      <c r="AE1040" s="63"/>
      <c r="AF1040" s="63"/>
    </row>
    <row r="1041" ht="15.75" customHeight="1">
      <c r="A1041" s="116"/>
      <c r="B1041" s="117"/>
      <c r="C1041" s="116"/>
      <c r="D1041" s="116"/>
      <c r="E1041" s="189"/>
      <c r="F1041" s="63"/>
      <c r="G1041" s="63"/>
      <c r="H1041" s="63"/>
      <c r="I1041" s="63"/>
      <c r="J1041" s="63"/>
      <c r="K1041" s="63"/>
      <c r="L1041" s="63"/>
      <c r="M1041" s="63"/>
      <c r="N1041" s="63"/>
      <c r="O1041" s="63"/>
      <c r="P1041" s="63"/>
      <c r="Q1041" s="63"/>
      <c r="R1041" s="63"/>
      <c r="S1041" s="63"/>
      <c r="T1041" s="63"/>
      <c r="U1041" s="63"/>
      <c r="V1041" s="63"/>
      <c r="W1041" s="63"/>
      <c r="X1041" s="63"/>
      <c r="Y1041" s="63"/>
      <c r="Z1041" s="63"/>
      <c r="AA1041" s="63"/>
      <c r="AB1041" s="63"/>
      <c r="AC1041" s="63"/>
      <c r="AD1041" s="63"/>
      <c r="AE1041" s="63"/>
      <c r="AF1041" s="63"/>
    </row>
    <row r="1042" ht="15.75" customHeight="1">
      <c r="A1042" s="116"/>
      <c r="B1042" s="117"/>
      <c r="C1042" s="116"/>
      <c r="D1042" s="116"/>
      <c r="E1042" s="189"/>
      <c r="F1042" s="63"/>
      <c r="G1042" s="63"/>
      <c r="H1042" s="63"/>
      <c r="I1042" s="63"/>
      <c r="J1042" s="63"/>
      <c r="K1042" s="63"/>
      <c r="L1042" s="63"/>
      <c r="M1042" s="63"/>
      <c r="N1042" s="63"/>
      <c r="O1042" s="63"/>
      <c r="P1042" s="63"/>
      <c r="Q1042" s="63"/>
      <c r="R1042" s="63"/>
      <c r="S1042" s="63"/>
      <c r="T1042" s="63"/>
      <c r="U1042" s="63"/>
      <c r="V1042" s="63"/>
      <c r="W1042" s="63"/>
      <c r="X1042" s="63"/>
      <c r="Y1042" s="63"/>
      <c r="Z1042" s="63"/>
      <c r="AA1042" s="63"/>
      <c r="AB1042" s="63"/>
      <c r="AC1042" s="63"/>
      <c r="AD1042" s="63"/>
      <c r="AE1042" s="63"/>
      <c r="AF1042" s="63"/>
    </row>
    <row r="1043" ht="15.75" customHeight="1">
      <c r="A1043" s="116"/>
      <c r="B1043" s="117"/>
      <c r="C1043" s="116"/>
      <c r="D1043" s="116"/>
      <c r="E1043" s="189"/>
      <c r="F1043" s="63"/>
      <c r="G1043" s="63"/>
      <c r="H1043" s="63"/>
      <c r="I1043" s="63"/>
      <c r="J1043" s="63"/>
      <c r="K1043" s="63"/>
      <c r="L1043" s="63"/>
      <c r="M1043" s="63"/>
      <c r="N1043" s="63"/>
      <c r="O1043" s="63"/>
      <c r="P1043" s="63"/>
      <c r="Q1043" s="63"/>
      <c r="R1043" s="63"/>
      <c r="S1043" s="63"/>
      <c r="T1043" s="63"/>
      <c r="U1043" s="63"/>
      <c r="V1043" s="63"/>
      <c r="W1043" s="63"/>
      <c r="X1043" s="63"/>
      <c r="Y1043" s="63"/>
      <c r="Z1043" s="63"/>
      <c r="AA1043" s="63"/>
      <c r="AB1043" s="63"/>
      <c r="AC1043" s="63"/>
      <c r="AD1043" s="63"/>
      <c r="AE1043" s="63"/>
      <c r="AF1043" s="63"/>
    </row>
    <row r="1044" ht="15.75" customHeight="1">
      <c r="A1044" s="116"/>
      <c r="B1044" s="117"/>
      <c r="C1044" s="116"/>
      <c r="D1044" s="116"/>
      <c r="E1044" s="189"/>
      <c r="F1044" s="63"/>
      <c r="G1044" s="63"/>
      <c r="H1044" s="63"/>
      <c r="I1044" s="63"/>
      <c r="J1044" s="63"/>
      <c r="K1044" s="63"/>
      <c r="L1044" s="63"/>
      <c r="M1044" s="63"/>
      <c r="N1044" s="63"/>
      <c r="O1044" s="63"/>
      <c r="P1044" s="63"/>
      <c r="Q1044" s="63"/>
      <c r="R1044" s="63"/>
      <c r="S1044" s="63"/>
      <c r="T1044" s="63"/>
      <c r="U1044" s="63"/>
      <c r="V1044" s="63"/>
      <c r="W1044" s="63"/>
      <c r="X1044" s="63"/>
      <c r="Y1044" s="63"/>
      <c r="Z1044" s="63"/>
      <c r="AA1044" s="63"/>
      <c r="AB1044" s="63"/>
      <c r="AC1044" s="63"/>
      <c r="AD1044" s="63"/>
      <c r="AE1044" s="63"/>
      <c r="AF1044" s="63"/>
    </row>
    <row r="1045" ht="15.75" customHeight="1">
      <c r="A1045" s="116"/>
      <c r="B1045" s="117"/>
      <c r="C1045" s="116"/>
      <c r="D1045" s="116"/>
      <c r="E1045" s="189"/>
      <c r="F1045" s="63"/>
      <c r="G1045" s="63"/>
      <c r="H1045" s="63"/>
      <c r="I1045" s="63"/>
      <c r="J1045" s="63"/>
      <c r="K1045" s="63"/>
      <c r="L1045" s="63"/>
      <c r="M1045" s="63"/>
      <c r="N1045" s="63"/>
      <c r="O1045" s="63"/>
      <c r="P1045" s="63"/>
      <c r="Q1045" s="63"/>
      <c r="R1045" s="63"/>
      <c r="S1045" s="63"/>
      <c r="T1045" s="63"/>
      <c r="U1045" s="63"/>
      <c r="V1045" s="63"/>
      <c r="W1045" s="63"/>
      <c r="X1045" s="63"/>
      <c r="Y1045" s="63"/>
      <c r="Z1045" s="63"/>
      <c r="AA1045" s="63"/>
      <c r="AB1045" s="63"/>
      <c r="AC1045" s="63"/>
      <c r="AD1045" s="63"/>
      <c r="AE1045" s="63"/>
      <c r="AF1045" s="63"/>
    </row>
    <row r="1046" ht="15.75" customHeight="1">
      <c r="A1046" s="116"/>
      <c r="B1046" s="117"/>
      <c r="C1046" s="116"/>
      <c r="D1046" s="116"/>
      <c r="E1046" s="189"/>
      <c r="F1046" s="63"/>
      <c r="G1046" s="63"/>
      <c r="H1046" s="63"/>
      <c r="I1046" s="63"/>
      <c r="J1046" s="63"/>
      <c r="K1046" s="63"/>
      <c r="L1046" s="63"/>
      <c r="M1046" s="63"/>
      <c r="N1046" s="63"/>
      <c r="O1046" s="63"/>
      <c r="P1046" s="63"/>
      <c r="Q1046" s="63"/>
      <c r="R1046" s="63"/>
      <c r="S1046" s="63"/>
      <c r="T1046" s="63"/>
      <c r="U1046" s="63"/>
      <c r="V1046" s="63"/>
      <c r="W1046" s="63"/>
      <c r="X1046" s="63"/>
      <c r="Y1046" s="63"/>
      <c r="Z1046" s="63"/>
      <c r="AA1046" s="63"/>
      <c r="AB1046" s="63"/>
      <c r="AC1046" s="63"/>
      <c r="AD1046" s="63"/>
      <c r="AE1046" s="63"/>
      <c r="AF1046" s="63"/>
    </row>
    <row r="1047" ht="15.75" customHeight="1">
      <c r="A1047" s="116"/>
      <c r="B1047" s="117"/>
      <c r="C1047" s="116"/>
      <c r="D1047" s="116"/>
      <c r="E1047" s="189"/>
      <c r="F1047" s="63"/>
      <c r="G1047" s="63"/>
      <c r="H1047" s="63"/>
      <c r="I1047" s="63"/>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row>
    <row r="1048" ht="15.75" customHeight="1">
      <c r="A1048" s="116"/>
      <c r="B1048" s="117"/>
      <c r="C1048" s="116"/>
      <c r="D1048" s="116"/>
      <c r="E1048" s="189"/>
      <c r="F1048" s="63"/>
      <c r="G1048" s="63"/>
      <c r="H1048" s="63"/>
      <c r="I1048" s="63"/>
      <c r="J1048" s="63"/>
      <c r="K1048" s="63"/>
      <c r="L1048" s="63"/>
      <c r="M1048" s="63"/>
      <c r="N1048" s="63"/>
      <c r="O1048" s="63"/>
      <c r="P1048" s="63"/>
      <c r="Q1048" s="63"/>
      <c r="R1048" s="63"/>
      <c r="S1048" s="63"/>
      <c r="T1048" s="63"/>
      <c r="U1048" s="63"/>
      <c r="V1048" s="63"/>
      <c r="W1048" s="63"/>
      <c r="X1048" s="63"/>
      <c r="Y1048" s="63"/>
      <c r="Z1048" s="63"/>
      <c r="AA1048" s="63"/>
      <c r="AB1048" s="63"/>
      <c r="AC1048" s="63"/>
      <c r="AD1048" s="63"/>
      <c r="AE1048" s="63"/>
      <c r="AF1048" s="63"/>
    </row>
    <row r="1049" ht="15.75" customHeight="1">
      <c r="A1049" s="116"/>
      <c r="B1049" s="117"/>
      <c r="C1049" s="116"/>
      <c r="D1049" s="116"/>
      <c r="E1049" s="189"/>
      <c r="F1049" s="63"/>
      <c r="G1049" s="63"/>
      <c r="H1049" s="63"/>
      <c r="I1049" s="63"/>
      <c r="J1049" s="63"/>
      <c r="K1049" s="63"/>
      <c r="L1049" s="63"/>
      <c r="M1049" s="63"/>
      <c r="N1049" s="63"/>
      <c r="O1049" s="63"/>
      <c r="P1049" s="63"/>
      <c r="Q1049" s="63"/>
      <c r="R1049" s="63"/>
      <c r="S1049" s="63"/>
      <c r="T1049" s="63"/>
      <c r="U1049" s="63"/>
      <c r="V1049" s="63"/>
      <c r="W1049" s="63"/>
      <c r="X1049" s="63"/>
      <c r="Y1049" s="63"/>
      <c r="Z1049" s="63"/>
      <c r="AA1049" s="63"/>
      <c r="AB1049" s="63"/>
      <c r="AC1049" s="63"/>
      <c r="AD1049" s="63"/>
      <c r="AE1049" s="63"/>
      <c r="AF1049" s="63"/>
    </row>
    <row r="1050" ht="15.75" customHeight="1">
      <c r="A1050" s="116"/>
      <c r="B1050" s="117"/>
      <c r="C1050" s="116"/>
      <c r="D1050" s="116"/>
      <c r="E1050" s="189"/>
      <c r="F1050" s="63"/>
      <c r="G1050" s="63"/>
      <c r="H1050" s="63"/>
      <c r="I1050" s="63"/>
      <c r="J1050" s="63"/>
      <c r="K1050" s="63"/>
      <c r="L1050" s="63"/>
      <c r="M1050" s="63"/>
      <c r="N1050" s="63"/>
      <c r="O1050" s="63"/>
      <c r="P1050" s="63"/>
      <c r="Q1050" s="63"/>
      <c r="R1050" s="63"/>
      <c r="S1050" s="63"/>
      <c r="T1050" s="63"/>
      <c r="U1050" s="63"/>
      <c r="V1050" s="63"/>
      <c r="W1050" s="63"/>
      <c r="X1050" s="63"/>
      <c r="Y1050" s="63"/>
      <c r="Z1050" s="63"/>
      <c r="AA1050" s="63"/>
      <c r="AB1050" s="63"/>
      <c r="AC1050" s="63"/>
      <c r="AD1050" s="63"/>
      <c r="AE1050" s="63"/>
      <c r="AF1050" s="63"/>
    </row>
    <row r="1051" ht="15.75" customHeight="1">
      <c r="A1051" s="116"/>
      <c r="B1051" s="117"/>
      <c r="C1051" s="116"/>
      <c r="D1051" s="116"/>
      <c r="E1051" s="189"/>
      <c r="F1051" s="63"/>
      <c r="G1051" s="63"/>
      <c r="H1051" s="63"/>
      <c r="I1051" s="63"/>
      <c r="J1051" s="63"/>
      <c r="K1051" s="63"/>
      <c r="L1051" s="63"/>
      <c r="M1051" s="63"/>
      <c r="N1051" s="63"/>
      <c r="O1051" s="63"/>
      <c r="P1051" s="63"/>
      <c r="Q1051" s="63"/>
      <c r="R1051" s="63"/>
      <c r="S1051" s="63"/>
      <c r="T1051" s="63"/>
      <c r="U1051" s="63"/>
      <c r="V1051" s="63"/>
      <c r="W1051" s="63"/>
      <c r="X1051" s="63"/>
      <c r="Y1051" s="63"/>
      <c r="Z1051" s="63"/>
      <c r="AA1051" s="63"/>
      <c r="AB1051" s="63"/>
      <c r="AC1051" s="63"/>
      <c r="AD1051" s="63"/>
      <c r="AE1051" s="63"/>
      <c r="AF1051" s="63"/>
    </row>
    <row r="1052" ht="15.75" customHeight="1">
      <c r="A1052" s="116"/>
      <c r="B1052" s="117"/>
      <c r="C1052" s="116"/>
      <c r="D1052" s="116"/>
      <c r="E1052" s="189"/>
      <c r="F1052" s="63"/>
      <c r="G1052" s="63"/>
      <c r="H1052" s="63"/>
      <c r="I1052" s="63"/>
      <c r="J1052" s="63"/>
      <c r="K1052" s="63"/>
      <c r="L1052" s="63"/>
      <c r="M1052" s="63"/>
      <c r="N1052" s="63"/>
      <c r="O1052" s="63"/>
      <c r="P1052" s="63"/>
      <c r="Q1052" s="63"/>
      <c r="R1052" s="63"/>
      <c r="S1052" s="63"/>
      <c r="T1052" s="63"/>
      <c r="U1052" s="63"/>
      <c r="V1052" s="63"/>
      <c r="W1052" s="63"/>
      <c r="X1052" s="63"/>
      <c r="Y1052" s="63"/>
      <c r="Z1052" s="63"/>
      <c r="AA1052" s="63"/>
      <c r="AB1052" s="63"/>
      <c r="AC1052" s="63"/>
      <c r="AD1052" s="63"/>
      <c r="AE1052" s="63"/>
      <c r="AF1052" s="63"/>
    </row>
    <row r="1053" ht="15.75" customHeight="1">
      <c r="A1053" s="116"/>
      <c r="B1053" s="117"/>
      <c r="C1053" s="116"/>
      <c r="D1053" s="116"/>
      <c r="E1053" s="189"/>
      <c r="F1053" s="63"/>
      <c r="G1053" s="63"/>
      <c r="H1053" s="63"/>
      <c r="I1053" s="63"/>
      <c r="J1053" s="63"/>
      <c r="K1053" s="63"/>
      <c r="L1053" s="63"/>
      <c r="M1053" s="63"/>
      <c r="N1053" s="63"/>
      <c r="O1053" s="63"/>
      <c r="P1053" s="63"/>
      <c r="Q1053" s="63"/>
      <c r="R1053" s="63"/>
      <c r="S1053" s="63"/>
      <c r="T1053" s="63"/>
      <c r="U1053" s="63"/>
      <c r="V1053" s="63"/>
      <c r="W1053" s="63"/>
      <c r="X1053" s="63"/>
      <c r="Y1053" s="63"/>
      <c r="Z1053" s="63"/>
      <c r="AA1053" s="63"/>
      <c r="AB1053" s="63"/>
      <c r="AC1053" s="63"/>
      <c r="AD1053" s="63"/>
      <c r="AE1053" s="63"/>
      <c r="AF1053" s="63"/>
    </row>
    <row r="1054" ht="15.75" customHeight="1">
      <c r="A1054" s="116"/>
      <c r="B1054" s="117"/>
      <c r="C1054" s="116"/>
      <c r="D1054" s="116"/>
      <c r="E1054" s="189"/>
      <c r="F1054" s="63"/>
      <c r="G1054" s="63"/>
      <c r="H1054" s="63"/>
      <c r="I1054" s="63"/>
      <c r="J1054" s="63"/>
      <c r="K1054" s="63"/>
      <c r="L1054" s="63"/>
      <c r="M1054" s="63"/>
      <c r="N1054" s="63"/>
      <c r="O1054" s="63"/>
      <c r="P1054" s="63"/>
      <c r="Q1054" s="63"/>
      <c r="R1054" s="63"/>
      <c r="S1054" s="63"/>
      <c r="T1054" s="63"/>
      <c r="U1054" s="63"/>
      <c r="V1054" s="63"/>
      <c r="W1054" s="63"/>
      <c r="X1054" s="63"/>
      <c r="Y1054" s="63"/>
      <c r="Z1054" s="63"/>
      <c r="AA1054" s="63"/>
      <c r="AB1054" s="63"/>
      <c r="AC1054" s="63"/>
      <c r="AD1054" s="63"/>
      <c r="AE1054" s="63"/>
      <c r="AF1054" s="63"/>
    </row>
    <row r="1055" ht="15.75" customHeight="1">
      <c r="A1055" s="116"/>
      <c r="B1055" s="117"/>
      <c r="C1055" s="116"/>
      <c r="D1055" s="116"/>
      <c r="E1055" s="189"/>
      <c r="F1055" s="63"/>
      <c r="G1055" s="63"/>
      <c r="H1055" s="63"/>
      <c r="I1055" s="63"/>
      <c r="J1055" s="63"/>
      <c r="K1055" s="63"/>
      <c r="L1055" s="63"/>
      <c r="M1055" s="63"/>
      <c r="N1055" s="63"/>
      <c r="O1055" s="63"/>
      <c r="P1055" s="63"/>
      <c r="Q1055" s="63"/>
      <c r="R1055" s="63"/>
      <c r="S1055" s="63"/>
      <c r="T1055" s="63"/>
      <c r="U1055" s="63"/>
      <c r="V1055" s="63"/>
      <c r="W1055" s="63"/>
      <c r="X1055" s="63"/>
      <c r="Y1055" s="63"/>
      <c r="Z1055" s="63"/>
      <c r="AA1055" s="63"/>
      <c r="AB1055" s="63"/>
      <c r="AC1055" s="63"/>
      <c r="AD1055" s="63"/>
      <c r="AE1055" s="63"/>
      <c r="AF1055" s="63"/>
    </row>
    <row r="1056" ht="15.75" customHeight="1">
      <c r="A1056" s="116"/>
      <c r="B1056" s="117"/>
      <c r="C1056" s="116"/>
      <c r="D1056" s="116"/>
      <c r="E1056" s="189"/>
      <c r="F1056" s="63"/>
      <c r="G1056" s="63"/>
      <c r="H1056" s="63"/>
      <c r="I1056" s="63"/>
      <c r="J1056" s="63"/>
      <c r="K1056" s="63"/>
      <c r="L1056" s="63"/>
      <c r="M1056" s="63"/>
      <c r="N1056" s="63"/>
      <c r="O1056" s="63"/>
      <c r="P1056" s="63"/>
      <c r="Q1056" s="63"/>
      <c r="R1056" s="63"/>
      <c r="S1056" s="63"/>
      <c r="T1056" s="63"/>
      <c r="U1056" s="63"/>
      <c r="V1056" s="63"/>
      <c r="W1056" s="63"/>
      <c r="X1056" s="63"/>
      <c r="Y1056" s="63"/>
      <c r="Z1056" s="63"/>
      <c r="AA1056" s="63"/>
      <c r="AB1056" s="63"/>
      <c r="AC1056" s="63"/>
      <c r="AD1056" s="63"/>
      <c r="AE1056" s="63"/>
      <c r="AF1056" s="63"/>
    </row>
    <row r="1057" ht="15.75" customHeight="1">
      <c r="A1057" s="116"/>
      <c r="B1057" s="117"/>
      <c r="C1057" s="116"/>
      <c r="D1057" s="116"/>
      <c r="E1057" s="189"/>
      <c r="F1057" s="63"/>
      <c r="G1057" s="63"/>
      <c r="H1057" s="63"/>
      <c r="I1057" s="63"/>
      <c r="J1057" s="63"/>
      <c r="K1057" s="63"/>
      <c r="L1057" s="63"/>
      <c r="M1057" s="63"/>
      <c r="N1057" s="63"/>
      <c r="O1057" s="63"/>
      <c r="P1057" s="63"/>
      <c r="Q1057" s="63"/>
      <c r="R1057" s="63"/>
      <c r="S1057" s="63"/>
      <c r="T1057" s="63"/>
      <c r="U1057" s="63"/>
      <c r="V1057" s="63"/>
      <c r="W1057" s="63"/>
      <c r="X1057" s="63"/>
      <c r="Y1057" s="63"/>
      <c r="Z1057" s="63"/>
      <c r="AA1057" s="63"/>
      <c r="AB1057" s="63"/>
      <c r="AC1057" s="63"/>
      <c r="AD1057" s="63"/>
      <c r="AE1057" s="63"/>
      <c r="AF1057" s="63"/>
    </row>
    <row r="1058" ht="15.75" customHeight="1">
      <c r="A1058" s="116"/>
      <c r="B1058" s="117"/>
      <c r="C1058" s="116"/>
      <c r="D1058" s="116"/>
      <c r="E1058" s="189"/>
      <c r="F1058" s="63"/>
      <c r="G1058" s="63"/>
      <c r="H1058" s="63"/>
      <c r="I1058" s="63"/>
      <c r="J1058" s="63"/>
      <c r="K1058" s="63"/>
      <c r="L1058" s="63"/>
      <c r="M1058" s="63"/>
      <c r="N1058" s="63"/>
      <c r="O1058" s="63"/>
      <c r="P1058" s="63"/>
      <c r="Q1058" s="63"/>
      <c r="R1058" s="63"/>
      <c r="S1058" s="63"/>
      <c r="T1058" s="63"/>
      <c r="U1058" s="63"/>
      <c r="V1058" s="63"/>
      <c r="W1058" s="63"/>
      <c r="X1058" s="63"/>
      <c r="Y1058" s="63"/>
      <c r="Z1058" s="63"/>
      <c r="AA1058" s="63"/>
      <c r="AB1058" s="63"/>
      <c r="AC1058" s="63"/>
      <c r="AD1058" s="63"/>
      <c r="AE1058" s="63"/>
      <c r="AF1058" s="63"/>
    </row>
    <row r="1059" ht="15.75" customHeight="1">
      <c r="A1059" s="116"/>
      <c r="B1059" s="117"/>
      <c r="C1059" s="116"/>
      <c r="D1059" s="116"/>
      <c r="E1059" s="189"/>
      <c r="F1059" s="63"/>
      <c r="G1059" s="63"/>
      <c r="H1059" s="63"/>
      <c r="I1059" s="63"/>
      <c r="J1059" s="63"/>
      <c r="K1059" s="63"/>
      <c r="L1059" s="63"/>
      <c r="M1059" s="63"/>
      <c r="N1059" s="63"/>
      <c r="O1059" s="63"/>
      <c r="P1059" s="63"/>
      <c r="Q1059" s="63"/>
      <c r="R1059" s="63"/>
      <c r="S1059" s="63"/>
      <c r="T1059" s="63"/>
      <c r="U1059" s="63"/>
      <c r="V1059" s="63"/>
      <c r="W1059" s="63"/>
      <c r="X1059" s="63"/>
      <c r="Y1059" s="63"/>
      <c r="Z1059" s="63"/>
      <c r="AA1059" s="63"/>
      <c r="AB1059" s="63"/>
      <c r="AC1059" s="63"/>
      <c r="AD1059" s="63"/>
      <c r="AE1059" s="63"/>
      <c r="AF1059" s="63"/>
    </row>
    <row r="1060" ht="15.75" customHeight="1">
      <c r="A1060" s="116"/>
      <c r="B1060" s="117"/>
      <c r="C1060" s="116"/>
      <c r="D1060" s="116"/>
      <c r="E1060" s="189"/>
      <c r="F1060" s="63"/>
      <c r="G1060" s="63"/>
      <c r="H1060" s="63"/>
      <c r="I1060" s="63"/>
      <c r="J1060" s="63"/>
      <c r="K1060" s="63"/>
      <c r="L1060" s="63"/>
      <c r="M1060" s="63"/>
      <c r="N1060" s="63"/>
      <c r="O1060" s="63"/>
      <c r="P1060" s="63"/>
      <c r="Q1060" s="63"/>
      <c r="R1060" s="63"/>
      <c r="S1060" s="63"/>
      <c r="T1060" s="63"/>
      <c r="U1060" s="63"/>
      <c r="V1060" s="63"/>
      <c r="W1060" s="63"/>
      <c r="X1060" s="63"/>
      <c r="Y1060" s="63"/>
      <c r="Z1060" s="63"/>
      <c r="AA1060" s="63"/>
      <c r="AB1060" s="63"/>
      <c r="AC1060" s="63"/>
      <c r="AD1060" s="63"/>
      <c r="AE1060" s="63"/>
      <c r="AF1060" s="63"/>
    </row>
    <row r="1061" ht="15.75" customHeight="1">
      <c r="A1061" s="116"/>
      <c r="B1061" s="117"/>
      <c r="C1061" s="116"/>
      <c r="D1061" s="116"/>
      <c r="E1061" s="189"/>
      <c r="F1061" s="63"/>
      <c r="G1061" s="63"/>
      <c r="H1061" s="63"/>
      <c r="I1061" s="63"/>
      <c r="J1061" s="63"/>
      <c r="K1061" s="63"/>
      <c r="L1061" s="63"/>
      <c r="M1061" s="63"/>
      <c r="N1061" s="63"/>
      <c r="O1061" s="63"/>
      <c r="P1061" s="63"/>
      <c r="Q1061" s="63"/>
      <c r="R1061" s="63"/>
      <c r="S1061" s="63"/>
      <c r="T1061" s="63"/>
      <c r="U1061" s="63"/>
      <c r="V1061" s="63"/>
      <c r="W1061" s="63"/>
      <c r="X1061" s="63"/>
      <c r="Y1061" s="63"/>
      <c r="Z1061" s="63"/>
      <c r="AA1061" s="63"/>
      <c r="AB1061" s="63"/>
      <c r="AC1061" s="63"/>
      <c r="AD1061" s="63"/>
      <c r="AE1061" s="63"/>
      <c r="AF1061" s="63"/>
    </row>
    <row r="1062" ht="15.75" customHeight="1">
      <c r="A1062" s="116"/>
      <c r="B1062" s="117"/>
      <c r="C1062" s="116"/>
      <c r="D1062" s="116"/>
      <c r="E1062" s="189"/>
      <c r="F1062" s="63"/>
      <c r="G1062" s="63"/>
      <c r="H1062" s="63"/>
      <c r="I1062" s="63"/>
      <c r="J1062" s="63"/>
      <c r="K1062" s="63"/>
      <c r="L1062" s="63"/>
      <c r="M1062" s="63"/>
      <c r="N1062" s="63"/>
      <c r="O1062" s="63"/>
      <c r="P1062" s="63"/>
      <c r="Q1062" s="63"/>
      <c r="R1062" s="63"/>
      <c r="S1062" s="63"/>
      <c r="T1062" s="63"/>
      <c r="U1062" s="63"/>
      <c r="V1062" s="63"/>
      <c r="W1062" s="63"/>
      <c r="X1062" s="63"/>
      <c r="Y1062" s="63"/>
      <c r="Z1062" s="63"/>
      <c r="AA1062" s="63"/>
      <c r="AB1062" s="63"/>
      <c r="AC1062" s="63"/>
      <c r="AD1062" s="63"/>
      <c r="AE1062" s="63"/>
      <c r="AF1062" s="63"/>
    </row>
    <row r="1063" ht="15.75" customHeight="1">
      <c r="A1063" s="116"/>
      <c r="B1063" s="117"/>
      <c r="C1063" s="116"/>
      <c r="D1063" s="116"/>
      <c r="E1063" s="189"/>
      <c r="F1063" s="63"/>
      <c r="G1063" s="63"/>
      <c r="H1063" s="63"/>
      <c r="I1063" s="63"/>
      <c r="J1063" s="63"/>
      <c r="K1063" s="63"/>
      <c r="L1063" s="63"/>
      <c r="M1063" s="63"/>
      <c r="N1063" s="63"/>
      <c r="O1063" s="63"/>
      <c r="P1063" s="63"/>
      <c r="Q1063" s="63"/>
      <c r="R1063" s="63"/>
      <c r="S1063" s="63"/>
      <c r="T1063" s="63"/>
      <c r="U1063" s="63"/>
      <c r="V1063" s="63"/>
      <c r="W1063" s="63"/>
      <c r="X1063" s="63"/>
      <c r="Y1063" s="63"/>
      <c r="Z1063" s="63"/>
      <c r="AA1063" s="63"/>
      <c r="AB1063" s="63"/>
      <c r="AC1063" s="63"/>
      <c r="AD1063" s="63"/>
      <c r="AE1063" s="63"/>
      <c r="AF1063" s="63"/>
    </row>
    <row r="1064" ht="15.75" customHeight="1">
      <c r="A1064" s="116"/>
      <c r="B1064" s="117"/>
      <c r="C1064" s="116"/>
      <c r="D1064" s="116"/>
      <c r="E1064" s="189"/>
      <c r="F1064" s="63"/>
      <c r="G1064" s="63"/>
      <c r="H1064" s="63"/>
      <c r="I1064" s="63"/>
      <c r="J1064" s="63"/>
      <c r="K1064" s="63"/>
      <c r="L1064" s="63"/>
      <c r="M1064" s="63"/>
      <c r="N1064" s="63"/>
      <c r="O1064" s="63"/>
      <c r="P1064" s="63"/>
      <c r="Q1064" s="63"/>
      <c r="R1064" s="63"/>
      <c r="S1064" s="63"/>
      <c r="T1064" s="63"/>
      <c r="U1064" s="63"/>
      <c r="V1064" s="63"/>
      <c r="W1064" s="63"/>
      <c r="X1064" s="63"/>
      <c r="Y1064" s="63"/>
      <c r="Z1064" s="63"/>
      <c r="AA1064" s="63"/>
      <c r="AB1064" s="63"/>
      <c r="AC1064" s="63"/>
      <c r="AD1064" s="63"/>
      <c r="AE1064" s="63"/>
      <c r="AF1064" s="63"/>
    </row>
    <row r="1065" ht="15.75" customHeight="1">
      <c r="A1065" s="116"/>
      <c r="B1065" s="117"/>
      <c r="C1065" s="116"/>
      <c r="D1065" s="116"/>
      <c r="E1065" s="189"/>
      <c r="F1065" s="63"/>
      <c r="G1065" s="63"/>
      <c r="H1065" s="63"/>
      <c r="I1065" s="63"/>
      <c r="J1065" s="63"/>
      <c r="K1065" s="63"/>
      <c r="L1065" s="63"/>
      <c r="M1065" s="63"/>
      <c r="N1065" s="63"/>
      <c r="O1065" s="63"/>
      <c r="P1065" s="63"/>
      <c r="Q1065" s="63"/>
      <c r="R1065" s="63"/>
      <c r="S1065" s="63"/>
      <c r="T1065" s="63"/>
      <c r="U1065" s="63"/>
      <c r="V1065" s="63"/>
      <c r="W1065" s="63"/>
      <c r="X1065" s="63"/>
      <c r="Y1065" s="63"/>
      <c r="Z1065" s="63"/>
      <c r="AA1065" s="63"/>
      <c r="AB1065" s="63"/>
      <c r="AC1065" s="63"/>
      <c r="AD1065" s="63"/>
      <c r="AE1065" s="63"/>
      <c r="AF1065" s="63"/>
    </row>
    <row r="1066" ht="15.75" customHeight="1">
      <c r="A1066" s="116"/>
      <c r="B1066" s="117"/>
      <c r="C1066" s="116"/>
      <c r="D1066" s="116"/>
      <c r="E1066" s="189"/>
      <c r="F1066" s="63"/>
      <c r="G1066" s="63"/>
      <c r="H1066" s="63"/>
      <c r="I1066" s="63"/>
      <c r="J1066" s="63"/>
      <c r="K1066" s="63"/>
      <c r="L1066" s="63"/>
      <c r="M1066" s="63"/>
      <c r="N1066" s="63"/>
      <c r="O1066" s="63"/>
      <c r="P1066" s="63"/>
      <c r="Q1066" s="63"/>
      <c r="R1066" s="63"/>
      <c r="S1066" s="63"/>
      <c r="T1066" s="63"/>
      <c r="U1066" s="63"/>
      <c r="V1066" s="63"/>
      <c r="W1066" s="63"/>
      <c r="X1066" s="63"/>
      <c r="Y1066" s="63"/>
      <c r="Z1066" s="63"/>
      <c r="AA1066" s="63"/>
      <c r="AB1066" s="63"/>
      <c r="AC1066" s="63"/>
      <c r="AD1066" s="63"/>
      <c r="AE1066" s="63"/>
      <c r="AF1066" s="63"/>
    </row>
    <row r="1067" ht="15.75" customHeight="1">
      <c r="A1067" s="116"/>
      <c r="B1067" s="117"/>
      <c r="C1067" s="116"/>
      <c r="D1067" s="116"/>
      <c r="E1067" s="189"/>
      <c r="F1067" s="63"/>
      <c r="G1067" s="63"/>
      <c r="H1067" s="63"/>
      <c r="I1067" s="63"/>
      <c r="J1067" s="63"/>
      <c r="K1067" s="63"/>
      <c r="L1067" s="63"/>
      <c r="M1067" s="63"/>
      <c r="N1067" s="63"/>
      <c r="O1067" s="63"/>
      <c r="P1067" s="63"/>
      <c r="Q1067" s="63"/>
      <c r="R1067" s="63"/>
      <c r="S1067" s="63"/>
      <c r="T1067" s="63"/>
      <c r="U1067" s="63"/>
      <c r="V1067" s="63"/>
      <c r="W1067" s="63"/>
      <c r="X1067" s="63"/>
      <c r="Y1067" s="63"/>
      <c r="Z1067" s="63"/>
      <c r="AA1067" s="63"/>
      <c r="AB1067" s="63"/>
      <c r="AC1067" s="63"/>
      <c r="AD1067" s="63"/>
      <c r="AE1067" s="63"/>
      <c r="AF1067" s="63"/>
    </row>
    <row r="1068" ht="15.75" customHeight="1">
      <c r="A1068" s="116"/>
      <c r="B1068" s="117"/>
      <c r="C1068" s="116"/>
      <c r="D1068" s="116"/>
      <c r="E1068" s="189"/>
      <c r="F1068" s="63"/>
      <c r="G1068" s="63"/>
      <c r="H1068" s="63"/>
      <c r="I1068" s="63"/>
      <c r="J1068" s="63"/>
      <c r="K1068" s="63"/>
      <c r="L1068" s="63"/>
      <c r="M1068" s="63"/>
      <c r="N1068" s="63"/>
      <c r="O1068" s="63"/>
      <c r="P1068" s="63"/>
      <c r="Q1068" s="63"/>
      <c r="R1068" s="63"/>
      <c r="S1068" s="63"/>
      <c r="T1068" s="63"/>
      <c r="U1068" s="63"/>
      <c r="V1068" s="63"/>
      <c r="W1068" s="63"/>
      <c r="X1068" s="63"/>
      <c r="Y1068" s="63"/>
      <c r="Z1068" s="63"/>
      <c r="AA1068" s="63"/>
      <c r="AB1068" s="63"/>
      <c r="AC1068" s="63"/>
      <c r="AD1068" s="63"/>
      <c r="AE1068" s="63"/>
      <c r="AF1068" s="63"/>
    </row>
    <row r="1069" ht="15.75" customHeight="1">
      <c r="A1069" s="116"/>
      <c r="B1069" s="117"/>
      <c r="C1069" s="116"/>
      <c r="D1069" s="116"/>
      <c r="E1069" s="189"/>
      <c r="F1069" s="63"/>
      <c r="G1069" s="63"/>
      <c r="H1069" s="63"/>
      <c r="I1069" s="63"/>
      <c r="J1069" s="63"/>
      <c r="K1069" s="63"/>
      <c r="L1069" s="63"/>
      <c r="M1069" s="63"/>
      <c r="N1069" s="63"/>
      <c r="O1069" s="63"/>
      <c r="P1069" s="63"/>
      <c r="Q1069" s="63"/>
      <c r="R1069" s="63"/>
      <c r="S1069" s="63"/>
      <c r="T1069" s="63"/>
      <c r="U1069" s="63"/>
      <c r="V1069" s="63"/>
      <c r="W1069" s="63"/>
      <c r="X1069" s="63"/>
      <c r="Y1069" s="63"/>
      <c r="Z1069" s="63"/>
      <c r="AA1069" s="63"/>
      <c r="AB1069" s="63"/>
      <c r="AC1069" s="63"/>
      <c r="AD1069" s="63"/>
      <c r="AE1069" s="63"/>
      <c r="AF1069" s="63"/>
    </row>
    <row r="1070" ht="15.75" customHeight="1">
      <c r="A1070" s="116"/>
      <c r="B1070" s="117"/>
      <c r="C1070" s="116"/>
      <c r="D1070" s="116"/>
      <c r="E1070" s="189"/>
      <c r="F1070" s="63"/>
      <c r="G1070" s="63"/>
      <c r="H1070" s="63"/>
      <c r="I1070" s="63"/>
      <c r="J1070" s="63"/>
      <c r="K1070" s="63"/>
      <c r="L1070" s="63"/>
      <c r="M1070" s="63"/>
      <c r="N1070" s="63"/>
      <c r="O1070" s="63"/>
      <c r="P1070" s="63"/>
      <c r="Q1070" s="63"/>
      <c r="R1070" s="63"/>
      <c r="S1070" s="63"/>
      <c r="T1070" s="63"/>
      <c r="U1070" s="63"/>
      <c r="V1070" s="63"/>
      <c r="W1070" s="63"/>
      <c r="X1070" s="63"/>
      <c r="Y1070" s="63"/>
      <c r="Z1070" s="63"/>
      <c r="AA1070" s="63"/>
      <c r="AB1070" s="63"/>
      <c r="AC1070" s="63"/>
      <c r="AD1070" s="63"/>
      <c r="AE1070" s="63"/>
      <c r="AF1070" s="63"/>
    </row>
    <row r="1071" ht="15.75" customHeight="1">
      <c r="A1071" s="116"/>
      <c r="B1071" s="117"/>
      <c r="C1071" s="116"/>
      <c r="D1071" s="116"/>
      <c r="E1071" s="189"/>
      <c r="F1071" s="63"/>
      <c r="G1071" s="63"/>
      <c r="H1071" s="63"/>
      <c r="I1071" s="63"/>
      <c r="J1071" s="63"/>
      <c r="K1071" s="63"/>
      <c r="L1071" s="63"/>
      <c r="M1071" s="63"/>
      <c r="N1071" s="63"/>
      <c r="O1071" s="63"/>
      <c r="P1071" s="63"/>
      <c r="Q1071" s="63"/>
      <c r="R1071" s="63"/>
      <c r="S1071" s="63"/>
      <c r="T1071" s="63"/>
      <c r="U1071" s="63"/>
      <c r="V1071" s="63"/>
      <c r="W1071" s="63"/>
      <c r="X1071" s="63"/>
      <c r="Y1071" s="63"/>
      <c r="Z1071" s="63"/>
      <c r="AA1071" s="63"/>
      <c r="AB1071" s="63"/>
      <c r="AC1071" s="63"/>
      <c r="AD1071" s="63"/>
      <c r="AE1071" s="63"/>
      <c r="AF1071" s="63"/>
    </row>
    <row r="1072" ht="15.75" customHeight="1">
      <c r="A1072" s="116"/>
      <c r="B1072" s="117"/>
      <c r="C1072" s="116"/>
      <c r="D1072" s="116"/>
      <c r="E1072" s="189"/>
      <c r="F1072" s="63"/>
      <c r="G1072" s="63"/>
      <c r="H1072" s="63"/>
      <c r="I1072" s="63"/>
      <c r="J1072" s="63"/>
      <c r="K1072" s="63"/>
      <c r="L1072" s="63"/>
      <c r="M1072" s="63"/>
      <c r="N1072" s="63"/>
      <c r="O1072" s="63"/>
      <c r="P1072" s="63"/>
      <c r="Q1072" s="63"/>
      <c r="R1072" s="63"/>
      <c r="S1072" s="63"/>
      <c r="T1072" s="63"/>
      <c r="U1072" s="63"/>
      <c r="V1072" s="63"/>
      <c r="W1072" s="63"/>
      <c r="X1072" s="63"/>
      <c r="Y1072" s="63"/>
      <c r="Z1072" s="63"/>
      <c r="AA1072" s="63"/>
      <c r="AB1072" s="63"/>
      <c r="AC1072" s="63"/>
      <c r="AD1072" s="63"/>
      <c r="AE1072" s="63"/>
      <c r="AF1072" s="63"/>
    </row>
    <row r="1073" ht="15.75" customHeight="1">
      <c r="A1073" s="116"/>
      <c r="B1073" s="117"/>
      <c r="C1073" s="116"/>
      <c r="D1073" s="116"/>
      <c r="E1073" s="189"/>
      <c r="F1073" s="63"/>
      <c r="G1073" s="63"/>
      <c r="H1073" s="63"/>
      <c r="I1073" s="63"/>
      <c r="J1073" s="63"/>
      <c r="K1073" s="63"/>
      <c r="L1073" s="63"/>
      <c r="M1073" s="63"/>
      <c r="N1073" s="63"/>
      <c r="O1073" s="63"/>
      <c r="P1073" s="63"/>
      <c r="Q1073" s="63"/>
      <c r="R1073" s="63"/>
      <c r="S1073" s="63"/>
      <c r="T1073" s="63"/>
      <c r="U1073" s="63"/>
      <c r="V1073" s="63"/>
      <c r="W1073" s="63"/>
      <c r="X1073" s="63"/>
      <c r="Y1073" s="63"/>
      <c r="Z1073" s="63"/>
      <c r="AA1073" s="63"/>
      <c r="AB1073" s="63"/>
      <c r="AC1073" s="63"/>
      <c r="AD1073" s="63"/>
      <c r="AE1073" s="63"/>
      <c r="AF1073" s="63"/>
    </row>
    <row r="1074" ht="15.75" customHeight="1">
      <c r="A1074" s="116"/>
      <c r="B1074" s="117"/>
      <c r="C1074" s="116"/>
      <c r="D1074" s="116"/>
      <c r="E1074" s="189"/>
      <c r="F1074" s="63"/>
      <c r="G1074" s="63"/>
      <c r="H1074" s="63"/>
      <c r="I1074" s="63"/>
      <c r="J1074" s="63"/>
      <c r="K1074" s="63"/>
      <c r="L1074" s="63"/>
      <c r="M1074" s="63"/>
      <c r="N1074" s="63"/>
      <c r="O1074" s="63"/>
      <c r="P1074" s="63"/>
      <c r="Q1074" s="63"/>
      <c r="R1074" s="63"/>
      <c r="S1074" s="63"/>
      <c r="T1074" s="63"/>
      <c r="U1074" s="63"/>
      <c r="V1074" s="63"/>
      <c r="W1074" s="63"/>
      <c r="X1074" s="63"/>
      <c r="Y1074" s="63"/>
      <c r="Z1074" s="63"/>
      <c r="AA1074" s="63"/>
      <c r="AB1074" s="63"/>
      <c r="AC1074" s="63"/>
      <c r="AD1074" s="63"/>
      <c r="AE1074" s="63"/>
      <c r="AF1074" s="63"/>
    </row>
    <row r="1075" ht="15.75" customHeight="1">
      <c r="A1075" s="116"/>
      <c r="B1075" s="117"/>
      <c r="C1075" s="116"/>
      <c r="D1075" s="116"/>
      <c r="E1075" s="189"/>
      <c r="F1075" s="63"/>
      <c r="G1075" s="63"/>
      <c r="H1075" s="63"/>
      <c r="I1075" s="63"/>
      <c r="J1075" s="63"/>
      <c r="K1075" s="63"/>
      <c r="L1075" s="63"/>
      <c r="M1075" s="63"/>
      <c r="N1075" s="63"/>
      <c r="O1075" s="63"/>
      <c r="P1075" s="63"/>
      <c r="Q1075" s="63"/>
      <c r="R1075" s="63"/>
      <c r="S1075" s="63"/>
      <c r="T1075" s="63"/>
      <c r="U1075" s="63"/>
      <c r="V1075" s="63"/>
      <c r="W1075" s="63"/>
      <c r="X1075" s="63"/>
      <c r="Y1075" s="63"/>
      <c r="Z1075" s="63"/>
      <c r="AA1075" s="63"/>
      <c r="AB1075" s="63"/>
      <c r="AC1075" s="63"/>
      <c r="AD1075" s="63"/>
      <c r="AE1075" s="63"/>
      <c r="AF1075" s="63"/>
    </row>
    <row r="1076" ht="15.75" customHeight="1">
      <c r="A1076" s="116"/>
      <c r="B1076" s="117"/>
      <c r="C1076" s="116"/>
      <c r="D1076" s="116"/>
      <c r="E1076" s="189"/>
      <c r="F1076" s="63"/>
      <c r="G1076" s="63"/>
      <c r="H1076" s="63"/>
      <c r="I1076" s="63"/>
      <c r="J1076" s="63"/>
      <c r="K1076" s="63"/>
      <c r="L1076" s="63"/>
      <c r="M1076" s="63"/>
      <c r="N1076" s="63"/>
      <c r="O1076" s="63"/>
      <c r="P1076" s="63"/>
      <c r="Q1076" s="63"/>
      <c r="R1076" s="63"/>
      <c r="S1076" s="63"/>
      <c r="T1076" s="63"/>
      <c r="U1076" s="63"/>
      <c r="V1076" s="63"/>
      <c r="W1076" s="63"/>
      <c r="X1076" s="63"/>
      <c r="Y1076" s="63"/>
      <c r="Z1076" s="63"/>
      <c r="AA1076" s="63"/>
      <c r="AB1076" s="63"/>
      <c r="AC1076" s="63"/>
      <c r="AD1076" s="63"/>
      <c r="AE1076" s="63"/>
      <c r="AF1076" s="63"/>
    </row>
    <row r="1077" ht="15.75" customHeight="1">
      <c r="A1077" s="116"/>
      <c r="B1077" s="117"/>
      <c r="C1077" s="116"/>
      <c r="D1077" s="116"/>
      <c r="E1077" s="189"/>
      <c r="F1077" s="63"/>
      <c r="G1077" s="63"/>
      <c r="H1077" s="63"/>
      <c r="I1077" s="63"/>
      <c r="J1077" s="63"/>
      <c r="K1077" s="63"/>
      <c r="L1077" s="63"/>
      <c r="M1077" s="63"/>
      <c r="N1077" s="63"/>
      <c r="O1077" s="63"/>
      <c r="P1077" s="63"/>
      <c r="Q1077" s="63"/>
      <c r="R1077" s="63"/>
      <c r="S1077" s="63"/>
      <c r="T1077" s="63"/>
      <c r="U1077" s="63"/>
      <c r="V1077" s="63"/>
      <c r="W1077" s="63"/>
      <c r="X1077" s="63"/>
      <c r="Y1077" s="63"/>
      <c r="Z1077" s="63"/>
      <c r="AA1077" s="63"/>
      <c r="AB1077" s="63"/>
      <c r="AC1077" s="63"/>
      <c r="AD1077" s="63"/>
      <c r="AE1077" s="63"/>
      <c r="AF1077" s="63"/>
    </row>
    <row r="1078" ht="15.75" customHeight="1">
      <c r="A1078" s="116"/>
      <c r="B1078" s="117"/>
      <c r="C1078" s="116"/>
      <c r="D1078" s="116"/>
      <c r="E1078" s="189"/>
      <c r="F1078" s="63"/>
      <c r="G1078" s="63"/>
      <c r="H1078" s="63"/>
      <c r="I1078" s="63"/>
      <c r="J1078" s="63"/>
      <c r="K1078" s="63"/>
      <c r="L1078" s="63"/>
      <c r="M1078" s="63"/>
      <c r="N1078" s="63"/>
      <c r="O1078" s="63"/>
      <c r="P1078" s="63"/>
      <c r="Q1078" s="63"/>
      <c r="R1078" s="63"/>
      <c r="S1078" s="63"/>
      <c r="T1078" s="63"/>
      <c r="U1078" s="63"/>
      <c r="V1078" s="63"/>
      <c r="W1078" s="63"/>
      <c r="X1078" s="63"/>
      <c r="Y1078" s="63"/>
      <c r="Z1078" s="63"/>
      <c r="AA1078" s="63"/>
      <c r="AB1078" s="63"/>
      <c r="AC1078" s="63"/>
      <c r="AD1078" s="63"/>
      <c r="AE1078" s="63"/>
      <c r="AF1078" s="63"/>
    </row>
    <row r="1079" ht="15.75" customHeight="1">
      <c r="A1079" s="116"/>
      <c r="B1079" s="117"/>
      <c r="C1079" s="116"/>
      <c r="D1079" s="116"/>
      <c r="E1079" s="189"/>
      <c r="F1079" s="63"/>
      <c r="G1079" s="63"/>
      <c r="H1079" s="63"/>
      <c r="I1079" s="63"/>
      <c r="J1079" s="63"/>
      <c r="K1079" s="63"/>
      <c r="L1079" s="63"/>
      <c r="M1079" s="63"/>
      <c r="N1079" s="63"/>
      <c r="O1079" s="63"/>
      <c r="P1079" s="63"/>
      <c r="Q1079" s="63"/>
      <c r="R1079" s="63"/>
      <c r="S1079" s="63"/>
      <c r="T1079" s="63"/>
      <c r="U1079" s="63"/>
      <c r="V1079" s="63"/>
      <c r="W1079" s="63"/>
      <c r="X1079" s="63"/>
      <c r="Y1079" s="63"/>
      <c r="Z1079" s="63"/>
      <c r="AA1079" s="63"/>
      <c r="AB1079" s="63"/>
      <c r="AC1079" s="63"/>
      <c r="AD1079" s="63"/>
      <c r="AE1079" s="63"/>
      <c r="AF1079" s="63"/>
    </row>
    <row r="1080" ht="15.75" customHeight="1">
      <c r="A1080" s="116"/>
      <c r="B1080" s="117"/>
      <c r="C1080" s="116"/>
      <c r="D1080" s="116"/>
      <c r="E1080" s="189"/>
      <c r="F1080" s="63"/>
      <c r="G1080" s="63"/>
      <c r="H1080" s="63"/>
      <c r="I1080" s="63"/>
      <c r="J1080" s="63"/>
      <c r="K1080" s="63"/>
      <c r="L1080" s="63"/>
      <c r="M1080" s="63"/>
      <c r="N1080" s="63"/>
      <c r="O1080" s="63"/>
      <c r="P1080" s="63"/>
      <c r="Q1080" s="63"/>
      <c r="R1080" s="63"/>
      <c r="S1080" s="63"/>
      <c r="T1080" s="63"/>
      <c r="U1080" s="63"/>
      <c r="V1080" s="63"/>
      <c r="W1080" s="63"/>
      <c r="X1080" s="63"/>
      <c r="Y1080" s="63"/>
      <c r="Z1080" s="63"/>
      <c r="AA1080" s="63"/>
      <c r="AB1080" s="63"/>
      <c r="AC1080" s="63"/>
      <c r="AD1080" s="63"/>
      <c r="AE1080" s="63"/>
      <c r="AF1080" s="63"/>
    </row>
    <row r="1081" ht="15.75" customHeight="1">
      <c r="A1081" s="116"/>
      <c r="B1081" s="117"/>
      <c r="C1081" s="116"/>
      <c r="D1081" s="116"/>
      <c r="E1081" s="189"/>
      <c r="F1081" s="63"/>
      <c r="G1081" s="63"/>
      <c r="H1081" s="63"/>
      <c r="I1081" s="63"/>
      <c r="J1081" s="63"/>
      <c r="K1081" s="63"/>
      <c r="L1081" s="63"/>
      <c r="M1081" s="63"/>
      <c r="N1081" s="63"/>
      <c r="O1081" s="63"/>
      <c r="P1081" s="63"/>
      <c r="Q1081" s="63"/>
      <c r="R1081" s="63"/>
      <c r="S1081" s="63"/>
      <c r="T1081" s="63"/>
      <c r="U1081" s="63"/>
      <c r="V1081" s="63"/>
      <c r="W1081" s="63"/>
      <c r="X1081" s="63"/>
      <c r="Y1081" s="63"/>
      <c r="Z1081" s="63"/>
      <c r="AA1081" s="63"/>
      <c r="AB1081" s="63"/>
      <c r="AC1081" s="63"/>
      <c r="AD1081" s="63"/>
      <c r="AE1081" s="63"/>
      <c r="AF1081" s="63"/>
    </row>
    <row r="1082" ht="15.75" customHeight="1">
      <c r="A1082" s="116"/>
      <c r="B1082" s="117"/>
      <c r="C1082" s="116"/>
      <c r="D1082" s="116"/>
      <c r="E1082" s="189"/>
      <c r="F1082" s="63"/>
      <c r="G1082" s="63"/>
      <c r="H1082" s="63"/>
      <c r="I1082" s="63"/>
      <c r="J1082" s="63"/>
      <c r="K1082" s="63"/>
      <c r="L1082" s="63"/>
      <c r="M1082" s="63"/>
      <c r="N1082" s="63"/>
      <c r="O1082" s="63"/>
      <c r="P1082" s="63"/>
      <c r="Q1082" s="63"/>
      <c r="R1082" s="63"/>
      <c r="S1082" s="63"/>
      <c r="T1082" s="63"/>
      <c r="U1082" s="63"/>
      <c r="V1082" s="63"/>
      <c r="W1082" s="63"/>
      <c r="X1082" s="63"/>
      <c r="Y1082" s="63"/>
      <c r="Z1082" s="63"/>
      <c r="AA1082" s="63"/>
      <c r="AB1082" s="63"/>
      <c r="AC1082" s="63"/>
      <c r="AD1082" s="63"/>
      <c r="AE1082" s="63"/>
      <c r="AF1082" s="63"/>
    </row>
    <row r="1083" ht="15.75" customHeight="1">
      <c r="A1083" s="116"/>
      <c r="B1083" s="117"/>
      <c r="C1083" s="116"/>
      <c r="D1083" s="116"/>
      <c r="E1083" s="189"/>
      <c r="F1083" s="63"/>
      <c r="G1083" s="63"/>
      <c r="H1083" s="63"/>
      <c r="I1083" s="63"/>
      <c r="J1083" s="63"/>
      <c r="K1083" s="63"/>
      <c r="L1083" s="63"/>
      <c r="M1083" s="63"/>
      <c r="N1083" s="63"/>
      <c r="O1083" s="63"/>
      <c r="P1083" s="63"/>
      <c r="Q1083" s="63"/>
      <c r="R1083" s="63"/>
      <c r="S1083" s="63"/>
      <c r="T1083" s="63"/>
      <c r="U1083" s="63"/>
      <c r="V1083" s="63"/>
      <c r="W1083" s="63"/>
      <c r="X1083" s="63"/>
      <c r="Y1083" s="63"/>
      <c r="Z1083" s="63"/>
      <c r="AA1083" s="63"/>
      <c r="AB1083" s="63"/>
      <c r="AC1083" s="63"/>
      <c r="AD1083" s="63"/>
      <c r="AE1083" s="63"/>
      <c r="AF1083" s="63"/>
    </row>
    <row r="1084" ht="15.75" customHeight="1">
      <c r="A1084" s="116"/>
      <c r="B1084" s="117"/>
      <c r="C1084" s="116"/>
      <c r="D1084" s="116"/>
      <c r="E1084" s="189"/>
      <c r="F1084" s="63"/>
      <c r="G1084" s="63"/>
      <c r="H1084" s="63"/>
      <c r="I1084" s="63"/>
      <c r="J1084" s="63"/>
      <c r="K1084" s="63"/>
      <c r="L1084" s="63"/>
      <c r="M1084" s="63"/>
      <c r="N1084" s="63"/>
      <c r="O1084" s="63"/>
      <c r="P1084" s="63"/>
      <c r="Q1084" s="63"/>
      <c r="R1084" s="63"/>
      <c r="S1084" s="63"/>
      <c r="T1084" s="63"/>
      <c r="U1084" s="63"/>
      <c r="V1084" s="63"/>
      <c r="W1084" s="63"/>
      <c r="X1084" s="63"/>
      <c r="Y1084" s="63"/>
      <c r="Z1084" s="63"/>
      <c r="AA1084" s="63"/>
      <c r="AB1084" s="63"/>
      <c r="AC1084" s="63"/>
      <c r="AD1084" s="63"/>
      <c r="AE1084" s="63"/>
      <c r="AF1084" s="63"/>
    </row>
    <row r="1085" ht="15.75" customHeight="1">
      <c r="A1085" s="116"/>
      <c r="B1085" s="117"/>
      <c r="C1085" s="116"/>
      <c r="D1085" s="116"/>
      <c r="E1085" s="189"/>
      <c r="F1085" s="63"/>
      <c r="G1085" s="63"/>
      <c r="H1085" s="63"/>
      <c r="I1085" s="63"/>
      <c r="J1085" s="63"/>
      <c r="K1085" s="63"/>
      <c r="L1085" s="63"/>
      <c r="M1085" s="63"/>
      <c r="N1085" s="63"/>
      <c r="O1085" s="63"/>
      <c r="P1085" s="63"/>
      <c r="Q1085" s="63"/>
      <c r="R1085" s="63"/>
      <c r="S1085" s="63"/>
      <c r="T1085" s="63"/>
      <c r="U1085" s="63"/>
      <c r="V1085" s="63"/>
      <c r="W1085" s="63"/>
      <c r="X1085" s="63"/>
      <c r="Y1085" s="63"/>
      <c r="Z1085" s="63"/>
      <c r="AA1085" s="63"/>
      <c r="AB1085" s="63"/>
      <c r="AC1085" s="63"/>
      <c r="AD1085" s="63"/>
      <c r="AE1085" s="63"/>
      <c r="AF1085" s="63"/>
    </row>
    <row r="1086" ht="15.75" customHeight="1">
      <c r="A1086" s="116"/>
      <c r="B1086" s="117"/>
      <c r="C1086" s="116"/>
      <c r="D1086" s="116"/>
      <c r="E1086" s="189"/>
      <c r="F1086" s="63"/>
      <c r="G1086" s="63"/>
      <c r="H1086" s="63"/>
      <c r="I1086" s="63"/>
      <c r="J1086" s="63"/>
      <c r="K1086" s="63"/>
      <c r="L1086" s="63"/>
      <c r="M1086" s="63"/>
      <c r="N1086" s="63"/>
      <c r="O1086" s="63"/>
      <c r="P1086" s="63"/>
      <c r="Q1086" s="63"/>
      <c r="R1086" s="63"/>
      <c r="S1086" s="63"/>
      <c r="T1086" s="63"/>
      <c r="U1086" s="63"/>
      <c r="V1086" s="63"/>
      <c r="W1086" s="63"/>
      <c r="X1086" s="63"/>
      <c r="Y1086" s="63"/>
      <c r="Z1086" s="63"/>
      <c r="AA1086" s="63"/>
      <c r="AB1086" s="63"/>
      <c r="AC1086" s="63"/>
      <c r="AD1086" s="63"/>
      <c r="AE1086" s="63"/>
      <c r="AF1086" s="63"/>
    </row>
    <row r="1087" ht="15.75" customHeight="1">
      <c r="A1087" s="116"/>
      <c r="B1087" s="117"/>
      <c r="C1087" s="116"/>
      <c r="D1087" s="116"/>
      <c r="E1087" s="189"/>
      <c r="F1087" s="63"/>
      <c r="G1087" s="63"/>
      <c r="H1087" s="63"/>
      <c r="I1087" s="63"/>
      <c r="J1087" s="63"/>
      <c r="K1087" s="63"/>
      <c r="L1087" s="63"/>
      <c r="M1087" s="63"/>
      <c r="N1087" s="63"/>
      <c r="O1087" s="63"/>
      <c r="P1087" s="63"/>
      <c r="Q1087" s="63"/>
      <c r="R1087" s="63"/>
      <c r="S1087" s="63"/>
      <c r="T1087" s="63"/>
      <c r="U1087" s="63"/>
      <c r="V1087" s="63"/>
      <c r="W1087" s="63"/>
      <c r="X1087" s="63"/>
      <c r="Y1087" s="63"/>
      <c r="Z1087" s="63"/>
      <c r="AA1087" s="63"/>
      <c r="AB1087" s="63"/>
      <c r="AC1087" s="63"/>
      <c r="AD1087" s="63"/>
      <c r="AE1087" s="63"/>
      <c r="AF1087" s="63"/>
    </row>
    <row r="1088" ht="15.75" customHeight="1">
      <c r="A1088" s="116"/>
      <c r="B1088" s="117"/>
      <c r="C1088" s="116"/>
      <c r="D1088" s="116"/>
      <c r="E1088" s="189"/>
      <c r="F1088" s="63"/>
      <c r="G1088" s="63"/>
      <c r="H1088" s="63"/>
      <c r="I1088" s="63"/>
      <c r="J1088" s="63"/>
      <c r="K1088" s="63"/>
      <c r="L1088" s="63"/>
      <c r="M1088" s="63"/>
      <c r="N1088" s="63"/>
      <c r="O1088" s="63"/>
      <c r="P1088" s="63"/>
      <c r="Q1088" s="63"/>
      <c r="R1088" s="63"/>
      <c r="S1088" s="63"/>
      <c r="T1088" s="63"/>
      <c r="U1088" s="63"/>
      <c r="V1088" s="63"/>
      <c r="W1088" s="63"/>
      <c r="X1088" s="63"/>
      <c r="Y1088" s="63"/>
      <c r="Z1088" s="63"/>
      <c r="AA1088" s="63"/>
      <c r="AB1088" s="63"/>
      <c r="AC1088" s="63"/>
      <c r="AD1088" s="63"/>
      <c r="AE1088" s="63"/>
      <c r="AF1088" s="63"/>
    </row>
    <row r="1089" ht="15.75" customHeight="1">
      <c r="A1089" s="116"/>
      <c r="B1089" s="117"/>
      <c r="C1089" s="116"/>
      <c r="D1089" s="116"/>
      <c r="E1089" s="189"/>
      <c r="F1089" s="63"/>
      <c r="G1089" s="63"/>
      <c r="H1089" s="63"/>
      <c r="I1089" s="63"/>
      <c r="J1089" s="63"/>
      <c r="K1089" s="63"/>
      <c r="L1089" s="63"/>
      <c r="M1089" s="63"/>
      <c r="N1089" s="63"/>
      <c r="O1089" s="63"/>
      <c r="P1089" s="63"/>
      <c r="Q1089" s="63"/>
      <c r="R1089" s="63"/>
      <c r="S1089" s="63"/>
      <c r="T1089" s="63"/>
      <c r="U1089" s="63"/>
      <c r="V1089" s="63"/>
      <c r="W1089" s="63"/>
      <c r="X1089" s="63"/>
      <c r="Y1089" s="63"/>
      <c r="Z1089" s="63"/>
      <c r="AA1089" s="63"/>
      <c r="AB1089" s="63"/>
      <c r="AC1089" s="63"/>
      <c r="AD1089" s="63"/>
      <c r="AE1089" s="63"/>
      <c r="AF1089" s="63"/>
    </row>
    <row r="1090" ht="15.75" customHeight="1">
      <c r="A1090" s="116"/>
      <c r="B1090" s="117"/>
      <c r="C1090" s="116"/>
      <c r="D1090" s="116"/>
      <c r="E1090" s="189"/>
      <c r="F1090" s="63"/>
      <c r="G1090" s="63"/>
      <c r="H1090" s="63"/>
      <c r="I1090" s="63"/>
      <c r="J1090" s="63"/>
      <c r="K1090" s="63"/>
      <c r="L1090" s="63"/>
      <c r="M1090" s="63"/>
      <c r="N1090" s="63"/>
      <c r="O1090" s="63"/>
      <c r="P1090" s="63"/>
      <c r="Q1090" s="63"/>
      <c r="R1090" s="63"/>
      <c r="S1090" s="63"/>
      <c r="T1090" s="63"/>
      <c r="U1090" s="63"/>
      <c r="V1090" s="63"/>
      <c r="W1090" s="63"/>
      <c r="X1090" s="63"/>
      <c r="Y1090" s="63"/>
      <c r="Z1090" s="63"/>
      <c r="AA1090" s="63"/>
      <c r="AB1090" s="63"/>
      <c r="AC1090" s="63"/>
      <c r="AD1090" s="63"/>
      <c r="AE1090" s="63"/>
      <c r="AF1090" s="63"/>
    </row>
    <row r="1091" ht="15.75" customHeight="1">
      <c r="A1091" s="116"/>
      <c r="B1091" s="117"/>
      <c r="C1091" s="116"/>
      <c r="D1091" s="116"/>
      <c r="E1091" s="189"/>
      <c r="F1091" s="63"/>
      <c r="G1091" s="63"/>
      <c r="H1091" s="63"/>
      <c r="I1091" s="63"/>
      <c r="J1091" s="63"/>
      <c r="K1091" s="63"/>
      <c r="L1091" s="63"/>
      <c r="M1091" s="63"/>
      <c r="N1091" s="63"/>
      <c r="O1091" s="63"/>
      <c r="P1091" s="63"/>
      <c r="Q1091" s="63"/>
      <c r="R1091" s="63"/>
      <c r="S1091" s="63"/>
      <c r="T1091" s="63"/>
      <c r="U1091" s="63"/>
      <c r="V1091" s="63"/>
      <c r="W1091" s="63"/>
      <c r="X1091" s="63"/>
      <c r="Y1091" s="63"/>
      <c r="Z1091" s="63"/>
      <c r="AA1091" s="63"/>
      <c r="AB1091" s="63"/>
      <c r="AC1091" s="63"/>
      <c r="AD1091" s="63"/>
      <c r="AE1091" s="63"/>
      <c r="AF1091" s="63"/>
    </row>
    <row r="1092" ht="15.75" customHeight="1">
      <c r="A1092" s="116"/>
      <c r="B1092" s="117"/>
      <c r="C1092" s="116"/>
      <c r="D1092" s="116"/>
      <c r="E1092" s="189"/>
      <c r="F1092" s="63"/>
      <c r="G1092" s="63"/>
      <c r="H1092" s="63"/>
      <c r="I1092" s="63"/>
      <c r="J1092" s="63"/>
      <c r="K1092" s="63"/>
      <c r="L1092" s="63"/>
      <c r="M1092" s="63"/>
      <c r="N1092" s="63"/>
      <c r="O1092" s="63"/>
      <c r="P1092" s="63"/>
      <c r="Q1092" s="63"/>
      <c r="R1092" s="63"/>
      <c r="S1092" s="63"/>
      <c r="T1092" s="63"/>
      <c r="U1092" s="63"/>
      <c r="V1092" s="63"/>
      <c r="W1092" s="63"/>
      <c r="X1092" s="63"/>
      <c r="Y1092" s="63"/>
      <c r="Z1092" s="63"/>
      <c r="AA1092" s="63"/>
      <c r="AB1092" s="63"/>
      <c r="AC1092" s="63"/>
      <c r="AD1092" s="63"/>
      <c r="AE1092" s="63"/>
      <c r="AF1092" s="63"/>
    </row>
    <row r="1093" ht="15.75" customHeight="1">
      <c r="A1093" s="116"/>
      <c r="B1093" s="117"/>
      <c r="C1093" s="116"/>
      <c r="D1093" s="116"/>
      <c r="E1093" s="189"/>
      <c r="F1093" s="63"/>
      <c r="G1093" s="63"/>
      <c r="H1093" s="63"/>
      <c r="I1093" s="63"/>
      <c r="J1093" s="63"/>
      <c r="K1093" s="63"/>
      <c r="L1093" s="63"/>
      <c r="M1093" s="63"/>
      <c r="N1093" s="63"/>
      <c r="O1093" s="63"/>
      <c r="P1093" s="63"/>
      <c r="Q1093" s="63"/>
      <c r="R1093" s="63"/>
      <c r="S1093" s="63"/>
      <c r="T1093" s="63"/>
      <c r="U1093" s="63"/>
      <c r="V1093" s="63"/>
      <c r="W1093" s="63"/>
      <c r="X1093" s="63"/>
      <c r="Y1093" s="63"/>
      <c r="Z1093" s="63"/>
      <c r="AA1093" s="63"/>
      <c r="AB1093" s="63"/>
      <c r="AC1093" s="63"/>
      <c r="AD1093" s="63"/>
      <c r="AE1093" s="63"/>
      <c r="AF1093" s="63"/>
    </row>
    <row r="1094" ht="15.75" customHeight="1">
      <c r="A1094" s="116"/>
      <c r="B1094" s="117"/>
      <c r="C1094" s="116"/>
      <c r="D1094" s="116"/>
      <c r="E1094" s="189"/>
      <c r="F1094" s="63"/>
      <c r="G1094" s="63"/>
      <c r="H1094" s="63"/>
      <c r="I1094" s="63"/>
      <c r="J1094" s="63"/>
      <c r="K1094" s="63"/>
      <c r="L1094" s="63"/>
      <c r="M1094" s="63"/>
      <c r="N1094" s="63"/>
      <c r="O1094" s="63"/>
      <c r="P1094" s="63"/>
      <c r="Q1094" s="63"/>
      <c r="R1094" s="63"/>
      <c r="S1094" s="63"/>
      <c r="T1094" s="63"/>
      <c r="U1094" s="63"/>
      <c r="V1094" s="63"/>
      <c r="W1094" s="63"/>
      <c r="X1094" s="63"/>
      <c r="Y1094" s="63"/>
      <c r="Z1094" s="63"/>
      <c r="AA1094" s="63"/>
      <c r="AB1094" s="63"/>
      <c r="AC1094" s="63"/>
      <c r="AD1094" s="63"/>
      <c r="AE1094" s="63"/>
      <c r="AF1094" s="63"/>
    </row>
    <row r="1095" ht="15.75" customHeight="1">
      <c r="A1095" s="116"/>
      <c r="B1095" s="117"/>
      <c r="C1095" s="116"/>
      <c r="D1095" s="116"/>
      <c r="E1095" s="189"/>
      <c r="F1095" s="63"/>
      <c r="G1095" s="63"/>
      <c r="H1095" s="63"/>
      <c r="I1095" s="63"/>
      <c r="J1095" s="63"/>
      <c r="K1095" s="63"/>
      <c r="L1095" s="63"/>
      <c r="M1095" s="63"/>
      <c r="N1095" s="63"/>
      <c r="O1095" s="63"/>
      <c r="P1095" s="63"/>
      <c r="Q1095" s="63"/>
      <c r="R1095" s="63"/>
      <c r="S1095" s="63"/>
      <c r="T1095" s="63"/>
      <c r="U1095" s="63"/>
      <c r="V1095" s="63"/>
      <c r="W1095" s="63"/>
      <c r="X1095" s="63"/>
      <c r="Y1095" s="63"/>
      <c r="Z1095" s="63"/>
      <c r="AA1095" s="63"/>
      <c r="AB1095" s="63"/>
      <c r="AC1095" s="63"/>
      <c r="AD1095" s="63"/>
      <c r="AE1095" s="63"/>
      <c r="AF1095" s="63"/>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3" t="s">
        <v>3</v>
      </c>
      <c r="C1" s="5" t="s">
        <v>5</v>
      </c>
      <c r="D1" s="3" t="s">
        <v>7</v>
      </c>
      <c r="E1" s="3" t="s">
        <v>8</v>
      </c>
      <c r="F1" s="9" t="s">
        <v>9</v>
      </c>
      <c r="G1" s="12"/>
      <c r="H1" s="12"/>
      <c r="I1" s="12"/>
      <c r="J1" s="12"/>
      <c r="K1" s="12"/>
      <c r="L1" s="12"/>
      <c r="M1" s="12"/>
      <c r="N1" s="12"/>
      <c r="O1" s="12"/>
      <c r="P1" s="12"/>
      <c r="Q1" s="12"/>
      <c r="R1" s="12"/>
      <c r="S1" s="12"/>
      <c r="T1" s="12"/>
      <c r="U1" s="12"/>
      <c r="V1" s="12"/>
      <c r="W1" s="12"/>
      <c r="X1" s="12"/>
      <c r="Y1" s="12"/>
      <c r="Z1" s="12"/>
    </row>
    <row r="2" ht="15.75" customHeight="1">
      <c r="A2" s="17" t="s">
        <v>21</v>
      </c>
      <c r="B2" s="19" t="s">
        <v>23</v>
      </c>
      <c r="C2" s="25" t="str">
        <f>TEXT(YEAR(NOW())-2000, "00") &amp; TEXT(MONTH(NOW()), "00") &amp; TEXT(DAY(NOW()), "00") &amp; TEXT(HOUR(NOW()), "00") &amp; TEXT(MINUTE(NOW()), "00")</f>
        <v>2608031048</v>
      </c>
      <c r="D2" s="26" t="s">
        <v>41</v>
      </c>
      <c r="E2" s="26" t="s">
        <v>41</v>
      </c>
      <c r="F2" s="25" t="s">
        <v>45</v>
      </c>
      <c r="G2" s="27"/>
      <c r="H2" s="27"/>
      <c r="I2" s="27"/>
      <c r="J2" s="27"/>
      <c r="K2" s="27"/>
      <c r="L2" s="27"/>
      <c r="M2" s="27"/>
      <c r="N2" s="27"/>
      <c r="O2" s="27"/>
      <c r="P2" s="27"/>
      <c r="Q2" s="27"/>
      <c r="R2" s="27"/>
      <c r="S2" s="27"/>
      <c r="T2" s="27"/>
      <c r="U2" s="27"/>
      <c r="V2" s="27"/>
      <c r="W2" s="27"/>
      <c r="X2" s="27"/>
      <c r="Y2" s="27"/>
      <c r="Z2" s="27"/>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4" t="s">
        <v>4</v>
      </c>
      <c r="B1" s="6"/>
      <c r="C1" s="8"/>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2"/>
      <c r="B2" s="23"/>
      <c r="C2" s="8"/>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29" t="s">
        <v>47</v>
      </c>
      <c r="B3" s="23"/>
      <c r="C3" s="8"/>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8" t="s">
        <v>53</v>
      </c>
      <c r="B4" s="40"/>
      <c r="C4" s="8"/>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8"/>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8" t="s">
        <v>2</v>
      </c>
      <c r="B6" s="48" t="s">
        <v>6</v>
      </c>
      <c r="C6" s="50" t="s">
        <v>10</v>
      </c>
      <c r="D6" s="50" t="s">
        <v>58</v>
      </c>
      <c r="E6" s="48" t="s">
        <v>13</v>
      </c>
      <c r="F6" s="48" t="s">
        <v>59</v>
      </c>
      <c r="G6" s="48" t="s">
        <v>17</v>
      </c>
      <c r="H6" s="51" t="s">
        <v>18</v>
      </c>
      <c r="I6" s="48" t="s">
        <v>19</v>
      </c>
      <c r="J6" s="50" t="s">
        <v>20</v>
      </c>
      <c r="K6" s="50" t="s">
        <v>62</v>
      </c>
      <c r="L6" s="48" t="s">
        <v>25</v>
      </c>
      <c r="M6" s="48" t="s">
        <v>27</v>
      </c>
      <c r="N6" s="48" t="s">
        <v>29</v>
      </c>
      <c r="O6" s="48" t="s">
        <v>31</v>
      </c>
      <c r="P6" s="48" t="s">
        <v>64</v>
      </c>
      <c r="Q6" s="48" t="s">
        <v>33</v>
      </c>
      <c r="R6" s="48" t="s">
        <v>34</v>
      </c>
      <c r="S6" s="48" t="s">
        <v>36</v>
      </c>
      <c r="T6" s="48" t="s">
        <v>37</v>
      </c>
      <c r="U6" s="48" t="s">
        <v>38</v>
      </c>
      <c r="V6" s="48" t="s">
        <v>39</v>
      </c>
      <c r="W6" s="48" t="s">
        <v>68</v>
      </c>
      <c r="X6" s="48" t="s">
        <v>69</v>
      </c>
      <c r="Y6" s="48" t="s">
        <v>70</v>
      </c>
      <c r="Z6" s="48" t="s">
        <v>40</v>
      </c>
      <c r="AA6" s="48" t="s">
        <v>42</v>
      </c>
      <c r="AB6" s="48" t="s">
        <v>43</v>
      </c>
      <c r="AC6" s="48" t="s">
        <v>44</v>
      </c>
      <c r="AD6" s="48" t="s">
        <v>46</v>
      </c>
      <c r="AE6" s="58"/>
    </row>
    <row r="7" ht="15.75" customHeight="1">
      <c r="A7" s="59" t="s">
        <v>71</v>
      </c>
      <c r="B7" s="59" t="s">
        <v>73</v>
      </c>
      <c r="C7" s="59" t="s">
        <v>74</v>
      </c>
      <c r="D7" s="59" t="s">
        <v>77</v>
      </c>
      <c r="E7" s="59" t="s">
        <v>79</v>
      </c>
      <c r="F7" s="59" t="s">
        <v>80</v>
      </c>
      <c r="G7" s="65" t="s">
        <v>81</v>
      </c>
      <c r="H7" s="59" t="s">
        <v>82</v>
      </c>
      <c r="I7" s="59" t="s">
        <v>83</v>
      </c>
      <c r="J7" s="59" t="s">
        <v>84</v>
      </c>
      <c r="K7" s="59" t="s">
        <v>85</v>
      </c>
      <c r="L7" s="59" t="s">
        <v>86</v>
      </c>
      <c r="M7" s="59" t="s">
        <v>87</v>
      </c>
      <c r="N7" s="59" t="s">
        <v>88</v>
      </c>
      <c r="O7" s="59" t="s">
        <v>89</v>
      </c>
      <c r="P7" s="59" t="s">
        <v>90</v>
      </c>
      <c r="Q7" s="59" t="s">
        <v>91</v>
      </c>
      <c r="R7" s="59" t="s">
        <v>92</v>
      </c>
      <c r="S7" s="59" t="s">
        <v>93</v>
      </c>
      <c r="T7" s="59" t="s">
        <v>95</v>
      </c>
      <c r="U7" s="59" t="s">
        <v>97</v>
      </c>
      <c r="V7" s="59" t="s">
        <v>98</v>
      </c>
      <c r="W7" s="59" t="s">
        <v>99</v>
      </c>
      <c r="X7" s="59" t="s">
        <v>100</v>
      </c>
      <c r="Y7" s="59" t="s">
        <v>102</v>
      </c>
      <c r="Z7" s="67" t="s">
        <v>103</v>
      </c>
      <c r="AA7" s="59" t="s">
        <v>104</v>
      </c>
      <c r="AB7" s="59" t="s">
        <v>105</v>
      </c>
      <c r="AC7" s="59" t="s">
        <v>106</v>
      </c>
      <c r="AD7" s="59" t="s">
        <v>107</v>
      </c>
      <c r="AE7" s="69"/>
    </row>
    <row r="8" ht="15.75" customHeight="1">
      <c r="A8" s="70"/>
      <c r="B8" s="70"/>
      <c r="C8" s="70"/>
      <c r="D8" s="71" t="s">
        <v>108</v>
      </c>
      <c r="E8" s="70"/>
      <c r="F8" s="71" t="s">
        <v>108</v>
      </c>
      <c r="G8" s="72" t="s">
        <v>114</v>
      </c>
      <c r="H8" s="70"/>
      <c r="I8" s="72" t="s">
        <v>115</v>
      </c>
      <c r="J8" s="72" t="s">
        <v>115</v>
      </c>
      <c r="K8" s="70"/>
      <c r="L8" s="72" t="s">
        <v>118</v>
      </c>
      <c r="M8" s="72" t="s">
        <v>121</v>
      </c>
      <c r="N8" s="72" t="s">
        <v>121</v>
      </c>
      <c r="O8" s="72" t="s">
        <v>121</v>
      </c>
      <c r="P8" s="70"/>
      <c r="Q8" s="72" t="s">
        <v>121</v>
      </c>
      <c r="R8" s="72" t="s">
        <v>123</v>
      </c>
      <c r="S8" s="72" t="s">
        <v>125</v>
      </c>
      <c r="T8" s="72" t="s">
        <v>127</v>
      </c>
      <c r="U8" s="72" t="s">
        <v>121</v>
      </c>
      <c r="V8" s="72" t="s">
        <v>121</v>
      </c>
      <c r="W8" s="71" t="s">
        <v>108</v>
      </c>
      <c r="X8" s="71" t="s">
        <v>108</v>
      </c>
      <c r="Y8" s="71" t="s">
        <v>108</v>
      </c>
      <c r="Z8" s="72" t="s">
        <v>132</v>
      </c>
      <c r="AA8" s="72" t="s">
        <v>136</v>
      </c>
      <c r="AB8" s="72" t="s">
        <v>136</v>
      </c>
      <c r="AC8" s="83" t="s">
        <v>142</v>
      </c>
      <c r="AD8" s="72" t="s">
        <v>145</v>
      </c>
      <c r="AE8" s="69"/>
    </row>
    <row r="9" ht="15.75" customHeight="1">
      <c r="A9" s="11"/>
      <c r="B9" s="11"/>
      <c r="C9" s="8"/>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84" t="s">
        <v>164</v>
      </c>
      <c r="B10" s="85"/>
      <c r="C10" s="86"/>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94"/>
    </row>
    <row r="11" ht="15.75" customHeight="1">
      <c r="A11" s="11"/>
      <c r="B11" s="11"/>
      <c r="C11" s="8"/>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103" t="s">
        <v>156</v>
      </c>
      <c r="B12" s="106" t="s">
        <v>221</v>
      </c>
      <c r="C12" s="108" t="s">
        <v>222</v>
      </c>
      <c r="D12" s="106"/>
      <c r="E12" s="106"/>
      <c r="F12" s="106"/>
      <c r="G12" s="106"/>
      <c r="H12" s="106" t="s">
        <v>232</v>
      </c>
      <c r="I12" s="106"/>
      <c r="J12" s="106"/>
      <c r="K12" s="106"/>
      <c r="L12" s="106"/>
      <c r="M12" s="106"/>
      <c r="N12" s="106"/>
      <c r="O12" s="106"/>
      <c r="P12" s="106"/>
      <c r="Q12" s="106"/>
      <c r="R12" s="106"/>
      <c r="S12" s="106"/>
      <c r="T12" s="106"/>
      <c r="U12" s="106"/>
      <c r="V12" s="106"/>
      <c r="W12" s="106"/>
      <c r="X12" s="106"/>
      <c r="Y12" s="106"/>
      <c r="Z12" s="106"/>
      <c r="AA12" s="106"/>
      <c r="AB12" s="106"/>
      <c r="AC12" s="106"/>
      <c r="AD12" s="106"/>
      <c r="AE12" s="94"/>
    </row>
    <row r="13" ht="15.75" customHeight="1">
      <c r="A13" s="103" t="s">
        <v>156</v>
      </c>
      <c r="B13" s="106" t="s">
        <v>221</v>
      </c>
      <c r="C13" s="108" t="s">
        <v>245</v>
      </c>
      <c r="D13" s="106"/>
      <c r="E13" s="106"/>
      <c r="F13" s="106"/>
      <c r="G13" s="106"/>
      <c r="H13" s="108" t="s">
        <v>248</v>
      </c>
      <c r="I13" s="106"/>
      <c r="J13" s="106"/>
      <c r="K13" s="106"/>
      <c r="L13" s="106"/>
      <c r="M13" s="106"/>
      <c r="N13" s="106"/>
      <c r="O13" s="106"/>
      <c r="P13" s="106"/>
      <c r="Q13" s="106"/>
      <c r="R13" s="106"/>
      <c r="S13" s="106"/>
      <c r="T13" s="106"/>
      <c r="U13" s="106"/>
      <c r="V13" s="106"/>
      <c r="W13" s="106"/>
      <c r="X13" s="106"/>
      <c r="Y13" s="106"/>
      <c r="Z13" s="106"/>
      <c r="AA13" s="106"/>
      <c r="AB13" s="106"/>
      <c r="AC13" s="106"/>
      <c r="AD13" s="106"/>
      <c r="AE13" s="94"/>
    </row>
    <row r="14" ht="15.75" customHeight="1">
      <c r="A14" s="103" t="s">
        <v>156</v>
      </c>
      <c r="B14" s="106" t="s">
        <v>221</v>
      </c>
      <c r="C14" s="108" t="s">
        <v>271</v>
      </c>
      <c r="D14" s="106"/>
      <c r="E14" s="106"/>
      <c r="F14" s="106"/>
      <c r="G14" s="106"/>
      <c r="H14" s="106" t="s">
        <v>276</v>
      </c>
      <c r="I14" s="106"/>
      <c r="J14" s="106"/>
      <c r="K14" s="106"/>
      <c r="L14" s="106"/>
      <c r="M14" s="106"/>
      <c r="N14" s="106"/>
      <c r="O14" s="106"/>
      <c r="P14" s="106"/>
      <c r="Q14" s="106"/>
      <c r="R14" s="106"/>
      <c r="S14" s="106"/>
      <c r="T14" s="106"/>
      <c r="U14" s="106"/>
      <c r="V14" s="106"/>
      <c r="W14" s="106"/>
      <c r="X14" s="106"/>
      <c r="Y14" s="106"/>
      <c r="Z14" s="106"/>
      <c r="AA14" s="106"/>
      <c r="AB14" s="106"/>
      <c r="AC14" s="106"/>
      <c r="AD14" s="106"/>
      <c r="AE14" s="94"/>
    </row>
    <row r="15" ht="15.75" customHeight="1">
      <c r="A15" s="103" t="s">
        <v>156</v>
      </c>
      <c r="B15" s="106" t="s">
        <v>221</v>
      </c>
      <c r="C15" s="108" t="s">
        <v>271</v>
      </c>
      <c r="D15" s="106"/>
      <c r="E15" s="106"/>
      <c r="F15" s="106"/>
      <c r="G15" s="106"/>
      <c r="H15" s="106" t="s">
        <v>303</v>
      </c>
      <c r="I15" s="106"/>
      <c r="J15" s="106"/>
      <c r="K15" s="106"/>
      <c r="L15" s="106"/>
      <c r="M15" s="106"/>
      <c r="N15" s="106"/>
      <c r="O15" s="106"/>
      <c r="P15" s="106"/>
      <c r="Q15" s="106"/>
      <c r="R15" s="106"/>
      <c r="S15" s="106"/>
      <c r="T15" s="106"/>
      <c r="U15" s="106"/>
      <c r="V15" s="106"/>
      <c r="W15" s="106"/>
      <c r="X15" s="106"/>
      <c r="Y15" s="106"/>
      <c r="Z15" s="106"/>
      <c r="AA15" s="106"/>
      <c r="AB15" s="106"/>
      <c r="AC15" s="106"/>
      <c r="AD15" s="106"/>
      <c r="AE15" s="94"/>
    </row>
    <row r="16" ht="15.75" customHeight="1">
      <c r="A16" s="103" t="s">
        <v>299</v>
      </c>
      <c r="B16" s="106" t="s">
        <v>221</v>
      </c>
      <c r="C16" s="108" t="s">
        <v>329</v>
      </c>
      <c r="D16" s="103"/>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c r="AE16" s="94"/>
    </row>
    <row r="17" ht="15.75" customHeight="1">
      <c r="A17" s="103" t="s">
        <v>299</v>
      </c>
      <c r="B17" s="106" t="s">
        <v>221</v>
      </c>
      <c r="C17" s="108" t="s">
        <v>372</v>
      </c>
      <c r="D17" s="106"/>
      <c r="E17" s="106"/>
      <c r="F17" s="106"/>
      <c r="G17" s="106"/>
      <c r="H17" s="106" t="s">
        <v>375</v>
      </c>
      <c r="I17" s="106"/>
      <c r="J17" s="106"/>
      <c r="K17" s="106"/>
      <c r="L17" s="106"/>
      <c r="M17" s="106"/>
      <c r="N17" s="106"/>
      <c r="O17" s="106"/>
      <c r="P17" s="106"/>
      <c r="Q17" s="106"/>
      <c r="R17" s="106"/>
      <c r="S17" s="106"/>
      <c r="T17" s="106"/>
      <c r="U17" s="106"/>
      <c r="V17" s="106"/>
      <c r="W17" s="106"/>
      <c r="X17" s="106"/>
      <c r="Y17" s="106"/>
      <c r="Z17" s="106"/>
      <c r="AA17" s="106"/>
      <c r="AB17" s="106"/>
      <c r="AC17" s="106"/>
      <c r="AD17" s="106"/>
      <c r="AE17" s="94"/>
    </row>
    <row r="18" ht="15.75" customHeight="1">
      <c r="A18" s="103" t="s">
        <v>396</v>
      </c>
      <c r="B18" s="106" t="s">
        <v>221</v>
      </c>
      <c r="C18" s="108" t="s">
        <v>415</v>
      </c>
      <c r="D18" s="103"/>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94"/>
    </row>
    <row r="19" ht="15.75" customHeight="1">
      <c r="A19" s="103" t="s">
        <v>446</v>
      </c>
      <c r="B19" s="106" t="s">
        <v>221</v>
      </c>
      <c r="C19" s="108" t="s">
        <v>460</v>
      </c>
      <c r="D19" s="103"/>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94"/>
    </row>
    <row r="20" ht="15.75" customHeight="1">
      <c r="A20" s="103" t="s">
        <v>490</v>
      </c>
      <c r="B20" s="106" t="s">
        <v>221</v>
      </c>
      <c r="C20" s="108" t="s">
        <v>495</v>
      </c>
      <c r="D20" s="103"/>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94"/>
    </row>
    <row r="21" ht="15.75" customHeight="1">
      <c r="A21" s="103" t="s">
        <v>490</v>
      </c>
      <c r="B21" s="106" t="s">
        <v>221</v>
      </c>
      <c r="C21" s="108" t="s">
        <v>538</v>
      </c>
      <c r="D21" s="106"/>
      <c r="E21" s="106"/>
      <c r="F21" s="106"/>
      <c r="G21" s="106"/>
      <c r="H21" s="106" t="s">
        <v>544</v>
      </c>
      <c r="I21" s="106"/>
      <c r="J21" s="106"/>
      <c r="K21" s="106"/>
      <c r="L21" s="106"/>
      <c r="M21" s="106"/>
      <c r="N21" s="106"/>
      <c r="O21" s="106"/>
      <c r="P21" s="106"/>
      <c r="Q21" s="106"/>
      <c r="R21" s="106"/>
      <c r="S21" s="106"/>
      <c r="T21" s="106"/>
      <c r="U21" s="106"/>
      <c r="V21" s="106"/>
      <c r="W21" s="106"/>
      <c r="X21" s="106"/>
      <c r="Y21" s="106"/>
      <c r="Z21" s="106"/>
      <c r="AA21" s="106"/>
      <c r="AB21" s="106"/>
      <c r="AC21" s="106"/>
      <c r="AD21" s="106"/>
      <c r="AE21" s="94"/>
    </row>
    <row r="22" ht="15.75" customHeight="1">
      <c r="A22" s="103" t="s">
        <v>490</v>
      </c>
      <c r="B22" s="106" t="s">
        <v>221</v>
      </c>
      <c r="C22" s="108" t="s">
        <v>584</v>
      </c>
      <c r="D22" s="106"/>
      <c r="E22" s="106"/>
      <c r="F22" s="106"/>
      <c r="G22" s="106"/>
      <c r="H22" s="106" t="s">
        <v>587</v>
      </c>
      <c r="I22" s="106"/>
      <c r="J22" s="106"/>
      <c r="K22" s="106"/>
      <c r="L22" s="106"/>
      <c r="M22" s="106"/>
      <c r="N22" s="106"/>
      <c r="O22" s="106"/>
      <c r="P22" s="106"/>
      <c r="Q22" s="106"/>
      <c r="R22" s="106"/>
      <c r="S22" s="106"/>
      <c r="T22" s="106"/>
      <c r="U22" s="106"/>
      <c r="V22" s="106"/>
      <c r="W22" s="106"/>
      <c r="X22" s="106"/>
      <c r="Y22" s="106"/>
      <c r="Z22" s="106"/>
      <c r="AA22" s="106"/>
      <c r="AB22" s="106"/>
      <c r="AC22" s="106"/>
      <c r="AD22" s="106"/>
      <c r="AE22" s="94"/>
    </row>
    <row r="23" ht="15.75" customHeight="1">
      <c r="A23" s="103" t="s">
        <v>490</v>
      </c>
      <c r="B23" s="106" t="s">
        <v>221</v>
      </c>
      <c r="C23" s="108" t="s">
        <v>614</v>
      </c>
      <c r="D23" s="106"/>
      <c r="E23" s="106"/>
      <c r="F23" s="106"/>
      <c r="G23" s="106"/>
      <c r="H23" s="106" t="s">
        <v>624</v>
      </c>
      <c r="I23" s="106"/>
      <c r="J23" s="106"/>
      <c r="K23" s="106"/>
      <c r="L23" s="106"/>
      <c r="M23" s="106"/>
      <c r="N23" s="106"/>
      <c r="O23" s="106"/>
      <c r="P23" s="106"/>
      <c r="Q23" s="106"/>
      <c r="R23" s="106"/>
      <c r="S23" s="106"/>
      <c r="T23" s="106"/>
      <c r="U23" s="106"/>
      <c r="V23" s="106"/>
      <c r="W23" s="106"/>
      <c r="X23" s="106"/>
      <c r="Y23" s="106"/>
      <c r="Z23" s="106"/>
      <c r="AA23" s="106"/>
      <c r="AB23" s="106"/>
      <c r="AC23" s="106"/>
      <c r="AD23" s="106"/>
      <c r="AE23" s="94"/>
    </row>
    <row r="24" ht="15.75" customHeight="1">
      <c r="A24" s="103" t="s">
        <v>490</v>
      </c>
      <c r="B24" s="106" t="s">
        <v>221</v>
      </c>
      <c r="C24" s="108" t="s">
        <v>653</v>
      </c>
      <c r="D24" s="106"/>
      <c r="E24" s="106"/>
      <c r="F24" s="106"/>
      <c r="G24" s="106"/>
      <c r="H24" s="106" t="s">
        <v>654</v>
      </c>
      <c r="I24" s="106"/>
      <c r="J24" s="106"/>
      <c r="K24" s="106"/>
      <c r="L24" s="106"/>
      <c r="M24" s="106"/>
      <c r="N24" s="106"/>
      <c r="O24" s="106"/>
      <c r="P24" s="106"/>
      <c r="Q24" s="106"/>
      <c r="R24" s="106"/>
      <c r="S24" s="106"/>
      <c r="T24" s="106"/>
      <c r="U24" s="106"/>
      <c r="V24" s="106"/>
      <c r="W24" s="106"/>
      <c r="X24" s="106"/>
      <c r="Y24" s="106"/>
      <c r="Z24" s="106"/>
      <c r="AA24" s="106"/>
      <c r="AB24" s="106"/>
      <c r="AC24" s="106"/>
      <c r="AD24" s="106"/>
      <c r="AE24" s="94"/>
    </row>
    <row r="25" ht="15.75" customHeight="1">
      <c r="A25" s="103" t="s">
        <v>490</v>
      </c>
      <c r="B25" s="106" t="s">
        <v>221</v>
      </c>
      <c r="C25" s="108" t="s">
        <v>682</v>
      </c>
      <c r="D25" s="106"/>
      <c r="E25" s="106"/>
      <c r="F25" s="106"/>
      <c r="G25" s="106"/>
      <c r="H25" s="106" t="s">
        <v>688</v>
      </c>
      <c r="I25" s="106"/>
      <c r="J25" s="106"/>
      <c r="K25" s="106"/>
      <c r="L25" s="106"/>
      <c r="M25" s="106"/>
      <c r="N25" s="106"/>
      <c r="O25" s="106"/>
      <c r="P25" s="106"/>
      <c r="Q25" s="106"/>
      <c r="R25" s="106"/>
      <c r="S25" s="106"/>
      <c r="T25" s="106"/>
      <c r="U25" s="106"/>
      <c r="V25" s="106"/>
      <c r="W25" s="106"/>
      <c r="X25" s="106"/>
      <c r="Y25" s="106"/>
      <c r="Z25" s="106"/>
      <c r="AA25" s="106"/>
      <c r="AB25" s="106"/>
      <c r="AC25" s="106"/>
      <c r="AD25" s="106"/>
      <c r="AE25" s="94"/>
    </row>
    <row r="26" ht="15.75" customHeight="1">
      <c r="A26" s="103" t="s">
        <v>490</v>
      </c>
      <c r="B26" s="106" t="s">
        <v>221</v>
      </c>
      <c r="C26" s="108" t="s">
        <v>722</v>
      </c>
      <c r="D26" s="106"/>
      <c r="E26" s="106"/>
      <c r="F26" s="106"/>
      <c r="G26" s="106"/>
      <c r="H26" s="106" t="s">
        <v>730</v>
      </c>
      <c r="I26" s="106"/>
      <c r="J26" s="106"/>
      <c r="K26" s="106"/>
      <c r="L26" s="106"/>
      <c r="M26" s="106"/>
      <c r="N26" s="106"/>
      <c r="O26" s="106"/>
      <c r="P26" s="106"/>
      <c r="Q26" s="106"/>
      <c r="R26" s="106"/>
      <c r="S26" s="106"/>
      <c r="T26" s="106"/>
      <c r="U26" s="106"/>
      <c r="V26" s="106"/>
      <c r="W26" s="106"/>
      <c r="X26" s="106"/>
      <c r="Y26" s="106"/>
      <c r="Z26" s="106"/>
      <c r="AA26" s="106"/>
      <c r="AB26" s="106"/>
      <c r="AC26" s="106"/>
      <c r="AD26" s="106"/>
      <c r="AE26" s="94"/>
    </row>
    <row r="27" ht="15.75" customHeight="1">
      <c r="A27" s="103" t="s">
        <v>490</v>
      </c>
      <c r="B27" s="106" t="s">
        <v>221</v>
      </c>
      <c r="C27" s="108" t="s">
        <v>760</v>
      </c>
      <c r="D27" s="106"/>
      <c r="E27" s="106"/>
      <c r="F27" s="106"/>
      <c r="G27" s="106"/>
      <c r="H27" s="106" t="s">
        <v>763</v>
      </c>
      <c r="I27" s="106"/>
      <c r="J27" s="106"/>
      <c r="K27" s="106"/>
      <c r="L27" s="106"/>
      <c r="M27" s="106"/>
      <c r="N27" s="106"/>
      <c r="O27" s="106"/>
      <c r="P27" s="106"/>
      <c r="Q27" s="106"/>
      <c r="R27" s="106"/>
      <c r="S27" s="106"/>
      <c r="T27" s="106"/>
      <c r="U27" s="106"/>
      <c r="V27" s="106"/>
      <c r="W27" s="106"/>
      <c r="X27" s="106"/>
      <c r="Y27" s="106"/>
      <c r="Z27" s="106"/>
      <c r="AA27" s="106"/>
      <c r="AB27" s="106"/>
      <c r="AC27" s="106"/>
      <c r="AD27" s="106"/>
      <c r="AE27" s="94"/>
    </row>
    <row r="28" ht="15.75" customHeight="1">
      <c r="A28" s="103" t="s">
        <v>490</v>
      </c>
      <c r="B28" s="106" t="s">
        <v>221</v>
      </c>
      <c r="C28" s="108" t="s">
        <v>787</v>
      </c>
      <c r="D28" s="106"/>
      <c r="E28" s="106"/>
      <c r="F28" s="106"/>
      <c r="G28" s="106"/>
      <c r="H28" s="106" t="s">
        <v>791</v>
      </c>
      <c r="I28" s="106"/>
      <c r="J28" s="106"/>
      <c r="K28" s="106"/>
      <c r="L28" s="106"/>
      <c r="M28" s="106"/>
      <c r="N28" s="106"/>
      <c r="O28" s="106"/>
      <c r="P28" s="106"/>
      <c r="Q28" s="106"/>
      <c r="R28" s="106"/>
      <c r="S28" s="106"/>
      <c r="T28" s="106"/>
      <c r="U28" s="106"/>
      <c r="V28" s="106"/>
      <c r="W28" s="106"/>
      <c r="X28" s="106"/>
      <c r="Y28" s="106"/>
      <c r="Z28" s="106"/>
      <c r="AA28" s="106"/>
      <c r="AB28" s="106"/>
      <c r="AC28" s="106"/>
      <c r="AD28" s="106"/>
      <c r="AE28" s="94"/>
    </row>
    <row r="29" ht="15.75" customHeight="1">
      <c r="A29" s="103" t="s">
        <v>490</v>
      </c>
      <c r="B29" s="106" t="s">
        <v>221</v>
      </c>
      <c r="C29" s="108" t="s">
        <v>813</v>
      </c>
      <c r="D29" s="106"/>
      <c r="E29" s="106"/>
      <c r="F29" s="106"/>
      <c r="G29" s="106"/>
      <c r="H29" s="106" t="s">
        <v>817</v>
      </c>
      <c r="I29" s="106"/>
      <c r="J29" s="106"/>
      <c r="K29" s="106"/>
      <c r="L29" s="106"/>
      <c r="M29" s="106"/>
      <c r="N29" s="106"/>
      <c r="O29" s="106"/>
      <c r="P29" s="106"/>
      <c r="Q29" s="106"/>
      <c r="R29" s="106"/>
      <c r="S29" s="106"/>
      <c r="T29" s="106"/>
      <c r="U29" s="106"/>
      <c r="V29" s="106"/>
      <c r="W29" s="106"/>
      <c r="X29" s="106"/>
      <c r="Y29" s="106"/>
      <c r="Z29" s="106"/>
      <c r="AA29" s="106"/>
      <c r="AB29" s="106"/>
      <c r="AC29" s="106"/>
      <c r="AD29" s="106"/>
      <c r="AE29" s="94"/>
    </row>
    <row r="30" ht="15.75" customHeight="1">
      <c r="A30" s="103" t="s">
        <v>490</v>
      </c>
      <c r="B30" s="106" t="s">
        <v>221</v>
      </c>
      <c r="C30" s="108" t="s">
        <v>842</v>
      </c>
      <c r="D30" s="106"/>
      <c r="E30" s="106"/>
      <c r="F30" s="106"/>
      <c r="G30" s="106"/>
      <c r="H30" s="106" t="s">
        <v>847</v>
      </c>
      <c r="I30" s="106"/>
      <c r="J30" s="106"/>
      <c r="K30" s="106"/>
      <c r="L30" s="106"/>
      <c r="M30" s="106"/>
      <c r="N30" s="106"/>
      <c r="O30" s="106"/>
      <c r="P30" s="106"/>
      <c r="Q30" s="106"/>
      <c r="R30" s="106"/>
      <c r="S30" s="106"/>
      <c r="T30" s="106"/>
      <c r="U30" s="106"/>
      <c r="V30" s="106"/>
      <c r="W30" s="106"/>
      <c r="X30" s="106"/>
      <c r="Y30" s="106"/>
      <c r="Z30" s="106"/>
      <c r="AA30" s="106"/>
      <c r="AB30" s="106"/>
      <c r="AC30" s="106"/>
      <c r="AD30" s="106"/>
      <c r="AE30" s="94"/>
    </row>
    <row r="31" ht="15.75" customHeight="1">
      <c r="A31" s="103" t="s">
        <v>490</v>
      </c>
      <c r="B31" s="106" t="s">
        <v>221</v>
      </c>
      <c r="C31" s="108" t="s">
        <v>871</v>
      </c>
      <c r="D31" s="106"/>
      <c r="E31" s="106"/>
      <c r="F31" s="106"/>
      <c r="G31" s="106"/>
      <c r="H31" s="106" t="s">
        <v>875</v>
      </c>
      <c r="I31" s="106"/>
      <c r="J31" s="106"/>
      <c r="K31" s="106"/>
      <c r="L31" s="106"/>
      <c r="M31" s="106"/>
      <c r="N31" s="106"/>
      <c r="O31" s="106"/>
      <c r="P31" s="106"/>
      <c r="Q31" s="106"/>
      <c r="R31" s="106"/>
      <c r="S31" s="106"/>
      <c r="T31" s="106"/>
      <c r="U31" s="106"/>
      <c r="V31" s="106"/>
      <c r="W31" s="106"/>
      <c r="X31" s="106"/>
      <c r="Y31" s="106"/>
      <c r="Z31" s="106"/>
      <c r="AA31" s="106"/>
      <c r="AB31" s="106"/>
      <c r="AC31" s="106"/>
      <c r="AD31" s="106"/>
      <c r="AE31" s="94"/>
    </row>
    <row r="32" ht="15.75" customHeight="1">
      <c r="A32" s="103" t="s">
        <v>490</v>
      </c>
      <c r="B32" s="106" t="s">
        <v>221</v>
      </c>
      <c r="C32" s="163" t="s">
        <v>894</v>
      </c>
      <c r="D32" s="106"/>
      <c r="E32" s="106"/>
      <c r="F32" s="106"/>
      <c r="G32" s="106"/>
      <c r="H32" s="106" t="s">
        <v>905</v>
      </c>
      <c r="I32" s="106"/>
      <c r="J32" s="106"/>
      <c r="K32" s="106"/>
      <c r="L32" s="106"/>
      <c r="M32" s="106"/>
      <c r="N32" s="106"/>
      <c r="O32" s="106"/>
      <c r="P32" s="106"/>
      <c r="Q32" s="106"/>
      <c r="R32" s="106"/>
      <c r="S32" s="106"/>
      <c r="T32" s="106"/>
      <c r="U32" s="106"/>
      <c r="V32" s="106"/>
      <c r="W32" s="106"/>
      <c r="X32" s="106"/>
      <c r="Y32" s="106"/>
      <c r="Z32" s="106"/>
      <c r="AA32" s="106"/>
      <c r="AB32" s="106"/>
      <c r="AC32" s="106"/>
      <c r="AD32" s="106"/>
      <c r="AE32" s="94"/>
    </row>
    <row r="33" ht="15.75" customHeight="1">
      <c r="A33" s="103" t="s">
        <v>490</v>
      </c>
      <c r="B33" s="106" t="s">
        <v>221</v>
      </c>
      <c r="C33" s="108" t="s">
        <v>929</v>
      </c>
      <c r="D33" s="106"/>
      <c r="E33" s="106"/>
      <c r="F33" s="106"/>
      <c r="G33" s="106"/>
      <c r="H33" s="106" t="s">
        <v>932</v>
      </c>
      <c r="I33" s="106"/>
      <c r="J33" s="106"/>
      <c r="K33" s="106"/>
      <c r="L33" s="106"/>
      <c r="M33" s="106"/>
      <c r="N33" s="106"/>
      <c r="O33" s="106"/>
      <c r="P33" s="106"/>
      <c r="Q33" s="106"/>
      <c r="R33" s="106"/>
      <c r="S33" s="106"/>
      <c r="T33" s="106"/>
      <c r="U33" s="106"/>
      <c r="V33" s="106"/>
      <c r="W33" s="106"/>
      <c r="X33" s="106"/>
      <c r="Y33" s="106"/>
      <c r="Z33" s="106"/>
      <c r="AA33" s="106"/>
      <c r="AB33" s="106"/>
      <c r="AC33" s="106"/>
      <c r="AD33" s="106"/>
      <c r="AE33" s="94"/>
    </row>
    <row r="34" ht="15.75" customHeight="1">
      <c r="A34" s="103" t="s">
        <v>490</v>
      </c>
      <c r="B34" s="106" t="s">
        <v>221</v>
      </c>
      <c r="C34" s="108" t="s">
        <v>952</v>
      </c>
      <c r="D34" s="106"/>
      <c r="E34" s="106"/>
      <c r="F34" s="106"/>
      <c r="G34" s="106"/>
      <c r="H34" s="106" t="s">
        <v>953</v>
      </c>
      <c r="I34" s="106"/>
      <c r="J34" s="106"/>
      <c r="K34" s="106"/>
      <c r="L34" s="106"/>
      <c r="M34" s="106"/>
      <c r="N34" s="106"/>
      <c r="O34" s="106"/>
      <c r="P34" s="106"/>
      <c r="Q34" s="106"/>
      <c r="R34" s="106"/>
      <c r="S34" s="106"/>
      <c r="T34" s="106"/>
      <c r="U34" s="106"/>
      <c r="V34" s="106"/>
      <c r="W34" s="106"/>
      <c r="X34" s="106"/>
      <c r="Y34" s="106"/>
      <c r="Z34" s="106"/>
      <c r="AA34" s="106"/>
      <c r="AB34" s="106"/>
      <c r="AC34" s="106"/>
      <c r="AD34" s="106"/>
      <c r="AE34" s="94"/>
    </row>
    <row r="35" ht="15.75" customHeight="1">
      <c r="A35" s="103" t="s">
        <v>971</v>
      </c>
      <c r="B35" s="106" t="s">
        <v>221</v>
      </c>
      <c r="C35" s="108" t="s">
        <v>973</v>
      </c>
      <c r="D35" s="103"/>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94"/>
    </row>
    <row r="36" ht="15.75" customHeight="1">
      <c r="A36" s="103" t="s">
        <v>971</v>
      </c>
      <c r="B36" s="106" t="s">
        <v>221</v>
      </c>
      <c r="C36" s="108" t="s">
        <v>998</v>
      </c>
      <c r="D36" s="106"/>
      <c r="E36" s="106"/>
      <c r="F36" s="106"/>
      <c r="G36" s="106"/>
      <c r="H36" s="106" t="s">
        <v>688</v>
      </c>
      <c r="I36" s="106"/>
      <c r="J36" s="106"/>
      <c r="K36" s="106"/>
      <c r="L36" s="106"/>
      <c r="M36" s="106"/>
      <c r="N36" s="106"/>
      <c r="O36" s="106"/>
      <c r="P36" s="106"/>
      <c r="Q36" s="106"/>
      <c r="R36" s="106"/>
      <c r="S36" s="106"/>
      <c r="T36" s="106"/>
      <c r="U36" s="106"/>
      <c r="V36" s="106"/>
      <c r="W36" s="106"/>
      <c r="X36" s="106"/>
      <c r="Y36" s="106"/>
      <c r="Z36" s="106"/>
      <c r="AA36" s="106"/>
      <c r="AB36" s="106"/>
      <c r="AC36" s="106"/>
      <c r="AD36" s="106"/>
      <c r="AE36" s="94"/>
    </row>
    <row r="37" ht="15.75" customHeight="1">
      <c r="A37" s="103" t="s">
        <v>971</v>
      </c>
      <c r="B37" s="106" t="s">
        <v>221</v>
      </c>
      <c r="C37" s="108" t="s">
        <v>1025</v>
      </c>
      <c r="D37" s="106"/>
      <c r="E37" s="106"/>
      <c r="F37" s="106"/>
      <c r="G37" s="106"/>
      <c r="H37" s="106" t="s">
        <v>730</v>
      </c>
      <c r="I37" s="106"/>
      <c r="J37" s="106"/>
      <c r="K37" s="106"/>
      <c r="L37" s="106"/>
      <c r="M37" s="106"/>
      <c r="N37" s="106"/>
      <c r="O37" s="106"/>
      <c r="P37" s="106"/>
      <c r="Q37" s="106"/>
      <c r="R37" s="106"/>
      <c r="S37" s="106"/>
      <c r="T37" s="106"/>
      <c r="U37" s="106"/>
      <c r="V37" s="106"/>
      <c r="W37" s="106"/>
      <c r="X37" s="106"/>
      <c r="Y37" s="106"/>
      <c r="Z37" s="106"/>
      <c r="AA37" s="106"/>
      <c r="AB37" s="106"/>
      <c r="AC37" s="106"/>
      <c r="AD37" s="106"/>
      <c r="AE37" s="94"/>
    </row>
    <row r="38" ht="15.75" customHeight="1">
      <c r="A38" s="103" t="s">
        <v>971</v>
      </c>
      <c r="B38" s="106" t="s">
        <v>221</v>
      </c>
      <c r="C38" s="108" t="s">
        <v>1057</v>
      </c>
      <c r="D38" s="106"/>
      <c r="E38" s="106"/>
      <c r="F38" s="106"/>
      <c r="G38" s="106"/>
      <c r="H38" s="106" t="s">
        <v>763</v>
      </c>
      <c r="I38" s="106"/>
      <c r="J38" s="106"/>
      <c r="K38" s="106"/>
      <c r="L38" s="106"/>
      <c r="M38" s="106"/>
      <c r="N38" s="106"/>
      <c r="O38" s="106"/>
      <c r="P38" s="106"/>
      <c r="Q38" s="106"/>
      <c r="R38" s="106"/>
      <c r="S38" s="106"/>
      <c r="T38" s="106"/>
      <c r="U38" s="106"/>
      <c r="V38" s="106"/>
      <c r="W38" s="106"/>
      <c r="X38" s="106"/>
      <c r="Y38" s="106"/>
      <c r="Z38" s="106"/>
      <c r="AA38" s="106"/>
      <c r="AB38" s="106"/>
      <c r="AC38" s="106"/>
      <c r="AD38" s="106"/>
      <c r="AE38" s="94"/>
    </row>
    <row r="39" ht="15.75" customHeight="1">
      <c r="A39" s="103" t="s">
        <v>971</v>
      </c>
      <c r="B39" s="106" t="s">
        <v>221</v>
      </c>
      <c r="C39" s="108" t="s">
        <v>1081</v>
      </c>
      <c r="D39" s="106"/>
      <c r="E39" s="106"/>
      <c r="F39" s="106"/>
      <c r="G39" s="106"/>
      <c r="H39" s="106" t="s">
        <v>847</v>
      </c>
      <c r="I39" s="106"/>
      <c r="J39" s="106"/>
      <c r="K39" s="106"/>
      <c r="L39" s="106"/>
      <c r="M39" s="106"/>
      <c r="N39" s="106"/>
      <c r="O39" s="106"/>
      <c r="P39" s="106"/>
      <c r="Q39" s="106"/>
      <c r="R39" s="106"/>
      <c r="S39" s="106"/>
      <c r="T39" s="106"/>
      <c r="U39" s="106"/>
      <c r="V39" s="106"/>
      <c r="W39" s="106"/>
      <c r="X39" s="106"/>
      <c r="Y39" s="106"/>
      <c r="Z39" s="106"/>
      <c r="AA39" s="106"/>
      <c r="AB39" s="106"/>
      <c r="AC39" s="106"/>
      <c r="AD39" s="106"/>
      <c r="AE39" s="94"/>
    </row>
    <row r="40" ht="15.75" customHeight="1">
      <c r="A40" s="103" t="s">
        <v>971</v>
      </c>
      <c r="B40" s="106" t="s">
        <v>221</v>
      </c>
      <c r="C40" s="108" t="s">
        <v>1105</v>
      </c>
      <c r="D40" s="106"/>
      <c r="E40" s="106"/>
      <c r="F40" s="106"/>
      <c r="G40" s="106"/>
      <c r="H40" s="106" t="s">
        <v>875</v>
      </c>
      <c r="I40" s="106"/>
      <c r="J40" s="106"/>
      <c r="K40" s="106"/>
      <c r="L40" s="106"/>
      <c r="M40" s="106"/>
      <c r="N40" s="106"/>
      <c r="O40" s="106"/>
      <c r="P40" s="106"/>
      <c r="Q40" s="106"/>
      <c r="R40" s="106"/>
      <c r="S40" s="106"/>
      <c r="T40" s="106"/>
      <c r="U40" s="106"/>
      <c r="V40" s="106"/>
      <c r="W40" s="106"/>
      <c r="X40" s="106"/>
      <c r="Y40" s="106"/>
      <c r="Z40" s="106"/>
      <c r="AA40" s="106"/>
      <c r="AB40" s="106"/>
      <c r="AC40" s="106"/>
      <c r="AD40" s="106"/>
      <c r="AE40" s="94"/>
    </row>
    <row r="41" ht="15.75" customHeight="1">
      <c r="A41" s="103" t="s">
        <v>971</v>
      </c>
      <c r="B41" s="106" t="s">
        <v>221</v>
      </c>
      <c r="C41" s="163" t="s">
        <v>1135</v>
      </c>
      <c r="D41" s="106"/>
      <c r="E41" s="106"/>
      <c r="F41" s="106"/>
      <c r="G41" s="106"/>
      <c r="H41" s="106" t="s">
        <v>905</v>
      </c>
      <c r="I41" s="106"/>
      <c r="J41" s="106"/>
      <c r="K41" s="106"/>
      <c r="L41" s="106"/>
      <c r="M41" s="106"/>
      <c r="N41" s="106"/>
      <c r="O41" s="106"/>
      <c r="P41" s="106"/>
      <c r="Q41" s="106"/>
      <c r="R41" s="106"/>
      <c r="S41" s="106"/>
      <c r="T41" s="106"/>
      <c r="U41" s="106"/>
      <c r="V41" s="106"/>
      <c r="W41" s="106"/>
      <c r="X41" s="106"/>
      <c r="Y41" s="106"/>
      <c r="Z41" s="106"/>
      <c r="AA41" s="106"/>
      <c r="AB41" s="106"/>
      <c r="AC41" s="106"/>
      <c r="AD41" s="106"/>
      <c r="AE41" s="94"/>
    </row>
    <row r="42" ht="15.75" customHeight="1">
      <c r="A42" s="103" t="s">
        <v>971</v>
      </c>
      <c r="B42" s="106" t="s">
        <v>221</v>
      </c>
      <c r="C42" s="108" t="s">
        <v>1153</v>
      </c>
      <c r="D42" s="106"/>
      <c r="E42" s="106"/>
      <c r="F42" s="106"/>
      <c r="G42" s="106"/>
      <c r="H42" s="106" t="s">
        <v>932</v>
      </c>
      <c r="I42" s="106"/>
      <c r="J42" s="106"/>
      <c r="K42" s="106"/>
      <c r="L42" s="106"/>
      <c r="M42" s="106"/>
      <c r="N42" s="106"/>
      <c r="O42" s="106"/>
      <c r="P42" s="106"/>
      <c r="Q42" s="106"/>
      <c r="R42" s="106"/>
      <c r="S42" s="106"/>
      <c r="T42" s="106"/>
      <c r="U42" s="106"/>
      <c r="V42" s="106"/>
      <c r="W42" s="106"/>
      <c r="X42" s="106"/>
      <c r="Y42" s="106"/>
      <c r="Z42" s="106"/>
      <c r="AA42" s="106"/>
      <c r="AB42" s="106"/>
      <c r="AC42" s="106"/>
      <c r="AD42" s="106"/>
      <c r="AE42" s="94"/>
    </row>
    <row r="43" ht="15.75" customHeight="1">
      <c r="A43" s="103" t="s">
        <v>971</v>
      </c>
      <c r="B43" s="106" t="s">
        <v>221</v>
      </c>
      <c r="C43" s="108" t="s">
        <v>1177</v>
      </c>
      <c r="D43" s="106"/>
      <c r="E43" s="106"/>
      <c r="F43" s="106"/>
      <c r="G43" s="106"/>
      <c r="H43" s="106" t="s">
        <v>953</v>
      </c>
      <c r="I43" s="106"/>
      <c r="J43" s="106"/>
      <c r="K43" s="106"/>
      <c r="L43" s="106"/>
      <c r="M43" s="106"/>
      <c r="N43" s="106"/>
      <c r="O43" s="106"/>
      <c r="P43" s="106"/>
      <c r="Q43" s="106"/>
      <c r="R43" s="106"/>
      <c r="S43" s="106"/>
      <c r="T43" s="106"/>
      <c r="U43" s="106"/>
      <c r="V43" s="106"/>
      <c r="W43" s="106"/>
      <c r="X43" s="106"/>
      <c r="Y43" s="106"/>
      <c r="Z43" s="106"/>
      <c r="AA43" s="106"/>
      <c r="AB43" s="106"/>
      <c r="AC43" s="106"/>
      <c r="AD43" s="106"/>
      <c r="AE43" s="94"/>
    </row>
    <row r="44" ht="15.75" customHeight="1">
      <c r="A44" s="103" t="s">
        <v>1192</v>
      </c>
      <c r="B44" s="106" t="s">
        <v>221</v>
      </c>
      <c r="C44" s="108" t="s">
        <v>1202</v>
      </c>
      <c r="D44" s="103"/>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94"/>
    </row>
    <row r="45" ht="15.75" customHeight="1">
      <c r="A45" s="103" t="s">
        <v>1221</v>
      </c>
      <c r="B45" s="106" t="s">
        <v>221</v>
      </c>
      <c r="C45" s="108" t="s">
        <v>1228</v>
      </c>
      <c r="D45" s="179"/>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94"/>
    </row>
    <row r="46" ht="15.75" customHeight="1">
      <c r="A46" s="103" t="s">
        <v>1249</v>
      </c>
      <c r="B46" s="106" t="s">
        <v>221</v>
      </c>
      <c r="C46" s="108" t="s">
        <v>1258</v>
      </c>
      <c r="D46" s="103"/>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94"/>
    </row>
    <row r="47" ht="15.75" customHeight="1">
      <c r="A47" s="103" t="s">
        <v>1279</v>
      </c>
      <c r="B47" s="106" t="s">
        <v>221</v>
      </c>
      <c r="C47" s="108" t="s">
        <v>1297</v>
      </c>
      <c r="D47" s="103"/>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94"/>
    </row>
    <row r="48" ht="15.75" customHeight="1">
      <c r="A48" s="103" t="s">
        <v>1321</v>
      </c>
      <c r="B48" s="106" t="s">
        <v>221</v>
      </c>
      <c r="C48" s="108" t="s">
        <v>1322</v>
      </c>
      <c r="D48" s="103"/>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94"/>
    </row>
    <row r="49" ht="15.75" customHeight="1">
      <c r="A49" s="103" t="s">
        <v>1321</v>
      </c>
      <c r="B49" s="106" t="s">
        <v>221</v>
      </c>
      <c r="C49" s="108" t="s">
        <v>1343</v>
      </c>
      <c r="D49" s="106"/>
      <c r="E49" s="106"/>
      <c r="F49" s="106"/>
      <c r="G49" s="106"/>
      <c r="H49" s="106" t="s">
        <v>1345</v>
      </c>
      <c r="I49" s="106"/>
      <c r="J49" s="106"/>
      <c r="K49" s="106"/>
      <c r="L49" s="106"/>
      <c r="M49" s="106"/>
      <c r="N49" s="106"/>
      <c r="O49" s="106"/>
      <c r="P49" s="106"/>
      <c r="Q49" s="106"/>
      <c r="R49" s="106"/>
      <c r="S49" s="106"/>
      <c r="T49" s="106"/>
      <c r="U49" s="106"/>
      <c r="V49" s="106"/>
      <c r="W49" s="106"/>
      <c r="X49" s="106"/>
      <c r="Y49" s="106"/>
      <c r="Z49" s="106"/>
      <c r="AA49" s="106"/>
      <c r="AB49" s="106"/>
      <c r="AC49" s="106"/>
      <c r="AD49" s="106"/>
      <c r="AE49" s="94"/>
    </row>
    <row r="50" ht="15.75" customHeight="1">
      <c r="A50" s="103" t="s">
        <v>1362</v>
      </c>
      <c r="B50" s="106" t="s">
        <v>221</v>
      </c>
      <c r="C50" s="108" t="s">
        <v>1363</v>
      </c>
      <c r="D50" s="103"/>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94"/>
    </row>
    <row r="51" ht="15.75" customHeight="1">
      <c r="A51" s="103" t="s">
        <v>1362</v>
      </c>
      <c r="B51" s="106" t="s">
        <v>221</v>
      </c>
      <c r="C51" s="108" t="s">
        <v>1385</v>
      </c>
      <c r="D51" s="106"/>
      <c r="E51" s="106"/>
      <c r="F51" s="106"/>
      <c r="G51" s="106"/>
      <c r="H51" s="106" t="s">
        <v>1345</v>
      </c>
      <c r="I51" s="106"/>
      <c r="J51" s="106"/>
      <c r="K51" s="106"/>
      <c r="L51" s="106"/>
      <c r="M51" s="106"/>
      <c r="N51" s="106"/>
      <c r="O51" s="106"/>
      <c r="P51" s="106"/>
      <c r="Q51" s="106"/>
      <c r="R51" s="106"/>
      <c r="S51" s="106"/>
      <c r="T51" s="106"/>
      <c r="U51" s="106"/>
      <c r="V51" s="106"/>
      <c r="W51" s="106"/>
      <c r="X51" s="106"/>
      <c r="Y51" s="106"/>
      <c r="Z51" s="106"/>
      <c r="AA51" s="106"/>
      <c r="AB51" s="106"/>
      <c r="AC51" s="106"/>
      <c r="AD51" s="106"/>
      <c r="AE51" s="94"/>
    </row>
    <row r="52" ht="15.75" customHeight="1">
      <c r="A52" s="103" t="s">
        <v>1402</v>
      </c>
      <c r="B52" s="106" t="s">
        <v>221</v>
      </c>
      <c r="C52" s="108" t="s">
        <v>1403</v>
      </c>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94"/>
    </row>
    <row r="53" ht="15.75" customHeight="1">
      <c r="A53" s="103" t="s">
        <v>26</v>
      </c>
      <c r="B53" s="106" t="s">
        <v>221</v>
      </c>
      <c r="C53" s="108" t="s">
        <v>1426</v>
      </c>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94"/>
    </row>
    <row r="54" ht="15.75" customHeight="1">
      <c r="A54" s="103" t="s">
        <v>26</v>
      </c>
      <c r="B54" s="106" t="s">
        <v>221</v>
      </c>
      <c r="C54" s="108" t="s">
        <v>1458</v>
      </c>
      <c r="D54" s="106"/>
      <c r="E54" s="106"/>
      <c r="F54" s="106"/>
      <c r="G54" s="106"/>
      <c r="H54" s="106" t="s">
        <v>1460</v>
      </c>
      <c r="I54" s="106"/>
      <c r="J54" s="106"/>
      <c r="K54" s="106"/>
      <c r="L54" s="106"/>
      <c r="M54" s="106"/>
      <c r="N54" s="106"/>
      <c r="O54" s="106"/>
      <c r="P54" s="106"/>
      <c r="Q54" s="106"/>
      <c r="R54" s="106"/>
      <c r="S54" s="106"/>
      <c r="T54" s="106"/>
      <c r="U54" s="106"/>
      <c r="V54" s="106"/>
      <c r="W54" s="106"/>
      <c r="X54" s="106"/>
      <c r="Y54" s="106"/>
      <c r="Z54" s="106"/>
      <c r="AA54" s="106"/>
      <c r="AB54" s="106"/>
      <c r="AC54" s="106"/>
      <c r="AD54" s="106"/>
      <c r="AE54" s="94"/>
    </row>
    <row r="55" ht="15.75" customHeight="1">
      <c r="A55" s="103" t="s">
        <v>26</v>
      </c>
      <c r="B55" s="106" t="s">
        <v>221</v>
      </c>
      <c r="C55" s="108" t="s">
        <v>1483</v>
      </c>
      <c r="D55" s="106"/>
      <c r="E55" s="106"/>
      <c r="F55" s="106"/>
      <c r="G55" s="106"/>
      <c r="H55" s="106" t="s">
        <v>1491</v>
      </c>
      <c r="I55" s="106"/>
      <c r="J55" s="106"/>
      <c r="K55" s="106"/>
      <c r="L55" s="106"/>
      <c r="M55" s="106"/>
      <c r="N55" s="106"/>
      <c r="O55" s="106"/>
      <c r="P55" s="106"/>
      <c r="Q55" s="106"/>
      <c r="R55" s="106"/>
      <c r="S55" s="106"/>
      <c r="T55" s="106"/>
      <c r="U55" s="106"/>
      <c r="V55" s="106"/>
      <c r="W55" s="106"/>
      <c r="X55" s="106"/>
      <c r="Y55" s="106"/>
      <c r="Z55" s="106"/>
      <c r="AA55" s="106"/>
      <c r="AB55" s="106"/>
      <c r="AC55" s="106"/>
      <c r="AD55" s="106"/>
      <c r="AE55" s="94"/>
    </row>
    <row r="56" ht="15.75" customHeight="1">
      <c r="A56" s="103" t="s">
        <v>26</v>
      </c>
      <c r="B56" s="106" t="s">
        <v>221</v>
      </c>
      <c r="C56" s="108" t="s">
        <v>1512</v>
      </c>
      <c r="D56" s="106"/>
      <c r="E56" s="106"/>
      <c r="F56" s="106"/>
      <c r="G56" s="106"/>
      <c r="H56" s="106" t="s">
        <v>1516</v>
      </c>
      <c r="I56" s="106"/>
      <c r="J56" s="106"/>
      <c r="K56" s="106"/>
      <c r="L56" s="106"/>
      <c r="M56" s="106"/>
      <c r="N56" s="106"/>
      <c r="O56" s="106"/>
      <c r="P56" s="106"/>
      <c r="Q56" s="106"/>
      <c r="R56" s="106"/>
      <c r="S56" s="106"/>
      <c r="T56" s="106"/>
      <c r="U56" s="106"/>
      <c r="V56" s="106"/>
      <c r="W56" s="106"/>
      <c r="X56" s="106"/>
      <c r="Y56" s="106"/>
      <c r="Z56" s="106"/>
      <c r="AA56" s="106"/>
      <c r="AB56" s="106"/>
      <c r="AC56" s="106"/>
      <c r="AD56" s="106"/>
      <c r="AE56" s="94"/>
    </row>
    <row r="57" ht="15.75" customHeight="1">
      <c r="A57" s="103" t="s">
        <v>1537</v>
      </c>
      <c r="B57" s="106" t="s">
        <v>221</v>
      </c>
      <c r="C57" s="108" t="s">
        <v>1560</v>
      </c>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94"/>
    </row>
    <row r="58" ht="15.75" customHeight="1">
      <c r="A58" s="103" t="s">
        <v>1577</v>
      </c>
      <c r="B58" s="106" t="s">
        <v>221</v>
      </c>
      <c r="C58" s="108" t="s">
        <v>1591</v>
      </c>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94"/>
    </row>
    <row r="59" ht="15.75" customHeight="1">
      <c r="A59" s="103" t="s">
        <v>1622</v>
      </c>
      <c r="B59" s="106" t="s">
        <v>221</v>
      </c>
      <c r="C59" s="108" t="s">
        <v>1644</v>
      </c>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94"/>
    </row>
    <row r="60" ht="15.75" customHeight="1">
      <c r="A60" s="103" t="s">
        <v>42</v>
      </c>
      <c r="B60" s="106" t="s">
        <v>221</v>
      </c>
      <c r="C60" s="108" t="s">
        <v>1683</v>
      </c>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94"/>
    </row>
    <row r="61" ht="15.75" customHeight="1">
      <c r="A61" s="103" t="s">
        <v>52</v>
      </c>
      <c r="B61" s="106" t="s">
        <v>221</v>
      </c>
      <c r="C61" s="108"/>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94"/>
    </row>
    <row r="62" ht="15.75" customHeight="1">
      <c r="A62" s="103" t="s">
        <v>60</v>
      </c>
      <c r="B62" s="106" t="s">
        <v>221</v>
      </c>
      <c r="C62" s="108"/>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94"/>
    </row>
    <row r="63" ht="15.75" customHeight="1">
      <c r="A63" s="103" t="s">
        <v>72</v>
      </c>
      <c r="B63" s="106" t="s">
        <v>221</v>
      </c>
      <c r="C63" s="108"/>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94"/>
    </row>
    <row r="64" ht="15.75" customHeight="1">
      <c r="A64" s="103" t="s">
        <v>1813</v>
      </c>
      <c r="B64" s="106" t="s">
        <v>221</v>
      </c>
      <c r="C64" s="108"/>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94"/>
    </row>
    <row r="65" ht="15.75" customHeight="1">
      <c r="A65" s="103" t="s">
        <v>1854</v>
      </c>
      <c r="B65" s="106" t="s">
        <v>221</v>
      </c>
      <c r="C65" s="108"/>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94"/>
    </row>
    <row r="66" ht="15.75" customHeight="1">
      <c r="A66" s="195" t="s">
        <v>289</v>
      </c>
      <c r="B66" s="106" t="s">
        <v>221</v>
      </c>
      <c r="C66" s="108"/>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94"/>
    </row>
    <row r="67" ht="15.75" customHeight="1">
      <c r="A67" s="103" t="s">
        <v>94</v>
      </c>
      <c r="B67" s="106" t="s">
        <v>221</v>
      </c>
      <c r="C67" s="108"/>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94"/>
    </row>
    <row r="68" ht="15.75" customHeight="1">
      <c r="A68" s="103" t="s">
        <v>1939</v>
      </c>
      <c r="B68" s="106" t="s">
        <v>221</v>
      </c>
      <c r="C68" s="108"/>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94"/>
    </row>
    <row r="69" ht="15.75" customHeight="1">
      <c r="A69" s="103" t="s">
        <v>116</v>
      </c>
      <c r="B69" s="106" t="s">
        <v>221</v>
      </c>
      <c r="C69" s="108"/>
      <c r="D69" s="106"/>
      <c r="E69" s="106"/>
      <c r="F69" s="106"/>
      <c r="G69" s="106"/>
      <c r="H69" s="106"/>
      <c r="I69" s="106"/>
      <c r="J69" s="106"/>
      <c r="K69" s="106"/>
      <c r="L69" s="106"/>
      <c r="M69" s="106"/>
      <c r="N69" s="106"/>
      <c r="O69" s="106"/>
      <c r="P69" s="106"/>
      <c r="Q69" s="106"/>
      <c r="R69" s="106" t="s">
        <v>1982</v>
      </c>
      <c r="S69" s="106"/>
      <c r="T69" s="106"/>
      <c r="U69" s="106"/>
      <c r="V69" s="106"/>
      <c r="W69" s="106"/>
      <c r="X69" s="106"/>
      <c r="Y69" s="106"/>
      <c r="Z69" s="106"/>
      <c r="AA69" s="106"/>
      <c r="AB69" s="106"/>
      <c r="AC69" s="106"/>
      <c r="AD69" s="106"/>
      <c r="AE69" s="94"/>
    </row>
    <row r="70" ht="15.75" customHeight="1">
      <c r="A70" s="103" t="s">
        <v>183</v>
      </c>
      <c r="B70" s="106" t="s">
        <v>221</v>
      </c>
      <c r="C70" s="108"/>
      <c r="D70" s="106"/>
      <c r="E70" s="106"/>
      <c r="F70" s="106"/>
      <c r="G70" s="106"/>
      <c r="H70" s="106"/>
      <c r="I70" s="106"/>
      <c r="J70" s="106"/>
      <c r="K70" s="106"/>
      <c r="L70" s="106"/>
      <c r="M70" s="106"/>
      <c r="N70" s="106"/>
      <c r="O70" s="106"/>
      <c r="P70" s="106"/>
      <c r="Q70" s="106"/>
      <c r="R70" s="106" t="s">
        <v>2008</v>
      </c>
      <c r="S70" s="106"/>
      <c r="T70" s="106"/>
      <c r="U70" s="106"/>
      <c r="V70" s="106"/>
      <c r="W70" s="106"/>
      <c r="X70" s="106"/>
      <c r="Y70" s="106"/>
      <c r="Z70" s="106"/>
      <c r="AA70" s="106"/>
      <c r="AB70" s="106"/>
      <c r="AC70" s="106"/>
      <c r="AD70" s="106"/>
      <c r="AE70" s="94"/>
    </row>
    <row r="71" ht="15.75" customHeight="1">
      <c r="A71" s="103" t="s">
        <v>133</v>
      </c>
      <c r="B71" s="106" t="s">
        <v>221</v>
      </c>
      <c r="C71" s="108"/>
      <c r="D71" s="106"/>
      <c r="E71" s="106"/>
      <c r="F71" s="106"/>
      <c r="G71" s="106"/>
      <c r="H71" s="106" t="s">
        <v>2032</v>
      </c>
      <c r="I71" s="106"/>
      <c r="J71" s="106"/>
      <c r="K71" s="106"/>
      <c r="L71" s="106"/>
      <c r="M71" s="106"/>
      <c r="N71" s="106"/>
      <c r="O71" s="106"/>
      <c r="P71" s="106"/>
      <c r="Q71" s="106"/>
      <c r="R71" s="106"/>
      <c r="S71" s="106"/>
      <c r="T71" s="106"/>
      <c r="U71" s="106"/>
      <c r="V71" s="106"/>
      <c r="W71" s="106"/>
      <c r="X71" s="106"/>
      <c r="Y71" s="106"/>
      <c r="Z71" s="106"/>
      <c r="AA71" s="106"/>
      <c r="AB71" s="106"/>
      <c r="AC71" s="106"/>
      <c r="AD71" s="106"/>
      <c r="AE71" s="94"/>
    </row>
    <row r="72" ht="15.75" customHeight="1">
      <c r="A72" s="106" t="s">
        <v>133</v>
      </c>
      <c r="B72" s="106" t="s">
        <v>221</v>
      </c>
      <c r="C72" s="108"/>
      <c r="D72" s="106"/>
      <c r="E72" s="106"/>
      <c r="F72" s="106"/>
      <c r="G72" s="106"/>
      <c r="H72" s="106" t="s">
        <v>2054</v>
      </c>
      <c r="I72" s="106"/>
      <c r="J72" s="106"/>
      <c r="K72" s="106"/>
      <c r="L72" s="106"/>
      <c r="M72" s="106"/>
      <c r="N72" s="106"/>
      <c r="O72" s="106"/>
      <c r="P72" s="106"/>
      <c r="Q72" s="106"/>
      <c r="R72" s="106"/>
      <c r="S72" s="106"/>
      <c r="T72" s="106"/>
      <c r="U72" s="106"/>
      <c r="V72" s="106"/>
      <c r="W72" s="106"/>
      <c r="X72" s="106"/>
      <c r="Y72" s="106"/>
      <c r="Z72" s="106"/>
      <c r="AA72" s="106"/>
      <c r="AB72" s="106"/>
      <c r="AC72" s="106"/>
      <c r="AD72" s="106"/>
      <c r="AE72" s="94"/>
    </row>
    <row r="73" ht="15.75" customHeight="1">
      <c r="A73" s="103" t="s">
        <v>2067</v>
      </c>
      <c r="B73" s="106" t="s">
        <v>221</v>
      </c>
      <c r="C73" s="108"/>
      <c r="D73" s="106"/>
      <c r="E73" s="106"/>
      <c r="F73" s="106"/>
      <c r="G73" s="106"/>
      <c r="H73" s="106" t="s">
        <v>2070</v>
      </c>
      <c r="I73" s="106"/>
      <c r="J73" s="106"/>
      <c r="K73" s="106"/>
      <c r="L73" s="106"/>
      <c r="M73" s="106"/>
      <c r="N73" s="106"/>
      <c r="O73" s="106"/>
      <c r="P73" s="106"/>
      <c r="Q73" s="106"/>
      <c r="R73" s="106"/>
      <c r="S73" s="106"/>
      <c r="T73" s="106"/>
      <c r="U73" s="106"/>
      <c r="V73" s="106"/>
      <c r="W73" s="106"/>
      <c r="X73" s="106"/>
      <c r="Y73" s="106"/>
      <c r="Z73" s="106"/>
      <c r="AA73" s="106"/>
      <c r="AB73" s="106"/>
      <c r="AC73" s="106"/>
      <c r="AD73" s="106"/>
      <c r="AE73" s="94"/>
    </row>
    <row r="74" ht="15.75" customHeight="1">
      <c r="A74" s="103" t="s">
        <v>2067</v>
      </c>
      <c r="B74" s="106" t="s">
        <v>221</v>
      </c>
      <c r="C74" s="108"/>
      <c r="D74" s="106"/>
      <c r="E74" s="106"/>
      <c r="F74" s="106"/>
      <c r="G74" s="106"/>
      <c r="H74" s="106" t="s">
        <v>2104</v>
      </c>
      <c r="I74" s="106"/>
      <c r="J74" s="106"/>
      <c r="K74" s="106"/>
      <c r="L74" s="106"/>
      <c r="M74" s="106"/>
      <c r="N74" s="106"/>
      <c r="O74" s="106"/>
      <c r="P74" s="106"/>
      <c r="Q74" s="106"/>
      <c r="R74" s="106"/>
      <c r="S74" s="106"/>
      <c r="T74" s="106"/>
      <c r="U74" s="106"/>
      <c r="V74" s="106"/>
      <c r="W74" s="106"/>
      <c r="X74" s="106"/>
      <c r="Y74" s="106"/>
      <c r="Z74" s="106"/>
      <c r="AA74" s="106"/>
      <c r="AB74" s="106"/>
      <c r="AC74" s="106"/>
      <c r="AD74" s="106"/>
      <c r="AE74" s="94"/>
    </row>
    <row r="75" ht="15.75" customHeight="1">
      <c r="A75" s="103" t="s">
        <v>2067</v>
      </c>
      <c r="B75" s="106" t="s">
        <v>221</v>
      </c>
      <c r="C75" s="108"/>
      <c r="D75" s="106"/>
      <c r="E75" s="106"/>
      <c r="F75" s="106"/>
      <c r="G75" s="106"/>
      <c r="H75" s="106" t="s">
        <v>2135</v>
      </c>
      <c r="I75" s="106"/>
      <c r="J75" s="106"/>
      <c r="K75" s="106"/>
      <c r="L75" s="106"/>
      <c r="M75" s="106"/>
      <c r="N75" s="106"/>
      <c r="O75" s="106"/>
      <c r="P75" s="106"/>
      <c r="Q75" s="106"/>
      <c r="R75" s="106"/>
      <c r="S75" s="106"/>
      <c r="T75" s="106"/>
      <c r="U75" s="106"/>
      <c r="V75" s="106"/>
      <c r="W75" s="106"/>
      <c r="X75" s="106"/>
      <c r="Y75" s="106"/>
      <c r="Z75" s="106"/>
      <c r="AA75" s="106"/>
      <c r="AB75" s="106"/>
      <c r="AC75" s="106"/>
      <c r="AD75" s="106"/>
      <c r="AE75" s="94"/>
    </row>
    <row r="76" ht="15.75" customHeight="1">
      <c r="A76" s="103" t="s">
        <v>227</v>
      </c>
      <c r="B76" s="106" t="s">
        <v>2166</v>
      </c>
      <c r="C76" s="108" t="s">
        <v>2168</v>
      </c>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94"/>
    </row>
    <row r="77" ht="15.75" customHeight="1">
      <c r="A77" s="106" t="s">
        <v>2210</v>
      </c>
      <c r="B77" s="106"/>
      <c r="C77" s="108"/>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94"/>
    </row>
    <row r="78" ht="15.75" customHeight="1">
      <c r="A78" s="106" t="s">
        <v>735</v>
      </c>
      <c r="B78" s="106" t="s">
        <v>2166</v>
      </c>
      <c r="C78" s="108"/>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94"/>
    </row>
    <row r="79" ht="15.75" customHeight="1">
      <c r="A79" s="103" t="s">
        <v>2279</v>
      </c>
      <c r="B79" s="106" t="s">
        <v>2280</v>
      </c>
      <c r="C79" s="108" t="s">
        <v>2281</v>
      </c>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94"/>
    </row>
    <row r="80" ht="15.75" customHeight="1">
      <c r="A80" s="106" t="s">
        <v>2210</v>
      </c>
      <c r="B80" s="106"/>
      <c r="C80" s="108"/>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94"/>
    </row>
    <row r="81" ht="15.75" customHeight="1">
      <c r="A81" s="106" t="s">
        <v>2336</v>
      </c>
      <c r="B81" s="106" t="s">
        <v>2280</v>
      </c>
      <c r="C81" s="108"/>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94"/>
    </row>
    <row r="82" ht="15.75" customHeight="1">
      <c r="A82" s="103" t="s">
        <v>2279</v>
      </c>
      <c r="B82" s="106" t="s">
        <v>2280</v>
      </c>
      <c r="C82" s="108" t="s">
        <v>2352</v>
      </c>
      <c r="D82" s="106"/>
      <c r="E82" s="106"/>
      <c r="F82" s="106"/>
      <c r="G82" s="106"/>
      <c r="H82" s="106"/>
      <c r="I82" s="106"/>
      <c r="J82" s="106"/>
      <c r="K82" s="106"/>
      <c r="L82" s="106"/>
      <c r="M82" s="106"/>
      <c r="N82" s="106"/>
      <c r="O82" s="106"/>
      <c r="P82" s="106"/>
      <c r="Q82" s="106"/>
      <c r="R82" s="106"/>
      <c r="S82" s="227">
        <v>3.0</v>
      </c>
      <c r="T82" s="106"/>
      <c r="U82" s="106"/>
      <c r="V82" s="106"/>
      <c r="W82" s="106"/>
      <c r="X82" s="106"/>
      <c r="Y82" s="106"/>
      <c r="Z82" s="106"/>
      <c r="AA82" s="106"/>
      <c r="AB82" s="106"/>
      <c r="AC82" s="106"/>
      <c r="AD82" s="106"/>
      <c r="AE82" s="94"/>
    </row>
    <row r="83" ht="15.75" customHeight="1">
      <c r="A83" s="106" t="s">
        <v>2210</v>
      </c>
      <c r="B83" s="106"/>
      <c r="C83" s="108"/>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94"/>
    </row>
    <row r="84" ht="15.75" customHeight="1">
      <c r="A84" s="106" t="s">
        <v>2336</v>
      </c>
      <c r="B84" s="106" t="s">
        <v>2280</v>
      </c>
      <c r="C84" s="108"/>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94"/>
    </row>
    <row r="85" ht="15.75" customHeight="1">
      <c r="A85" s="103" t="s">
        <v>2424</v>
      </c>
      <c r="B85" s="106" t="s">
        <v>221</v>
      </c>
      <c r="C85" s="108"/>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94"/>
    </row>
    <row r="86" ht="15.75" customHeight="1">
      <c r="A86" s="103" t="s">
        <v>2453</v>
      </c>
      <c r="B86" s="106" t="s">
        <v>221</v>
      </c>
      <c r="C86" s="108"/>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94"/>
    </row>
    <row r="87" ht="15.75" customHeight="1">
      <c r="A87" s="103" t="s">
        <v>2475</v>
      </c>
      <c r="B87" s="106" t="s">
        <v>221</v>
      </c>
      <c r="C87" s="108"/>
      <c r="D87" s="106"/>
      <c r="E87" s="106"/>
      <c r="F87" s="106"/>
      <c r="G87" s="106"/>
      <c r="H87" s="106" t="s">
        <v>2480</v>
      </c>
      <c r="I87" s="106"/>
      <c r="J87" s="106"/>
      <c r="K87" s="106"/>
      <c r="L87" s="106"/>
      <c r="M87" s="106"/>
      <c r="N87" s="106"/>
      <c r="O87" s="106"/>
      <c r="P87" s="106"/>
      <c r="Q87" s="106"/>
      <c r="R87" s="106"/>
      <c r="S87" s="106"/>
      <c r="T87" s="106"/>
      <c r="U87" s="106"/>
      <c r="V87" s="106"/>
      <c r="W87" s="106"/>
      <c r="X87" s="106"/>
      <c r="Y87" s="106"/>
      <c r="Z87" s="106"/>
      <c r="AA87" s="106"/>
      <c r="AB87" s="106"/>
      <c r="AC87" s="106"/>
      <c r="AD87" s="106"/>
      <c r="AE87" s="94"/>
    </row>
    <row r="88" ht="15.75" customHeight="1">
      <c r="A88" s="103" t="s">
        <v>2494</v>
      </c>
      <c r="B88" s="106" t="s">
        <v>221</v>
      </c>
      <c r="C88" s="108"/>
      <c r="D88" s="106"/>
      <c r="E88" s="106"/>
      <c r="F88" s="106"/>
      <c r="G88" s="106"/>
      <c r="H88" s="106" t="s">
        <v>2508</v>
      </c>
      <c r="I88" s="106"/>
      <c r="J88" s="106"/>
      <c r="K88" s="106"/>
      <c r="L88" s="106"/>
      <c r="M88" s="106"/>
      <c r="N88" s="106"/>
      <c r="O88" s="106"/>
      <c r="P88" s="106"/>
      <c r="Q88" s="106"/>
      <c r="R88" s="106"/>
      <c r="S88" s="106"/>
      <c r="T88" s="106"/>
      <c r="U88" s="106"/>
      <c r="V88" s="106"/>
      <c r="W88" s="106"/>
      <c r="X88" s="106"/>
      <c r="Y88" s="106"/>
      <c r="Z88" s="106"/>
      <c r="AA88" s="106"/>
      <c r="AB88" s="106"/>
      <c r="AC88" s="106"/>
      <c r="AD88" s="106"/>
      <c r="AE88" s="94"/>
    </row>
    <row r="89" ht="15.75" customHeight="1">
      <c r="A89" s="103" t="s">
        <v>2513</v>
      </c>
      <c r="B89" s="106" t="s">
        <v>221</v>
      </c>
      <c r="C89" s="108"/>
      <c r="D89" s="106"/>
      <c r="E89" s="106"/>
      <c r="F89" s="106"/>
      <c r="G89" s="106"/>
      <c r="H89" s="106" t="s">
        <v>2527</v>
      </c>
      <c r="I89" s="106"/>
      <c r="J89" s="106"/>
      <c r="K89" s="106"/>
      <c r="L89" s="106"/>
      <c r="M89" s="106"/>
      <c r="N89" s="106"/>
      <c r="O89" s="106"/>
      <c r="P89" s="106"/>
      <c r="Q89" s="106"/>
      <c r="R89" s="106"/>
      <c r="S89" s="106"/>
      <c r="T89" s="106"/>
      <c r="U89" s="106"/>
      <c r="V89" s="106"/>
      <c r="W89" s="106"/>
      <c r="X89" s="106"/>
      <c r="Y89" s="106"/>
      <c r="Z89" s="106"/>
      <c r="AA89" s="106"/>
      <c r="AB89" s="106"/>
      <c r="AC89" s="106"/>
      <c r="AD89" s="106"/>
      <c r="AE89" s="94"/>
    </row>
    <row r="90" ht="15.75" customHeight="1">
      <c r="C90" s="8"/>
    </row>
    <row r="91" ht="15.75" customHeight="1">
      <c r="A91" s="233" t="s">
        <v>2545</v>
      </c>
      <c r="B91" s="234"/>
      <c r="C91" s="235"/>
      <c r="D91" s="237"/>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240" t="s">
        <v>2562</v>
      </c>
      <c r="B92" s="241"/>
      <c r="C92" s="234"/>
      <c r="D92" s="237"/>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8"/>
    </row>
    <row r="94" ht="15.75" customHeight="1">
      <c r="A94" s="242" t="s">
        <v>2584</v>
      </c>
      <c r="B94" s="242" t="s">
        <v>2587</v>
      </c>
      <c r="C94" s="242" t="s">
        <v>2588</v>
      </c>
      <c r="D94" s="242" t="s">
        <v>2589</v>
      </c>
    </row>
    <row r="95" ht="15.75" customHeight="1">
      <c r="A95" s="243" t="s">
        <v>2594</v>
      </c>
      <c r="B95" s="243" t="s">
        <v>2595</v>
      </c>
      <c r="C95" s="243" t="s">
        <v>2596</v>
      </c>
      <c r="D95" s="243">
        <v>2.0</v>
      </c>
    </row>
    <row r="96" ht="15.75" customHeight="1">
      <c r="A96" s="243" t="s">
        <v>2602</v>
      </c>
      <c r="B96" s="243" t="s">
        <v>2603</v>
      </c>
      <c r="C96" s="244" t="str">
        <f>"3 - 2"</f>
        <v>3 - 2</v>
      </c>
      <c r="D96" s="243">
        <v>1.0</v>
      </c>
    </row>
    <row r="97" ht="15.75" customHeight="1">
      <c r="A97" s="243" t="s">
        <v>2610</v>
      </c>
      <c r="B97" s="243" t="s">
        <v>2611</v>
      </c>
      <c r="C97" s="243" t="s">
        <v>2612</v>
      </c>
      <c r="D97" s="243">
        <v>6.0</v>
      </c>
    </row>
    <row r="98" ht="15.75" customHeight="1">
      <c r="A98" s="243" t="s">
        <v>2616</v>
      </c>
      <c r="B98" s="243" t="s">
        <v>2618</v>
      </c>
      <c r="C98" s="243" t="s">
        <v>2620</v>
      </c>
      <c r="D98" s="243">
        <v>5.0</v>
      </c>
    </row>
    <row r="99" ht="15.75" customHeight="1">
      <c r="A99" s="243" t="s">
        <v>2623</v>
      </c>
      <c r="B99" s="243" t="s">
        <v>2624</v>
      </c>
      <c r="C99" s="243" t="s">
        <v>2627</v>
      </c>
      <c r="D99" s="243">
        <v>1.0</v>
      </c>
    </row>
    <row r="100" ht="15.75" customHeight="1">
      <c r="A100" s="243" t="s">
        <v>2634</v>
      </c>
      <c r="B100" s="243" t="s">
        <v>2636</v>
      </c>
      <c r="C100" s="243" t="s">
        <v>2638</v>
      </c>
      <c r="D100" s="243" t="s">
        <v>2643</v>
      </c>
    </row>
    <row r="101" ht="15.75" customHeight="1">
      <c r="A101" s="243" t="s">
        <v>2645</v>
      </c>
      <c r="B101" s="243" t="s">
        <v>2646</v>
      </c>
      <c r="C101" s="243" t="s">
        <v>2647</v>
      </c>
      <c r="D101" s="243" t="s">
        <v>2643</v>
      </c>
    </row>
    <row r="102" ht="15.75" customHeight="1">
      <c r="A102" s="243" t="s">
        <v>2648</v>
      </c>
      <c r="B102" s="243" t="s">
        <v>2652</v>
      </c>
      <c r="C102" s="243" t="s">
        <v>2653</v>
      </c>
      <c r="D102" s="243" t="s">
        <v>2643</v>
      </c>
    </row>
    <row r="103" ht="15.75" customHeight="1">
      <c r="A103" s="243" t="s">
        <v>2655</v>
      </c>
      <c r="B103" s="243" t="s">
        <v>2656</v>
      </c>
      <c r="C103" s="243" t="s">
        <v>2657</v>
      </c>
      <c r="D103" s="243" t="s">
        <v>2643</v>
      </c>
    </row>
    <row r="104" ht="15.75" customHeight="1">
      <c r="A104" s="243" t="s">
        <v>2662</v>
      </c>
      <c r="B104" s="243" t="s">
        <v>2664</v>
      </c>
      <c r="C104" s="243" t="s">
        <v>2665</v>
      </c>
      <c r="D104" s="243" t="s">
        <v>2643</v>
      </c>
    </row>
    <row r="105" ht="15.75" customHeight="1">
      <c r="A105" s="243" t="s">
        <v>2666</v>
      </c>
      <c r="B105" s="243" t="s">
        <v>2669</v>
      </c>
      <c r="C105" s="243" t="s">
        <v>2671</v>
      </c>
      <c r="D105" s="243" t="s">
        <v>2643</v>
      </c>
    </row>
    <row r="106" ht="15.75" customHeight="1">
      <c r="A106" s="243" t="s">
        <v>2672</v>
      </c>
      <c r="B106" s="243" t="s">
        <v>2673</v>
      </c>
      <c r="C106" s="243" t="s">
        <v>2675</v>
      </c>
      <c r="D106" s="243" t="s">
        <v>2643</v>
      </c>
    </row>
    <row r="107" ht="15.75" customHeight="1">
      <c r="A107" s="243" t="s">
        <v>2680</v>
      </c>
      <c r="B107" s="243" t="s">
        <v>2681</v>
      </c>
      <c r="C107" s="243" t="s">
        <v>2682</v>
      </c>
      <c r="D107" s="243" t="s">
        <v>2643</v>
      </c>
    </row>
    <row r="108" ht="15.75" customHeight="1">
      <c r="A108" s="243" t="s">
        <v>2685</v>
      </c>
      <c r="B108" s="243" t="s">
        <v>2690</v>
      </c>
      <c r="C108" s="243" t="s">
        <v>2693</v>
      </c>
      <c r="D108" s="243" t="s">
        <v>2694</v>
      </c>
    </row>
    <row r="109" ht="15.75" customHeight="1">
      <c r="A109" s="247"/>
      <c r="B109" s="247"/>
      <c r="C109" s="248"/>
      <c r="D109" s="247"/>
    </row>
    <row r="110" ht="15.75" customHeight="1">
      <c r="A110" s="247"/>
      <c r="B110" s="242" t="s">
        <v>2706</v>
      </c>
      <c r="C110" s="242" t="s">
        <v>2588</v>
      </c>
      <c r="D110" s="247"/>
    </row>
    <row r="111" ht="15.75" customHeight="1">
      <c r="A111" s="247"/>
      <c r="B111" s="243" t="s">
        <v>2712</v>
      </c>
      <c r="C111" s="243" t="s">
        <v>2717</v>
      </c>
      <c r="D111" s="247"/>
    </row>
    <row r="112" ht="15.75" customHeight="1">
      <c r="A112" s="247"/>
      <c r="B112" s="243" t="s">
        <v>2719</v>
      </c>
      <c r="C112" s="256" t="s">
        <v>2720</v>
      </c>
      <c r="D112" s="247"/>
    </row>
    <row r="113" ht="15.75" customHeight="1">
      <c r="A113" s="247"/>
      <c r="B113" s="257" t="s">
        <v>2722</v>
      </c>
      <c r="C113" s="258" t="s">
        <v>2723</v>
      </c>
      <c r="D113" s="247"/>
    </row>
    <row r="114" ht="15.75" customHeight="1">
      <c r="A114" s="247"/>
      <c r="B114" s="258" t="s">
        <v>2723</v>
      </c>
      <c r="C114" s="258" t="s">
        <v>2723</v>
      </c>
      <c r="D114" s="247"/>
    </row>
    <row r="115" ht="15.75" customHeight="1">
      <c r="A115" s="247"/>
      <c r="B115" s="258" t="s">
        <v>2732</v>
      </c>
      <c r="C115" s="258" t="s">
        <v>2737</v>
      </c>
      <c r="D115" s="247"/>
    </row>
    <row r="116" ht="15.75" customHeight="1">
      <c r="A116" s="247"/>
      <c r="B116" s="258" t="s">
        <v>2743</v>
      </c>
      <c r="C116" s="258" t="s">
        <v>2745</v>
      </c>
      <c r="D116" s="247"/>
    </row>
    <row r="117" ht="15.75" customHeight="1">
      <c r="A117" s="247"/>
      <c r="B117" s="258" t="s">
        <v>2751</v>
      </c>
      <c r="C117" s="258" t="s">
        <v>2752</v>
      </c>
      <c r="D117" s="247"/>
    </row>
    <row r="118" ht="15.75" customHeight="1">
      <c r="A118" s="247"/>
      <c r="B118" s="258" t="s">
        <v>2756</v>
      </c>
      <c r="C118" s="258" t="s">
        <v>2758</v>
      </c>
      <c r="D118" s="247"/>
    </row>
    <row r="119" ht="15.75" customHeight="1">
      <c r="A119" s="247"/>
      <c r="B119" s="258" t="s">
        <v>2764</v>
      </c>
      <c r="C119" s="258" t="s">
        <v>2766</v>
      </c>
      <c r="D119" s="247"/>
    </row>
    <row r="120" ht="15.75" customHeight="1">
      <c r="A120" s="247"/>
      <c r="B120" s="258" t="s">
        <v>2767</v>
      </c>
      <c r="C120" s="258" t="s">
        <v>2771</v>
      </c>
      <c r="D120" s="247"/>
    </row>
    <row r="121" ht="15.75" customHeight="1">
      <c r="A121" s="247"/>
      <c r="B121" s="258" t="s">
        <v>2772</v>
      </c>
      <c r="C121" s="258" t="s">
        <v>2773</v>
      </c>
      <c r="D121" s="247"/>
    </row>
    <row r="122" ht="15.75" customHeight="1">
      <c r="A122" s="247"/>
      <c r="B122" s="258" t="s">
        <v>2778</v>
      </c>
      <c r="C122" s="258" t="s">
        <v>2778</v>
      </c>
      <c r="D122" s="247"/>
    </row>
    <row r="123" ht="15.75" customHeight="1">
      <c r="A123" s="247"/>
      <c r="B123" s="258" t="s">
        <v>2784</v>
      </c>
      <c r="C123" s="258" t="s">
        <v>2785</v>
      </c>
      <c r="D123" s="247"/>
    </row>
    <row r="124" ht="15.75" customHeight="1">
      <c r="A124" s="247"/>
      <c r="B124" s="258" t="s">
        <v>2787</v>
      </c>
      <c r="C124" s="258" t="s">
        <v>2790</v>
      </c>
      <c r="D124" s="247"/>
    </row>
    <row r="125" ht="15.75" customHeight="1">
      <c r="A125" s="247"/>
      <c r="B125" s="258" t="s">
        <v>2793</v>
      </c>
      <c r="C125" s="258" t="s">
        <v>2794</v>
      </c>
      <c r="D125" s="247"/>
    </row>
    <row r="126" ht="15.75" customHeight="1">
      <c r="A126" s="247"/>
      <c r="B126" s="258" t="s">
        <v>2798</v>
      </c>
      <c r="C126" s="258" t="s">
        <v>2800</v>
      </c>
      <c r="D126" s="247"/>
    </row>
    <row r="127" ht="15.75" customHeight="1">
      <c r="A127" s="247"/>
      <c r="B127" s="258" t="s">
        <v>2801</v>
      </c>
      <c r="C127" s="258" t="s">
        <v>2802</v>
      </c>
      <c r="D127" s="247"/>
    </row>
    <row r="128" ht="15.75" customHeight="1">
      <c r="A128" s="247"/>
      <c r="B128" s="258" t="s">
        <v>2809</v>
      </c>
      <c r="C128" s="258" t="s">
        <v>2810</v>
      </c>
      <c r="D128" s="247"/>
    </row>
    <row r="129" ht="15.75" customHeight="1">
      <c r="A129" s="247"/>
      <c r="B129" s="258" t="s">
        <v>2817</v>
      </c>
      <c r="C129" s="258" t="s">
        <v>2818</v>
      </c>
      <c r="D129" s="247"/>
    </row>
    <row r="130" ht="15.75" customHeight="1">
      <c r="A130" s="247"/>
      <c r="B130" s="258" t="s">
        <v>2822</v>
      </c>
      <c r="C130" s="258" t="s">
        <v>2824</v>
      </c>
      <c r="D130" s="247"/>
    </row>
    <row r="131" ht="15.75" customHeight="1">
      <c r="A131" s="247"/>
      <c r="B131" s="258" t="s">
        <v>2827</v>
      </c>
      <c r="C131" s="258" t="s">
        <v>2828</v>
      </c>
      <c r="D131" s="247"/>
    </row>
    <row r="132" ht="15.75" customHeight="1">
      <c r="A132" s="247"/>
      <c r="B132" s="258" t="s">
        <v>2831</v>
      </c>
      <c r="C132" s="258" t="s">
        <v>2833</v>
      </c>
      <c r="D132" s="247"/>
    </row>
    <row r="133" ht="15.75" customHeight="1">
      <c r="A133" s="247"/>
      <c r="B133" s="258" t="s">
        <v>2836</v>
      </c>
      <c r="C133" s="258" t="s">
        <v>2838</v>
      </c>
      <c r="D133" s="247"/>
    </row>
    <row r="134" ht="15.75" customHeight="1">
      <c r="A134" s="247"/>
      <c r="B134" s="270" t="s">
        <v>2839</v>
      </c>
      <c r="C134" s="270" t="s">
        <v>2840</v>
      </c>
      <c r="D134" s="247"/>
    </row>
    <row r="135" ht="15.75" customHeight="1">
      <c r="A135" s="247"/>
      <c r="B135" s="270" t="s">
        <v>2841</v>
      </c>
      <c r="C135" s="271" t="s">
        <v>211</v>
      </c>
      <c r="D135" s="247"/>
    </row>
    <row r="136" ht="15.75" customHeight="1">
      <c r="A136" s="247"/>
      <c r="B136" s="270" t="s">
        <v>2845</v>
      </c>
      <c r="C136" s="270" t="s">
        <v>2845</v>
      </c>
      <c r="D136" s="247"/>
    </row>
    <row r="137" ht="15.75" customHeight="1">
      <c r="A137" s="247"/>
      <c r="B137" s="270" t="s">
        <v>131</v>
      </c>
      <c r="C137" s="270" t="s">
        <v>131</v>
      </c>
      <c r="D137" s="247"/>
    </row>
    <row r="138" ht="15.75" customHeight="1">
      <c r="A138" s="247"/>
      <c r="B138" s="270" t="s">
        <v>2856</v>
      </c>
      <c r="C138" s="270" t="s">
        <v>2857</v>
      </c>
      <c r="D138" s="247"/>
    </row>
    <row r="139" ht="15.75" customHeight="1">
      <c r="A139" s="247"/>
      <c r="B139" s="270" t="s">
        <v>2859</v>
      </c>
      <c r="C139" s="270" t="s">
        <v>2862</v>
      </c>
      <c r="D139" s="247"/>
    </row>
    <row r="140" ht="15.75" customHeight="1">
      <c r="A140" s="247"/>
      <c r="B140" s="270" t="s">
        <v>2867</v>
      </c>
      <c r="C140" s="270" t="s">
        <v>2869</v>
      </c>
      <c r="D140" s="247"/>
    </row>
    <row r="141" ht="15.75" customHeight="1">
      <c r="A141" s="247"/>
      <c r="B141" s="270" t="s">
        <v>2873</v>
      </c>
      <c r="C141" s="270" t="s">
        <v>2885</v>
      </c>
      <c r="D141" s="247"/>
    </row>
    <row r="142" ht="15.75" customHeight="1">
      <c r="A142" s="247"/>
      <c r="B142" s="270" t="s">
        <v>2893</v>
      </c>
      <c r="C142" s="270" t="s">
        <v>2894</v>
      </c>
      <c r="D142" s="247"/>
    </row>
    <row r="143" ht="15.75" customHeight="1">
      <c r="A143" s="247"/>
      <c r="B143" s="270" t="s">
        <v>2898</v>
      </c>
      <c r="C143" s="270" t="s">
        <v>2898</v>
      </c>
      <c r="D143" s="247"/>
    </row>
    <row r="144" ht="15.75" customHeight="1">
      <c r="A144" s="272"/>
      <c r="B144" s="273" t="s">
        <v>2905</v>
      </c>
      <c r="C144" s="273" t="s">
        <v>2907</v>
      </c>
      <c r="D144" s="272"/>
    </row>
    <row r="145" ht="15.75" customHeight="1">
      <c r="A145" s="11"/>
      <c r="B145" s="274"/>
      <c r="C145" s="274"/>
      <c r="D145" s="11"/>
      <c r="E145" s="11"/>
    </row>
    <row r="146" ht="15.75" customHeight="1">
      <c r="A146" s="11"/>
      <c r="B146" s="274"/>
      <c r="C146" s="274"/>
      <c r="D146" s="11"/>
      <c r="E146" s="11"/>
    </row>
    <row r="147" ht="15.75" customHeight="1">
      <c r="A147" s="11"/>
      <c r="B147" s="274"/>
      <c r="C147" s="274"/>
      <c r="D147" s="11"/>
      <c r="E147" s="11"/>
    </row>
    <row r="148" ht="15.75" customHeight="1">
      <c r="A148" s="11"/>
      <c r="B148" s="274"/>
      <c r="C148" s="274"/>
      <c r="D148" s="11"/>
      <c r="E148" s="11"/>
    </row>
    <row r="149" ht="15.75" customHeight="1">
      <c r="A149" s="11"/>
      <c r="B149" s="274"/>
      <c r="C149" s="274"/>
      <c r="D149" s="11"/>
      <c r="E149" s="11"/>
    </row>
    <row r="150" ht="15.75" customHeight="1">
      <c r="A150" s="11"/>
      <c r="B150" s="274"/>
      <c r="C150" s="274"/>
      <c r="D150" s="11"/>
      <c r="E150" s="11"/>
    </row>
    <row r="151" ht="15.75" customHeight="1">
      <c r="A151" s="11"/>
      <c r="B151" s="274"/>
      <c r="C151" s="274"/>
      <c r="D151" s="11"/>
      <c r="E151" s="11"/>
    </row>
    <row r="152" ht="15.75" customHeight="1">
      <c r="A152" s="11"/>
      <c r="B152" s="274"/>
      <c r="C152" s="274"/>
      <c r="D152" s="11"/>
      <c r="E152" s="11"/>
    </row>
    <row r="153" ht="15.75" customHeight="1">
      <c r="A153" s="11"/>
      <c r="B153" s="274"/>
      <c r="C153" s="274"/>
      <c r="D153" s="11"/>
      <c r="E153" s="11"/>
    </row>
    <row r="154" ht="15.75" customHeight="1">
      <c r="A154" s="11"/>
      <c r="B154" s="274"/>
      <c r="C154" s="274"/>
      <c r="D154" s="11"/>
      <c r="E154" s="11"/>
    </row>
    <row r="155" ht="15.75" customHeight="1">
      <c r="A155" s="11"/>
      <c r="B155" s="274"/>
      <c r="C155" s="274"/>
      <c r="D155" s="11"/>
      <c r="E155" s="11"/>
    </row>
    <row r="156" ht="15.75" customHeight="1">
      <c r="A156" s="11"/>
      <c r="B156" s="11"/>
      <c r="C156" s="8"/>
      <c r="D156" s="11"/>
      <c r="E156" s="11"/>
    </row>
    <row r="157" ht="15.75" customHeight="1">
      <c r="A157" s="11"/>
      <c r="B157" s="11"/>
      <c r="C157" s="8"/>
      <c r="D157" s="11"/>
      <c r="E157" s="11"/>
    </row>
    <row r="158" ht="15.75" customHeight="1">
      <c r="A158" s="11"/>
      <c r="B158" s="11"/>
      <c r="C158" s="8"/>
      <c r="D158" s="11"/>
      <c r="E158" s="11"/>
    </row>
    <row r="159" ht="15.75" customHeight="1">
      <c r="A159" s="11"/>
      <c r="B159" s="11"/>
      <c r="C159" s="8"/>
      <c r="D159" s="11"/>
      <c r="E159" s="11"/>
    </row>
    <row r="160" ht="15.75" customHeight="1">
      <c r="A160" s="11"/>
      <c r="B160" s="11"/>
      <c r="C160" s="8"/>
      <c r="D160" s="11"/>
      <c r="E160" s="11"/>
    </row>
    <row r="161" ht="15.75" customHeight="1">
      <c r="C161" s="8"/>
    </row>
    <row r="162" ht="15.75" customHeight="1">
      <c r="C162" s="8"/>
    </row>
    <row r="163" ht="15.75" customHeight="1">
      <c r="C163" s="8"/>
    </row>
    <row r="164" ht="15.75" customHeight="1">
      <c r="C164" s="8"/>
    </row>
    <row r="165" ht="15.75" customHeight="1">
      <c r="C165" s="8"/>
    </row>
    <row r="166" ht="15.75" customHeight="1">
      <c r="C166" s="8"/>
    </row>
    <row r="167" ht="15.75" customHeight="1">
      <c r="C167" s="8"/>
    </row>
    <row r="168" ht="15.75" customHeight="1">
      <c r="C168" s="8"/>
    </row>
    <row r="169" ht="15.75" customHeight="1">
      <c r="C169" s="8"/>
    </row>
    <row r="170" ht="15.75" customHeight="1">
      <c r="C170" s="8"/>
    </row>
    <row r="171" ht="15.75" customHeight="1">
      <c r="C171" s="8"/>
    </row>
    <row r="172" ht="15.75" customHeight="1">
      <c r="C172" s="8"/>
    </row>
    <row r="173" ht="15.75" customHeight="1">
      <c r="C173" s="8"/>
    </row>
    <row r="174" ht="15.75" customHeight="1">
      <c r="C174" s="8"/>
    </row>
    <row r="175" ht="15.75" customHeight="1">
      <c r="C175" s="8"/>
    </row>
    <row r="176" ht="15.75" customHeight="1">
      <c r="C176" s="8"/>
    </row>
    <row r="177" ht="15.75" customHeight="1">
      <c r="C177" s="8"/>
    </row>
    <row r="178" ht="15.75" customHeight="1">
      <c r="C178" s="8"/>
    </row>
    <row r="179" ht="15.75" customHeight="1">
      <c r="C179" s="8"/>
    </row>
    <row r="180" ht="15.75" customHeight="1">
      <c r="C180" s="8"/>
    </row>
    <row r="181" ht="15.75" customHeight="1">
      <c r="C181" s="8"/>
    </row>
    <row r="182" ht="15.75" customHeight="1">
      <c r="C182" s="8"/>
    </row>
    <row r="183" ht="15.75" customHeight="1">
      <c r="C183" s="8"/>
    </row>
    <row r="184" ht="15.75" customHeight="1">
      <c r="C184" s="8"/>
    </row>
    <row r="185" ht="15.75" customHeight="1">
      <c r="C185" s="8"/>
    </row>
    <row r="186" ht="15.75" customHeight="1">
      <c r="C186" s="8"/>
    </row>
    <row r="187" ht="15.75" customHeight="1">
      <c r="C187" s="8"/>
    </row>
    <row r="188" ht="15.75" customHeight="1">
      <c r="C188" s="8"/>
    </row>
    <row r="189" ht="15.75" customHeight="1">
      <c r="C189" s="8"/>
    </row>
    <row r="190" ht="15.75" customHeight="1">
      <c r="C190" s="8"/>
    </row>
    <row r="191" ht="15.75" customHeight="1">
      <c r="C191" s="8"/>
    </row>
    <row r="192" ht="15.75" customHeight="1">
      <c r="C192" s="8"/>
    </row>
    <row r="193" ht="15.75" customHeight="1">
      <c r="C193" s="8"/>
    </row>
    <row r="194" ht="15.75" customHeight="1">
      <c r="C194" s="8"/>
    </row>
    <row r="195" ht="15.75" customHeight="1">
      <c r="C195" s="8"/>
    </row>
    <row r="196" ht="15.75" customHeight="1">
      <c r="C196" s="8"/>
    </row>
    <row r="197" ht="15.75" customHeight="1">
      <c r="C197" s="8"/>
    </row>
    <row r="198" ht="15.75" customHeight="1">
      <c r="C198" s="8"/>
    </row>
    <row r="199" ht="15.75" customHeight="1">
      <c r="C199" s="8"/>
    </row>
    <row r="200" ht="15.75" customHeight="1">
      <c r="C200" s="8"/>
    </row>
    <row r="201" ht="15.75" customHeight="1">
      <c r="C201" s="8"/>
    </row>
    <row r="202" ht="15.75" customHeight="1">
      <c r="C202" s="8"/>
    </row>
    <row r="203" ht="15.75" customHeight="1">
      <c r="C203" s="8"/>
    </row>
    <row r="204" ht="15.75" customHeight="1">
      <c r="C204" s="8"/>
    </row>
    <row r="205" ht="15.75" customHeight="1">
      <c r="C205" s="8"/>
    </row>
    <row r="206" ht="15.75" customHeight="1">
      <c r="C206" s="8"/>
    </row>
    <row r="207" ht="15.75" customHeight="1">
      <c r="C207" s="8"/>
    </row>
    <row r="208" ht="15.75" customHeight="1">
      <c r="C208" s="8"/>
    </row>
    <row r="209" ht="15.75" customHeight="1">
      <c r="C209" s="8"/>
    </row>
    <row r="210" ht="15.75" customHeight="1">
      <c r="C210" s="8"/>
    </row>
    <row r="211" ht="15.75" customHeight="1">
      <c r="C211" s="8"/>
    </row>
    <row r="212" ht="15.75" customHeight="1">
      <c r="C212" s="8"/>
    </row>
    <row r="213" ht="15.75" customHeight="1">
      <c r="C213" s="8"/>
    </row>
    <row r="214" ht="15.75" customHeight="1">
      <c r="C214" s="8"/>
    </row>
    <row r="215" ht="15.75" customHeight="1">
      <c r="C215" s="8"/>
    </row>
    <row r="216" ht="15.75" customHeight="1">
      <c r="C216" s="8"/>
    </row>
    <row r="217" ht="15.75" customHeight="1">
      <c r="C217" s="8"/>
    </row>
    <row r="218" ht="15.75" customHeight="1">
      <c r="C218" s="8"/>
    </row>
    <row r="219" ht="15.75" customHeight="1">
      <c r="C219" s="8"/>
    </row>
    <row r="220" ht="15.75" customHeight="1">
      <c r="C220" s="8"/>
    </row>
    <row r="221" ht="15.75" customHeight="1">
      <c r="C221" s="8"/>
    </row>
    <row r="222" ht="15.75" customHeight="1">
      <c r="C222" s="8"/>
    </row>
    <row r="223" ht="15.75" customHeight="1">
      <c r="C223" s="8"/>
    </row>
    <row r="224" ht="15.75" customHeight="1">
      <c r="C224" s="8"/>
    </row>
    <row r="225" ht="15.75" customHeight="1">
      <c r="C225" s="8"/>
    </row>
    <row r="226" ht="15.75" customHeight="1">
      <c r="C226" s="8"/>
    </row>
    <row r="227" ht="15.75" customHeight="1">
      <c r="C227" s="8"/>
    </row>
    <row r="228" ht="15.75" customHeight="1">
      <c r="C228" s="8"/>
    </row>
    <row r="229" ht="15.75" customHeight="1">
      <c r="C229" s="8"/>
    </row>
    <row r="230" ht="15.75" customHeight="1">
      <c r="C230" s="8"/>
    </row>
    <row r="231" ht="15.75" customHeight="1">
      <c r="C231" s="8"/>
    </row>
    <row r="232" ht="15.75" customHeight="1">
      <c r="C232" s="8"/>
    </row>
    <row r="233" ht="15.75" customHeight="1">
      <c r="C233" s="8"/>
    </row>
    <row r="234" ht="15.75" customHeight="1">
      <c r="C234" s="8"/>
    </row>
    <row r="235" ht="15.75" customHeight="1">
      <c r="C235" s="8"/>
    </row>
    <row r="236" ht="15.75" customHeight="1">
      <c r="C236" s="8"/>
    </row>
    <row r="237" ht="15.75" customHeight="1">
      <c r="C237" s="8"/>
    </row>
    <row r="238" ht="15.75" customHeight="1">
      <c r="C238" s="8"/>
    </row>
    <row r="239" ht="15.75" customHeight="1">
      <c r="C239" s="8"/>
    </row>
    <row r="240" ht="15.75" customHeight="1">
      <c r="C240" s="8"/>
    </row>
    <row r="241" ht="15.75" customHeight="1">
      <c r="C241" s="8"/>
    </row>
    <row r="242" ht="15.75" customHeight="1">
      <c r="C242" s="8"/>
    </row>
    <row r="243" ht="15.75" customHeight="1">
      <c r="C243" s="8"/>
    </row>
    <row r="244" ht="15.75" customHeight="1">
      <c r="C244" s="8"/>
    </row>
    <row r="245" ht="15.75" customHeight="1">
      <c r="C245" s="8"/>
    </row>
    <row r="246" ht="15.75" customHeight="1">
      <c r="C246" s="8"/>
    </row>
    <row r="247" ht="15.75" customHeight="1">
      <c r="C247" s="8"/>
    </row>
    <row r="248" ht="15.75" customHeight="1">
      <c r="C248" s="8"/>
    </row>
    <row r="249" ht="15.75" customHeight="1">
      <c r="C249" s="8"/>
    </row>
    <row r="250" ht="15.75" customHeight="1">
      <c r="C250" s="8"/>
    </row>
    <row r="251" ht="15.75" customHeight="1">
      <c r="C251" s="8"/>
    </row>
    <row r="252" ht="15.75" customHeight="1">
      <c r="C252" s="8"/>
    </row>
    <row r="253" ht="15.75" customHeight="1">
      <c r="C253" s="8"/>
    </row>
    <row r="254" ht="15.75" customHeight="1">
      <c r="C254" s="8"/>
    </row>
    <row r="255" ht="15.75" customHeight="1">
      <c r="C255" s="8"/>
    </row>
    <row r="256" ht="15.75" customHeight="1">
      <c r="C256" s="8"/>
    </row>
    <row r="257" ht="15.75" customHeight="1">
      <c r="C257" s="8"/>
    </row>
    <row r="258" ht="15.75" customHeight="1">
      <c r="C258" s="8"/>
    </row>
    <row r="259" ht="15.75" customHeight="1">
      <c r="C259" s="8"/>
    </row>
    <row r="260" ht="15.75" customHeight="1">
      <c r="C260" s="8"/>
    </row>
    <row r="261" ht="15.75" customHeight="1">
      <c r="C261" s="8"/>
    </row>
    <row r="262" ht="15.75" customHeight="1">
      <c r="C262" s="8"/>
    </row>
    <row r="263" ht="15.75" customHeight="1">
      <c r="C263" s="8"/>
    </row>
    <row r="264" ht="15.75" customHeight="1">
      <c r="C264" s="8"/>
    </row>
    <row r="265" ht="15.75" customHeight="1">
      <c r="C265" s="8"/>
    </row>
    <row r="266" ht="15.75" customHeight="1">
      <c r="C266" s="8"/>
    </row>
    <row r="267" ht="15.75" customHeight="1">
      <c r="C267" s="8"/>
    </row>
    <row r="268" ht="15.75" customHeight="1">
      <c r="C268" s="8"/>
    </row>
    <row r="269" ht="15.75" customHeight="1">
      <c r="C269" s="8"/>
    </row>
    <row r="270" ht="15.75" customHeight="1">
      <c r="C270" s="8"/>
    </row>
    <row r="271" ht="15.75" customHeight="1">
      <c r="C271" s="8"/>
    </row>
    <row r="272" ht="15.75" customHeight="1">
      <c r="C272" s="8"/>
    </row>
    <row r="273" ht="15.75" customHeight="1">
      <c r="C273" s="8"/>
    </row>
    <row r="274" ht="15.75" customHeight="1">
      <c r="C274" s="8"/>
    </row>
    <row r="275" ht="15.75" customHeight="1">
      <c r="C275" s="8"/>
    </row>
    <row r="276" ht="15.75" customHeight="1">
      <c r="C276" s="8"/>
    </row>
    <row r="277" ht="15.75" customHeight="1">
      <c r="C277" s="8"/>
    </row>
    <row r="278" ht="15.75" customHeight="1">
      <c r="C278" s="8"/>
    </row>
    <row r="279" ht="15.75" customHeight="1">
      <c r="C279" s="8"/>
    </row>
    <row r="280" ht="15.75" customHeight="1">
      <c r="C280" s="8"/>
    </row>
    <row r="281" ht="15.75" customHeight="1">
      <c r="C281" s="8"/>
    </row>
    <row r="282" ht="15.75" customHeight="1">
      <c r="C282" s="8"/>
    </row>
    <row r="283" ht="15.75" customHeight="1">
      <c r="C283" s="8"/>
    </row>
    <row r="284" ht="15.75" customHeight="1">
      <c r="C284" s="8"/>
    </row>
    <row r="285" ht="15.75" customHeight="1">
      <c r="C285" s="8"/>
    </row>
    <row r="286" ht="15.75" customHeight="1">
      <c r="C286" s="8"/>
    </row>
    <row r="287" ht="15.75" customHeight="1">
      <c r="C287" s="8"/>
    </row>
    <row r="288" ht="15.75" customHeight="1">
      <c r="C288" s="8"/>
    </row>
    <row r="289" ht="15.75" customHeight="1">
      <c r="C289" s="8"/>
    </row>
    <row r="290" ht="15.75" customHeight="1">
      <c r="C290" s="8"/>
    </row>
    <row r="291" ht="15.75" customHeight="1">
      <c r="C291" s="8"/>
    </row>
    <row r="292" ht="15.75" customHeight="1">
      <c r="C292" s="8"/>
    </row>
    <row r="293" ht="15.75" customHeight="1">
      <c r="C293" s="8"/>
    </row>
    <row r="294" ht="15.75" customHeight="1">
      <c r="C294" s="8"/>
    </row>
    <row r="295" ht="15.75" customHeight="1">
      <c r="C295" s="8"/>
    </row>
    <row r="296" ht="15.75" customHeight="1">
      <c r="C296" s="8"/>
    </row>
    <row r="297" ht="15.75" customHeight="1">
      <c r="C297" s="8"/>
    </row>
    <row r="298" ht="15.75" customHeight="1">
      <c r="C298" s="8"/>
    </row>
    <row r="299" ht="15.75" customHeight="1">
      <c r="C299" s="8"/>
    </row>
    <row r="300" ht="15.75" customHeight="1">
      <c r="C300" s="8"/>
    </row>
    <row r="301" ht="15.75" customHeight="1">
      <c r="C301" s="8"/>
    </row>
    <row r="302" ht="15.75" customHeight="1">
      <c r="C302" s="8"/>
    </row>
    <row r="303" ht="15.75" customHeight="1">
      <c r="C303" s="8"/>
    </row>
    <row r="304" ht="15.75" customHeight="1">
      <c r="C304" s="8"/>
    </row>
    <row r="305" ht="15.75" customHeight="1">
      <c r="C305" s="8"/>
    </row>
    <row r="306" ht="15.75" customHeight="1">
      <c r="C306" s="8"/>
    </row>
    <row r="307" ht="15.75" customHeight="1">
      <c r="C307" s="8"/>
    </row>
    <row r="308" ht="15.75" customHeight="1">
      <c r="C308" s="8"/>
    </row>
    <row r="309" ht="15.75" customHeight="1">
      <c r="C309" s="8"/>
    </row>
    <row r="310" ht="15.75" customHeight="1">
      <c r="C310" s="8"/>
    </row>
    <row r="311" ht="15.75" customHeight="1">
      <c r="C311" s="8"/>
    </row>
    <row r="312" ht="15.75" customHeight="1">
      <c r="C312" s="8"/>
    </row>
    <row r="313" ht="15.75" customHeight="1">
      <c r="C313" s="8"/>
    </row>
    <row r="314" ht="15.75" customHeight="1">
      <c r="C314" s="8"/>
    </row>
    <row r="315" ht="15.75" customHeight="1">
      <c r="C315" s="8"/>
    </row>
    <row r="316" ht="15.75" customHeight="1">
      <c r="C316" s="8"/>
    </row>
    <row r="317" ht="15.75" customHeight="1">
      <c r="C317" s="8"/>
    </row>
    <row r="318" ht="15.75" customHeight="1">
      <c r="C318" s="8"/>
    </row>
    <row r="319" ht="15.75" customHeight="1">
      <c r="C319" s="8"/>
    </row>
    <row r="320" ht="15.75" customHeight="1">
      <c r="C320" s="8"/>
    </row>
    <row r="321" ht="15.75" customHeight="1">
      <c r="C321" s="8"/>
    </row>
    <row r="322" ht="15.75" customHeight="1">
      <c r="C322" s="8"/>
    </row>
    <row r="323" ht="15.75" customHeight="1">
      <c r="C323" s="8"/>
    </row>
    <row r="324" ht="15.75" customHeight="1">
      <c r="C324" s="8"/>
    </row>
    <row r="325" ht="15.75" customHeight="1">
      <c r="C325" s="8"/>
    </row>
    <row r="326" ht="15.75" customHeight="1">
      <c r="C326" s="8"/>
    </row>
    <row r="327" ht="15.75" customHeight="1">
      <c r="C327" s="8"/>
    </row>
    <row r="328" ht="15.75" customHeight="1">
      <c r="C328" s="8"/>
    </row>
    <row r="329" ht="15.75" customHeight="1">
      <c r="C329" s="8"/>
    </row>
    <row r="330" ht="15.75" customHeight="1">
      <c r="C330" s="8"/>
    </row>
    <row r="331" ht="15.75" customHeight="1">
      <c r="C331" s="8"/>
    </row>
    <row r="332" ht="15.75" customHeight="1">
      <c r="C332" s="8"/>
    </row>
    <row r="333" ht="15.75" customHeight="1">
      <c r="C333" s="8"/>
    </row>
    <row r="334" ht="15.75" customHeight="1">
      <c r="C334" s="8"/>
    </row>
    <row r="335" ht="15.75" customHeight="1">
      <c r="C335" s="8"/>
    </row>
    <row r="336" ht="15.75" customHeight="1">
      <c r="C336" s="8"/>
    </row>
    <row r="337" ht="15.75" customHeight="1">
      <c r="C337" s="8"/>
    </row>
    <row r="338" ht="15.75" customHeight="1">
      <c r="C338" s="8"/>
    </row>
    <row r="339" ht="15.75" customHeight="1">
      <c r="C339" s="8"/>
    </row>
    <row r="340" ht="15.75" customHeight="1">
      <c r="C340" s="8"/>
    </row>
    <row r="341" ht="15.75" customHeight="1">
      <c r="C341" s="8"/>
    </row>
    <row r="342" ht="15.75" customHeight="1">
      <c r="C342" s="8"/>
    </row>
    <row r="343" ht="15.75" customHeight="1">
      <c r="C343" s="8"/>
    </row>
    <row r="344" ht="15.75" customHeight="1">
      <c r="C344" s="8"/>
    </row>
    <row r="345" ht="15.75" customHeight="1">
      <c r="C345" s="8"/>
    </row>
    <row r="346" ht="15.75" customHeight="1">
      <c r="C346" s="8"/>
    </row>
    <row r="347" ht="15.75" customHeight="1">
      <c r="C347" s="8"/>
    </row>
    <row r="348" ht="15.75" customHeight="1">
      <c r="C348" s="8"/>
    </row>
    <row r="349" ht="15.75" customHeight="1">
      <c r="C349" s="8"/>
    </row>
    <row r="350" ht="15.75" customHeight="1">
      <c r="C350" s="8"/>
    </row>
    <row r="351" ht="15.75" customHeight="1">
      <c r="C351" s="8"/>
    </row>
    <row r="352" ht="15.75" customHeight="1">
      <c r="C352" s="8"/>
    </row>
    <row r="353" ht="15.75" customHeight="1">
      <c r="C353" s="8"/>
    </row>
    <row r="354" ht="15.75" customHeight="1">
      <c r="C354" s="8"/>
    </row>
    <row r="355" ht="15.75" customHeight="1">
      <c r="C355" s="8"/>
    </row>
    <row r="356" ht="15.75" customHeight="1">
      <c r="C356" s="8"/>
    </row>
    <row r="357" ht="15.75" customHeight="1">
      <c r="C357" s="8"/>
    </row>
    <row r="358" ht="15.75" customHeight="1">
      <c r="C358" s="8"/>
    </row>
    <row r="359" ht="15.75" customHeight="1">
      <c r="C359" s="8"/>
    </row>
    <row r="360" ht="15.75" customHeight="1">
      <c r="C360" s="8"/>
    </row>
    <row r="361" ht="15.75" customHeight="1">
      <c r="C361" s="8"/>
    </row>
    <row r="362" ht="15.75" customHeight="1">
      <c r="C362" s="8"/>
    </row>
    <row r="363" ht="15.75" customHeight="1">
      <c r="C363" s="8"/>
    </row>
    <row r="364" ht="15.75" customHeight="1">
      <c r="C364" s="8"/>
    </row>
    <row r="365" ht="15.75" customHeight="1">
      <c r="C365" s="8"/>
    </row>
    <row r="366" ht="15.75" customHeight="1">
      <c r="C366" s="8"/>
    </row>
    <row r="367" ht="15.75" customHeight="1">
      <c r="C367" s="8"/>
    </row>
    <row r="368" ht="15.75" customHeight="1">
      <c r="C368" s="8"/>
    </row>
    <row r="369" ht="15.75" customHeight="1">
      <c r="C369" s="8"/>
    </row>
    <row r="370" ht="15.75" customHeight="1">
      <c r="C370" s="8"/>
    </row>
    <row r="371" ht="15.75" customHeight="1">
      <c r="C371" s="8"/>
    </row>
    <row r="372" ht="15.75" customHeight="1">
      <c r="C372" s="8"/>
    </row>
    <row r="373" ht="15.75" customHeight="1">
      <c r="C373" s="8"/>
    </row>
    <row r="374" ht="15.75" customHeight="1">
      <c r="C374" s="8"/>
    </row>
    <row r="375" ht="15.75" customHeight="1">
      <c r="C375" s="8"/>
    </row>
    <row r="376" ht="15.75" customHeight="1">
      <c r="C376" s="8"/>
    </row>
    <row r="377" ht="15.75" customHeight="1">
      <c r="C377" s="8"/>
    </row>
    <row r="378" ht="15.75" customHeight="1">
      <c r="C378" s="8"/>
    </row>
    <row r="379" ht="15.75" customHeight="1">
      <c r="C379" s="8"/>
    </row>
    <row r="380" ht="15.75" customHeight="1">
      <c r="C380" s="8"/>
    </row>
    <row r="381" ht="15.75" customHeight="1">
      <c r="C381" s="8"/>
    </row>
    <row r="382" ht="15.75" customHeight="1">
      <c r="C382" s="8"/>
    </row>
    <row r="383" ht="15.75" customHeight="1">
      <c r="C383" s="8"/>
    </row>
    <row r="384" ht="15.75" customHeight="1">
      <c r="C384" s="8"/>
    </row>
    <row r="385" ht="15.75" customHeight="1">
      <c r="C385" s="8"/>
    </row>
    <row r="386" ht="15.75" customHeight="1">
      <c r="C386" s="8"/>
    </row>
    <row r="387" ht="15.75" customHeight="1">
      <c r="C387" s="8"/>
    </row>
    <row r="388" ht="15.75" customHeight="1">
      <c r="C388" s="8"/>
    </row>
    <row r="389" ht="15.75" customHeight="1">
      <c r="C389" s="8"/>
    </row>
    <row r="390" ht="15.75" customHeight="1">
      <c r="C390" s="8"/>
    </row>
    <row r="391" ht="15.75" customHeight="1">
      <c r="C391" s="8"/>
    </row>
    <row r="392" ht="15.75" customHeight="1">
      <c r="C392" s="8"/>
    </row>
    <row r="393" ht="15.75" customHeight="1">
      <c r="C393" s="8"/>
    </row>
    <row r="394" ht="15.75" customHeight="1">
      <c r="C394" s="8"/>
    </row>
    <row r="395" ht="15.75" customHeight="1">
      <c r="C395" s="8"/>
    </row>
    <row r="396" ht="15.75" customHeight="1">
      <c r="C396" s="8"/>
    </row>
    <row r="397" ht="15.75" customHeight="1">
      <c r="C397" s="8"/>
    </row>
    <row r="398" ht="15.75" customHeight="1">
      <c r="C398" s="8"/>
    </row>
    <row r="399" ht="15.75" customHeight="1">
      <c r="C399" s="8"/>
    </row>
    <row r="400" ht="15.75" customHeight="1">
      <c r="C400" s="8"/>
    </row>
    <row r="401" ht="15.75" customHeight="1">
      <c r="C401" s="8"/>
    </row>
    <row r="402" ht="15.75" customHeight="1">
      <c r="C402" s="8"/>
    </row>
    <row r="403" ht="15.75" customHeight="1">
      <c r="C403" s="8"/>
    </row>
    <row r="404" ht="15.75" customHeight="1">
      <c r="C404" s="8"/>
    </row>
    <row r="405" ht="15.75" customHeight="1">
      <c r="C405" s="8"/>
    </row>
    <row r="406" ht="15.75" customHeight="1">
      <c r="C406" s="8"/>
    </row>
    <row r="407" ht="15.75" customHeight="1">
      <c r="C407" s="8"/>
    </row>
    <row r="408" ht="15.75" customHeight="1">
      <c r="C408" s="8"/>
    </row>
    <row r="409" ht="15.75" customHeight="1">
      <c r="C409" s="8"/>
    </row>
    <row r="410" ht="15.75" customHeight="1">
      <c r="C410" s="8"/>
    </row>
    <row r="411" ht="15.75" customHeight="1">
      <c r="C411" s="8"/>
    </row>
    <row r="412" ht="15.75" customHeight="1">
      <c r="C412" s="8"/>
    </row>
    <row r="413" ht="15.75" customHeight="1">
      <c r="C413" s="8"/>
    </row>
    <row r="414" ht="15.75" customHeight="1">
      <c r="C414" s="8"/>
    </row>
    <row r="415" ht="15.75" customHeight="1">
      <c r="C415" s="8"/>
    </row>
    <row r="416" ht="15.75" customHeight="1">
      <c r="C416" s="8"/>
    </row>
    <row r="417" ht="15.75" customHeight="1">
      <c r="C417" s="8"/>
    </row>
    <row r="418" ht="15.75" customHeight="1">
      <c r="C418" s="8"/>
    </row>
    <row r="419" ht="15.75" customHeight="1">
      <c r="C419" s="8"/>
    </row>
    <row r="420" ht="15.75" customHeight="1">
      <c r="C420" s="8"/>
    </row>
    <row r="421" ht="15.75" customHeight="1">
      <c r="C421" s="8"/>
    </row>
    <row r="422" ht="15.75" customHeight="1">
      <c r="C422" s="8"/>
    </row>
    <row r="423" ht="15.75" customHeight="1">
      <c r="C423" s="8"/>
    </row>
    <row r="424" ht="15.75" customHeight="1">
      <c r="C424" s="8"/>
    </row>
    <row r="425" ht="15.75" customHeight="1">
      <c r="C425" s="8"/>
    </row>
    <row r="426" ht="15.75" customHeight="1">
      <c r="C426" s="8"/>
    </row>
    <row r="427" ht="15.75" customHeight="1">
      <c r="C427" s="8"/>
    </row>
    <row r="428" ht="15.75" customHeight="1">
      <c r="C428" s="8"/>
    </row>
    <row r="429" ht="15.75" customHeight="1">
      <c r="C429" s="8"/>
    </row>
    <row r="430" ht="15.75" customHeight="1">
      <c r="C430" s="8"/>
    </row>
    <row r="431" ht="15.75" customHeight="1">
      <c r="C431" s="8"/>
    </row>
    <row r="432" ht="15.75" customHeight="1">
      <c r="C432" s="8"/>
    </row>
    <row r="433" ht="15.75" customHeight="1">
      <c r="C433" s="8"/>
    </row>
    <row r="434" ht="15.75" customHeight="1">
      <c r="C434" s="8"/>
    </row>
    <row r="435" ht="15.75" customHeight="1">
      <c r="C435" s="8"/>
    </row>
    <row r="436" ht="15.75" customHeight="1">
      <c r="C436" s="8"/>
    </row>
    <row r="437" ht="15.75" customHeight="1">
      <c r="C437" s="8"/>
    </row>
    <row r="438" ht="15.75" customHeight="1">
      <c r="C438" s="8"/>
    </row>
    <row r="439" ht="15.75" customHeight="1">
      <c r="C439" s="8"/>
    </row>
    <row r="440" ht="15.75" customHeight="1">
      <c r="C440" s="8"/>
    </row>
    <row r="441" ht="15.75" customHeight="1">
      <c r="C441" s="8"/>
    </row>
    <row r="442" ht="15.75" customHeight="1">
      <c r="C442" s="8"/>
    </row>
    <row r="443" ht="15.75" customHeight="1">
      <c r="C443" s="8"/>
    </row>
    <row r="444" ht="15.75" customHeight="1">
      <c r="C444" s="8"/>
    </row>
    <row r="445" ht="15.75" customHeight="1">
      <c r="C445" s="8"/>
    </row>
    <row r="446" ht="15.75" customHeight="1">
      <c r="C446" s="8"/>
    </row>
    <row r="447" ht="15.75" customHeight="1">
      <c r="C447" s="8"/>
    </row>
    <row r="448" ht="15.75" customHeight="1">
      <c r="C448" s="8"/>
    </row>
    <row r="449" ht="15.75" customHeight="1">
      <c r="C449" s="8"/>
    </row>
    <row r="450" ht="15.75" customHeight="1">
      <c r="C450" s="8"/>
    </row>
    <row r="451" ht="15.75" customHeight="1">
      <c r="C451" s="8"/>
    </row>
    <row r="452" ht="15.75" customHeight="1">
      <c r="C452" s="8"/>
    </row>
    <row r="453" ht="15.75" customHeight="1">
      <c r="C453" s="8"/>
    </row>
    <row r="454" ht="15.75" customHeight="1">
      <c r="C454" s="8"/>
    </row>
    <row r="455" ht="15.75" customHeight="1">
      <c r="C455" s="8"/>
    </row>
    <row r="456" ht="15.75" customHeight="1">
      <c r="C456" s="8"/>
    </row>
    <row r="457" ht="15.75" customHeight="1">
      <c r="C457" s="8"/>
    </row>
    <row r="458" ht="15.75" customHeight="1">
      <c r="C458" s="8"/>
    </row>
    <row r="459" ht="15.75" customHeight="1">
      <c r="C459" s="8"/>
    </row>
    <row r="460" ht="15.75" customHeight="1">
      <c r="C460" s="8"/>
    </row>
    <row r="461" ht="15.75" customHeight="1">
      <c r="C461" s="8"/>
    </row>
    <row r="462" ht="15.75" customHeight="1">
      <c r="C462" s="8"/>
    </row>
    <row r="463" ht="15.75" customHeight="1">
      <c r="C463" s="8"/>
    </row>
    <row r="464" ht="15.75" customHeight="1">
      <c r="C464" s="8"/>
    </row>
    <row r="465" ht="15.75" customHeight="1">
      <c r="C465" s="8"/>
    </row>
    <row r="466" ht="15.75" customHeight="1">
      <c r="C466" s="8"/>
    </row>
    <row r="467" ht="15.75" customHeight="1">
      <c r="C467" s="8"/>
    </row>
    <row r="468" ht="15.75" customHeight="1">
      <c r="C468" s="8"/>
    </row>
    <row r="469" ht="15.75" customHeight="1">
      <c r="C469" s="8"/>
    </row>
    <row r="470" ht="15.75" customHeight="1">
      <c r="C470" s="8"/>
    </row>
    <row r="471" ht="15.75" customHeight="1">
      <c r="C471" s="8"/>
    </row>
    <row r="472" ht="15.75" customHeight="1">
      <c r="C472" s="8"/>
    </row>
    <row r="473" ht="15.75" customHeight="1">
      <c r="C473" s="8"/>
    </row>
    <row r="474" ht="15.75" customHeight="1">
      <c r="C474" s="8"/>
    </row>
    <row r="475" ht="15.75" customHeight="1">
      <c r="C475" s="8"/>
    </row>
    <row r="476" ht="15.75" customHeight="1">
      <c r="C476" s="8"/>
    </row>
    <row r="477" ht="15.75" customHeight="1">
      <c r="C477" s="8"/>
    </row>
    <row r="478" ht="15.75" customHeight="1">
      <c r="C478" s="8"/>
    </row>
    <row r="479" ht="15.75" customHeight="1">
      <c r="C479" s="8"/>
    </row>
    <row r="480" ht="15.75" customHeight="1">
      <c r="C480" s="8"/>
    </row>
    <row r="481" ht="15.75" customHeight="1">
      <c r="C481" s="8"/>
    </row>
    <row r="482" ht="15.75" customHeight="1">
      <c r="C482" s="8"/>
    </row>
    <row r="483" ht="15.75" customHeight="1">
      <c r="C483" s="8"/>
    </row>
    <row r="484" ht="15.75" customHeight="1">
      <c r="C484" s="8"/>
    </row>
    <row r="485" ht="15.75" customHeight="1">
      <c r="C485" s="8"/>
    </row>
    <row r="486" ht="15.75" customHeight="1">
      <c r="C486" s="8"/>
    </row>
    <row r="487" ht="15.75" customHeight="1">
      <c r="C487" s="8"/>
    </row>
    <row r="488" ht="15.75" customHeight="1">
      <c r="C488" s="8"/>
    </row>
    <row r="489" ht="15.75" customHeight="1">
      <c r="C489" s="8"/>
    </row>
    <row r="490" ht="15.75" customHeight="1">
      <c r="C490" s="8"/>
    </row>
    <row r="491" ht="15.75" customHeight="1">
      <c r="C491" s="8"/>
    </row>
    <row r="492" ht="15.75" customHeight="1">
      <c r="C492" s="8"/>
    </row>
    <row r="493" ht="15.75" customHeight="1">
      <c r="C493" s="8"/>
    </row>
    <row r="494" ht="15.75" customHeight="1">
      <c r="C494" s="8"/>
    </row>
    <row r="495" ht="15.75" customHeight="1">
      <c r="C495" s="8"/>
    </row>
    <row r="496" ht="15.75" customHeight="1">
      <c r="C496" s="8"/>
    </row>
    <row r="497" ht="15.75" customHeight="1">
      <c r="C497" s="8"/>
    </row>
    <row r="498" ht="15.75" customHeight="1">
      <c r="C498" s="8"/>
    </row>
    <row r="499" ht="15.75" customHeight="1">
      <c r="C499" s="8"/>
    </row>
    <row r="500" ht="15.75" customHeight="1">
      <c r="C500" s="8"/>
    </row>
    <row r="501" ht="15.75" customHeight="1">
      <c r="C501" s="8"/>
    </row>
    <row r="502" ht="15.75" customHeight="1">
      <c r="C502" s="8"/>
    </row>
    <row r="503" ht="15.75" customHeight="1">
      <c r="C503" s="8"/>
    </row>
    <row r="504" ht="15.75" customHeight="1">
      <c r="C504" s="8"/>
    </row>
    <row r="505" ht="15.75" customHeight="1">
      <c r="C505" s="8"/>
    </row>
    <row r="506" ht="15.75" customHeight="1">
      <c r="C506" s="8"/>
    </row>
    <row r="507" ht="15.75" customHeight="1">
      <c r="C507" s="8"/>
    </row>
    <row r="508" ht="15.75" customHeight="1">
      <c r="C508" s="8"/>
    </row>
    <row r="509" ht="15.75" customHeight="1">
      <c r="C509" s="8"/>
    </row>
    <row r="510" ht="15.75" customHeight="1">
      <c r="C510" s="8"/>
    </row>
    <row r="511" ht="15.75" customHeight="1">
      <c r="C511" s="8"/>
    </row>
    <row r="512" ht="15.75" customHeight="1">
      <c r="C512" s="8"/>
    </row>
    <row r="513" ht="15.75" customHeight="1">
      <c r="C513" s="8"/>
    </row>
    <row r="514" ht="15.75" customHeight="1">
      <c r="C514" s="8"/>
    </row>
    <row r="515" ht="15.75" customHeight="1">
      <c r="C515" s="8"/>
    </row>
    <row r="516" ht="15.75" customHeight="1">
      <c r="C516" s="8"/>
    </row>
    <row r="517" ht="15.75" customHeight="1">
      <c r="C517" s="8"/>
    </row>
    <row r="518" ht="15.75" customHeight="1">
      <c r="C518" s="8"/>
    </row>
    <row r="519" ht="15.75" customHeight="1">
      <c r="C519" s="8"/>
    </row>
    <row r="520" ht="15.75" customHeight="1">
      <c r="C520" s="8"/>
    </row>
    <row r="521" ht="15.75" customHeight="1">
      <c r="C521" s="8"/>
    </row>
    <row r="522" ht="15.75" customHeight="1">
      <c r="C522" s="8"/>
    </row>
    <row r="523" ht="15.75" customHeight="1">
      <c r="C523" s="8"/>
    </row>
    <row r="524" ht="15.75" customHeight="1">
      <c r="C524" s="8"/>
    </row>
    <row r="525" ht="15.75" customHeight="1">
      <c r="C525" s="8"/>
    </row>
    <row r="526" ht="15.75" customHeight="1">
      <c r="C526" s="8"/>
    </row>
    <row r="527" ht="15.75" customHeight="1">
      <c r="C527" s="8"/>
    </row>
    <row r="528" ht="15.75" customHeight="1">
      <c r="C528" s="8"/>
    </row>
    <row r="529" ht="15.75" customHeight="1">
      <c r="C529" s="8"/>
    </row>
    <row r="530" ht="15.75" customHeight="1">
      <c r="C530" s="8"/>
    </row>
    <row r="531" ht="15.75" customHeight="1">
      <c r="C531" s="8"/>
    </row>
    <row r="532" ht="15.75" customHeight="1">
      <c r="C532" s="8"/>
    </row>
    <row r="533" ht="15.75" customHeight="1">
      <c r="C533" s="8"/>
    </row>
    <row r="534" ht="15.75" customHeight="1">
      <c r="C534" s="8"/>
    </row>
    <row r="535" ht="15.75" customHeight="1">
      <c r="C535" s="8"/>
    </row>
    <row r="536" ht="15.75" customHeight="1">
      <c r="C536" s="8"/>
    </row>
    <row r="537" ht="15.75" customHeight="1">
      <c r="C537" s="8"/>
    </row>
    <row r="538" ht="15.75" customHeight="1">
      <c r="C538" s="8"/>
    </row>
    <row r="539" ht="15.75" customHeight="1">
      <c r="C539" s="8"/>
    </row>
    <row r="540" ht="15.75" customHeight="1">
      <c r="C540" s="8"/>
    </row>
    <row r="541" ht="15.75" customHeight="1">
      <c r="C541" s="8"/>
    </row>
    <row r="542" ht="15.75" customHeight="1">
      <c r="C542" s="8"/>
    </row>
    <row r="543" ht="15.75" customHeight="1">
      <c r="C543" s="8"/>
    </row>
    <row r="544" ht="15.75" customHeight="1">
      <c r="C544" s="8"/>
    </row>
    <row r="545" ht="15.75" customHeight="1">
      <c r="C545" s="8"/>
    </row>
    <row r="546" ht="15.75" customHeight="1">
      <c r="C546" s="8"/>
    </row>
    <row r="547" ht="15.75" customHeight="1">
      <c r="C547" s="8"/>
    </row>
    <row r="548" ht="15.75" customHeight="1">
      <c r="C548" s="8"/>
    </row>
    <row r="549" ht="15.75" customHeight="1">
      <c r="C549" s="8"/>
    </row>
    <row r="550" ht="15.75" customHeight="1">
      <c r="C550" s="8"/>
    </row>
    <row r="551" ht="15.75" customHeight="1">
      <c r="C551" s="8"/>
    </row>
    <row r="552" ht="15.75" customHeight="1">
      <c r="C552" s="8"/>
    </row>
    <row r="553" ht="15.75" customHeight="1">
      <c r="C553" s="8"/>
    </row>
    <row r="554" ht="15.75" customHeight="1">
      <c r="C554" s="8"/>
    </row>
    <row r="555" ht="15.75" customHeight="1">
      <c r="C555" s="8"/>
    </row>
    <row r="556" ht="15.75" customHeight="1">
      <c r="C556" s="8"/>
    </row>
    <row r="557" ht="15.75" customHeight="1">
      <c r="C557" s="8"/>
    </row>
    <row r="558" ht="15.75" customHeight="1">
      <c r="C558" s="8"/>
    </row>
    <row r="559" ht="15.75" customHeight="1">
      <c r="C559" s="8"/>
    </row>
    <row r="560" ht="15.75" customHeight="1">
      <c r="C560" s="8"/>
    </row>
    <row r="561" ht="15.75" customHeight="1">
      <c r="C561" s="8"/>
    </row>
    <row r="562" ht="15.75" customHeight="1">
      <c r="C562" s="8"/>
    </row>
    <row r="563" ht="15.75" customHeight="1">
      <c r="C563" s="8"/>
    </row>
    <row r="564" ht="15.75" customHeight="1">
      <c r="C564" s="8"/>
    </row>
    <row r="565" ht="15.75" customHeight="1">
      <c r="C565" s="8"/>
    </row>
    <row r="566" ht="15.75" customHeight="1">
      <c r="C566" s="8"/>
    </row>
    <row r="567" ht="15.75" customHeight="1">
      <c r="C567" s="8"/>
    </row>
    <row r="568" ht="15.75" customHeight="1">
      <c r="C568" s="8"/>
    </row>
    <row r="569" ht="15.75" customHeight="1">
      <c r="C569" s="8"/>
    </row>
    <row r="570" ht="15.75" customHeight="1">
      <c r="C570" s="8"/>
    </row>
    <row r="571" ht="15.75" customHeight="1">
      <c r="C571" s="8"/>
    </row>
    <row r="572" ht="15.75" customHeight="1">
      <c r="C572" s="8"/>
    </row>
    <row r="573" ht="15.75" customHeight="1">
      <c r="C573" s="8"/>
    </row>
    <row r="574" ht="15.75" customHeight="1">
      <c r="C574" s="8"/>
    </row>
    <row r="575" ht="15.75" customHeight="1">
      <c r="C575" s="8"/>
    </row>
    <row r="576" ht="15.75" customHeight="1">
      <c r="C576" s="8"/>
    </row>
    <row r="577" ht="15.75" customHeight="1">
      <c r="C577" s="8"/>
    </row>
    <row r="578" ht="15.75" customHeight="1">
      <c r="C578" s="8"/>
    </row>
    <row r="579" ht="15.75" customHeight="1">
      <c r="C579" s="8"/>
    </row>
    <row r="580" ht="15.75" customHeight="1">
      <c r="C580" s="8"/>
    </row>
    <row r="581" ht="15.75" customHeight="1">
      <c r="C581" s="8"/>
    </row>
    <row r="582" ht="15.75" customHeight="1">
      <c r="C582" s="8"/>
    </row>
    <row r="583" ht="15.75" customHeight="1">
      <c r="C583" s="8"/>
    </row>
    <row r="584" ht="15.75" customHeight="1">
      <c r="C584" s="8"/>
    </row>
    <row r="585" ht="15.75" customHeight="1">
      <c r="C585" s="8"/>
    </row>
    <row r="586" ht="15.75" customHeight="1">
      <c r="C586" s="8"/>
    </row>
    <row r="587" ht="15.75" customHeight="1">
      <c r="C587" s="8"/>
    </row>
    <row r="588" ht="15.75" customHeight="1">
      <c r="C588" s="8"/>
    </row>
    <row r="589" ht="15.75" customHeight="1">
      <c r="C589" s="8"/>
    </row>
    <row r="590" ht="15.75" customHeight="1">
      <c r="C590" s="8"/>
    </row>
    <row r="591" ht="15.75" customHeight="1">
      <c r="C591" s="8"/>
    </row>
    <row r="592" ht="15.75" customHeight="1">
      <c r="C592" s="8"/>
    </row>
    <row r="593" ht="15.75" customHeight="1">
      <c r="C593" s="8"/>
    </row>
    <row r="594" ht="15.75" customHeight="1">
      <c r="C594" s="8"/>
    </row>
    <row r="595" ht="15.75" customHeight="1">
      <c r="C595" s="8"/>
    </row>
    <row r="596" ht="15.75" customHeight="1">
      <c r="C596" s="8"/>
    </row>
    <row r="597" ht="15.75" customHeight="1">
      <c r="C597" s="8"/>
    </row>
    <row r="598" ht="15.75" customHeight="1">
      <c r="C598" s="8"/>
    </row>
    <row r="599" ht="15.75" customHeight="1">
      <c r="C599" s="8"/>
    </row>
    <row r="600" ht="15.75" customHeight="1">
      <c r="C600" s="8"/>
    </row>
    <row r="601" ht="15.75" customHeight="1">
      <c r="C601" s="8"/>
    </row>
    <row r="602" ht="15.75" customHeight="1">
      <c r="C602" s="8"/>
    </row>
    <row r="603" ht="15.75" customHeight="1">
      <c r="C603" s="8"/>
    </row>
    <row r="604" ht="15.75" customHeight="1">
      <c r="C604" s="8"/>
    </row>
    <row r="605" ht="15.75" customHeight="1">
      <c r="C605" s="8"/>
    </row>
    <row r="606" ht="15.75" customHeight="1">
      <c r="C606" s="8"/>
    </row>
    <row r="607" ht="15.75" customHeight="1">
      <c r="C607" s="8"/>
    </row>
    <row r="608" ht="15.75" customHeight="1">
      <c r="C608" s="8"/>
    </row>
    <row r="609" ht="15.75" customHeight="1">
      <c r="C609" s="8"/>
    </row>
    <row r="610" ht="15.75" customHeight="1">
      <c r="C610" s="8"/>
    </row>
    <row r="611" ht="15.75" customHeight="1">
      <c r="C611" s="8"/>
    </row>
    <row r="612" ht="15.75" customHeight="1">
      <c r="C612" s="8"/>
    </row>
    <row r="613" ht="15.75" customHeight="1">
      <c r="C613" s="8"/>
    </row>
    <row r="614" ht="15.75" customHeight="1">
      <c r="C614" s="8"/>
    </row>
    <row r="615" ht="15.75" customHeight="1">
      <c r="C615" s="8"/>
    </row>
    <row r="616" ht="15.75" customHeight="1">
      <c r="C616" s="8"/>
    </row>
    <row r="617" ht="15.75" customHeight="1">
      <c r="C617" s="8"/>
    </row>
    <row r="618" ht="15.75" customHeight="1">
      <c r="C618" s="8"/>
    </row>
    <row r="619" ht="15.75" customHeight="1">
      <c r="C619" s="8"/>
    </row>
    <row r="620" ht="15.75" customHeight="1">
      <c r="C620" s="8"/>
    </row>
    <row r="621" ht="15.75" customHeight="1">
      <c r="C621" s="8"/>
    </row>
    <row r="622" ht="15.75" customHeight="1">
      <c r="C622" s="8"/>
    </row>
    <row r="623" ht="15.75" customHeight="1">
      <c r="C623" s="8"/>
    </row>
    <row r="624" ht="15.75" customHeight="1">
      <c r="C624" s="8"/>
    </row>
    <row r="625" ht="15.75" customHeight="1">
      <c r="C625" s="8"/>
    </row>
    <row r="626" ht="15.75" customHeight="1">
      <c r="C626" s="8"/>
    </row>
    <row r="627" ht="15.75" customHeight="1">
      <c r="C627" s="8"/>
    </row>
    <row r="628" ht="15.75" customHeight="1">
      <c r="C628" s="8"/>
    </row>
    <row r="629" ht="15.75" customHeight="1">
      <c r="C629" s="8"/>
    </row>
    <row r="630" ht="15.75" customHeight="1">
      <c r="C630" s="8"/>
    </row>
    <row r="631" ht="15.75" customHeight="1">
      <c r="C631" s="8"/>
    </row>
    <row r="632" ht="15.75" customHeight="1">
      <c r="C632" s="8"/>
    </row>
    <row r="633" ht="15.75" customHeight="1">
      <c r="C633" s="8"/>
    </row>
    <row r="634" ht="15.75" customHeight="1">
      <c r="C634" s="8"/>
    </row>
    <row r="635" ht="15.75" customHeight="1">
      <c r="C635" s="8"/>
    </row>
    <row r="636" ht="15.75" customHeight="1">
      <c r="C636" s="8"/>
    </row>
    <row r="637" ht="15.75" customHeight="1">
      <c r="C637" s="8"/>
    </row>
    <row r="638" ht="15.75" customHeight="1">
      <c r="C638" s="8"/>
    </row>
    <row r="639" ht="15.75" customHeight="1">
      <c r="C639" s="8"/>
    </row>
    <row r="640" ht="15.75" customHeight="1">
      <c r="C640" s="8"/>
    </row>
    <row r="641" ht="15.75" customHeight="1">
      <c r="C641" s="8"/>
    </row>
    <row r="642" ht="15.75" customHeight="1">
      <c r="C642" s="8"/>
    </row>
    <row r="643" ht="15.75" customHeight="1">
      <c r="C643" s="8"/>
    </row>
    <row r="644" ht="15.75" customHeight="1">
      <c r="C644" s="8"/>
    </row>
    <row r="645" ht="15.75" customHeight="1">
      <c r="C645" s="8"/>
    </row>
    <row r="646" ht="15.75" customHeight="1">
      <c r="C646" s="8"/>
    </row>
    <row r="647" ht="15.75" customHeight="1">
      <c r="C647" s="8"/>
    </row>
    <row r="648" ht="15.75" customHeight="1">
      <c r="C648" s="8"/>
    </row>
    <row r="649" ht="15.75" customHeight="1">
      <c r="C649" s="8"/>
    </row>
    <row r="650" ht="15.75" customHeight="1">
      <c r="C650" s="8"/>
    </row>
    <row r="651" ht="15.75" customHeight="1">
      <c r="C651" s="8"/>
    </row>
    <row r="652" ht="15.75" customHeight="1">
      <c r="C652" s="8"/>
    </row>
    <row r="653" ht="15.75" customHeight="1">
      <c r="C653" s="8"/>
    </row>
    <row r="654" ht="15.75" customHeight="1">
      <c r="C654" s="8"/>
    </row>
    <row r="655" ht="15.75" customHeight="1">
      <c r="C655" s="8"/>
    </row>
    <row r="656" ht="15.75" customHeight="1">
      <c r="C656" s="8"/>
    </row>
    <row r="657" ht="15.75" customHeight="1">
      <c r="C657" s="8"/>
    </row>
    <row r="658" ht="15.75" customHeight="1">
      <c r="C658" s="8"/>
    </row>
    <row r="659" ht="15.75" customHeight="1">
      <c r="C659" s="8"/>
    </row>
    <row r="660" ht="15.75" customHeight="1">
      <c r="C660" s="8"/>
    </row>
    <row r="661" ht="15.75" customHeight="1">
      <c r="C661" s="8"/>
    </row>
    <row r="662" ht="15.75" customHeight="1">
      <c r="C662" s="8"/>
    </row>
    <row r="663" ht="15.75" customHeight="1">
      <c r="C663" s="8"/>
    </row>
    <row r="664" ht="15.75" customHeight="1">
      <c r="C664" s="8"/>
    </row>
    <row r="665" ht="15.75" customHeight="1">
      <c r="C665" s="8"/>
    </row>
    <row r="666" ht="15.75" customHeight="1">
      <c r="C666" s="8"/>
    </row>
    <row r="667" ht="15.75" customHeight="1">
      <c r="C667" s="8"/>
    </row>
    <row r="668" ht="15.75" customHeight="1">
      <c r="C668" s="8"/>
    </row>
    <row r="669" ht="15.75" customHeight="1">
      <c r="C669" s="8"/>
    </row>
    <row r="670" ht="15.75" customHeight="1">
      <c r="C670" s="8"/>
    </row>
    <row r="671" ht="15.75" customHeight="1">
      <c r="C671" s="8"/>
    </row>
    <row r="672" ht="15.75" customHeight="1">
      <c r="C672" s="8"/>
    </row>
    <row r="673" ht="15.75" customHeight="1">
      <c r="C673" s="8"/>
    </row>
    <row r="674" ht="15.75" customHeight="1">
      <c r="C674" s="8"/>
    </row>
    <row r="675" ht="15.75" customHeight="1">
      <c r="C675" s="8"/>
    </row>
    <row r="676" ht="15.75" customHeight="1">
      <c r="C676" s="8"/>
    </row>
    <row r="677" ht="15.75" customHeight="1">
      <c r="C677" s="8"/>
    </row>
    <row r="678" ht="15.75" customHeight="1">
      <c r="C678" s="8"/>
    </row>
    <row r="679" ht="15.75" customHeight="1">
      <c r="C679" s="8"/>
    </row>
    <row r="680" ht="15.75" customHeight="1">
      <c r="C680" s="8"/>
    </row>
    <row r="681" ht="15.75" customHeight="1">
      <c r="C681" s="8"/>
    </row>
    <row r="682" ht="15.75" customHeight="1">
      <c r="C682" s="8"/>
    </row>
    <row r="683" ht="15.75" customHeight="1">
      <c r="C683" s="8"/>
    </row>
    <row r="684" ht="15.75" customHeight="1">
      <c r="C684" s="8"/>
    </row>
    <row r="685" ht="15.75" customHeight="1">
      <c r="C685" s="8"/>
    </row>
    <row r="686" ht="15.75" customHeight="1">
      <c r="C686" s="8"/>
    </row>
    <row r="687" ht="15.75" customHeight="1">
      <c r="C687" s="8"/>
    </row>
    <row r="688" ht="15.75" customHeight="1">
      <c r="C688" s="8"/>
    </row>
    <row r="689" ht="15.75" customHeight="1">
      <c r="C689" s="8"/>
    </row>
    <row r="690" ht="15.75" customHeight="1">
      <c r="C690" s="8"/>
    </row>
    <row r="691" ht="15.75" customHeight="1">
      <c r="C691" s="8"/>
    </row>
    <row r="692" ht="15.75" customHeight="1">
      <c r="C692" s="8"/>
    </row>
    <row r="693" ht="15.75" customHeight="1">
      <c r="C693" s="8"/>
    </row>
    <row r="694" ht="15.75" customHeight="1">
      <c r="C694" s="8"/>
    </row>
    <row r="695" ht="15.75" customHeight="1">
      <c r="C695" s="8"/>
    </row>
    <row r="696" ht="15.75" customHeight="1">
      <c r="C696" s="8"/>
    </row>
    <row r="697" ht="15.75" customHeight="1">
      <c r="C697" s="8"/>
    </row>
    <row r="698" ht="15.75" customHeight="1">
      <c r="C698" s="8"/>
    </row>
    <row r="699" ht="15.75" customHeight="1">
      <c r="C699" s="8"/>
    </row>
    <row r="700" ht="15.75" customHeight="1">
      <c r="C700" s="8"/>
    </row>
    <row r="701" ht="15.75" customHeight="1">
      <c r="C701" s="8"/>
    </row>
    <row r="702" ht="15.75" customHeight="1">
      <c r="C702" s="8"/>
    </row>
    <row r="703" ht="15.75" customHeight="1">
      <c r="C703" s="8"/>
    </row>
    <row r="704" ht="15.75" customHeight="1">
      <c r="C704" s="8"/>
    </row>
    <row r="705" ht="15.75" customHeight="1">
      <c r="C705" s="8"/>
    </row>
    <row r="706" ht="15.75" customHeight="1">
      <c r="C706" s="8"/>
    </row>
    <row r="707" ht="15.75" customHeight="1">
      <c r="C707" s="8"/>
    </row>
    <row r="708" ht="15.75" customHeight="1">
      <c r="C708" s="8"/>
    </row>
    <row r="709" ht="15.75" customHeight="1">
      <c r="C709" s="8"/>
    </row>
    <row r="710" ht="15.75" customHeight="1">
      <c r="C710" s="8"/>
    </row>
    <row r="711" ht="15.75" customHeight="1">
      <c r="C711" s="8"/>
    </row>
    <row r="712" ht="15.75" customHeight="1">
      <c r="C712" s="8"/>
    </row>
    <row r="713" ht="15.75" customHeight="1">
      <c r="C713" s="8"/>
    </row>
    <row r="714" ht="15.75" customHeight="1">
      <c r="C714" s="8"/>
    </row>
    <row r="715" ht="15.75" customHeight="1">
      <c r="C715" s="8"/>
    </row>
    <row r="716" ht="15.75" customHeight="1">
      <c r="C716" s="8"/>
    </row>
    <row r="717" ht="15.75" customHeight="1">
      <c r="C717" s="8"/>
    </row>
    <row r="718" ht="15.75" customHeight="1">
      <c r="C718" s="8"/>
    </row>
    <row r="719" ht="15.75" customHeight="1">
      <c r="C719" s="8"/>
    </row>
    <row r="720" ht="15.75" customHeight="1">
      <c r="C720" s="8"/>
    </row>
    <row r="721" ht="15.75" customHeight="1">
      <c r="C721" s="8"/>
    </row>
    <row r="722" ht="15.75" customHeight="1">
      <c r="C722" s="8"/>
    </row>
    <row r="723" ht="15.75" customHeight="1">
      <c r="C723" s="8"/>
    </row>
    <row r="724" ht="15.75" customHeight="1">
      <c r="C724" s="8"/>
    </row>
    <row r="725" ht="15.75" customHeight="1">
      <c r="C725" s="8"/>
    </row>
    <row r="726" ht="15.75" customHeight="1">
      <c r="C726" s="8"/>
    </row>
    <row r="727" ht="15.75" customHeight="1">
      <c r="C727" s="8"/>
    </row>
    <row r="728" ht="15.75" customHeight="1">
      <c r="C728" s="8"/>
    </row>
    <row r="729" ht="15.75" customHeight="1">
      <c r="C729" s="8"/>
    </row>
    <row r="730" ht="15.75" customHeight="1">
      <c r="C730" s="8"/>
    </row>
    <row r="731" ht="15.75" customHeight="1">
      <c r="C731" s="8"/>
    </row>
    <row r="732" ht="15.75" customHeight="1">
      <c r="C732" s="8"/>
    </row>
    <row r="733" ht="15.75" customHeight="1">
      <c r="C733" s="8"/>
    </row>
    <row r="734" ht="15.75" customHeight="1">
      <c r="C734" s="8"/>
    </row>
    <row r="735" ht="15.75" customHeight="1">
      <c r="C735" s="8"/>
    </row>
    <row r="736" ht="15.75" customHeight="1">
      <c r="C736" s="8"/>
    </row>
    <row r="737" ht="15.75" customHeight="1">
      <c r="C737" s="8"/>
    </row>
    <row r="738" ht="15.75" customHeight="1">
      <c r="C738" s="8"/>
    </row>
    <row r="739" ht="15.75" customHeight="1">
      <c r="C739" s="8"/>
    </row>
    <row r="740" ht="15.75" customHeight="1">
      <c r="C740" s="8"/>
    </row>
    <row r="741" ht="15.75" customHeight="1">
      <c r="C741" s="8"/>
    </row>
    <row r="742" ht="15.75" customHeight="1">
      <c r="C742" s="8"/>
    </row>
    <row r="743" ht="15.75" customHeight="1">
      <c r="C743" s="8"/>
    </row>
    <row r="744" ht="15.75" customHeight="1">
      <c r="C744" s="8"/>
    </row>
    <row r="745" ht="15.75" customHeight="1">
      <c r="C745" s="8"/>
    </row>
    <row r="746" ht="15.75" customHeight="1">
      <c r="C746" s="8"/>
    </row>
    <row r="747" ht="15.75" customHeight="1">
      <c r="C747" s="8"/>
    </row>
    <row r="748" ht="15.75" customHeight="1">
      <c r="C748" s="8"/>
    </row>
    <row r="749" ht="15.75" customHeight="1">
      <c r="C749" s="8"/>
    </row>
    <row r="750" ht="15.75" customHeight="1">
      <c r="C750" s="8"/>
    </row>
    <row r="751" ht="15.75" customHeight="1">
      <c r="C751" s="8"/>
    </row>
    <row r="752" ht="15.75" customHeight="1">
      <c r="C752" s="8"/>
    </row>
    <row r="753" ht="15.75" customHeight="1">
      <c r="C753" s="8"/>
    </row>
    <row r="754" ht="15.75" customHeight="1">
      <c r="C754" s="8"/>
    </row>
    <row r="755" ht="15.75" customHeight="1">
      <c r="C755" s="8"/>
    </row>
    <row r="756" ht="15.75" customHeight="1">
      <c r="C756" s="8"/>
    </row>
    <row r="757" ht="15.75" customHeight="1">
      <c r="C757" s="8"/>
    </row>
    <row r="758" ht="15.75" customHeight="1">
      <c r="C758" s="8"/>
    </row>
    <row r="759" ht="15.75" customHeight="1">
      <c r="C759" s="8"/>
    </row>
    <row r="760" ht="15.75" customHeight="1">
      <c r="C760" s="8"/>
    </row>
    <row r="761" ht="15.75" customHeight="1">
      <c r="C761" s="8"/>
    </row>
    <row r="762" ht="15.75" customHeight="1">
      <c r="C762" s="8"/>
    </row>
    <row r="763" ht="15.75" customHeight="1">
      <c r="C763" s="8"/>
    </row>
    <row r="764" ht="15.75" customHeight="1">
      <c r="C764" s="8"/>
    </row>
    <row r="765" ht="15.75" customHeight="1">
      <c r="C765" s="8"/>
    </row>
    <row r="766" ht="15.75" customHeight="1">
      <c r="C766" s="8"/>
    </row>
    <row r="767" ht="15.75" customHeight="1">
      <c r="C767" s="8"/>
    </row>
    <row r="768" ht="15.75" customHeight="1">
      <c r="C768" s="8"/>
    </row>
    <row r="769" ht="15.75" customHeight="1">
      <c r="C769" s="8"/>
    </row>
    <row r="770" ht="15.75" customHeight="1">
      <c r="C770" s="8"/>
    </row>
    <row r="771" ht="15.75" customHeight="1">
      <c r="C771" s="8"/>
    </row>
    <row r="772" ht="15.75" customHeight="1">
      <c r="C772" s="8"/>
    </row>
    <row r="773" ht="15.75" customHeight="1">
      <c r="C773" s="8"/>
    </row>
    <row r="774" ht="15.75" customHeight="1">
      <c r="C774" s="8"/>
    </row>
    <row r="775" ht="15.75" customHeight="1">
      <c r="C775" s="8"/>
    </row>
    <row r="776" ht="15.75" customHeight="1">
      <c r="C776" s="8"/>
    </row>
    <row r="777" ht="15.75" customHeight="1">
      <c r="C777" s="8"/>
    </row>
    <row r="778" ht="15.75" customHeight="1">
      <c r="C778" s="8"/>
    </row>
    <row r="779" ht="15.75" customHeight="1">
      <c r="C779" s="8"/>
    </row>
    <row r="780" ht="15.75" customHeight="1">
      <c r="C780" s="8"/>
    </row>
    <row r="781" ht="15.75" customHeight="1">
      <c r="C781" s="8"/>
    </row>
    <row r="782" ht="15.75" customHeight="1">
      <c r="C782" s="8"/>
    </row>
    <row r="783" ht="15.75" customHeight="1">
      <c r="C783" s="8"/>
    </row>
    <row r="784" ht="15.75" customHeight="1">
      <c r="C784" s="8"/>
    </row>
    <row r="785" ht="15.75" customHeight="1">
      <c r="C785" s="8"/>
    </row>
    <row r="786" ht="15.75" customHeight="1">
      <c r="C786" s="8"/>
    </row>
    <row r="787" ht="15.75" customHeight="1">
      <c r="C787" s="8"/>
    </row>
    <row r="788" ht="15.75" customHeight="1">
      <c r="C788" s="8"/>
    </row>
    <row r="789" ht="15.75" customHeight="1">
      <c r="C789" s="8"/>
    </row>
    <row r="790" ht="15.75" customHeight="1">
      <c r="C790" s="8"/>
    </row>
    <row r="791" ht="15.75" customHeight="1">
      <c r="C791" s="8"/>
    </row>
    <row r="792" ht="15.75" customHeight="1">
      <c r="C792" s="8"/>
    </row>
    <row r="793" ht="15.75" customHeight="1">
      <c r="C793" s="8"/>
    </row>
    <row r="794" ht="15.75" customHeight="1">
      <c r="C794" s="8"/>
    </row>
    <row r="795" ht="15.75" customHeight="1">
      <c r="C795" s="8"/>
    </row>
    <row r="796" ht="15.75" customHeight="1">
      <c r="C796" s="8"/>
    </row>
    <row r="797" ht="15.75" customHeight="1">
      <c r="C797" s="8"/>
    </row>
    <row r="798" ht="15.75" customHeight="1">
      <c r="C798" s="8"/>
    </row>
    <row r="799" ht="15.75" customHeight="1">
      <c r="C799" s="8"/>
    </row>
    <row r="800" ht="15.75" customHeight="1">
      <c r="C800" s="8"/>
    </row>
    <row r="801" ht="15.75" customHeight="1">
      <c r="C801" s="8"/>
    </row>
    <row r="802" ht="15.75" customHeight="1">
      <c r="C802" s="8"/>
    </row>
    <row r="803" ht="15.75" customHeight="1">
      <c r="C803" s="8"/>
    </row>
    <row r="804" ht="15.75" customHeight="1">
      <c r="C804" s="8"/>
    </row>
    <row r="805" ht="15.75" customHeight="1">
      <c r="C805" s="8"/>
    </row>
    <row r="806" ht="15.75" customHeight="1">
      <c r="C806" s="8"/>
    </row>
    <row r="807" ht="15.75" customHeight="1">
      <c r="C807" s="8"/>
    </row>
    <row r="808" ht="15.75" customHeight="1">
      <c r="C808" s="8"/>
    </row>
    <row r="809" ht="15.75" customHeight="1">
      <c r="C809" s="8"/>
    </row>
    <row r="810" ht="15.75" customHeight="1">
      <c r="C810" s="8"/>
    </row>
    <row r="811" ht="15.75" customHeight="1">
      <c r="C811" s="8"/>
    </row>
    <row r="812" ht="15.75" customHeight="1">
      <c r="C812" s="8"/>
    </row>
    <row r="813" ht="15.75" customHeight="1">
      <c r="C813" s="8"/>
    </row>
    <row r="814" ht="15.75" customHeight="1">
      <c r="C814" s="8"/>
    </row>
    <row r="815" ht="15.75" customHeight="1">
      <c r="C815" s="8"/>
    </row>
    <row r="816" ht="15.75" customHeight="1">
      <c r="C816" s="8"/>
    </row>
    <row r="817" ht="15.75" customHeight="1">
      <c r="C817" s="8"/>
    </row>
    <row r="818" ht="15.75" customHeight="1">
      <c r="C818" s="8"/>
    </row>
    <row r="819" ht="15.75" customHeight="1">
      <c r="C819" s="8"/>
    </row>
    <row r="820" ht="15.75" customHeight="1">
      <c r="C820" s="8"/>
    </row>
    <row r="821" ht="15.75" customHeight="1">
      <c r="C821" s="8"/>
    </row>
    <row r="822" ht="15.75" customHeight="1">
      <c r="C822" s="8"/>
    </row>
    <row r="823" ht="15.75" customHeight="1">
      <c r="C823" s="8"/>
    </row>
    <row r="824" ht="15.75" customHeight="1">
      <c r="C824" s="8"/>
    </row>
    <row r="825" ht="15.75" customHeight="1">
      <c r="C825" s="8"/>
    </row>
    <row r="826" ht="15.75" customHeight="1">
      <c r="C826" s="8"/>
    </row>
    <row r="827" ht="15.75" customHeight="1">
      <c r="C827" s="8"/>
    </row>
    <row r="828" ht="15.75" customHeight="1">
      <c r="C828" s="8"/>
    </row>
    <row r="829" ht="15.75" customHeight="1">
      <c r="C829" s="8"/>
    </row>
    <row r="830" ht="15.75" customHeight="1">
      <c r="C830" s="8"/>
    </row>
    <row r="831" ht="15.75" customHeight="1">
      <c r="C831" s="8"/>
    </row>
    <row r="832" ht="15.75" customHeight="1">
      <c r="C832" s="8"/>
    </row>
    <row r="833" ht="15.75" customHeight="1">
      <c r="C833" s="8"/>
    </row>
    <row r="834" ht="15.75" customHeight="1">
      <c r="C834" s="8"/>
    </row>
    <row r="835" ht="15.75" customHeight="1">
      <c r="C835" s="8"/>
    </row>
    <row r="836" ht="15.75" customHeight="1">
      <c r="C836" s="8"/>
    </row>
    <row r="837" ht="15.75" customHeight="1">
      <c r="C837" s="8"/>
    </row>
    <row r="838" ht="15.75" customHeight="1">
      <c r="C838" s="8"/>
    </row>
    <row r="839" ht="15.75" customHeight="1">
      <c r="C839" s="8"/>
    </row>
    <row r="840" ht="15.75" customHeight="1">
      <c r="C840" s="8"/>
    </row>
    <row r="841" ht="15.75" customHeight="1">
      <c r="C841" s="8"/>
    </row>
    <row r="842" ht="15.75" customHeight="1">
      <c r="C842" s="8"/>
    </row>
    <row r="843" ht="15.75" customHeight="1">
      <c r="C843" s="8"/>
    </row>
    <row r="844" ht="15.75" customHeight="1">
      <c r="C844" s="8"/>
    </row>
    <row r="845" ht="15.75" customHeight="1">
      <c r="C845" s="8"/>
    </row>
    <row r="846" ht="15.75" customHeight="1">
      <c r="C846" s="8"/>
    </row>
    <row r="847" ht="15.75" customHeight="1">
      <c r="C847" s="8"/>
    </row>
    <row r="848" ht="15.75" customHeight="1">
      <c r="C848" s="8"/>
    </row>
    <row r="849" ht="15.75" customHeight="1">
      <c r="C849" s="8"/>
    </row>
    <row r="850" ht="15.75" customHeight="1">
      <c r="C850" s="8"/>
    </row>
    <row r="851" ht="15.75" customHeight="1">
      <c r="C851" s="8"/>
    </row>
    <row r="852" ht="15.75" customHeight="1">
      <c r="C852" s="8"/>
    </row>
    <row r="853" ht="15.75" customHeight="1">
      <c r="C853" s="8"/>
    </row>
    <row r="854" ht="15.75" customHeight="1">
      <c r="C854" s="8"/>
    </row>
    <row r="855" ht="15.75" customHeight="1">
      <c r="C855" s="8"/>
    </row>
    <row r="856" ht="15.75" customHeight="1">
      <c r="C856" s="8"/>
    </row>
    <row r="857" ht="15.75" customHeight="1">
      <c r="C857" s="8"/>
    </row>
    <row r="858" ht="15.75" customHeight="1">
      <c r="C858" s="8"/>
    </row>
    <row r="859" ht="15.75" customHeight="1">
      <c r="C859" s="8"/>
    </row>
    <row r="860" ht="15.75" customHeight="1">
      <c r="C860" s="8"/>
    </row>
    <row r="861" ht="15.75" customHeight="1">
      <c r="C861" s="8"/>
    </row>
    <row r="862" ht="15.75" customHeight="1">
      <c r="C862" s="8"/>
    </row>
    <row r="863" ht="15.75" customHeight="1">
      <c r="C863" s="8"/>
    </row>
    <row r="864" ht="15.75" customHeight="1">
      <c r="C864" s="8"/>
    </row>
    <row r="865" ht="15.75" customHeight="1">
      <c r="C865" s="8"/>
    </row>
    <row r="866" ht="15.75" customHeight="1">
      <c r="C866" s="8"/>
    </row>
    <row r="867" ht="15.75" customHeight="1">
      <c r="C867" s="8"/>
    </row>
    <row r="868" ht="15.75" customHeight="1">
      <c r="C868" s="8"/>
    </row>
    <row r="869" ht="15.75" customHeight="1">
      <c r="C869" s="8"/>
    </row>
    <row r="870" ht="15.75" customHeight="1">
      <c r="C870" s="8"/>
    </row>
    <row r="871" ht="15.75" customHeight="1">
      <c r="C871" s="8"/>
    </row>
    <row r="872" ht="15.75" customHeight="1">
      <c r="C872" s="8"/>
    </row>
    <row r="873" ht="15.75" customHeight="1">
      <c r="C873" s="8"/>
    </row>
    <row r="874" ht="15.75" customHeight="1">
      <c r="C874" s="8"/>
    </row>
    <row r="875" ht="15.75" customHeight="1">
      <c r="C875" s="8"/>
    </row>
    <row r="876" ht="15.75" customHeight="1">
      <c r="C876" s="8"/>
    </row>
    <row r="877" ht="15.75" customHeight="1">
      <c r="C877" s="8"/>
    </row>
    <row r="878" ht="15.75" customHeight="1">
      <c r="C878" s="8"/>
    </row>
    <row r="879" ht="15.75" customHeight="1">
      <c r="C879" s="8"/>
    </row>
    <row r="880" ht="15.75" customHeight="1">
      <c r="C880" s="8"/>
    </row>
    <row r="881" ht="15.75" customHeight="1">
      <c r="C881" s="8"/>
    </row>
    <row r="882" ht="15.75" customHeight="1">
      <c r="C882" s="8"/>
    </row>
    <row r="883" ht="15.75" customHeight="1">
      <c r="C883" s="8"/>
    </row>
    <row r="884" ht="15.75" customHeight="1">
      <c r="C884" s="8"/>
    </row>
    <row r="885" ht="15.75" customHeight="1">
      <c r="C885" s="8"/>
    </row>
    <row r="886" ht="15.75" customHeight="1">
      <c r="C886" s="8"/>
    </row>
    <row r="887" ht="15.75" customHeight="1">
      <c r="C887" s="8"/>
    </row>
    <row r="888" ht="15.75" customHeight="1">
      <c r="C888" s="8"/>
    </row>
    <row r="889" ht="15.75" customHeight="1">
      <c r="C889" s="8"/>
    </row>
    <row r="890" ht="15.75" customHeight="1">
      <c r="C890" s="8"/>
    </row>
    <row r="891" ht="15.75" customHeight="1">
      <c r="C891" s="8"/>
    </row>
    <row r="892" ht="15.75" customHeight="1">
      <c r="C892" s="8"/>
    </row>
    <row r="893" ht="15.75" customHeight="1">
      <c r="C893" s="8"/>
    </row>
    <row r="894" ht="15.75" customHeight="1">
      <c r="C894" s="8"/>
    </row>
    <row r="895" ht="15.75" customHeight="1">
      <c r="C895" s="8"/>
    </row>
    <row r="896" ht="15.75" customHeight="1">
      <c r="C896" s="8"/>
    </row>
    <row r="897" ht="15.75" customHeight="1">
      <c r="C897" s="8"/>
    </row>
    <row r="898" ht="15.75" customHeight="1">
      <c r="C898" s="8"/>
    </row>
    <row r="899" ht="15.75" customHeight="1">
      <c r="C899" s="8"/>
    </row>
    <row r="900" ht="15.75" customHeight="1">
      <c r="C900" s="8"/>
    </row>
    <row r="901" ht="15.75" customHeight="1">
      <c r="C901" s="8"/>
    </row>
    <row r="902" ht="15.75" customHeight="1">
      <c r="C902" s="8"/>
    </row>
    <row r="903" ht="15.75" customHeight="1">
      <c r="C903" s="8"/>
    </row>
    <row r="904" ht="15.75" customHeight="1">
      <c r="C904" s="8"/>
    </row>
    <row r="905" ht="15.75" customHeight="1">
      <c r="C905" s="8"/>
    </row>
    <row r="906" ht="15.75" customHeight="1">
      <c r="C906" s="8"/>
    </row>
    <row r="907" ht="15.75" customHeight="1">
      <c r="C907" s="8"/>
    </row>
    <row r="908" ht="15.75" customHeight="1">
      <c r="C908" s="8"/>
    </row>
    <row r="909" ht="15.75" customHeight="1">
      <c r="C909" s="8"/>
    </row>
    <row r="910" ht="15.75" customHeight="1">
      <c r="C910" s="8"/>
    </row>
    <row r="911" ht="15.75" customHeight="1">
      <c r="C911" s="8"/>
    </row>
    <row r="912" ht="15.75" customHeight="1">
      <c r="C912" s="8"/>
    </row>
    <row r="913" ht="15.75" customHeight="1">
      <c r="C913" s="8"/>
    </row>
    <row r="914" ht="15.75" customHeight="1">
      <c r="C914" s="8"/>
    </row>
    <row r="915" ht="15.75" customHeight="1">
      <c r="C915" s="8"/>
    </row>
    <row r="916" ht="15.75" customHeight="1">
      <c r="C916" s="8"/>
    </row>
    <row r="917" ht="15.75" customHeight="1">
      <c r="C917" s="8"/>
    </row>
    <row r="918" ht="15.75" customHeight="1">
      <c r="C918" s="8"/>
    </row>
    <row r="919" ht="15.75" customHeight="1">
      <c r="C919" s="8"/>
    </row>
    <row r="920" ht="15.75" customHeight="1">
      <c r="C920" s="8"/>
    </row>
    <row r="921" ht="15.75" customHeight="1">
      <c r="C921" s="8"/>
    </row>
    <row r="922" ht="15.75" customHeight="1">
      <c r="C922" s="8"/>
    </row>
    <row r="923" ht="15.75" customHeight="1">
      <c r="C923" s="8"/>
    </row>
    <row r="924" ht="15.75" customHeight="1">
      <c r="C924" s="8"/>
    </row>
    <row r="925" ht="15.75" customHeight="1">
      <c r="C925" s="8"/>
    </row>
    <row r="926" ht="15.75" customHeight="1">
      <c r="C926" s="8"/>
    </row>
    <row r="927" ht="15.75" customHeight="1">
      <c r="C927" s="8"/>
    </row>
    <row r="928" ht="15.75" customHeight="1">
      <c r="C928" s="8"/>
    </row>
    <row r="929" ht="15.75" customHeight="1">
      <c r="C929" s="8"/>
    </row>
    <row r="930" ht="15.75" customHeight="1">
      <c r="C930" s="8"/>
    </row>
    <row r="931" ht="15.75" customHeight="1">
      <c r="C931" s="8"/>
    </row>
    <row r="932" ht="15.75" customHeight="1">
      <c r="C932" s="8"/>
    </row>
    <row r="933" ht="15.75" customHeight="1">
      <c r="C933" s="8"/>
    </row>
    <row r="934" ht="15.75" customHeight="1">
      <c r="C934" s="8"/>
    </row>
    <row r="935" ht="15.75" customHeight="1">
      <c r="C935" s="8"/>
    </row>
    <row r="936" ht="15.75" customHeight="1">
      <c r="C936" s="8"/>
    </row>
    <row r="937" ht="15.75" customHeight="1">
      <c r="C937" s="8"/>
    </row>
    <row r="938" ht="15.75" customHeight="1">
      <c r="C938" s="8"/>
    </row>
    <row r="939" ht="15.75" customHeight="1">
      <c r="C939" s="8"/>
    </row>
    <row r="940" ht="15.75" customHeight="1">
      <c r="C940" s="8"/>
    </row>
    <row r="941" ht="15.75" customHeight="1">
      <c r="C941" s="8"/>
    </row>
    <row r="942" ht="15.75" customHeight="1">
      <c r="C942" s="8"/>
    </row>
    <row r="943" ht="15.75" customHeight="1">
      <c r="C943" s="8"/>
    </row>
    <row r="944" ht="15.75" customHeight="1">
      <c r="C944" s="8"/>
    </row>
    <row r="945" ht="15.75" customHeight="1">
      <c r="C945" s="8"/>
    </row>
    <row r="946" ht="15.75" customHeight="1">
      <c r="C946" s="8"/>
    </row>
    <row r="947" ht="15.75" customHeight="1">
      <c r="C947" s="8"/>
    </row>
    <row r="948" ht="15.75" customHeight="1">
      <c r="C948" s="8"/>
    </row>
    <row r="949" ht="15.75" customHeight="1">
      <c r="C949" s="8"/>
    </row>
    <row r="950" ht="15.75" customHeight="1">
      <c r="C950" s="8"/>
    </row>
    <row r="951" ht="15.75" customHeight="1">
      <c r="C951" s="8"/>
    </row>
    <row r="952" ht="15.75" customHeight="1">
      <c r="C952" s="8"/>
    </row>
    <row r="953" ht="15.75" customHeight="1">
      <c r="C953" s="8"/>
    </row>
    <row r="954" ht="15.75" customHeight="1">
      <c r="C954" s="8"/>
    </row>
    <row r="955" ht="15.75" customHeight="1">
      <c r="C955" s="8"/>
    </row>
    <row r="956" ht="15.75" customHeight="1">
      <c r="C956" s="8"/>
    </row>
    <row r="957" ht="15.75" customHeight="1">
      <c r="C957" s="8"/>
    </row>
    <row r="958" ht="15.75" customHeight="1">
      <c r="C958" s="8"/>
    </row>
    <row r="959" ht="15.75" customHeight="1">
      <c r="C959" s="8"/>
    </row>
    <row r="960" ht="15.75" customHeight="1">
      <c r="C960" s="8"/>
    </row>
    <row r="961" ht="15.75" customHeight="1">
      <c r="C961" s="8"/>
    </row>
    <row r="962" ht="15.75" customHeight="1">
      <c r="C962" s="8"/>
    </row>
    <row r="963" ht="15.75" customHeight="1">
      <c r="C963" s="8"/>
    </row>
    <row r="964" ht="15.75" customHeight="1">
      <c r="C964" s="8"/>
    </row>
    <row r="965" ht="15.75" customHeight="1">
      <c r="C965" s="8"/>
    </row>
    <row r="966" ht="15.75" customHeight="1">
      <c r="C966" s="8"/>
    </row>
    <row r="967" ht="15.75" customHeight="1">
      <c r="C967" s="8"/>
    </row>
    <row r="968" ht="15.75" customHeight="1">
      <c r="C968" s="8"/>
    </row>
    <row r="969" ht="15.75" customHeight="1">
      <c r="C969" s="8"/>
    </row>
    <row r="970" ht="15.75" customHeight="1">
      <c r="C970" s="8"/>
    </row>
    <row r="971" ht="15.75" customHeight="1">
      <c r="C971" s="8"/>
    </row>
    <row r="972" ht="15.75" customHeight="1">
      <c r="C972" s="8"/>
    </row>
    <row r="973" ht="15.75" customHeight="1">
      <c r="C973" s="8"/>
    </row>
    <row r="974" ht="15.75" customHeight="1">
      <c r="C974" s="8"/>
    </row>
    <row r="975" ht="15.75" customHeight="1">
      <c r="C975" s="8"/>
    </row>
    <row r="976" ht="15.75" customHeight="1">
      <c r="C976" s="8"/>
    </row>
    <row r="977" ht="15.75" customHeight="1">
      <c r="C977" s="8"/>
    </row>
    <row r="978" ht="15.75" customHeight="1">
      <c r="C978" s="8"/>
    </row>
    <row r="979" ht="15.75" customHeight="1">
      <c r="C979" s="8"/>
    </row>
    <row r="980" ht="15.75" customHeight="1">
      <c r="C980" s="8"/>
    </row>
    <row r="981" ht="15.75" customHeight="1">
      <c r="C981" s="8"/>
    </row>
    <row r="982" ht="15.75" customHeight="1">
      <c r="C982" s="8"/>
    </row>
    <row r="983" ht="15.75" customHeight="1">
      <c r="C983" s="8"/>
    </row>
    <row r="984" ht="15.75" customHeight="1">
      <c r="C984" s="8"/>
    </row>
    <row r="985" ht="15.75" customHeight="1">
      <c r="C985" s="8"/>
    </row>
    <row r="986" ht="15.75" customHeight="1">
      <c r="C986" s="8"/>
    </row>
    <row r="987" ht="15.75" customHeight="1">
      <c r="C987" s="8"/>
    </row>
    <row r="988" ht="15.75" customHeight="1">
      <c r="C988" s="8"/>
    </row>
    <row r="989" ht="15.75" customHeight="1">
      <c r="C989" s="8"/>
    </row>
    <row r="990" ht="15.75" customHeight="1">
      <c r="C990" s="8"/>
    </row>
    <row r="991" ht="15.75" customHeight="1">
      <c r="C991" s="8"/>
    </row>
    <row r="992" ht="15.75" customHeight="1">
      <c r="C992" s="8"/>
    </row>
    <row r="993" ht="15.75" customHeight="1">
      <c r="C993" s="8"/>
    </row>
    <row r="994" ht="15.75" customHeight="1">
      <c r="C994" s="8"/>
    </row>
    <row r="995" ht="15.75" customHeight="1">
      <c r="C995" s="8"/>
    </row>
    <row r="996" ht="15.75" customHeight="1">
      <c r="C996" s="8"/>
    </row>
    <row r="997" ht="15.75" customHeight="1">
      <c r="C997" s="8"/>
    </row>
    <row r="998" ht="15.75" customHeight="1">
      <c r="C998" s="8"/>
    </row>
    <row r="999" ht="15.75" customHeight="1">
      <c r="C999" s="8"/>
    </row>
    <row r="1000" ht="15.75" customHeight="1">
      <c r="C1000" s="8"/>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78" t="s">
        <v>2</v>
      </c>
      <c r="B1" s="79" t="s">
        <v>6</v>
      </c>
      <c r="C1" s="80" t="s">
        <v>10</v>
      </c>
      <c r="D1" s="79" t="s">
        <v>11</v>
      </c>
      <c r="E1" s="79" t="s">
        <v>12</v>
      </c>
    </row>
    <row r="2" hidden="1"/>
    <row r="3" hidden="1"/>
    <row r="4" hidden="1"/>
    <row r="5" hidden="1"/>
    <row r="6" hidden="1"/>
    <row r="7" hidden="1"/>
    <row r="8" hidden="1"/>
    <row r="9" hidden="1"/>
    <row r="10">
      <c r="A10" s="79" t="s">
        <v>42</v>
      </c>
      <c r="B10" s="79" t="s">
        <v>140</v>
      </c>
      <c r="C10" s="80" t="s">
        <v>141</v>
      </c>
      <c r="D10" s="80" t="s">
        <v>143</v>
      </c>
      <c r="E10" s="80" t="s">
        <v>144</v>
      </c>
      <c r="F10" s="82">
        <v>1.0</v>
      </c>
      <c r="G10" s="79" t="str">
        <f>IFERROR(__xludf.DUMMYFUNCTION("TRIM(REGEXREPLACE(C10, ""[0-9]+[a-f]?\."", """"))"),"Follow-up Round 3")</f>
        <v>Follow-up Round 3</v>
      </c>
      <c r="H10" s="79" t="str">
        <f>IFERROR(__xludf.DUMMYFUNCTION("TRIM(REGEXREPLACE(D10, ""[0-9]+[a-f]?\."", """"))"),"Suivi du troisième tour")</f>
        <v>Suivi du troisième tour</v>
      </c>
      <c r="I10" s="79" t="str">
        <f>IFERROR(__xludf.DUMMYFUNCTION("TRIM(REGEXREPLACE(E10, ""[0-9]+[a-f]?\."", """"))"),"Bibiyar Zagaye na 3")</f>
        <v>Bibiyar Zagaye na 3</v>
      </c>
      <c r="J10" s="79" t="s">
        <v>141</v>
      </c>
      <c r="K10" s="79" t="s">
        <v>143</v>
      </c>
      <c r="L10" s="79" t="s">
        <v>144</v>
      </c>
    </row>
    <row r="11" hidden="1"/>
    <row r="12" hidden="1"/>
    <row r="13" hidden="1">
      <c r="C13" s="80"/>
      <c r="D13" s="80"/>
      <c r="E13" s="80"/>
      <c r="F13" s="82">
        <v>2.0</v>
      </c>
      <c r="G13" s="79" t="str">
        <f>IFERROR(__xludf.DUMMYFUNCTION("TRIM(REGEXREPLACE(C13, ""[0-9]+[a-f]?\."", """"))"),"")</f>
        <v/>
      </c>
      <c r="H13" s="79" t="str">
        <f>IFERROR(__xludf.DUMMYFUNCTION("TRIM(REGEXREPLACE(D13, ""[0-9]+[a-f]?\."", """"))"),"")</f>
        <v/>
      </c>
      <c r="I13" s="79" t="str">
        <f>IFERROR(__xludf.DUMMYFUNCTION("TRIM(REGEXREPLACE(E13, ""[0-9]+[a-f]?\."", """"))"),"")</f>
        <v/>
      </c>
      <c r="J13" s="79" t="s">
        <v>146</v>
      </c>
      <c r="K13" s="79" t="s">
        <v>147</v>
      </c>
      <c r="L13" s="79" t="s">
        <v>148</v>
      </c>
    </row>
    <row r="14">
      <c r="A14" s="79" t="s">
        <v>149</v>
      </c>
      <c r="B14" s="79" t="s">
        <v>63</v>
      </c>
      <c r="C14" s="80" t="s">
        <v>146</v>
      </c>
      <c r="D14" s="80" t="s">
        <v>147</v>
      </c>
      <c r="E14" s="80" t="s">
        <v>148</v>
      </c>
      <c r="F14" s="82">
        <v>2.0</v>
      </c>
      <c r="G14" s="79" t="str">
        <f>IFERROR(__xludf.DUMMYFUNCTION("TRIM(REGEXREPLACE(C14, ""[0-9]+[a-f]?\."", """"))"),"What round is this?")</f>
        <v>What round is this?</v>
      </c>
      <c r="H14" s="79" t="str">
        <f>IFERROR(__xludf.DUMMYFUNCTION("TRIM(REGEXREPLACE(D14, ""[0-9]+[a-f]?\."", """"))"),"quel tour est-ce ?")</f>
        <v>quel tour est-ce ?</v>
      </c>
      <c r="I14" s="79" t="str">
        <f>IFERROR(__xludf.DUMMYFUNCTION("TRIM(REGEXREPLACE(E14, ""[0-9]+[a-f]?\."", """"))"),"Wane kewaye ne?")</f>
        <v>Wane kewaye ne?</v>
      </c>
      <c r="J14" s="79" t="s">
        <v>146</v>
      </c>
      <c r="K14" s="79" t="s">
        <v>147</v>
      </c>
      <c r="L14" s="79" t="s">
        <v>148</v>
      </c>
    </row>
    <row r="15">
      <c r="A15" s="79" t="s">
        <v>150</v>
      </c>
      <c r="B15" s="79" t="s">
        <v>122</v>
      </c>
      <c r="C15" s="80" t="s">
        <v>151</v>
      </c>
      <c r="D15" s="80" t="s">
        <v>152</v>
      </c>
      <c r="E15" s="80" t="s">
        <v>153</v>
      </c>
      <c r="F15" s="82">
        <v>3.0</v>
      </c>
      <c r="G15" s="79" t="str">
        <f>IFERROR(__xludf.DUMMYFUNCTION("TRIM(REGEXREPLACE(C15, ""[0-9]+[a-f]?\."", """"))"),"Who is your team leader?")</f>
        <v>Who is your team leader?</v>
      </c>
      <c r="H15" s="79" t="str">
        <f>IFERROR(__xludf.DUMMYFUNCTION("TRIM(REGEXREPLACE(D15, ""[0-9]+[a-f]?\."", """"))"),"Qui est votre chef d'équipe?")</f>
        <v>Qui est votre chef d'équipe?</v>
      </c>
      <c r="I15" s="79" t="str">
        <f>IFERROR(__xludf.DUMMYFUNCTION("TRIM(REGEXREPLACE(E15, ""[0-9]+[a-f]?\."", """"))"),"Wanene shugaban tahiyar ku ?")</f>
        <v>Wanene shugaban tahiyar ku ?</v>
      </c>
      <c r="J15" s="79" t="s">
        <v>151</v>
      </c>
      <c r="K15" s="79" t="s">
        <v>152</v>
      </c>
      <c r="L15" s="79" t="s">
        <v>153</v>
      </c>
    </row>
    <row r="16">
      <c r="A16" s="79" t="s">
        <v>155</v>
      </c>
      <c r="B16" s="79" t="s">
        <v>156</v>
      </c>
      <c r="C16" s="80" t="s">
        <v>157</v>
      </c>
      <c r="D16" s="80" t="s">
        <v>158</v>
      </c>
      <c r="E16" s="80" t="s">
        <v>159</v>
      </c>
      <c r="F16" s="82">
        <v>4.0</v>
      </c>
      <c r="G16" s="79" t="str">
        <f>IFERROR(__xludf.DUMMYFUNCTION("TRIM(REGEXREPLACE(C16, ""[0-9]+[a-f]?\."", """"))"),"What is your name?")</f>
        <v>What is your name?</v>
      </c>
      <c r="H16" s="79" t="str">
        <f>IFERROR(__xludf.DUMMYFUNCTION("TRIM(REGEXREPLACE(D16, ""[0-9]+[a-f]?\."", """"))"),"Quel est votre nom?")</f>
        <v>Quel est votre nom?</v>
      </c>
      <c r="I16" s="79" t="str">
        <f>IFERROR(__xludf.DUMMYFUNCTION("TRIM(REGEXREPLACE(E16, ""[0-9]+[a-f]?\."", """"))"),"Menene sunanka?")</f>
        <v>Menene sunanka?</v>
      </c>
      <c r="J16" s="79" t="s">
        <v>157</v>
      </c>
      <c r="K16" s="79" t="s">
        <v>158</v>
      </c>
      <c r="L16" s="79" t="s">
        <v>159</v>
      </c>
    </row>
    <row r="17" hidden="1">
      <c r="C17" s="80"/>
      <c r="D17" s="80"/>
      <c r="E17" s="80"/>
      <c r="F17" s="82">
        <v>5.0</v>
      </c>
      <c r="G17" s="79" t="str">
        <f>IFERROR(__xludf.DUMMYFUNCTION("TRIM(REGEXREPLACE(C17, ""[0-9]+[a-f]?\."", """"))"),"")</f>
        <v/>
      </c>
      <c r="H17" s="79" t="str">
        <f>IFERROR(__xludf.DUMMYFUNCTION("TRIM(REGEXREPLACE(D17, ""[0-9]+[a-f]?\."", """"))"),"")</f>
        <v/>
      </c>
      <c r="I17" s="79" t="str">
        <f>IFERROR(__xludf.DUMMYFUNCTION("TRIM(REGEXREPLACE(E17, ""[0-9]+[a-f]?\."", """"))"),"")</f>
        <v/>
      </c>
      <c r="J17" s="79" t="s">
        <v>160</v>
      </c>
      <c r="K17" s="79" t="s">
        <v>161</v>
      </c>
      <c r="L17" s="79" t="s">
        <v>162</v>
      </c>
    </row>
    <row r="18">
      <c r="A18" s="79" t="s">
        <v>155</v>
      </c>
      <c r="B18" s="79" t="s">
        <v>163</v>
      </c>
      <c r="C18" s="80" t="s">
        <v>160</v>
      </c>
      <c r="D18" s="80" t="s">
        <v>161</v>
      </c>
      <c r="E18" s="80" t="s">
        <v>162</v>
      </c>
      <c r="F18" s="82">
        <v>5.0</v>
      </c>
      <c r="G18" s="79" t="str">
        <f>IFERROR(__xludf.DUMMYFUNCTION("TRIM(REGEXREPLACE(C18, ""[0-9]+[a-f]?\."", """"))"),"What is your partner's name?")</f>
        <v>What is your partner's name?</v>
      </c>
      <c r="H18" s="79" t="str">
        <f>IFERROR(__xludf.DUMMYFUNCTION("TRIM(REGEXREPLACE(D18, ""[0-9]+[a-f]?\."", """"))"),"Quel est le nom de votre binôme?")</f>
        <v>Quel est le nom de votre binôme?</v>
      </c>
      <c r="I18" s="79" t="str">
        <f>IFERROR(__xludf.DUMMYFUNCTION("TRIM(REGEXREPLACE(E18, ""[0-9]+[a-f]?\."", """"))"),"Menene sunan abokin aikinka")</f>
        <v>Menene sunan abokin aikinka</v>
      </c>
      <c r="J18" s="79" t="s">
        <v>160</v>
      </c>
      <c r="K18" s="79" t="s">
        <v>161</v>
      </c>
      <c r="L18" s="79" t="s">
        <v>162</v>
      </c>
    </row>
    <row r="19" hidden="1">
      <c r="C19" s="80"/>
      <c r="D19" s="80"/>
      <c r="E19" s="80"/>
      <c r="F19" s="82">
        <v>6.0</v>
      </c>
      <c r="G19" s="79" t="str">
        <f>IFERROR(__xludf.DUMMYFUNCTION("TRIM(REGEXREPLACE(C19, ""[0-9]+[a-f]?\."", """"))"),"")</f>
        <v/>
      </c>
      <c r="H19" s="79" t="str">
        <f>IFERROR(__xludf.DUMMYFUNCTION("TRIM(REGEXREPLACE(D19, ""[0-9]+[a-f]?\."", """"))"),"")</f>
        <v/>
      </c>
      <c r="I19" s="79" t="str">
        <f>IFERROR(__xludf.DUMMYFUNCTION("TRIM(REGEXREPLACE(E19, ""[0-9]+[a-f]?\."", """"))"),"")</f>
        <v/>
      </c>
      <c r="J19" s="79" t="s">
        <v>168</v>
      </c>
      <c r="K19" s="79" t="s">
        <v>169</v>
      </c>
      <c r="L19" s="79" t="s">
        <v>170</v>
      </c>
    </row>
    <row r="20">
      <c r="A20" s="79" t="s">
        <v>171</v>
      </c>
      <c r="B20" s="79" t="s">
        <v>137</v>
      </c>
      <c r="C20" s="80" t="s">
        <v>168</v>
      </c>
      <c r="D20" s="80" t="s">
        <v>169</v>
      </c>
      <c r="E20" s="80" t="s">
        <v>170</v>
      </c>
      <c r="F20" s="82">
        <v>6.0</v>
      </c>
      <c r="G20" s="79" t="str">
        <f>IFERROR(__xludf.DUMMYFUNCTION("TRIM(REGEXREPLACE(C20, ""[0-9]+[a-f]?\."", """"))"),"What commune are you surveying in?")</f>
        <v>What commune are you surveying in?</v>
      </c>
      <c r="H20" s="79" t="str">
        <f>IFERROR(__xludf.DUMMYFUNCTION("TRIM(REGEXREPLACE(D20, ""[0-9]+[a-f]?\."", """"))"),"Quelle est votre commune de travail ?")</f>
        <v>Quelle est votre commune de travail ?</v>
      </c>
      <c r="I20" s="79" t="str">
        <f>IFERROR(__xludf.DUMMYFUNCTION("TRIM(REGEXREPLACE(E20, ""[0-9]+[a-f]?\."", """"))"),"Cikin wane komin kake aiki?")</f>
        <v>Cikin wane komin kake aiki?</v>
      </c>
      <c r="J20" s="79" t="s">
        <v>168</v>
      </c>
      <c r="K20" s="79" t="s">
        <v>169</v>
      </c>
      <c r="L20" s="79" t="s">
        <v>170</v>
      </c>
    </row>
    <row r="21" hidden="1"/>
    <row r="22" hidden="1"/>
    <row r="23" hidden="1">
      <c r="C23" s="80"/>
      <c r="D23" s="80"/>
      <c r="E23" s="80"/>
      <c r="F23" s="82">
        <v>7.0</v>
      </c>
      <c r="G23" s="79" t="str">
        <f>IFERROR(__xludf.DUMMYFUNCTION("TRIM(REGEXREPLACE(C23, ""[0-9]+[a-f]?\."", """"))"),"")</f>
        <v/>
      </c>
      <c r="H23" s="79" t="str">
        <f>IFERROR(__xludf.DUMMYFUNCTION("TRIM(REGEXREPLACE(D23, ""[0-9]+[a-f]?\."", """"))"),"")</f>
        <v/>
      </c>
      <c r="I23" s="79" t="str">
        <f>IFERROR(__xludf.DUMMYFUNCTION("TRIM(REGEXREPLACE(E23, ""[0-9]+[a-f]?\."", """"))"),"")</f>
        <v/>
      </c>
      <c r="J23" s="79" t="s">
        <v>172</v>
      </c>
      <c r="K23" s="79" t="s">
        <v>173</v>
      </c>
      <c r="L23" s="79" t="s">
        <v>174</v>
      </c>
    </row>
    <row r="24">
      <c r="A24" s="79" t="s">
        <v>175</v>
      </c>
      <c r="B24" s="79" t="s">
        <v>165</v>
      </c>
      <c r="C24" s="80" t="s">
        <v>172</v>
      </c>
      <c r="D24" s="80" t="s">
        <v>173</v>
      </c>
      <c r="E24" s="80" t="s">
        <v>174</v>
      </c>
      <c r="F24" s="82">
        <v>7.0</v>
      </c>
      <c r="G24" s="79" t="str">
        <f>IFERROR(__xludf.DUMMYFUNCTION("TRIM(REGEXREPLACE(C24, ""[0-9]+[a-f]?\."", """"))"),"What village/neighborhood are you surveying in?")</f>
        <v>What village/neighborhood are you surveying in?</v>
      </c>
      <c r="H24" s="79" t="str">
        <f>IFERROR(__xludf.DUMMYFUNCTION("TRIM(REGEXREPLACE(D24, ""[0-9]+[a-f]?\."", """"))"),"Dans quelle ville/village faites-vous votre enquête ?")</f>
        <v>Dans quelle ville/village faites-vous votre enquête ?</v>
      </c>
      <c r="I24" s="79" t="str">
        <f>IFERROR(__xludf.DUMMYFUNCTION("TRIM(REGEXREPLACE(E24, ""[0-9]+[a-f]?\."", """"))"),"Cikin wane gari kake binciken?")</f>
        <v>Cikin wane gari kake binciken?</v>
      </c>
      <c r="J24" s="79" t="s">
        <v>172</v>
      </c>
      <c r="K24" s="79" t="s">
        <v>173</v>
      </c>
      <c r="L24" s="79" t="s">
        <v>174</v>
      </c>
    </row>
    <row r="25" hidden="1"/>
    <row r="26" hidden="1"/>
    <row r="27" hidden="1"/>
    <row r="28" hidden="1"/>
    <row r="29" hidden="1"/>
    <row r="30" hidden="1"/>
    <row r="31" hidden="1"/>
    <row r="32" hidden="1"/>
    <row r="33" hidden="1">
      <c r="C33" s="80"/>
      <c r="D33" s="80"/>
      <c r="E33" s="80"/>
      <c r="F33" s="82">
        <v>8.0</v>
      </c>
      <c r="G33" s="79" t="str">
        <f>IFERROR(__xludf.DUMMYFUNCTION("TRIM(REGEXREPLACE(C33, ""[0-9]+[a-f]?\."", """"))"),"")</f>
        <v/>
      </c>
      <c r="H33" s="79" t="str">
        <f>IFERROR(__xludf.DUMMYFUNCTION("TRIM(REGEXREPLACE(D33, ""[0-9]+[a-f]?\."", """"))"),"")</f>
        <v/>
      </c>
      <c r="I33" s="79" t="str">
        <f>IFERROR(__xludf.DUMMYFUNCTION("TRIM(REGEXREPLACE(E33, ""[0-9]+[a-f]?\."", """"))"),"")</f>
        <v/>
      </c>
      <c r="J33" s="79" t="s">
        <v>176</v>
      </c>
      <c r="K33" s="79" t="s">
        <v>177</v>
      </c>
      <c r="L33" s="79" t="s">
        <v>177</v>
      </c>
    </row>
    <row r="34">
      <c r="A34" s="79" t="s">
        <v>178</v>
      </c>
      <c r="B34" s="79" t="s">
        <v>179</v>
      </c>
      <c r="C34" s="80" t="s">
        <v>176</v>
      </c>
      <c r="D34" s="80" t="s">
        <v>180</v>
      </c>
      <c r="E34" s="80" t="s">
        <v>181</v>
      </c>
      <c r="F34" s="82">
        <v>8.0</v>
      </c>
      <c r="G34" s="79" t="str">
        <f>IFERROR(__xludf.DUMMYFUNCTION("TRIM(REGEXREPLACE(C34, ""[0-9]+[a-f]?\."", """"))"),"Select the Household ID number:")</f>
        <v>Select the Household ID number:</v>
      </c>
      <c r="H34" s="79" t="str">
        <f>IFERROR(__xludf.DUMMYFUNCTION("TRIM(REGEXREPLACE(D34, ""[0-9]+[a-f]?\."", """"))"),"Sélectionnez le numéro d'identification du ménage :")</f>
        <v>Sélectionnez le numéro d'identification du ménage :</v>
      </c>
      <c r="I34" s="79" t="str">
        <f>IFERROR(__xludf.DUMMYFUNCTION("TRIM(REGEXREPLACE(E34, ""[0-9]+[a-f]?\."", """"))"),"Zaɓi lambar ID na Gida:")</f>
        <v>Zaɓi lambar ID na Gida:</v>
      </c>
      <c r="J34" s="79" t="s">
        <v>176</v>
      </c>
      <c r="K34" s="79" t="s">
        <v>180</v>
      </c>
      <c r="L34" s="79" t="s">
        <v>181</v>
      </c>
    </row>
    <row r="35" hidden="1"/>
    <row r="36" hidden="1"/>
    <row r="37" hidden="1"/>
    <row r="38" hidden="1"/>
    <row r="39" hidden="1"/>
    <row r="40" hidden="1"/>
    <row r="41" hidden="1"/>
    <row r="42" hidden="1"/>
    <row r="43" hidden="1"/>
    <row r="44" hidden="1"/>
    <row r="45" hidden="1"/>
    <row r="46" hidden="1"/>
    <row r="47" hidden="1"/>
    <row r="48" hidden="1">
      <c r="C48" s="80"/>
      <c r="D48" s="80"/>
      <c r="E48" s="80"/>
      <c r="F48" s="82">
        <v>9.0</v>
      </c>
      <c r="G48" s="79" t="str">
        <f>IFERROR(__xludf.DUMMYFUNCTION("TRIM(REGEXREPLACE(C48, ""[0-9]+[a-f]?\."", """"))"),"")</f>
        <v/>
      </c>
      <c r="H48" s="79" t="str">
        <f>IFERROR(__xludf.DUMMYFUNCTION("TRIM(REGEXREPLACE(D48, ""[0-9]+[a-f]?\."", """"))"),"")</f>
        <v/>
      </c>
      <c r="I48" s="79" t="str">
        <f>IFERROR(__xludf.DUMMYFUNCTION("TRIM(REGEXREPLACE(E48, ""[0-9]+[a-f]?\."", """"))"),"")</f>
        <v/>
      </c>
      <c r="J48" s="79" t="s">
        <v>185</v>
      </c>
      <c r="K48" s="79" t="s">
        <v>186</v>
      </c>
      <c r="L48" s="79" t="s">
        <v>186</v>
      </c>
    </row>
    <row r="49">
      <c r="A49" s="79" t="s">
        <v>42</v>
      </c>
      <c r="B49" s="79" t="s">
        <v>188</v>
      </c>
      <c r="C49" s="80" t="s">
        <v>185</v>
      </c>
      <c r="D49" s="80" t="s">
        <v>190</v>
      </c>
      <c r="E49" s="80" t="s">
        <v>191</v>
      </c>
      <c r="F49" s="82">
        <v>9.0</v>
      </c>
      <c r="G49" s="79" t="str">
        <f>IFERROR(__xludf.DUMMYFUNCTION("TRIM(REGEXREPLACE(C49, ""[0-9]+[a-f]?\."", """"))"),"There are no women to survey in this HH. Complete the PM and the SHM survey, if not complete already.")</f>
        <v>There are no women to survey in this HH. Complete the PM and the SHM survey, if not complete already.</v>
      </c>
      <c r="H49" s="79" t="str">
        <f>IFERROR(__xludf.DUMMYFUNCTION("TRIM(REGEXREPLACE(D49, ""[0-9]+[a-f]?\."", """"))"),"Il n'y a aucune femme à enquêter dans ce ménage. Remplissez l'enquête PM et SHM, si ce n'est pas déjà fait.")</f>
        <v>Il n'y a aucune femme à enquêter dans ce ménage. Remplissez l'enquête PM et SHM, si ce n'est pas déjà fait.</v>
      </c>
      <c r="I49" s="79" t="str">
        <f>IFERROR(__xludf.DUMMYFUNCTION("TRIM(REGEXREPLACE(E49, ""[0-9]+[a-f]?\."", """"))"),"Babu mata da za su bada amsa a wannan gidan. Kammala da binciken PM da SHM, idan ba a gama ba tun tuni.")</f>
        <v>Babu mata da za su bada amsa a wannan gidan. Kammala da binciken PM da SHM, idan ba a gama ba tun tuni.</v>
      </c>
      <c r="J49" s="79" t="s">
        <v>185</v>
      </c>
      <c r="K49" s="79" t="s">
        <v>190</v>
      </c>
      <c r="L49" s="79" t="s">
        <v>191</v>
      </c>
    </row>
    <row r="50" hidden="1">
      <c r="C50" s="80"/>
      <c r="D50" s="80"/>
      <c r="E50" s="80"/>
      <c r="F50" s="82">
        <v>10.0</v>
      </c>
      <c r="G50" s="79" t="str">
        <f>IFERROR(__xludf.DUMMYFUNCTION("TRIM(REGEXREPLACE(C50, ""[0-9]+[a-f]?\."", """"))"),"")</f>
        <v/>
      </c>
      <c r="H50" s="79" t="str">
        <f>IFERROR(__xludf.DUMMYFUNCTION("TRIM(REGEXREPLACE(D50, ""[0-9]+[a-f]?\."", """"))"),"")</f>
        <v/>
      </c>
      <c r="I50" s="79" t="str">
        <f>IFERROR(__xludf.DUMMYFUNCTION("TRIM(REGEXREPLACE(E50, ""[0-9]+[a-f]?\."", """"))"),"")</f>
        <v/>
      </c>
      <c r="J50" s="79" t="s">
        <v>192</v>
      </c>
      <c r="K50" s="79" t="s">
        <v>193</v>
      </c>
      <c r="L50" s="79" t="s">
        <v>193</v>
      </c>
    </row>
    <row r="51">
      <c r="A51" s="79" t="s">
        <v>194</v>
      </c>
      <c r="B51" s="79" t="s">
        <v>195</v>
      </c>
      <c r="C51" s="80" t="s">
        <v>192</v>
      </c>
      <c r="D51" s="80" t="s">
        <v>196</v>
      </c>
      <c r="E51" s="80" t="s">
        <v>197</v>
      </c>
      <c r="F51" s="82">
        <v>10.0</v>
      </c>
      <c r="G51" s="79" t="str">
        <f>IFERROR(__xludf.DUMMYFUNCTION("TRIM(REGEXREPLACE(C51, ""[0-9]+[a-f]?\."", """"))"),"You indicated that you are attempting to interview ${w_name} (age: ${w_age}). Is that correct?")</f>
        <v>You indicated that you are attempting to interview ${w_name} (age: ${w_age}). Is that correct?</v>
      </c>
      <c r="H51" s="79" t="str">
        <f>IFERROR(__xludf.DUMMYFUNCTION("TRIM(REGEXREPLACE(D51, ""[0-9]+[a-f]?\."", """"))"),"Vous avez indiqué que vous tentez d'interroger ${w_name} (âge : ${w_age}). Est-ce exact ?")</f>
        <v>Vous avez indiqué que vous tentez d'interroger ${w_name} (âge : ${w_age}). Est-ce exact ?</v>
      </c>
      <c r="I51" s="79" t="str">
        <f>IFERROR(__xludf.DUMMYFUNCTION("TRIM(REGEXREPLACE(E51, ""[0-9]+[a-f]?\."", """"))"),"Kun nuna cewa kuna ƙoƙarin yin hira da ${w_name} (shekaru: ${w_age}). Shin hakan daidai ne?")</f>
        <v>Kun nuna cewa kuna ƙoƙarin yin hira da ${w_name} (shekaru: ${w_age}). Shin hakan daidai ne?</v>
      </c>
      <c r="J51" s="79" t="s">
        <v>192</v>
      </c>
      <c r="K51" s="79" t="s">
        <v>198</v>
      </c>
      <c r="L51" s="79" t="s">
        <v>199</v>
      </c>
    </row>
    <row r="52">
      <c r="A52" s="79" t="s">
        <v>200</v>
      </c>
      <c r="B52" s="79" t="s">
        <v>201</v>
      </c>
      <c r="C52" s="80" t="s">
        <v>202</v>
      </c>
      <c r="D52" s="80" t="s">
        <v>203</v>
      </c>
      <c r="E52" s="80" t="s">
        <v>204</v>
      </c>
      <c r="F52" s="82">
        <v>11.0</v>
      </c>
      <c r="G52" s="79" t="str">
        <f>IFERROR(__xludf.DUMMYFUNCTION("TRIM(REGEXREPLACE(C52, ""[0-9]+[a-f]?\."", """"))"),"Who are you trying to interview? Here are the other respondents in this household:")</f>
        <v>Who are you trying to interview? Here are the other respondents in this household:</v>
      </c>
      <c r="H52" s="79" t="str">
        <f>IFERROR(__xludf.DUMMYFUNCTION("TRIM(REGEXREPLACE(D52, ""[0-9]+[a-f]?\."", """"))"),"Qui essayez-vous d’interroger ? Voici les autres répondants de ce foyer :")</f>
        <v>Qui essayez-vous d’interroger ? Voici les autres répondants de ce foyer :</v>
      </c>
      <c r="I52" s="79" t="str">
        <f>IFERROR(__xludf.DUMMYFUNCTION("TRIM(REGEXREPLACE(E52, ""[0-9]+[a-f]?\."", """"))"),"Wanene kuke ƙoƙarin yin hira da shi ? Ga sauran masu bada amsa a wannan gidan:")</f>
        <v>Wanene kuke ƙoƙarin yin hira da shi ? Ga sauran masu bada amsa a wannan gidan:</v>
      </c>
      <c r="J52" s="79" t="s">
        <v>202</v>
      </c>
      <c r="K52" s="79" t="s">
        <v>207</v>
      </c>
      <c r="L52" s="79" t="s">
        <v>208</v>
      </c>
    </row>
    <row r="53">
      <c r="A53" s="79" t="s">
        <v>42</v>
      </c>
      <c r="B53" s="79" t="s">
        <v>209</v>
      </c>
      <c r="C53" s="80" t="s">
        <v>210</v>
      </c>
      <c r="D53" s="80" t="s">
        <v>212</v>
      </c>
      <c r="E53" s="80" t="s">
        <v>213</v>
      </c>
      <c r="F53" s="82">
        <v>12.0</v>
      </c>
      <c r="G53" s="79" t="str">
        <f>IFERROR(__xludf.DUMMYFUNCTION("TRIM(REGEXREPLACE(C53, ""[0-9]+[a-f]?\."", """"))"),"End of survey. Please return and fill out the PM survey to collect survey responses.")</f>
        <v>End of survey. Please return and fill out the PM survey to collect survey responses.</v>
      </c>
      <c r="H53" s="79" t="str">
        <f>IFERROR(__xludf.DUMMYFUNCTION("TRIM(REGEXREPLACE(D53, ""[0-9]+[a-f]?\."", """"))"),"Fin de l'enquête. Veuillez revenir et remplir l'enquête PM pour recueillir les réponses aux questions.")</f>
        <v>Fin de l'enquête. Veuillez revenir et remplir l'enquête PM pour recueillir les réponses aux questions.</v>
      </c>
      <c r="I53" s="79" t="str">
        <f>IFERROR(__xludf.DUMMYFUNCTION("TRIM(REGEXREPLACE(E53, ""[0-9]+[a-f]?\."", """"))"),"Ƙarshen binciken kenan. Da fatan za a dawo a cika binciken PM don tattara amsoshin binciken.")</f>
        <v>Ƙarshen binciken kenan. Da fatan za a dawo a cika binciken PM don tattara amsoshin binciken.</v>
      </c>
      <c r="J53" s="79" t="s">
        <v>210</v>
      </c>
      <c r="K53" s="79" t="s">
        <v>214</v>
      </c>
      <c r="L53" s="79" t="s">
        <v>215</v>
      </c>
    </row>
    <row r="54">
      <c r="A54" s="79" t="s">
        <v>42</v>
      </c>
      <c r="B54" s="79" t="s">
        <v>216</v>
      </c>
      <c r="C54" s="80" t="s">
        <v>217</v>
      </c>
      <c r="D54" s="80" t="s">
        <v>218</v>
      </c>
      <c r="E54" s="80" t="s">
        <v>219</v>
      </c>
      <c r="F54" s="82">
        <v>13.0</v>
      </c>
      <c r="G54" s="79" t="str">
        <f>IFERROR(__xludf.DUMMYFUNCTION("TRIM(REGEXREPLACE(C54, ""[0-9]+[a-f]?\."", """"))"),"End of survey. Please return and fill out the SHM survey to collect survey responses.")</f>
        <v>End of survey. Please return and fill out the SHM survey to collect survey responses.</v>
      </c>
      <c r="H54" s="79" t="str">
        <f>IFERROR(__xludf.DUMMYFUNCTION("TRIM(REGEXREPLACE(D54, ""[0-9]+[a-f]?\."", """"))"),"Fin de l'enquête. Veuillez revenir et remplir l'enquête du SHM pour recueillir les réponses aux questions.")</f>
        <v>Fin de l'enquête. Veuillez revenir et remplir l'enquête du SHM pour recueillir les réponses aux questions.</v>
      </c>
      <c r="I54" s="79" t="str">
        <f>IFERROR(__xludf.DUMMYFUNCTION("TRIM(REGEXREPLACE(E54, ""[0-9]+[a-f]?\."", """"))"),"Ƙarshen binciken kenan. Da fatan za a dawo baya a cika binciken SHM don tattara amsoshin binciken.")</f>
        <v>Ƙarshen binciken kenan. Da fatan za a dawo baya a cika binciken SHM don tattara amsoshin binciken.</v>
      </c>
      <c r="J54" s="79" t="s">
        <v>217</v>
      </c>
      <c r="K54" s="79" t="s">
        <v>223</v>
      </c>
      <c r="L54" s="79" t="s">
        <v>224</v>
      </c>
    </row>
    <row r="55">
      <c r="A55" s="79" t="s">
        <v>42</v>
      </c>
      <c r="B55" s="79" t="s">
        <v>225</v>
      </c>
      <c r="C55" s="80" t="s">
        <v>226</v>
      </c>
      <c r="D55" s="80" t="s">
        <v>228</v>
      </c>
      <c r="E55" s="80" t="s">
        <v>229</v>
      </c>
      <c r="F55" s="82">
        <v>14.0</v>
      </c>
      <c r="G55" s="79" t="str">
        <f>IFERROR(__xludf.DUMMYFUNCTION("TRIM(REGEXREPLACE(C55, ""[0-9]+[a-f]?\."", """"))"),"End of survey. The woman respondent is the Secondary HH member. Please return and fill out the SHM survey to collect survey responses.")</f>
        <v>End of survey. The woman respondent is the Secondary HH member. Please return and fill out the SHM survey to collect survey responses.</v>
      </c>
      <c r="H55" s="79" t="str">
        <f>IFERROR(__xludf.DUMMYFUNCTION("TRIM(REGEXREPLACE(D55, ""[0-9]+[a-f]?\."", """"))"),"Fin de l'enquête. La femme interrogée est le second membre du ménage. Veuillez revenir en arrière et remplir l'enquête du SHM pour recueillir les réponses aux questions.")</f>
        <v>Fin de l'enquête. La femme interrogée est le second membre du ménage. Veuillez revenir en arrière et remplir l'enquête du SHM pour recueillir les réponses aux questions.</v>
      </c>
      <c r="I55" s="79" t="str">
        <f>IFERROR(__xludf.DUMMYFUNCTION("TRIM(REGEXREPLACE(E55, ""[0-9]+[a-f]?\."", """"))"),"Ƙarshen binciken kenan. Matar da ta bada amsa ita ce memba na biyu a gidan. Da fatan za a dawo a cika binciken SHM don tattara amsoshin tambayoyin.")</f>
        <v>Ƙarshen binciken kenan. Matar da ta bada amsa ita ce memba na biyu a gidan. Da fatan za a dawo a cika binciken SHM don tattara amsoshin tambayoyin.</v>
      </c>
      <c r="J55" s="79" t="s">
        <v>226</v>
      </c>
      <c r="K55" s="79" t="s">
        <v>228</v>
      </c>
      <c r="L55" s="79" t="s">
        <v>229</v>
      </c>
    </row>
    <row r="56">
      <c r="A56" s="79" t="s">
        <v>194</v>
      </c>
      <c r="B56" s="79" t="s">
        <v>233</v>
      </c>
      <c r="C56" s="80" t="s">
        <v>234</v>
      </c>
      <c r="D56" s="80" t="s">
        <v>235</v>
      </c>
      <c r="E56" s="80" t="s">
        <v>236</v>
      </c>
      <c r="F56" s="82">
        <v>15.0</v>
      </c>
      <c r="G56" s="79" t="str">
        <f>IFERROR(__xludf.DUMMYFUNCTION("TRIM(REGEXREPLACE(C56, ""[0-9]+[a-f]?\."", """"))"),"Is ${w_name} available to be interviewed?")</f>
        <v>Is ${w_name} available to be interviewed?</v>
      </c>
      <c r="H56" s="79" t="str">
        <f>IFERROR(__xludf.DUMMYFUNCTION("TRIM(REGEXREPLACE(D56, ""[0-9]+[a-f]?\."", """"))"),"Est-ce que ${w_name} est disponible pour être interviewé ?")</f>
        <v>Est-ce que ${w_name} est disponible pour être interviewé ?</v>
      </c>
      <c r="I56" s="79" t="str">
        <f>IFERROR(__xludf.DUMMYFUNCTION("TRIM(REGEXREPLACE(E56, ""[0-9]+[a-f]?\."", """"))"),"Ko ${w_name} yana da damar yin hira mu?")</f>
        <v>Ko ${w_name} yana da damar yin hira mu?</v>
      </c>
      <c r="J56" s="79" t="s">
        <v>234</v>
      </c>
      <c r="K56" s="79" t="s">
        <v>235</v>
      </c>
      <c r="L56" s="79" t="s">
        <v>236</v>
      </c>
    </row>
    <row r="57" hidden="1"/>
    <row r="58">
      <c r="A58" s="79" t="s">
        <v>194</v>
      </c>
      <c r="B58" s="79" t="s">
        <v>240</v>
      </c>
      <c r="C58" s="80" t="s">
        <v>241</v>
      </c>
      <c r="D58" s="80" t="s">
        <v>242</v>
      </c>
      <c r="E58" s="80" t="s">
        <v>243</v>
      </c>
      <c r="F58" s="82">
        <v>16.0</v>
      </c>
      <c r="G58" s="79" t="str">
        <f>IFERROR(__xludf.DUMMYFUNCTION("TRIM(REGEXREPLACE(C58, ""[0-9]+[a-f]?\."", """"))"),"&lt;p&gt;&lt;span style=""color: #ff0000;""&gt;&lt;b&gt;ENUMERATOR: Starting now, you will read the questions out loud.&lt;/b&gt;&lt;/span&gt;
&lt;br&gt; &lt;br&gt; 
Great, I am visiting to ask you questions to learn about how you have been since the last time you spoke with us.&lt;br&gt; &lt;br&gt; 
To re"&amp;"mind you, we asked your permission to visit you once every 6 months and reach you by phone between our in-person visits. If you complete each in-person survey, we will send you ${treatment_cfa} in phone credit each time. You are free to skip any questions"&amp;"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58" s="79" t="str">
        <f>IFERROR(__xludf.DUMMYFUNCTION("TRIM(REGEXREPLACE(D58, ""[0-9]+[a-f]?\."", """"))"),"&lt;p&gt;&lt;span style=""color: #ff0000;""&gt;&lt;b&gt;ENQUETEUR : À partir de maintenant, vous lirez les questions à haute voix.&lt;/b&gt;&lt;/span&gt;
&lt;br&gt; &lt;br&gt; 
Super, je viens vous poser des questions afin de savoir comment vous allez depuis la dernière fois que vous nous avez p"&amp;"arlé.
&lt;br&gt; &lt;br&gt; 
Pour rappel, nous avons demandé votre autorisation pour vous rendre visite une fois tous les 6 mois. Si vous répondez à chaque enquête en personne, nous vous enverrons à chaque fois ${treatment_cfa} de crédit téléphonique. Vous êtes libr"&amp;"e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58" s="79" t="str">
        <f>IFERROR(__xludf.DUMMYFUNCTION("TRIM(REGEXREPLACE(E58, ""[0-9]+[a-f]?\."", """"))"),"&lt;p&gt;&lt;span style=""color: #ff0000;""&gt;&lt;b&gt;Mai bincike: Daga yanzu, za ka karanta tambayoyin da babbar murya.&lt;/b&gt;&lt;/span&gt;
&lt;br&gt; &lt;br&gt; 
Madalla, na ziyarce ku ne domin in yi muku tambayoyi don sanin yadda kuka kasance tun lokacin da kuka yi magana da mu.&lt;br&gt; &lt;br&gt;"&amp;" 
Don tunatar da ku, mun nemi izinin ku don ziyartar ku sau ɗaya a kowane watanni Idan kun bada amsa ga kowane binciken na gaba da gaba, za mu aika muku ${treatment_cfa} a kuɗin waya kowane lokaci. Kuna da ƴanci tsallake kowace tambaya idan ba ku so bada"&amp;"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58" s="79" t="s">
        <v>241</v>
      </c>
      <c r="K58" s="79" t="s">
        <v>242</v>
      </c>
      <c r="L58" s="79" t="s">
        <v>244</v>
      </c>
    </row>
    <row r="59" hidden="1"/>
    <row r="60" hidden="1"/>
    <row r="61" hidden="1">
      <c r="B61" s="80"/>
      <c r="C61" s="80"/>
      <c r="D61" s="80"/>
      <c r="E61" s="80"/>
      <c r="F61" s="82">
        <v>14.0</v>
      </c>
      <c r="G61" s="79" t="str">
        <f>IFERROR(__xludf.DUMMYFUNCTION("TRIM(REGEXREPLACE(C61, ""[0-9]+[a-f]?\."", """"))"),"")</f>
        <v/>
      </c>
      <c r="H61" s="79" t="str">
        <f>IFERROR(__xludf.DUMMYFUNCTION("TRIM(REGEXREPLACE(D61, ""[0-9]+[a-f]?\."", """"))"),"")</f>
        <v/>
      </c>
      <c r="I61" s="79" t="str">
        <f>IFERROR(__xludf.DUMMYFUNCTION("TRIM(REGEXREPLACE(E61, ""[0-9]+[a-f]?\."", """"))"),"")</f>
        <v/>
      </c>
      <c r="J61" s="79" t="s">
        <v>246</v>
      </c>
      <c r="K61" s="79" t="s">
        <v>247</v>
      </c>
      <c r="L61" s="79" t="s">
        <v>247</v>
      </c>
    </row>
    <row r="62" hidden="1">
      <c r="B62" s="80"/>
      <c r="C62" s="80"/>
      <c r="D62" s="80"/>
      <c r="E62" s="80"/>
      <c r="F62" s="82">
        <v>15.0</v>
      </c>
      <c r="G62" s="79" t="str">
        <f>IFERROR(__xludf.DUMMYFUNCTION("TRIM(REGEXREPLACE(C62, ""[0-9]+[a-f]?\."", """"))"),"")</f>
        <v/>
      </c>
      <c r="H62" s="79" t="str">
        <f>IFERROR(__xludf.DUMMYFUNCTION("TRIM(REGEXREPLACE(D62, ""[0-9]+[a-f]?\."", """"))"),"")</f>
        <v/>
      </c>
      <c r="I62" s="79" t="str">
        <f>IFERROR(__xludf.DUMMYFUNCTION("TRIM(REGEXREPLACE(E62, ""[0-9]+[a-f]?\."", """"))"),"")</f>
        <v/>
      </c>
      <c r="J62" s="79" t="s">
        <v>249</v>
      </c>
      <c r="K62" s="79" t="s">
        <v>250</v>
      </c>
      <c r="L62" s="79" t="s">
        <v>250</v>
      </c>
    </row>
    <row r="63" hidden="1">
      <c r="B63" s="80"/>
      <c r="C63" s="80"/>
      <c r="D63" s="80"/>
      <c r="E63" s="80"/>
      <c r="F63" s="82">
        <v>16.0</v>
      </c>
      <c r="G63" s="79" t="str">
        <f>IFERROR(__xludf.DUMMYFUNCTION("TRIM(REGEXREPLACE(C63, ""[0-9]+[a-f]?\."", """"))"),"")</f>
        <v/>
      </c>
      <c r="H63" s="79" t="str">
        <f>IFERROR(__xludf.DUMMYFUNCTION("TRIM(REGEXREPLACE(D63, ""[0-9]+[a-f]?\."", """"))"),"")</f>
        <v/>
      </c>
      <c r="I63" s="79" t="str">
        <f>IFERROR(__xludf.DUMMYFUNCTION("TRIM(REGEXREPLACE(E63, ""[0-9]+[a-f]?\."", """"))"),"")</f>
        <v/>
      </c>
      <c r="J63" s="79" t="s">
        <v>251</v>
      </c>
      <c r="K63" s="79" t="s">
        <v>252</v>
      </c>
      <c r="L63" s="79" t="s">
        <v>253</v>
      </c>
    </row>
    <row r="64" hidden="1">
      <c r="B64" s="80"/>
      <c r="C64" s="80"/>
      <c r="D64" s="80"/>
      <c r="E64" s="80"/>
      <c r="F64" s="82">
        <v>17.0</v>
      </c>
      <c r="G64" s="79" t="str">
        <f>IFERROR(__xludf.DUMMYFUNCTION("TRIM(REGEXREPLACE(C64, ""[0-9]+[a-f]?\."", """"))"),"")</f>
        <v/>
      </c>
      <c r="H64" s="79" t="str">
        <f>IFERROR(__xludf.DUMMYFUNCTION("TRIM(REGEXREPLACE(D64, ""[0-9]+[a-f]?\."", """"))"),"")</f>
        <v/>
      </c>
      <c r="I64" s="79" t="str">
        <f>IFERROR(__xludf.DUMMYFUNCTION("TRIM(REGEXREPLACE(E64, ""[0-9]+[a-f]?\."", """"))"),"")</f>
        <v/>
      </c>
      <c r="J64" s="79" t="s">
        <v>257</v>
      </c>
      <c r="K64" s="79" t="s">
        <v>258</v>
      </c>
      <c r="L64" s="79" t="s">
        <v>259</v>
      </c>
    </row>
    <row r="65" hidden="1">
      <c r="B65" s="80"/>
      <c r="C65" s="80"/>
      <c r="D65" s="80"/>
      <c r="E65" s="80"/>
      <c r="F65" s="82">
        <v>18.0</v>
      </c>
      <c r="G65" s="79" t="str">
        <f>IFERROR(__xludf.DUMMYFUNCTION("TRIM(REGEXREPLACE(C65, ""[0-9]+[a-f]?\."", """"))"),"")</f>
        <v/>
      </c>
      <c r="H65" s="79" t="str">
        <f>IFERROR(__xludf.DUMMYFUNCTION("TRIM(REGEXREPLACE(D65, ""[0-9]+[a-f]?\."", """"))"),"")</f>
        <v/>
      </c>
      <c r="I65" s="79" t="str">
        <f>IFERROR(__xludf.DUMMYFUNCTION("TRIM(REGEXREPLACE(E65, ""[0-9]+[a-f]?\."", """"))"),"")</f>
        <v/>
      </c>
      <c r="J65" s="79" t="s">
        <v>261</v>
      </c>
      <c r="K65" s="79" t="s">
        <v>263</v>
      </c>
      <c r="L65" s="79" t="s">
        <v>264</v>
      </c>
    </row>
    <row r="66">
      <c r="A66" s="79" t="s">
        <v>42</v>
      </c>
      <c r="B66" s="80" t="s">
        <v>265</v>
      </c>
      <c r="C66" s="80" t="s">
        <v>266</v>
      </c>
      <c r="D66" s="80" t="s">
        <v>267</v>
      </c>
      <c r="E66" s="80" t="s">
        <v>267</v>
      </c>
      <c r="F66" s="82">
        <v>17.0</v>
      </c>
      <c r="G66" s="79" t="str">
        <f>IFERROR(__xludf.DUMMYFUNCTION("TRIM(REGEXREPLACE(C66, ""[0-9]+[a-f]?\."", """"))"),"Woman Questions")</f>
        <v>Woman Questions</v>
      </c>
      <c r="H66" s="79" t="str">
        <f>IFERROR(__xludf.DUMMYFUNCTION("TRIM(REGEXREPLACE(D66, ""[0-9]+[a-f]?\."", """"))"),"")</f>
        <v/>
      </c>
      <c r="I66" s="79" t="str">
        <f>IFERROR(__xludf.DUMMYFUNCTION("TRIM(REGEXREPLACE(E66, ""[0-9]+[a-f]?\."", """"))"),"")</f>
        <v/>
      </c>
      <c r="J66" s="79" t="s">
        <v>266</v>
      </c>
      <c r="K66" s="79" t="s">
        <v>267</v>
      </c>
      <c r="L66" s="79" t="s">
        <v>267</v>
      </c>
    </row>
    <row r="67" hidden="1">
      <c r="B67" s="80"/>
      <c r="C67" s="80"/>
      <c r="D67" s="80"/>
      <c r="E67" s="80"/>
      <c r="F67" s="82">
        <v>18.0</v>
      </c>
      <c r="G67" s="79" t="str">
        <f>IFERROR(__xludf.DUMMYFUNCTION("TRIM(REGEXREPLACE(C67, ""[0-9]+[a-f]?\."", """"))"),"")</f>
        <v/>
      </c>
      <c r="H67" s="79" t="str">
        <f>IFERROR(__xludf.DUMMYFUNCTION("TRIM(REGEXREPLACE(D67, ""[0-9]+[a-f]?\."", """"))"),"")</f>
        <v/>
      </c>
      <c r="I67" s="79" t="str">
        <f>IFERROR(__xludf.DUMMYFUNCTION("TRIM(REGEXREPLACE(E67, ""[0-9]+[a-f]?\."", """"))"),"")</f>
        <v/>
      </c>
      <c r="J67" s="79" t="s">
        <v>272</v>
      </c>
      <c r="K67" s="79" t="s">
        <v>273</v>
      </c>
      <c r="L67" s="79" t="s">
        <v>273</v>
      </c>
    </row>
    <row r="68">
      <c r="A68" s="79" t="s">
        <v>42</v>
      </c>
      <c r="B68" s="80" t="s">
        <v>275</v>
      </c>
      <c r="C68" s="80" t="s">
        <v>272</v>
      </c>
      <c r="D68" s="80" t="s">
        <v>273</v>
      </c>
      <c r="E68" s="80" t="s">
        <v>273</v>
      </c>
      <c r="F68" s="82">
        <v>18.0</v>
      </c>
      <c r="G68" s="79" t="str">
        <f>IFERROR(__xludf.DUMMYFUNCTION("TRIM(REGEXREPLACE(C68, ""[0-9]+[a-f]?\."", """"))"),"Before we begin, I would like to ask you about the locations of other respondents of this household")</f>
        <v>Before we begin, I would like to ask you about the locations of other respondents of this household</v>
      </c>
      <c r="H68" s="79" t="str">
        <f>IFERROR(__xludf.DUMMYFUNCTION("TRIM(REGEXREPLACE(D68, ""[0-9]+[a-f]?\."", """"))"),"")</f>
        <v/>
      </c>
      <c r="I68" s="79" t="str">
        <f>IFERROR(__xludf.DUMMYFUNCTION("TRIM(REGEXREPLACE(E68, ""[0-9]+[a-f]?\."", """"))"),"")</f>
        <v/>
      </c>
      <c r="J68" s="79" t="s">
        <v>272</v>
      </c>
      <c r="K68" s="79" t="s">
        <v>273</v>
      </c>
      <c r="L68" s="79" t="s">
        <v>273</v>
      </c>
    </row>
    <row r="69">
      <c r="A69" s="79" t="s">
        <v>277</v>
      </c>
      <c r="B69" s="80" t="s">
        <v>278</v>
      </c>
      <c r="C69" s="80" t="s">
        <v>279</v>
      </c>
      <c r="D69" s="80" t="s">
        <v>280</v>
      </c>
      <c r="E69" s="80" t="s">
        <v>281</v>
      </c>
      <c r="F69" s="82">
        <v>19.0</v>
      </c>
      <c r="G69" s="79" t="str">
        <f>IFERROR(__xludf.DUMMYFUNCTION("TRIM(REGEXREPLACE(C69, ""[0-9]+[a-f]?\."", """"))"),"Is ${pm_name} currently living in your household?")</f>
        <v>Is ${pm_name} currently living in your household?</v>
      </c>
      <c r="H69" s="79" t="str">
        <f>IFERROR(__xludf.DUMMYFUNCTION("TRIM(REGEXREPLACE(D69, ""[0-9]+[a-f]?\."", """"))"),"${pm_name} vit-il actuellement dans votre ménage?")</f>
        <v>${pm_name} vit-il actuellement dans votre ménage?</v>
      </c>
      <c r="I69" s="79" t="str">
        <f>IFERROR(__xludf.DUMMYFUNCTION("TRIM(REGEXREPLACE(E69, ""[0-9]+[a-f]?\."", """"))"),"Ko ${pm_name} yana zaune a gidan ku a hali yanzu?")</f>
        <v>Ko ${pm_name} yana zaune a gidan ku a hali yanzu?</v>
      </c>
      <c r="J69" s="79" t="s">
        <v>279</v>
      </c>
      <c r="K69" s="79" t="s">
        <v>280</v>
      </c>
      <c r="L69" s="79" t="s">
        <v>281</v>
      </c>
    </row>
    <row r="70">
      <c r="A70" s="79" t="s">
        <v>194</v>
      </c>
      <c r="B70" s="80" t="s">
        <v>282</v>
      </c>
      <c r="C70" s="80" t="s">
        <v>283</v>
      </c>
      <c r="D70" s="80" t="s">
        <v>284</v>
      </c>
      <c r="E70" s="80" t="s">
        <v>285</v>
      </c>
      <c r="F70" s="82">
        <v>20.0</v>
      </c>
      <c r="G70" s="79" t="str">
        <f>IFERROR(__xludf.DUMMYFUNCTION("TRIM(REGEXREPLACE(C70, ""[0-9]+[a-f]?\."", """"))"),"Where is ${pm_name} living right now?
Enumerator: Is location in Niger?")</f>
        <v>Where is ${pm_name} living right now?
Enumerator: Is location in Niger?</v>
      </c>
      <c r="H70" s="79" t="str">
        <f>IFERROR(__xludf.DUMMYFUNCTION("TRIM(REGEXREPLACE(D70, ""[0-9]+[a-f]?\."", """"))"),"Où est ${pm_name} en ce moment?
 Énquêteur: le lieu est-il au Niger?")</f>
        <v>Où est ${pm_name} en ce moment?
 Énquêteur: le lieu est-il au Niger?</v>
      </c>
      <c r="I70" s="79" t="str">
        <f>IFERROR(__xludf.DUMMYFUNCTION("TRIM(REGEXREPLACE(E70, ""[0-9]+[a-f]?\."", """"))"),"Ina ${pm_name} yake a yanzu?
 Dan bincike: Ko wurin a Nijar ne?")</f>
        <v>Ina ${pm_name} yake a yanzu?
 Dan bincike: Ko wurin a Nijar ne?</v>
      </c>
      <c r="J70" s="79" t="s">
        <v>283</v>
      </c>
      <c r="K70" s="79" t="s">
        <v>284</v>
      </c>
      <c r="L70" s="79" t="s">
        <v>285</v>
      </c>
    </row>
    <row r="71">
      <c r="A71" s="79" t="s">
        <v>287</v>
      </c>
      <c r="B71" s="80" t="s">
        <v>288</v>
      </c>
      <c r="C71" s="80" t="s">
        <v>290</v>
      </c>
      <c r="D71" s="80" t="s">
        <v>291</v>
      </c>
      <c r="E71" s="80" t="s">
        <v>292</v>
      </c>
      <c r="F71" s="82">
        <v>21.0</v>
      </c>
      <c r="G71" s="79" t="str">
        <f>IFERROR(__xludf.DUMMYFUNCTION("TRIM(REGEXREPLACE(C71, ""[0-9]+[a-f]?\."", """"))"),"Enumerator: Select region in Niger")</f>
        <v>Enumerator: Select region in Niger</v>
      </c>
      <c r="H71" s="79" t="str">
        <f>IFERROR(__xludf.DUMMYFUNCTION("TRIM(REGEXREPLACE(D71, ""[0-9]+[a-f]?\."", """"))"),"Enquêteur : Sélectionnez une région au Niger")</f>
        <v>Enquêteur : Sélectionnez une région au Niger</v>
      </c>
      <c r="I71" s="79" t="str">
        <f>IFERROR(__xludf.DUMMYFUNCTION("TRIM(REGEXREPLACE(E71, ""[0-9]+[a-f]?\."", """"))"),"Ɗan bincike: Zaɓi Jaha ɗaya a Nijar")</f>
        <v>Ɗan bincike: Zaɓi Jaha ɗaya a Nijar</v>
      </c>
      <c r="J71" s="79" t="s">
        <v>290</v>
      </c>
      <c r="K71" s="79" t="s">
        <v>291</v>
      </c>
      <c r="L71" s="79" t="s">
        <v>292</v>
      </c>
    </row>
    <row r="72">
      <c r="A72" s="79" t="s">
        <v>294</v>
      </c>
      <c r="B72" s="80" t="s">
        <v>295</v>
      </c>
      <c r="C72" s="80" t="s">
        <v>296</v>
      </c>
      <c r="D72" s="80" t="s">
        <v>297</v>
      </c>
      <c r="E72" s="80" t="s">
        <v>298</v>
      </c>
      <c r="F72" s="82">
        <v>22.0</v>
      </c>
      <c r="G72" s="79" t="str">
        <f>IFERROR(__xludf.DUMMYFUNCTION("TRIM(REGEXREPLACE(C72, ""[0-9]+[a-f]?\."", """"))"),"Enumerator: Select country")</f>
        <v>Enumerator: Select country</v>
      </c>
      <c r="H72" s="79" t="str">
        <f>IFERROR(__xludf.DUMMYFUNCTION("TRIM(REGEXREPLACE(D72, ""[0-9]+[a-f]?\."", """"))"),"Enquêteur : sélectionnez le pays")</f>
        <v>Enquêteur : sélectionnez le pays</v>
      </c>
      <c r="I72" s="79" t="str">
        <f>IFERROR(__xludf.DUMMYFUNCTION("TRIM(REGEXREPLACE(E72, ""[0-9]+[a-f]?\."", """"))"),"Ɗan bincike: Zaɓi ƙasa")</f>
        <v>Ɗan bincike: Zaɓi ƙasa</v>
      </c>
      <c r="J72" s="79" t="s">
        <v>296</v>
      </c>
      <c r="K72" s="79" t="s">
        <v>297</v>
      </c>
      <c r="L72" s="79" t="s">
        <v>298</v>
      </c>
    </row>
    <row r="73">
      <c r="A73" s="79" t="s">
        <v>299</v>
      </c>
      <c r="B73" s="80" t="s">
        <v>300</v>
      </c>
      <c r="C73" s="80" t="s">
        <v>301</v>
      </c>
      <c r="D73" s="80" t="s">
        <v>302</v>
      </c>
      <c r="E73" s="80" t="s">
        <v>304</v>
      </c>
      <c r="F73" s="82">
        <v>23.0</v>
      </c>
      <c r="G73" s="79" t="str">
        <f>IFERROR(__xludf.DUMMYFUNCTION("TRIM(REGEXREPLACE(C73, ""[0-9]+[a-f]?\."", """"))"),"Enumerator: Enter other country")</f>
        <v>Enumerator: Enter other country</v>
      </c>
      <c r="H73" s="79" t="str">
        <f>IFERROR(__xludf.DUMMYFUNCTION("TRIM(REGEXREPLACE(D73, ""[0-9]+[a-f]?\."", """"))"),"Enquêteur : Entrez un autre pays")</f>
        <v>Enquêteur : Entrez un autre pays</v>
      </c>
      <c r="I73" s="79" t="str">
        <f>IFERROR(__xludf.DUMMYFUNCTION("TRIM(REGEXREPLACE(E73, ""[0-9]+[a-f]?\."", """"))"),"Ɗan bincike: Shigar da wata ƙasa")</f>
        <v>Ɗan bincike: Shigar da wata ƙasa</v>
      </c>
      <c r="J73" s="79" t="s">
        <v>301</v>
      </c>
      <c r="K73" s="79" t="s">
        <v>302</v>
      </c>
      <c r="L73" s="79" t="s">
        <v>304</v>
      </c>
    </row>
    <row r="74">
      <c r="A74" s="79" t="s">
        <v>305</v>
      </c>
      <c r="B74" s="80" t="s">
        <v>306</v>
      </c>
      <c r="C74" s="80" t="s">
        <v>307</v>
      </c>
      <c r="D74" s="80" t="s">
        <v>308</v>
      </c>
      <c r="E74" s="80" t="s">
        <v>309</v>
      </c>
      <c r="F74" s="82">
        <v>24.0</v>
      </c>
      <c r="G74" s="79" t="str">
        <f>IFERROR(__xludf.DUMMYFUNCTION("TRIM(REGEXREPLACE(C74, ""[0-9]+[a-f]?\."", """"))"),"Enumerator: Select town")</f>
        <v>Enumerator: Select town</v>
      </c>
      <c r="H74" s="79" t="str">
        <f>IFERROR(__xludf.DUMMYFUNCTION("TRIM(REGEXREPLACE(D74, ""[0-9]+[a-f]?\."", """"))"),"Enquêteur : Sélectionnez la ville")</f>
        <v>Enquêteur : Sélectionnez la ville</v>
      </c>
      <c r="I74" s="79" t="str">
        <f>IFERROR(__xludf.DUMMYFUNCTION("TRIM(REGEXREPLACE(E74, ""[0-9]+[a-f]?\."", """"))"),"Ɗan bincike: Zaɓi gari")</f>
        <v>Ɗan bincike: Zaɓi gari</v>
      </c>
      <c r="J74" s="79" t="s">
        <v>307</v>
      </c>
      <c r="K74" s="79" t="s">
        <v>308</v>
      </c>
      <c r="L74" s="79" t="s">
        <v>309</v>
      </c>
    </row>
    <row r="75">
      <c r="A75" s="79" t="s">
        <v>299</v>
      </c>
      <c r="B75" s="80" t="s">
        <v>310</v>
      </c>
      <c r="C75" s="80" t="s">
        <v>311</v>
      </c>
      <c r="D75" s="80" t="s">
        <v>312</v>
      </c>
      <c r="E75" s="80" t="s">
        <v>313</v>
      </c>
      <c r="F75" s="82">
        <v>25.0</v>
      </c>
      <c r="G75" s="79" t="str">
        <f>IFERROR(__xludf.DUMMYFUNCTION("TRIM(REGEXREPLACE(C75, ""[0-9]+[a-f]?\."", """"))"),"Enumerator: Enter other town")</f>
        <v>Enumerator: Enter other town</v>
      </c>
      <c r="H75" s="79" t="str">
        <f>IFERROR(__xludf.DUMMYFUNCTION("TRIM(REGEXREPLACE(D75, ""[0-9]+[a-f]?\."", """"))"),"Enquêteur : Entrez un autre ville")</f>
        <v>Enquêteur : Entrez un autre ville</v>
      </c>
      <c r="I75" s="79" t="str">
        <f>IFERROR(__xludf.DUMMYFUNCTION("TRIM(REGEXREPLACE(E75, ""[0-9]+[a-f]?\."", """"))"),"Ɗan bincike: Shigar da wata gari")</f>
        <v>Ɗan bincike: Shigar da wata gari</v>
      </c>
      <c r="J75" s="79" t="s">
        <v>311</v>
      </c>
      <c r="K75" s="79" t="s">
        <v>312</v>
      </c>
      <c r="L75" s="79" t="s">
        <v>313</v>
      </c>
    </row>
    <row r="76">
      <c r="A76" s="79" t="s">
        <v>277</v>
      </c>
      <c r="B76" s="80" t="s">
        <v>314</v>
      </c>
      <c r="C76" s="80" t="s">
        <v>315</v>
      </c>
      <c r="D76" s="80"/>
      <c r="E76" s="80"/>
      <c r="F76" s="82">
        <v>26.0</v>
      </c>
      <c r="G76" s="79" t="str">
        <f>IFERROR(__xludf.DUMMYFUNCTION("TRIM(REGEXREPLACE(C76, ""[0-9]+[a-f]?\."", """"))"),"Will ${pm_name} be in the household within the next two weeks?")</f>
        <v>Will ${pm_name} be in the household within the next two weeks?</v>
      </c>
      <c r="H76" s="79" t="str">
        <f>IFERROR(__xludf.DUMMYFUNCTION("TRIM(REGEXREPLACE(D76, ""[0-9]+[a-f]?\."", """"))"),"")</f>
        <v/>
      </c>
      <c r="I76" s="79" t="str">
        <f>IFERROR(__xludf.DUMMYFUNCTION("TRIM(REGEXREPLACE(E76, ""[0-9]+[a-f]?\."", """"))"),"")</f>
        <v/>
      </c>
      <c r="J76" s="79" t="s">
        <v>317</v>
      </c>
      <c r="K76" s="79" t="s">
        <v>319</v>
      </c>
      <c r="L76" s="79" t="s">
        <v>319</v>
      </c>
    </row>
    <row r="77">
      <c r="A77" s="79" t="s">
        <v>277</v>
      </c>
      <c r="B77" s="80" t="s">
        <v>320</v>
      </c>
      <c r="C77" s="80" t="s">
        <v>321</v>
      </c>
      <c r="D77" s="80" t="s">
        <v>323</v>
      </c>
      <c r="E77" s="80" t="s">
        <v>324</v>
      </c>
      <c r="F77" s="82">
        <v>27.0</v>
      </c>
      <c r="G77" s="79" t="str">
        <f>IFERROR(__xludf.DUMMYFUNCTION("TRIM(REGEXREPLACE(C77, ""[0-9]+[a-f]?\."", """"))"),"Is ${shm_name} currently living in your household?")</f>
        <v>Is ${shm_name} currently living in your household?</v>
      </c>
      <c r="H77" s="79" t="str">
        <f>IFERROR(__xludf.DUMMYFUNCTION("TRIM(REGEXREPLACE(D77, ""[0-9]+[a-f]?\."", """"))"),"${shm_name} vit-il actuellement dans votre ménage?")</f>
        <v>${shm_name} vit-il actuellement dans votre ménage?</v>
      </c>
      <c r="I77" s="79" t="str">
        <f>IFERROR(__xludf.DUMMYFUNCTION("TRIM(REGEXREPLACE(E77, ""[0-9]+[a-f]?\."", """"))"),"Ko ${shm_name} yana zaune a gidan ku a hali yanzu?")</f>
        <v>Ko ${shm_name} yana zaune a gidan ku a hali yanzu?</v>
      </c>
      <c r="J77" s="79" t="s">
        <v>327</v>
      </c>
      <c r="K77" s="79" t="s">
        <v>328</v>
      </c>
      <c r="L77" s="79" t="s">
        <v>330</v>
      </c>
    </row>
    <row r="78">
      <c r="A78" s="79" t="s">
        <v>194</v>
      </c>
      <c r="B78" s="80" t="s">
        <v>331</v>
      </c>
      <c r="C78" s="80" t="s">
        <v>332</v>
      </c>
      <c r="D78" s="80" t="s">
        <v>333</v>
      </c>
      <c r="E78" s="80" t="s">
        <v>334</v>
      </c>
      <c r="F78" s="82">
        <v>28.0</v>
      </c>
      <c r="G78" s="79" t="str">
        <f>IFERROR(__xludf.DUMMYFUNCTION("TRIM(REGEXREPLACE(C78, ""[0-9]+[a-f]?\."", """"))"),"Where is ${shm_name} living?
Enumerator: Is location in Niger?")</f>
        <v>Where is ${shm_name} living?
Enumerator: Is location in Niger?</v>
      </c>
      <c r="H78" s="79" t="str">
        <f>IFERROR(__xludf.DUMMYFUNCTION("TRIM(REGEXREPLACE(D78, ""[0-9]+[a-f]?\."", """"))"),"Où habite ${shm_name}?
 Enquêteur : le lieu est-il au Niger?")</f>
        <v>Où habite ${shm_name}?
 Enquêteur : le lieu est-il au Niger?</v>
      </c>
      <c r="I78" s="79" t="str">
        <f>IFERROR(__xludf.DUMMYFUNCTION("TRIM(REGEXREPLACE(E78, ""[0-9]+[a-f]?\."", """"))"),"A ina ${shm_name} ya zaune?
 Mai bincike: Wurin a Nijar ne?")</f>
        <v>A ina ${shm_name} ya zaune?
 Mai bincike: Wurin a Nijar ne?</v>
      </c>
      <c r="J78" s="79" t="s">
        <v>335</v>
      </c>
      <c r="K78" s="79" t="s">
        <v>336</v>
      </c>
      <c r="L78" s="79" t="s">
        <v>337</v>
      </c>
    </row>
    <row r="79">
      <c r="A79" s="79" t="s">
        <v>287</v>
      </c>
      <c r="B79" s="80" t="s">
        <v>338</v>
      </c>
      <c r="C79" s="80" t="s">
        <v>339</v>
      </c>
      <c r="D79" s="80" t="s">
        <v>340</v>
      </c>
      <c r="E79" s="80" t="s">
        <v>341</v>
      </c>
      <c r="F79" s="82">
        <v>29.0</v>
      </c>
      <c r="G79" s="79" t="str">
        <f>IFERROR(__xludf.DUMMYFUNCTION("TRIM(REGEXREPLACE(C79, ""[0-9]+[a-f]?\."", """"))"),"Enumerator: Select region in Niger")</f>
        <v>Enumerator: Select region in Niger</v>
      </c>
      <c r="H79" s="79" t="str">
        <f>IFERROR(__xludf.DUMMYFUNCTION("TRIM(REGEXREPLACE(D79, ""[0-9]+[a-f]?\."", """"))"),"Enquêteur : Sélectionnez une région au Niger")</f>
        <v>Enquêteur : Sélectionnez une région au Niger</v>
      </c>
      <c r="I79" s="79" t="str">
        <f>IFERROR(__xludf.DUMMYFUNCTION("TRIM(REGEXREPLACE(E79, ""[0-9]+[a-f]?\."", """"))"),"Ɗan bincike: Zaɓi Jaha ɗaya a Nijar")</f>
        <v>Ɗan bincike: Zaɓi Jaha ɗaya a Nijar</v>
      </c>
      <c r="J79" s="79" t="s">
        <v>342</v>
      </c>
      <c r="K79" s="79" t="s">
        <v>343</v>
      </c>
      <c r="L79" s="79" t="s">
        <v>344</v>
      </c>
    </row>
    <row r="80">
      <c r="A80" s="79" t="s">
        <v>294</v>
      </c>
      <c r="B80" s="80" t="s">
        <v>345</v>
      </c>
      <c r="C80" s="80" t="s">
        <v>346</v>
      </c>
      <c r="D80" s="80" t="s">
        <v>347</v>
      </c>
      <c r="E80" s="80" t="s">
        <v>348</v>
      </c>
      <c r="F80" s="82">
        <v>30.0</v>
      </c>
      <c r="G80" s="79" t="str">
        <f>IFERROR(__xludf.DUMMYFUNCTION("TRIM(REGEXREPLACE(C80, ""[0-9]+[a-f]?\."", """"))"),"Enumerator: Select country")</f>
        <v>Enumerator: Select country</v>
      </c>
      <c r="H80" s="79" t="str">
        <f>IFERROR(__xludf.DUMMYFUNCTION("TRIM(REGEXREPLACE(D80, ""[0-9]+[a-f]?\."", """"))"),"Enquêteur : sélectionnez le pays")</f>
        <v>Enquêteur : sélectionnez le pays</v>
      </c>
      <c r="I80" s="79" t="str">
        <f>IFERROR(__xludf.DUMMYFUNCTION("TRIM(REGEXREPLACE(E80, ""[0-9]+[a-f]?\."", """"))"),"Ɗan bincike: Zaɓi ƙasa")</f>
        <v>Ɗan bincike: Zaɓi ƙasa</v>
      </c>
      <c r="J80" s="79" t="s">
        <v>352</v>
      </c>
      <c r="K80" s="79" t="s">
        <v>353</v>
      </c>
      <c r="L80" s="79" t="s">
        <v>354</v>
      </c>
    </row>
    <row r="81">
      <c r="A81" s="79" t="s">
        <v>299</v>
      </c>
      <c r="B81" s="80" t="s">
        <v>355</v>
      </c>
      <c r="C81" s="80" t="s">
        <v>356</v>
      </c>
      <c r="D81" s="80" t="s">
        <v>357</v>
      </c>
      <c r="E81" s="80" t="s">
        <v>358</v>
      </c>
      <c r="F81" s="82">
        <v>31.0</v>
      </c>
      <c r="G81" s="79" t="str">
        <f>IFERROR(__xludf.DUMMYFUNCTION("TRIM(REGEXREPLACE(C81, ""[0-9]+[a-f]?\."", """"))"),"Enumerator: Enter other country")</f>
        <v>Enumerator: Enter other country</v>
      </c>
      <c r="H81" s="79" t="str">
        <f>IFERROR(__xludf.DUMMYFUNCTION("TRIM(REGEXREPLACE(D81, ""[0-9]+[a-f]?\."", """"))"),"Enquêteur : Entrez un autre pays")</f>
        <v>Enquêteur : Entrez un autre pays</v>
      </c>
      <c r="I81" s="79" t="str">
        <f>IFERROR(__xludf.DUMMYFUNCTION("TRIM(REGEXREPLACE(E81, ""[0-9]+[a-f]?\."", """"))"),"Ɗan bincike: Shigar da wata ƙasa")</f>
        <v>Ɗan bincike: Shigar da wata ƙasa</v>
      </c>
      <c r="J81" s="79" t="s">
        <v>360</v>
      </c>
      <c r="K81" s="79" t="s">
        <v>361</v>
      </c>
      <c r="L81" s="79" t="s">
        <v>363</v>
      </c>
    </row>
    <row r="82">
      <c r="A82" s="79" t="s">
        <v>305</v>
      </c>
      <c r="B82" s="80" t="s">
        <v>364</v>
      </c>
      <c r="C82" s="80" t="s">
        <v>365</v>
      </c>
      <c r="D82" s="80" t="s">
        <v>366</v>
      </c>
      <c r="E82" s="80" t="s">
        <v>367</v>
      </c>
      <c r="F82" s="82">
        <v>32.0</v>
      </c>
      <c r="G82" s="79" t="str">
        <f>IFERROR(__xludf.DUMMYFUNCTION("TRIM(REGEXREPLACE(C82, ""[0-9]+[a-f]?\."", """"))"),"Enumerator: Select town")</f>
        <v>Enumerator: Select town</v>
      </c>
      <c r="H82" s="79" t="str">
        <f>IFERROR(__xludf.DUMMYFUNCTION("TRIM(REGEXREPLACE(D82, ""[0-9]+[a-f]?\."", """"))"),"Enquêteur : Sélectionnez la ville")</f>
        <v>Enquêteur : Sélectionnez la ville</v>
      </c>
      <c r="I82" s="79" t="str">
        <f>IFERROR(__xludf.DUMMYFUNCTION("TRIM(REGEXREPLACE(E82, ""[0-9]+[a-f]?\."", """"))"),"Ɗan bincike: Zaɓi gari")</f>
        <v>Ɗan bincike: Zaɓi gari</v>
      </c>
      <c r="J82" s="79" t="s">
        <v>368</v>
      </c>
      <c r="K82" s="79" t="s">
        <v>369</v>
      </c>
      <c r="L82" s="79" t="s">
        <v>370</v>
      </c>
    </row>
    <row r="83">
      <c r="A83" s="79" t="s">
        <v>299</v>
      </c>
      <c r="B83" s="80" t="s">
        <v>371</v>
      </c>
      <c r="C83" s="80" t="s">
        <v>311</v>
      </c>
      <c r="D83" s="80" t="s">
        <v>312</v>
      </c>
      <c r="E83" s="80" t="s">
        <v>313</v>
      </c>
      <c r="F83" s="82">
        <v>33.0</v>
      </c>
      <c r="G83" s="79" t="str">
        <f>IFERROR(__xludf.DUMMYFUNCTION("TRIM(REGEXREPLACE(C83, ""[0-9]+[a-f]?\."", """"))"),"Enumerator: Enter other town")</f>
        <v>Enumerator: Enter other town</v>
      </c>
      <c r="H83" s="79" t="str">
        <f>IFERROR(__xludf.DUMMYFUNCTION("TRIM(REGEXREPLACE(D83, ""[0-9]+[a-f]?\."", """"))"),"Enquêteur : Entrez un autre ville")</f>
        <v>Enquêteur : Entrez un autre ville</v>
      </c>
      <c r="I83" s="79" t="str">
        <f>IFERROR(__xludf.DUMMYFUNCTION("TRIM(REGEXREPLACE(E83, ""[0-9]+[a-f]?\."", """"))"),"Ɗan bincike: Shigar da wata gari")</f>
        <v>Ɗan bincike: Shigar da wata gari</v>
      </c>
      <c r="J83" s="79" t="s">
        <v>373</v>
      </c>
      <c r="K83" s="79" t="s">
        <v>374</v>
      </c>
      <c r="L83" s="79" t="s">
        <v>376</v>
      </c>
    </row>
    <row r="84">
      <c r="A84" s="79" t="s">
        <v>277</v>
      </c>
      <c r="B84" s="80" t="s">
        <v>377</v>
      </c>
      <c r="C84" s="80" t="s">
        <v>378</v>
      </c>
      <c r="D84" s="80"/>
      <c r="E84" s="80"/>
      <c r="F84" s="82">
        <v>34.0</v>
      </c>
      <c r="G84" s="79" t="str">
        <f>IFERROR(__xludf.DUMMYFUNCTION("TRIM(REGEXREPLACE(C84, ""[0-9]+[a-f]?\."", """"))"),"Will ${shm_name} be in the household within the next two weeks?")</f>
        <v>Will ${shm_name} be in the household within the next two weeks?</v>
      </c>
      <c r="H84" s="79" t="str">
        <f>IFERROR(__xludf.DUMMYFUNCTION("TRIM(REGEXREPLACE(D84, ""[0-9]+[a-f]?\."", """"))"),"")</f>
        <v/>
      </c>
      <c r="I84" s="79" t="str">
        <f>IFERROR(__xludf.DUMMYFUNCTION("TRIM(REGEXREPLACE(E84, ""[0-9]+[a-f]?\."", """"))"),"")</f>
        <v/>
      </c>
      <c r="J84" s="79" t="s">
        <v>380</v>
      </c>
      <c r="K84" s="79" t="s">
        <v>381</v>
      </c>
      <c r="L84" s="79" t="s">
        <v>381</v>
      </c>
    </row>
    <row r="85" hidden="1"/>
    <row r="86" hidden="1">
      <c r="B86" s="80"/>
      <c r="C86" s="80"/>
      <c r="D86" s="80"/>
      <c r="E86" s="80"/>
      <c r="F86" s="82">
        <v>35.0</v>
      </c>
      <c r="G86" s="79" t="str">
        <f>IFERROR(__xludf.DUMMYFUNCTION("TRIM(REGEXREPLACE(C86, ""[0-9]+[a-f]?\."", """"))"),"")</f>
        <v/>
      </c>
      <c r="H86" s="79" t="str">
        <f>IFERROR(__xludf.DUMMYFUNCTION("TRIM(REGEXREPLACE(D86, ""[0-9]+[a-f]?\."", """"))"),"")</f>
        <v/>
      </c>
      <c r="I86" s="79" t="str">
        <f>IFERROR(__xludf.DUMMYFUNCTION("TRIM(REGEXREPLACE(E86, ""[0-9]+[a-f]?\."", """"))"),"")</f>
        <v/>
      </c>
      <c r="J86" s="79" t="s">
        <v>383</v>
      </c>
      <c r="K86" s="79" t="s">
        <v>384</v>
      </c>
      <c r="L86" s="79" t="s">
        <v>386</v>
      </c>
    </row>
    <row r="87" hidden="1">
      <c r="B87" s="80"/>
      <c r="C87" s="80"/>
      <c r="D87" s="80"/>
      <c r="E87" s="80"/>
      <c r="F87" s="82">
        <v>36.0</v>
      </c>
      <c r="G87" s="79" t="str">
        <f>IFERROR(__xludf.DUMMYFUNCTION("TRIM(REGEXREPLACE(C87, ""[0-9]+[a-f]?\."", """"))"),"")</f>
        <v/>
      </c>
      <c r="H87" s="79" t="str">
        <f>IFERROR(__xludf.DUMMYFUNCTION("TRIM(REGEXREPLACE(D87, ""[0-9]+[a-f]?\."", """"))"),"")</f>
        <v/>
      </c>
      <c r="I87" s="79" t="str">
        <f>IFERROR(__xludf.DUMMYFUNCTION("TRIM(REGEXREPLACE(E87, ""[0-9]+[a-f]?\."", """"))"),"")</f>
        <v/>
      </c>
      <c r="J87" s="79" t="s">
        <v>389</v>
      </c>
      <c r="K87" s="79" t="s">
        <v>390</v>
      </c>
      <c r="L87" s="79" t="s">
        <v>391</v>
      </c>
    </row>
    <row r="88">
      <c r="A88" s="79" t="s">
        <v>42</v>
      </c>
      <c r="B88" s="80" t="s">
        <v>392</v>
      </c>
      <c r="C88" s="80" t="s">
        <v>393</v>
      </c>
      <c r="D88" s="80" t="s">
        <v>394</v>
      </c>
      <c r="E88" s="80" t="s">
        <v>395</v>
      </c>
      <c r="F88" s="82">
        <v>35.0</v>
      </c>
      <c r="G88" s="79" t="str">
        <f>IFERROR(__xludf.DUMMYFUNCTION("TRIM(REGEXREPLACE(C88, ""[0-9]+[a-f]?\."", """"))"),"I would like to ask you about different ways you may use money that you earn.")</f>
        <v>I would like to ask you about different ways you may use money that you earn.</v>
      </c>
      <c r="H88" s="79" t="str">
        <f>IFERROR(__xludf.DUMMYFUNCTION("TRIM(REGEXREPLACE(D88, ""[0-9]+[a-f]?\."", """"))"),"Maintenant, je voudrais vous poser des questions sur les différentes façons dont vous pouvez utiliser l'argent que vous gagnez.")</f>
        <v>Maintenant, je voudrais vous poser des questions sur les différentes façons dont vous pouvez utiliser l'argent que vous gagnez.</v>
      </c>
      <c r="I88" s="79" t="str">
        <f>IFERROR(__xludf.DUMMYFUNCTION("TRIM(REGEXREPLACE(E88, ""[0-9]+[a-f]?\."", """"))"),"Yanzu ina so in tambaye ku hanyoyi daban-daban da zaku iya amfani da su wajen kashe kuɗin da kuke samu.")</f>
        <v>Yanzu ina so in tambaye ku hanyoyi daban-daban da zaku iya amfani da su wajen kashe kuɗin da kuke samu.</v>
      </c>
      <c r="J88" s="79" t="s">
        <v>397</v>
      </c>
      <c r="K88" s="79" t="s">
        <v>398</v>
      </c>
      <c r="L88" s="79" t="s">
        <v>399</v>
      </c>
    </row>
    <row r="89">
      <c r="A89" s="79" t="s">
        <v>400</v>
      </c>
      <c r="B89" s="80" t="s">
        <v>401</v>
      </c>
      <c r="C89" s="80" t="s">
        <v>402</v>
      </c>
      <c r="D89" s="80" t="s">
        <v>403</v>
      </c>
      <c r="E89" s="80" t="s">
        <v>404</v>
      </c>
      <c r="F89" s="82">
        <v>36.0</v>
      </c>
      <c r="G89" s="79" t="str">
        <f>IFERROR(__xludf.DUMMYFUNCTION("TRIM(REGEXREPLACE(C89, ""[0-9]+[a-f]?\."", """"))"),"Do you currently have savings of each of the following types that you have put aside for yourself, separate from your household?")</f>
        <v>Do you currently have savings of each of the following types that you have put aside for yourself, separate from your household?</v>
      </c>
      <c r="H89" s="79" t="str">
        <f>IFERROR(__xludf.DUMMYFUNCTION("TRIM(REGEXREPLACE(D89,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89" s="79" t="str">
        <f>IFERROR(__xludf.DUMMYFUNCTION("TRIM(REGEXREPLACE(E89, ""[0-9]+[a-f]?\."", """"))"),"Ko a halin yanzu kuna da tanadi na kowane nau'in waɗannan nau'ikan da kuka ware wa kanku?")</f>
        <v>Ko a halin yanzu kuna da tanadi na kowane nau'in waɗannan nau'ikan da kuka ware wa kanku?</v>
      </c>
      <c r="J89" s="79" t="s">
        <v>405</v>
      </c>
      <c r="K89" s="79" t="s">
        <v>406</v>
      </c>
      <c r="L89" s="79" t="s">
        <v>407</v>
      </c>
    </row>
    <row r="90">
      <c r="A90" s="79" t="s">
        <v>299</v>
      </c>
      <c r="B90" s="80" t="s">
        <v>408</v>
      </c>
      <c r="C90" s="80" t="s">
        <v>409</v>
      </c>
      <c r="D90" s="80" t="s">
        <v>411</v>
      </c>
      <c r="E90" s="80" t="s">
        <v>412</v>
      </c>
      <c r="F90" s="82">
        <v>37.0</v>
      </c>
      <c r="G90" s="79" t="str">
        <f>IFERROR(__xludf.DUMMYFUNCTION("TRIM(REGEXREPLACE(C90, ""[0-9]+[a-f]?\."", """"))"),"Specify other:")</f>
        <v>Specify other:</v>
      </c>
      <c r="H90" s="79" t="str">
        <f>IFERROR(__xludf.DUMMYFUNCTION("TRIM(REGEXREPLACE(D90, ""[0-9]+[a-f]?\."", """"))"),"Précisez autre :")</f>
        <v>Précisez autre :</v>
      </c>
      <c r="I90" s="79" t="str">
        <f>IFERROR(__xludf.DUMMYFUNCTION("TRIM(REGEXREPLACE(E90, ""[0-9]+[a-f]?\."", """"))"),"Ƙayyade wasu:")</f>
        <v>Ƙayyade wasu:</v>
      </c>
      <c r="J90" s="79" t="s">
        <v>416</v>
      </c>
      <c r="K90" s="79" t="s">
        <v>417</v>
      </c>
      <c r="L90" s="79" t="s">
        <v>418</v>
      </c>
    </row>
    <row r="91" hidden="1">
      <c r="B91" s="80"/>
      <c r="C91" s="80"/>
      <c r="D91" s="80"/>
      <c r="E91" s="80"/>
      <c r="F91" s="82">
        <v>38.0</v>
      </c>
      <c r="G91" s="79" t="str">
        <f>IFERROR(__xludf.DUMMYFUNCTION("TRIM(REGEXREPLACE(C91, ""[0-9]+[a-f]?\."", """"))"),"")</f>
        <v/>
      </c>
      <c r="H91" s="79" t="str">
        <f>IFERROR(__xludf.DUMMYFUNCTION("TRIM(REGEXREPLACE(D91, ""[0-9]+[a-f]?\."", """"))"),"")</f>
        <v/>
      </c>
      <c r="I91" s="79" t="str">
        <f>IFERROR(__xludf.DUMMYFUNCTION("TRIM(REGEXREPLACE(E91, ""[0-9]+[a-f]?\."", """"))"),"")</f>
        <v/>
      </c>
      <c r="J91" s="79" t="s">
        <v>419</v>
      </c>
      <c r="K91" s="79" t="s">
        <v>420</v>
      </c>
      <c r="L91" s="79" t="s">
        <v>420</v>
      </c>
    </row>
    <row r="92" hidden="1"/>
    <row r="93">
      <c r="A93" s="79" t="s">
        <v>396</v>
      </c>
      <c r="B93" s="80" t="s">
        <v>422</v>
      </c>
      <c r="C93" s="80" t="s">
        <v>423</v>
      </c>
      <c r="D93" s="80" t="s">
        <v>424</v>
      </c>
      <c r="E93" s="80" t="s">
        <v>425</v>
      </c>
      <c r="F93" s="82">
        <v>38.0</v>
      </c>
      <c r="G93" s="79" t="str">
        <f>IFERROR(__xludf.DUMMYFUNCTION("TRIM(REGEXREPLACE(C93, ""[0-9]+[a-f]?\."", """"))"),"Please share with us your best estimate of the value in CFA ${w_savings_name}")</f>
        <v>Please share with us your best estimate of the value in CFA ${w_savings_name}</v>
      </c>
      <c r="H93" s="79" t="str">
        <f>IFERROR(__xludf.DUMMYFUNCTION("TRIM(REGEXREPLACE(D93, ""[0-9]+[a-f]?\."", """"))"),"Veuillez partager avec nous votre meilleure estimation de la valeur en CFA ${w_savings_name}")</f>
        <v>Veuillez partager avec nous votre meilleure estimation de la valeur en CFA ${w_savings_name}</v>
      </c>
      <c r="I93" s="79" t="str">
        <f>IFERROR(__xludf.DUMMYFUNCTION("TRIM(REGEXREPLACE(E93, ""[0-9]+[a-f]?\."", """"))"),"Da fatan zaku faɗa mana ƙimar da kuke ganin yayi daidai a cikin CFA ${w_savings_name}")</f>
        <v>Da fatan zaku faɗa mana ƙimar da kuke ganin yayi daidai a cikin CFA ${w_savings_name}</v>
      </c>
      <c r="J93" s="79" t="s">
        <v>426</v>
      </c>
      <c r="K93" s="79" t="s">
        <v>427</v>
      </c>
      <c r="L93" s="79" t="s">
        <v>428</v>
      </c>
    </row>
    <row r="94">
      <c r="A94" s="79" t="s">
        <v>277</v>
      </c>
      <c r="B94" s="80" t="s">
        <v>429</v>
      </c>
      <c r="C94" s="80" t="s">
        <v>430</v>
      </c>
      <c r="D94" s="80" t="s">
        <v>431</v>
      </c>
      <c r="E94" s="80" t="s">
        <v>432</v>
      </c>
      <c r="F94" s="82">
        <v>39.0</v>
      </c>
      <c r="G94" s="79" t="str">
        <f>IFERROR(__xludf.DUMMYFUNCTION("TRIM(REGEXREPLACE(C94, ""[0-9]+[a-f]?\."", """"))"),"Do you earn interest on this money ${w_savings_name}?")</f>
        <v>Do you earn interest on this money ${w_savings_name}?</v>
      </c>
      <c r="H94" s="79" t="str">
        <f>IFERROR(__xludf.DUMMYFUNCTION("TRIM(REGEXREPLACE(D94, ""[0-9]+[a-f]?\."", """"))"),"Gagnez-vous des intérêts sur cet argent ${w_savings_name} ?")</f>
        <v>Gagnez-vous des intérêts sur cet argent ${w_savings_name} ?</v>
      </c>
      <c r="I94" s="79" t="str">
        <f>IFERROR(__xludf.DUMMYFUNCTION("TRIM(REGEXREPLACE(E94, ""[0-9]+[a-f]?\."", """"))"),"Kuna samun riba akan wannan kuɗin ${w_savings_name}?")</f>
        <v>Kuna samun riba akan wannan kuɗin ${w_savings_name}?</v>
      </c>
      <c r="J94" s="79" t="s">
        <v>436</v>
      </c>
      <c r="K94" s="79" t="s">
        <v>437</v>
      </c>
      <c r="L94" s="79" t="s">
        <v>438</v>
      </c>
    </row>
    <row r="95" hidden="1">
      <c r="B95" s="80"/>
      <c r="C95" s="80"/>
      <c r="D95" s="80"/>
      <c r="E95" s="80"/>
      <c r="F95" s="82">
        <v>38.0</v>
      </c>
      <c r="G95" s="79" t="str">
        <f>IFERROR(__xludf.DUMMYFUNCTION("TRIM(REGEXREPLACE(C95, ""[0-9]+[a-f]?\."", """"))"),"")</f>
        <v/>
      </c>
      <c r="H95" s="79" t="str">
        <f>IFERROR(__xludf.DUMMYFUNCTION("TRIM(REGEXREPLACE(D95, ""[0-9]+[a-f]?\."", """"))"),"")</f>
        <v/>
      </c>
      <c r="I95" s="79" t="str">
        <f>IFERROR(__xludf.DUMMYFUNCTION("TRIM(REGEXREPLACE(E95, ""[0-9]+[a-f]?\."", """"))"),"")</f>
        <v/>
      </c>
      <c r="J95" s="79" t="s">
        <v>440</v>
      </c>
      <c r="K95" s="79" t="s">
        <v>441</v>
      </c>
      <c r="L95" s="79" t="s">
        <v>442</v>
      </c>
    </row>
    <row r="96" hidden="1">
      <c r="B96" s="80"/>
      <c r="C96" s="80"/>
      <c r="D96" s="80"/>
      <c r="E96" s="80"/>
      <c r="F96" s="82">
        <v>39.0</v>
      </c>
      <c r="G96" s="79" t="str">
        <f>IFERROR(__xludf.DUMMYFUNCTION("TRIM(REGEXREPLACE(C96, ""[0-9]+[a-f]?\."", """"))"),"")</f>
        <v/>
      </c>
      <c r="H96" s="79" t="str">
        <f>IFERROR(__xludf.DUMMYFUNCTION("TRIM(REGEXREPLACE(D96, ""[0-9]+[a-f]?\."", """"))"),"")</f>
        <v/>
      </c>
      <c r="I96" s="79" t="str">
        <f>IFERROR(__xludf.DUMMYFUNCTION("TRIM(REGEXREPLACE(E96, ""[0-9]+[a-f]?\."", """"))"),"")</f>
        <v/>
      </c>
      <c r="J96" s="79" t="s">
        <v>443</v>
      </c>
      <c r="K96" s="79" t="s">
        <v>444</v>
      </c>
      <c r="L96" s="79" t="s">
        <v>445</v>
      </c>
    </row>
    <row r="97" hidden="1">
      <c r="B97" s="80"/>
      <c r="C97" s="80"/>
      <c r="D97" s="80"/>
      <c r="E97" s="80"/>
      <c r="F97" s="82">
        <v>40.0</v>
      </c>
      <c r="G97" s="79" t="str">
        <f>IFERROR(__xludf.DUMMYFUNCTION("TRIM(REGEXREPLACE(C97, ""[0-9]+[a-f]?\."", """"))"),"")</f>
        <v/>
      </c>
      <c r="H97" s="79" t="str">
        <f>IFERROR(__xludf.DUMMYFUNCTION("TRIM(REGEXREPLACE(D97, ""[0-9]+[a-f]?\."", """"))"),"")</f>
        <v/>
      </c>
      <c r="I97" s="79" t="str">
        <f>IFERROR(__xludf.DUMMYFUNCTION("TRIM(REGEXREPLACE(E97, ""[0-9]+[a-f]?\."", """"))"),"")</f>
        <v/>
      </c>
      <c r="J97" s="79" t="s">
        <v>449</v>
      </c>
      <c r="K97" s="79" t="s">
        <v>451</v>
      </c>
      <c r="L97" s="79" t="s">
        <v>452</v>
      </c>
    </row>
    <row r="98" hidden="1">
      <c r="B98" s="80"/>
      <c r="C98" s="80"/>
      <c r="D98" s="80"/>
      <c r="E98" s="80"/>
      <c r="F98" s="82">
        <v>41.0</v>
      </c>
      <c r="G98" s="79" t="str">
        <f>IFERROR(__xludf.DUMMYFUNCTION("TRIM(REGEXREPLACE(C98, ""[0-9]+[a-f]?\."", """"))"),"")</f>
        <v/>
      </c>
      <c r="H98" s="79" t="str">
        <f>IFERROR(__xludf.DUMMYFUNCTION("TRIM(REGEXREPLACE(D98, ""[0-9]+[a-f]?\."", """"))"),"")</f>
        <v/>
      </c>
      <c r="I98" s="79" t="str">
        <f>IFERROR(__xludf.DUMMYFUNCTION("TRIM(REGEXREPLACE(E98, ""[0-9]+[a-f]?\."", """"))"),"")</f>
        <v/>
      </c>
      <c r="J98" s="79" t="s">
        <v>453</v>
      </c>
      <c r="K98" s="79" t="s">
        <v>454</v>
      </c>
      <c r="L98" s="79" t="s">
        <v>455</v>
      </c>
    </row>
    <row r="99" hidden="1">
      <c r="B99" s="80"/>
      <c r="C99" s="80"/>
      <c r="D99" s="80"/>
      <c r="E99" s="80"/>
      <c r="F99" s="82">
        <v>42.0</v>
      </c>
      <c r="G99" s="79" t="str">
        <f>IFERROR(__xludf.DUMMYFUNCTION("TRIM(REGEXREPLACE(C99, ""[0-9]+[a-f]?\."", """"))"),"")</f>
        <v/>
      </c>
      <c r="H99" s="79" t="str">
        <f>IFERROR(__xludf.DUMMYFUNCTION("TRIM(REGEXREPLACE(D99, ""[0-9]+[a-f]?\."", """"))"),"")</f>
        <v/>
      </c>
      <c r="I99" s="79" t="str">
        <f>IFERROR(__xludf.DUMMYFUNCTION("TRIM(REGEXREPLACE(E99, ""[0-9]+[a-f]?\."", """"))"),"")</f>
        <v/>
      </c>
      <c r="J99" s="79" t="s">
        <v>457</v>
      </c>
      <c r="K99" s="79" t="s">
        <v>458</v>
      </c>
      <c r="L99" s="79" t="s">
        <v>459</v>
      </c>
    </row>
    <row r="100" hidden="1">
      <c r="B100" s="80"/>
      <c r="C100" s="80"/>
      <c r="D100" s="80"/>
      <c r="E100" s="80"/>
      <c r="F100" s="82">
        <v>43.0</v>
      </c>
      <c r="G100" s="79" t="str">
        <f>IFERROR(__xludf.DUMMYFUNCTION("TRIM(REGEXREPLACE(C100, ""[0-9]+[a-f]?\."", """"))"),"")</f>
        <v/>
      </c>
      <c r="H100" s="79" t="str">
        <f>IFERROR(__xludf.DUMMYFUNCTION("TRIM(REGEXREPLACE(D100, ""[0-9]+[a-f]?\."", """"))"),"")</f>
        <v/>
      </c>
      <c r="I100" s="79" t="str">
        <f>IFERROR(__xludf.DUMMYFUNCTION("TRIM(REGEXREPLACE(E100, ""[0-9]+[a-f]?\."", """"))"),"")</f>
        <v/>
      </c>
      <c r="J100" s="79" t="s">
        <v>461</v>
      </c>
      <c r="K100" s="79" t="s">
        <v>462</v>
      </c>
      <c r="L100" s="79" t="s">
        <v>463</v>
      </c>
    </row>
    <row r="101">
      <c r="A101" s="79" t="s">
        <v>42</v>
      </c>
      <c r="B101" s="80" t="s">
        <v>464</v>
      </c>
      <c r="C101" s="80" t="s">
        <v>440</v>
      </c>
      <c r="D101" s="80" t="s">
        <v>441</v>
      </c>
      <c r="E101" s="80" t="s">
        <v>442</v>
      </c>
      <c r="F101" s="82">
        <v>40.0</v>
      </c>
      <c r="G101" s="79" t="str">
        <f>IFERROR(__xludf.DUMMYFUNCTION("TRIM(REGEXREPLACE(C101, ""[0-9]+[a-f]?\."", """"))"),"I would like to ask you a few questions about your health and wellbeing")</f>
        <v>I would like to ask you a few questions about your health and wellbeing</v>
      </c>
      <c r="H101" s="79" t="str">
        <f>IFERROR(__xludf.DUMMYFUNCTION("TRIM(REGEXREPLACE(D101, ""[0-9]+[a-f]?\."", """"))"),"Je voudrais vous poser quelques questions sur votre santé et votre bien-être")</f>
        <v>Je voudrais vous poser quelques questions sur votre santé et votre bien-être</v>
      </c>
      <c r="I101" s="79" t="str">
        <f>IFERROR(__xludf.DUMMYFUNCTION("TRIM(REGEXREPLACE(E101, ""[0-9]+[a-f]?\."", """"))"),"Ina so in yi muku wasu ƴan tambayoyi game da lafiyar jikinku da jin daɗin ku")</f>
        <v>Ina so in yi muku wasu ƴan tambayoyi game da lafiyar jikinku da jin daɗin ku</v>
      </c>
      <c r="J101" s="79" t="s">
        <v>468</v>
      </c>
      <c r="K101" s="79" t="s">
        <v>469</v>
      </c>
      <c r="L101" s="79" t="s">
        <v>470</v>
      </c>
    </row>
    <row r="102">
      <c r="A102" s="79" t="s">
        <v>471</v>
      </c>
      <c r="B102" s="80" t="s">
        <v>472</v>
      </c>
      <c r="C102" s="80" t="s">
        <v>443</v>
      </c>
      <c r="D102" s="80" t="s">
        <v>444</v>
      </c>
      <c r="E102" s="80" t="s">
        <v>445</v>
      </c>
      <c r="F102" s="82">
        <v>41.0</v>
      </c>
      <c r="G102" s="79" t="str">
        <f>IFERROR(__xludf.DUMMYFUNCTION("TRIM(REGEXREPLACE(C102, ""[0-9]+[a-f]?\."", """"))"),"In general, how would you characterize your physical health?")</f>
        <v>In general, how would you characterize your physical health?</v>
      </c>
      <c r="H102" s="79" t="str">
        <f>IFERROR(__xludf.DUMMYFUNCTION("TRIM(REGEXREPLACE(D102, ""[0-9]+[a-f]?\."", """"))"),"En général, comment caractériseriez-vous votre santé physique ?")</f>
        <v>En général, comment caractériseriez-vous votre santé physique ?</v>
      </c>
      <c r="I102" s="79" t="str">
        <f>IFERROR(__xludf.DUMMYFUNCTION("TRIM(REGEXREPLACE(E102, ""[0-9]+[a-f]?\."", """"))"),"A taƙaice, yaya za ku siffanta lafiyar jikin ku?")</f>
        <v>A taƙaice, yaya za ku siffanta lafiyar jikin ku?</v>
      </c>
      <c r="J102" s="79" t="s">
        <v>473</v>
      </c>
      <c r="K102" s="79" t="s">
        <v>474</v>
      </c>
      <c r="L102" s="79" t="s">
        <v>475</v>
      </c>
    </row>
    <row r="103">
      <c r="A103" s="79" t="s">
        <v>194</v>
      </c>
      <c r="B103" s="80" t="s">
        <v>476</v>
      </c>
      <c r="C103" s="80" t="s">
        <v>449</v>
      </c>
      <c r="D103" s="80" t="s">
        <v>451</v>
      </c>
      <c r="E103" s="80" t="s">
        <v>452</v>
      </c>
      <c r="F103" s="82">
        <v>42.0</v>
      </c>
      <c r="G103" s="79" t="str">
        <f>IFERROR(__xludf.DUMMYFUNCTION("TRIM(REGEXREPLACE(C103, ""[0-9]+[a-f]?\."", """"))"),"Do you currently suffer from any illness or disability that limits your ability to travel or work?")</f>
        <v>Do you currently suffer from any illness or disability that limits your ability to travel or work?</v>
      </c>
      <c r="H103" s="79" t="str">
        <f>IFERROR(__xludf.DUMMYFUNCTION("TRIM(REGEXREPLACE(D103, ""[0-9]+[a-f]?\."", """"))"),"Souffrez-vous actuellement d'une maladie ou d'un handicap qui limite votre capacité à voyager ou à travailler ?")</f>
        <v>Souffrez-vous actuellement d'une maladie ou d'un handicap qui limite votre capacité à voyager ou à travailler ?</v>
      </c>
      <c r="I103" s="79" t="str">
        <f>IFERROR(__xludf.DUMMYFUNCTION("TRIM(REGEXREPLACE(E103, ""[0-9]+[a-f]?\."", """"))"),"A halin yanzu, ko kuna fama da wata rashin lafiya ko naƙasa da ke iya kawo muku cikas game da tahiya bulaguro ko yin aiki?")</f>
        <v>A halin yanzu, ko kuna fama da wata rashin lafiya ko naƙasa da ke iya kawo muku cikas game da tahiya bulaguro ko yin aiki?</v>
      </c>
      <c r="J103" s="79" t="s">
        <v>479</v>
      </c>
      <c r="K103" s="79" t="s">
        <v>480</v>
      </c>
      <c r="L103" s="79" t="s">
        <v>482</v>
      </c>
    </row>
    <row r="104">
      <c r="A104" s="79" t="s">
        <v>484</v>
      </c>
      <c r="B104" s="80" t="s">
        <v>485</v>
      </c>
      <c r="C104" s="80" t="s">
        <v>453</v>
      </c>
      <c r="D104" s="80" t="s">
        <v>454</v>
      </c>
      <c r="E104" s="80" t="s">
        <v>455</v>
      </c>
      <c r="F104" s="82">
        <v>43.0</v>
      </c>
      <c r="G104" s="79" t="str">
        <f>IFERROR(__xludf.DUMMYFUNCTION("TRIM(REGEXREPLACE(C104, ""[0-9]+[a-f]?\."", """"))"),"What illness limits you in this way?")</f>
        <v>What illness limits you in this way?</v>
      </c>
      <c r="H104" s="79" t="str">
        <f>IFERROR(__xludf.DUMMYFUNCTION("TRIM(REGEXREPLACE(D104, ""[0-9]+[a-f]?\."", """"))"),"Quelle maladie vous limite de cette manière ?")</f>
        <v>Quelle maladie vous limite de cette manière ?</v>
      </c>
      <c r="I104" s="79" t="str">
        <f>IFERROR(__xludf.DUMMYFUNCTION("TRIM(REGEXREPLACE(E104, ""[0-9]+[a-f]?\."", """"))"),"Wace cuta ce ke tsaida ku a kan wannan?")</f>
        <v>Wace cuta ce ke tsaida ku a kan wannan?</v>
      </c>
      <c r="J104" s="79" t="s">
        <v>486</v>
      </c>
      <c r="K104" s="79" t="s">
        <v>487</v>
      </c>
      <c r="L104" s="79" t="s">
        <v>488</v>
      </c>
    </row>
    <row r="105">
      <c r="A105" s="79" t="s">
        <v>299</v>
      </c>
      <c r="B105" s="80" t="s">
        <v>489</v>
      </c>
      <c r="C105" s="80" t="s">
        <v>457</v>
      </c>
      <c r="D105" s="80" t="s">
        <v>458</v>
      </c>
      <c r="E105" s="80" t="s">
        <v>459</v>
      </c>
      <c r="F105" s="82">
        <v>44.0</v>
      </c>
      <c r="G105" s="79" t="str">
        <f>IFERROR(__xludf.DUMMYFUNCTION("TRIM(REGEXREPLACE(C105, ""[0-9]+[a-f]?\."", """"))"),"Other, specify:")</f>
        <v>Other, specify:</v>
      </c>
      <c r="H105" s="79" t="str">
        <f>IFERROR(__xludf.DUMMYFUNCTION("TRIM(REGEXREPLACE(D105, ""[0-9]+[a-f]?\."", """"))"),"Autre précisez:")</f>
        <v>Autre précisez:</v>
      </c>
      <c r="I105" s="79" t="str">
        <f>IFERROR(__xludf.DUMMYFUNCTION("TRIM(REGEXREPLACE(E105, ""[0-9]+[a-f]?\."", """"))"),"Sauran, bayar da cikakkun bayanai:")</f>
        <v>Sauran, bayar da cikakkun bayanai:</v>
      </c>
      <c r="J105" s="79" t="s">
        <v>491</v>
      </c>
      <c r="K105" s="79" t="s">
        <v>492</v>
      </c>
      <c r="L105" s="79" t="s">
        <v>493</v>
      </c>
    </row>
    <row r="106">
      <c r="A106" s="79" t="s">
        <v>194</v>
      </c>
      <c r="B106" s="80" t="s">
        <v>494</v>
      </c>
      <c r="C106" s="80" t="s">
        <v>461</v>
      </c>
      <c r="D106" s="80" t="s">
        <v>462</v>
      </c>
      <c r="E106" s="80" t="s">
        <v>463</v>
      </c>
      <c r="F106" s="82">
        <v>45.0</v>
      </c>
      <c r="G106" s="79" t="str">
        <f>IFERROR(__xludf.DUMMYFUNCTION("TRIM(REGEXREPLACE(C106, ""[0-9]+[a-f]?\."", """"))"),"In the past three months, did you suffer from an illness or injury that disrupted your daily life?")</f>
        <v>In the past three months, did you suffer from an illness or injury that disrupted your daily life?</v>
      </c>
      <c r="H106" s="79" t="str">
        <f>IFERROR(__xludf.DUMMYFUNCTION("TRIM(REGEXREPLACE(D106, ""[0-9]+[a-f]?\."", """"))"),"Au cours des trois derniers mois, avez-vous souffert d'une maladie ou d'une blessure qui a perturbé votre vie quotidienne ?")</f>
        <v>Au cours des trois derniers mois, avez-vous souffert d'une maladie ou d'une blessure qui a perturbé votre vie quotidienne ?</v>
      </c>
      <c r="I106" s="79" t="str">
        <f>IFERROR(__xludf.DUMMYFUNCTION("TRIM(REGEXREPLACE(E106,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106" s="79" t="s">
        <v>499</v>
      </c>
      <c r="K106" s="79" t="s">
        <v>500</v>
      </c>
      <c r="L106" s="79" t="s">
        <v>501</v>
      </c>
    </row>
    <row r="107">
      <c r="A107" s="79" t="s">
        <v>484</v>
      </c>
      <c r="B107" s="80" t="s">
        <v>502</v>
      </c>
      <c r="C107" s="80" t="s">
        <v>503</v>
      </c>
      <c r="D107" s="80" t="s">
        <v>504</v>
      </c>
      <c r="E107" s="80" t="s">
        <v>505</v>
      </c>
      <c r="F107" s="82">
        <v>46.0</v>
      </c>
      <c r="G107" s="79" t="str">
        <f>IFERROR(__xludf.DUMMYFUNCTION("TRIM(REGEXREPLACE(C107, ""[0-9]+[a-f]?\."", """"))"),"What type of illness or injury did you experience?")</f>
        <v>What type of illness or injury did you experience?</v>
      </c>
      <c r="H107" s="79" t="str">
        <f>IFERROR(__xludf.DUMMYFUNCTION("TRIM(REGEXREPLACE(D107, ""[0-9]+[a-f]?\."", """"))"),"Preciser le type de maladie ou de blessure")</f>
        <v>Preciser le type de maladie ou de blessure</v>
      </c>
      <c r="I107" s="79" t="str">
        <f>IFERROR(__xludf.DUMMYFUNCTION("TRIM(REGEXREPLACE(E107, ""[0-9]+[a-f]?\."", """"))"),"Baiyana irin ciwo ko raunin da kuka yi fama da shi?")</f>
        <v>Baiyana irin ciwo ko raunin da kuka yi fama da shi?</v>
      </c>
      <c r="J107" s="79" t="s">
        <v>506</v>
      </c>
      <c r="K107" s="79" t="s">
        <v>507</v>
      </c>
      <c r="L107" s="79" t="s">
        <v>508</v>
      </c>
    </row>
    <row r="108">
      <c r="A108" s="79" t="s">
        <v>299</v>
      </c>
      <c r="B108" s="80" t="s">
        <v>509</v>
      </c>
      <c r="C108" s="80" t="s">
        <v>510</v>
      </c>
      <c r="D108" s="80" t="s">
        <v>511</v>
      </c>
      <c r="E108" s="80" t="s">
        <v>512</v>
      </c>
      <c r="F108" s="82">
        <v>47.0</v>
      </c>
      <c r="G108" s="79" t="str">
        <f>IFERROR(__xludf.DUMMYFUNCTION("TRIM(REGEXREPLACE(C108, ""[0-9]+[a-f]?\."", """"))"),"Specify other illness or injury")</f>
        <v>Specify other illness or injury</v>
      </c>
      <c r="H108" s="79" t="str">
        <f>IFERROR(__xludf.DUMMYFUNCTION("TRIM(REGEXREPLACE(D108, ""[0-9]+[a-f]?\."", """"))"),"Preciser le type de maladie ou de blessure")</f>
        <v>Preciser le type de maladie ou de blessure</v>
      </c>
      <c r="I108" s="79" t="str">
        <f>IFERROR(__xludf.DUMMYFUNCTION("TRIM(REGEXREPLACE(E108, ""[0-9]+[a-f]?\."", """"))"),"Baiyana irin ciwo ko raunin da kuka fama?")</f>
        <v>Baiyana irin ciwo ko raunin da kuka fama?</v>
      </c>
      <c r="J108" s="79" t="s">
        <v>513</v>
      </c>
      <c r="K108" s="79" t="s">
        <v>514</v>
      </c>
      <c r="L108" s="79" t="s">
        <v>515</v>
      </c>
    </row>
    <row r="109">
      <c r="A109" s="79" t="s">
        <v>194</v>
      </c>
      <c r="B109" s="80" t="s">
        <v>516</v>
      </c>
      <c r="C109" s="80" t="s">
        <v>517</v>
      </c>
      <c r="D109" s="80" t="s">
        <v>518</v>
      </c>
      <c r="E109" s="80" t="s">
        <v>519</v>
      </c>
      <c r="F109" s="82">
        <v>48.0</v>
      </c>
      <c r="G109" s="79" t="str">
        <f>IFERROR(__xludf.DUMMYFUNCTION("TRIM(REGEXREPLACE(C109, ""[0-9]+[a-f]?\."", """"))"),"Did you seek any treatment for any illness or injury?")</f>
        <v>Did you seek any treatment for any illness or injury?</v>
      </c>
      <c r="H109" s="79" t="str">
        <f>IFERROR(__xludf.DUMMYFUNCTION("TRIM(REGEXREPLACE(D109, ""[0-9]+[a-f]?\."", """"))"),"Avez-vous cherché un traitement pour une maladie ou une blessure ?")</f>
        <v>Avez-vous cherché un traitement pour une maladie ou une blessure ?</v>
      </c>
      <c r="I109" s="79" t="str">
        <f>IFERROR(__xludf.DUMMYFUNCTION("TRIM(REGEXREPLACE(E109, ""[0-9]+[a-f]?\."", """"))"),"Ko kun nemi wani magani don wata cuta ko rauni?")</f>
        <v>Ko kun nemi wani magani don wata cuta ko rauni?</v>
      </c>
      <c r="J109" s="79" t="s">
        <v>522</v>
      </c>
      <c r="K109" s="79" t="s">
        <v>524</v>
      </c>
      <c r="L109" s="79" t="s">
        <v>525</v>
      </c>
    </row>
    <row r="110">
      <c r="A110" s="79" t="s">
        <v>42</v>
      </c>
      <c r="B110" s="80" t="s">
        <v>526</v>
      </c>
      <c r="C110" s="80" t="s">
        <v>527</v>
      </c>
      <c r="D110" s="80" t="s">
        <v>528</v>
      </c>
      <c r="E110" s="80" t="s">
        <v>529</v>
      </c>
      <c r="F110" s="82">
        <v>49.0</v>
      </c>
      <c r="G110" s="79" t="str">
        <f>IFERROR(__xludf.DUMMYFUNCTION("TRIM(REGEXREPLACE(C110, ""[0-9]+[a-f]?\."", """"))"),"Now I want to ask you about the past week (7 days)")</f>
        <v>Now I want to ask you about the past week (7 days)</v>
      </c>
      <c r="H110" s="79" t="str">
        <f>IFERROR(__xludf.DUMMYFUNCTION("TRIM(REGEXREPLACE(D110, ""[0-9]+[a-f]?\."", """"))"),"Maintenant, je veux vous poser des questions sur la semaine dernière (7 jours)")</f>
        <v>Maintenant, je veux vous poser des questions sur la semaine dernière (7 jours)</v>
      </c>
      <c r="I110" s="79" t="str">
        <f>IFERROR(__xludf.DUMMYFUNCTION("TRIM(REGEXREPLACE(E110, ""[0-9]+[a-f]?\."", """"))"),"Yanzu ina son in muku tambayoyi bisa satin (makon) da ya wuce (kwana 7)")</f>
        <v>Yanzu ina son in muku tambayoyi bisa satin (makon) da ya wuce (kwana 7)</v>
      </c>
      <c r="J110" s="79" t="s">
        <v>531</v>
      </c>
      <c r="K110" s="79" t="s">
        <v>532</v>
      </c>
      <c r="L110" s="79" t="s">
        <v>533</v>
      </c>
    </row>
    <row r="111">
      <c r="A111" s="79" t="s">
        <v>396</v>
      </c>
      <c r="B111" s="80" t="s">
        <v>534</v>
      </c>
      <c r="C111" s="80" t="s">
        <v>535</v>
      </c>
      <c r="D111" s="80" t="s">
        <v>536</v>
      </c>
      <c r="E111" s="80" t="s">
        <v>537</v>
      </c>
      <c r="F111" s="82">
        <v>50.0</v>
      </c>
      <c r="G111" s="79" t="str">
        <f>IFERROR(__xludf.DUMMYFUNCTION("TRIM(REGEXREPLACE(C111, ""[0-9]+[a-f]?\."", """"))"),"How many hours of sleep per night did you get on average in the last seven days?")</f>
        <v>How many hours of sleep per night did you get on average in the last seven days?</v>
      </c>
      <c r="H111" s="79" t="str">
        <f>IFERROR(__xludf.DUMMYFUNCTION("TRIM(REGEXREPLACE(D111, ""[0-9]+[a-f]?\."", """"))"),"Combien d'heures de sommeil par nuit avez-vous dormi en moyenne au cours des sept derniers jours ?")</f>
        <v>Combien d'heures de sommeil par nuit avez-vous dormi en moyenne au cours des sept derniers jours ?</v>
      </c>
      <c r="I111" s="79" t="str">
        <f>IFERROR(__xludf.DUMMYFUNCTION("TRIM(REGEXREPLACE(E111, ""[0-9]+[a-f]?\."", """"))"),"Misalin Sa'o'i nawa a taƙaice kuke yin barci a kowane dare a cikin kwanaki bakwai na ƙarshe da suka wuce?")</f>
        <v>Misalin Sa'o'i nawa a taƙaice kuke yin barci a kowane dare a cikin kwanaki bakwai na ƙarshe da suka wuce?</v>
      </c>
      <c r="J111" s="79" t="s">
        <v>539</v>
      </c>
      <c r="K111" s="79" t="s">
        <v>540</v>
      </c>
      <c r="L111" s="79" t="s">
        <v>541</v>
      </c>
    </row>
    <row r="112" hidden="1">
      <c r="B112" s="80"/>
      <c r="C112" s="80"/>
      <c r="D112" s="80"/>
      <c r="E112" s="80"/>
      <c r="F112" s="82">
        <v>53.0</v>
      </c>
      <c r="G112" s="79" t="str">
        <f>IFERROR(__xludf.DUMMYFUNCTION("TRIM(REGEXREPLACE(C112, ""[0-9]+[a-f]?\."", """"))"),"")</f>
        <v/>
      </c>
      <c r="H112" s="79" t="str">
        <f>IFERROR(__xludf.DUMMYFUNCTION("TRIM(REGEXREPLACE(D112, ""[0-9]+[a-f]?\."", """"))"),"")</f>
        <v/>
      </c>
      <c r="I112" s="79" t="str">
        <f>IFERROR(__xludf.DUMMYFUNCTION("TRIM(REGEXREPLACE(E112, ""[0-9]+[a-f]?\."", """"))"),"")</f>
        <v/>
      </c>
      <c r="J112" s="79" t="s">
        <v>543</v>
      </c>
      <c r="K112" s="79" t="s">
        <v>545</v>
      </c>
      <c r="L112" s="79" t="s">
        <v>546</v>
      </c>
    </row>
    <row r="113" hidden="1">
      <c r="B113" s="80"/>
      <c r="C113" s="80"/>
      <c r="D113" s="80"/>
      <c r="E113" s="80"/>
      <c r="F113" s="82">
        <v>54.0</v>
      </c>
      <c r="G113" s="79" t="str">
        <f>IFERROR(__xludf.DUMMYFUNCTION("TRIM(REGEXREPLACE(C113, ""[0-9]+[a-f]?\."", """"))"),"")</f>
        <v/>
      </c>
      <c r="H113" s="79" t="str">
        <f>IFERROR(__xludf.DUMMYFUNCTION("TRIM(REGEXREPLACE(D113, ""[0-9]+[a-f]?\."", """"))"),"")</f>
        <v/>
      </c>
      <c r="I113" s="79" t="str">
        <f>IFERROR(__xludf.DUMMYFUNCTION("TRIM(REGEXREPLACE(E113, ""[0-9]+[a-f]?\."", """"))"),"")</f>
        <v/>
      </c>
      <c r="J113" s="79" t="s">
        <v>550</v>
      </c>
      <c r="K113" s="79" t="s">
        <v>551</v>
      </c>
      <c r="L113" s="79" t="s">
        <v>552</v>
      </c>
    </row>
    <row r="114">
      <c r="A114" s="79" t="s">
        <v>553</v>
      </c>
      <c r="B114" s="80" t="s">
        <v>554</v>
      </c>
      <c r="C114" s="80" t="s">
        <v>555</v>
      </c>
      <c r="D114" s="80" t="s">
        <v>556</v>
      </c>
      <c r="E114" s="80" t="s">
        <v>557</v>
      </c>
      <c r="F114" s="82">
        <v>51.0</v>
      </c>
      <c r="G114" s="79" t="str">
        <f>IFERROR(__xludf.DUMMYFUNCTION("TRIM(REGEXREPLACE(C114, ""[0-9]+[a-f]?\."", """"))"),"In the past week, how often did you experience the following feelings?")</f>
        <v>In the past week, how often did you experience the following feelings?</v>
      </c>
      <c r="H114" s="79" t="str">
        <f>IFERROR(__xludf.DUMMYFUNCTION("TRIM(REGEXREPLACE(D114, ""[0-9]+[a-f]?\."", """"))"),"Au cours de la semaine dernière, à quelle fréquence avez-vous ressenti les sentiments suivants ?")</f>
        <v>Au cours de la semaine dernière, à quelle fréquence avez-vous ressenti les sentiments suivants ?</v>
      </c>
      <c r="I114" s="79" t="str">
        <f>IFERROR(__xludf.DUMMYFUNCTION("TRIM(REGEXREPLACE(E114, ""[0-9]+[a-f]?\."", """"))"),"A cikin satin da ya wuce, sau nawa kuka ji irin waɗannan abubuwan a ranku?")</f>
        <v>A cikin satin da ya wuce, sau nawa kuka ji irin waɗannan abubuwan a ranku?</v>
      </c>
      <c r="J114" s="79" t="s">
        <v>558</v>
      </c>
      <c r="K114" s="79" t="s">
        <v>559</v>
      </c>
      <c r="L114" s="79" t="s">
        <v>560</v>
      </c>
    </row>
    <row r="115">
      <c r="A115" s="79" t="s">
        <v>553</v>
      </c>
      <c r="B115" s="80" t="s">
        <v>561</v>
      </c>
      <c r="C115" s="80" t="s">
        <v>562</v>
      </c>
      <c r="D115" s="80" t="s">
        <v>563</v>
      </c>
      <c r="E115" s="80" t="s">
        <v>564</v>
      </c>
      <c r="F115" s="82">
        <v>52.0</v>
      </c>
      <c r="G115" s="79" t="str">
        <f>IFERROR(__xludf.DUMMYFUNCTION("TRIM(REGEXREPLACE(C115, ""[0-9]+[a-f]?\."", """"))"),"Enjoyment")</f>
        <v>Enjoyment</v>
      </c>
      <c r="H115" s="79" t="str">
        <f>IFERROR(__xludf.DUMMYFUNCTION("TRIM(REGEXREPLACE(D115, ""[0-9]+[a-f]?\."", """"))"),"Plaisir")</f>
        <v>Plaisir</v>
      </c>
      <c r="I115" s="79" t="str">
        <f>IFERROR(__xludf.DUMMYFUNCTION("TRIM(REGEXREPLACE(E115, ""[0-9]+[a-f]?\."", """"))"),"jin daɗi")</f>
        <v>jin daɗi</v>
      </c>
      <c r="J115" s="79" t="s">
        <v>565</v>
      </c>
      <c r="K115" s="79" t="s">
        <v>566</v>
      </c>
      <c r="L115" s="79" t="s">
        <v>567</v>
      </c>
    </row>
    <row r="116">
      <c r="A116" s="79" t="s">
        <v>553</v>
      </c>
      <c r="B116" s="80" t="s">
        <v>569</v>
      </c>
      <c r="C116" s="80" t="s">
        <v>570</v>
      </c>
      <c r="D116" s="80" t="s">
        <v>571</v>
      </c>
      <c r="E116" s="80" t="s">
        <v>573</v>
      </c>
      <c r="F116" s="82">
        <v>53.0</v>
      </c>
      <c r="G116" s="79" t="str">
        <f>IFERROR(__xludf.DUMMYFUNCTION("TRIM(REGEXREPLACE(C116, ""[0-9]+[a-f]?\."", """"))"),"Happiness")</f>
        <v>Happiness</v>
      </c>
      <c r="H116" s="79" t="str">
        <f>IFERROR(__xludf.DUMMYFUNCTION("TRIM(REGEXREPLACE(D116, ""[0-9]+[a-f]?\."", """"))"),"Bonheur")</f>
        <v>Bonheur</v>
      </c>
      <c r="I116" s="79" t="str">
        <f>IFERROR(__xludf.DUMMYFUNCTION("TRIM(REGEXREPLACE(E116, ""[0-9]+[a-f]?\."", """"))"),"Farin ciki")</f>
        <v>Farin ciki</v>
      </c>
      <c r="J116" s="79" t="s">
        <v>575</v>
      </c>
      <c r="K116" s="79" t="s">
        <v>576</v>
      </c>
      <c r="L116" s="79" t="s">
        <v>577</v>
      </c>
    </row>
    <row r="117">
      <c r="A117" s="79" t="s">
        <v>553</v>
      </c>
      <c r="B117" s="80" t="s">
        <v>578</v>
      </c>
      <c r="C117" s="80" t="s">
        <v>579</v>
      </c>
      <c r="D117" s="80" t="s">
        <v>579</v>
      </c>
      <c r="E117" s="80" t="s">
        <v>580</v>
      </c>
      <c r="F117" s="82">
        <v>54.0</v>
      </c>
      <c r="G117" s="79" t="str">
        <f>IFERROR(__xludf.DUMMYFUNCTION("TRIM(REGEXREPLACE(C117, ""[0-9]+[a-f]?\."", """"))"),"Stress")</f>
        <v>Stress</v>
      </c>
      <c r="H117" s="79" t="str">
        <f>IFERROR(__xludf.DUMMYFUNCTION("TRIM(REGEXREPLACE(D117, ""[0-9]+[a-f]?\."", """"))"),"Stress")</f>
        <v>Stress</v>
      </c>
      <c r="I117" s="79" t="str">
        <f>IFERROR(__xludf.DUMMYFUNCTION("TRIM(REGEXREPLACE(E117, ""[0-9]+[a-f]?\."", """"))"),"Babbar Damuwa")</f>
        <v>Babbar Damuwa</v>
      </c>
      <c r="J117" s="79" t="s">
        <v>581</v>
      </c>
      <c r="K117" s="79" t="s">
        <v>581</v>
      </c>
      <c r="L117" s="79" t="s">
        <v>582</v>
      </c>
    </row>
    <row r="118">
      <c r="A118" s="79" t="s">
        <v>553</v>
      </c>
      <c r="B118" s="80" t="s">
        <v>583</v>
      </c>
      <c r="C118" s="80" t="s">
        <v>543</v>
      </c>
      <c r="D118" s="80" t="s">
        <v>545</v>
      </c>
      <c r="E118" s="80" t="s">
        <v>546</v>
      </c>
      <c r="F118" s="82">
        <v>55.0</v>
      </c>
      <c r="G118" s="79" t="str">
        <f>IFERROR(__xludf.DUMMYFUNCTION("TRIM(REGEXREPLACE(C118, ""[0-9]+[a-f]?\."", """"))"),"Worry")</f>
        <v>Worry</v>
      </c>
      <c r="H118" s="79" t="str">
        <f>IFERROR(__xludf.DUMMYFUNCTION("TRIM(REGEXREPLACE(D118, ""[0-9]+[a-f]?\."", """"))"),"Inquiétude")</f>
        <v>Inquiétude</v>
      </c>
      <c r="I118" s="79" t="str">
        <f>IFERROR(__xludf.DUMMYFUNCTION("TRIM(REGEXREPLACE(E118, ""[0-9]+[a-f]?\."", """"))"),"Damuwa")</f>
        <v>Damuwa</v>
      </c>
      <c r="J118" s="79" t="s">
        <v>586</v>
      </c>
      <c r="K118" s="79" t="s">
        <v>588</v>
      </c>
      <c r="L118" s="79" t="s">
        <v>589</v>
      </c>
    </row>
    <row r="119">
      <c r="A119" s="79" t="s">
        <v>553</v>
      </c>
      <c r="B119" s="80" t="s">
        <v>592</v>
      </c>
      <c r="C119" s="80" t="s">
        <v>550</v>
      </c>
      <c r="D119" s="80" t="s">
        <v>551</v>
      </c>
      <c r="E119" s="80" t="s">
        <v>552</v>
      </c>
      <c r="F119" s="82">
        <v>56.0</v>
      </c>
      <c r="G119" s="79" t="str">
        <f>IFERROR(__xludf.DUMMYFUNCTION("TRIM(REGEXREPLACE(C119, ""[0-9]+[a-f]?\."", """"))"),"Anger")</f>
        <v>Anger</v>
      </c>
      <c r="H119" s="79" t="str">
        <f>IFERROR(__xludf.DUMMYFUNCTION("TRIM(REGEXREPLACE(D119, ""[0-9]+[a-f]?\."", """"))"),"Colère")</f>
        <v>Colère</v>
      </c>
      <c r="I119" s="79" t="str">
        <f>IFERROR(__xludf.DUMMYFUNCTION("TRIM(REGEXREPLACE(E119, ""[0-9]+[a-f]?\."", """"))"),"Fushi")</f>
        <v>Fushi</v>
      </c>
      <c r="J119" s="79" t="s">
        <v>594</v>
      </c>
      <c r="K119" s="79" t="s">
        <v>595</v>
      </c>
      <c r="L119" s="79" t="s">
        <v>596</v>
      </c>
    </row>
    <row r="120">
      <c r="A120" s="79" t="s">
        <v>553</v>
      </c>
      <c r="B120" s="80" t="s">
        <v>597</v>
      </c>
      <c r="C120" s="80" t="s">
        <v>598</v>
      </c>
      <c r="D120" s="80" t="s">
        <v>599</v>
      </c>
      <c r="E120" s="80" t="s">
        <v>600</v>
      </c>
      <c r="F120" s="82">
        <v>57.0</v>
      </c>
      <c r="G120" s="79" t="str">
        <f>IFERROR(__xludf.DUMMYFUNCTION("TRIM(REGEXREPLACE(C120, ""[0-9]+[a-f]?\."", """"))"),"Physical pain")</f>
        <v>Physical pain</v>
      </c>
      <c r="H120" s="79" t="str">
        <f>IFERROR(__xludf.DUMMYFUNCTION("TRIM(REGEXREPLACE(D120, ""[0-9]+[a-f]?\."", """"))"),"Douleur physique")</f>
        <v>Douleur physique</v>
      </c>
      <c r="I120" s="79" t="str">
        <f>IFERROR(__xludf.DUMMYFUNCTION("TRIM(REGEXREPLACE(E120, ""[0-9]+[a-f]?\."", """"))"),"ciwon jiki")</f>
        <v>ciwon jiki</v>
      </c>
      <c r="J120" s="79" t="s">
        <v>601</v>
      </c>
      <c r="K120" s="79" t="s">
        <v>602</v>
      </c>
      <c r="L120" s="79" t="s">
        <v>603</v>
      </c>
    </row>
    <row r="121">
      <c r="A121" s="79" t="s">
        <v>553</v>
      </c>
      <c r="B121" s="80" t="s">
        <v>605</v>
      </c>
      <c r="C121" s="80" t="s">
        <v>607</v>
      </c>
      <c r="D121" s="80" t="s">
        <v>609</v>
      </c>
      <c r="E121" s="80" t="s">
        <v>610</v>
      </c>
      <c r="F121" s="82">
        <v>58.0</v>
      </c>
      <c r="G121" s="79" t="str">
        <f>IFERROR(__xludf.DUMMYFUNCTION("TRIM(REGEXREPLACE(C121, ""[0-9]+[a-f]?\."", """"))"),"Loneliness")</f>
        <v>Loneliness</v>
      </c>
      <c r="H121" s="79" t="str">
        <f>IFERROR(__xludf.DUMMYFUNCTION("TRIM(REGEXREPLACE(D121, ""[0-9]+[a-f]?\."", """"))"),"Solitude")</f>
        <v>Solitude</v>
      </c>
      <c r="I121" s="79" t="str">
        <f>IFERROR(__xludf.DUMMYFUNCTION("TRIM(REGEXREPLACE(E121, ""[0-9]+[a-f]?\."", """"))"),"kadaici")</f>
        <v>kadaici</v>
      </c>
      <c r="J121" s="79" t="s">
        <v>611</v>
      </c>
      <c r="K121" s="79" t="s">
        <v>612</v>
      </c>
      <c r="L121" s="79" t="s">
        <v>613</v>
      </c>
    </row>
    <row r="122" hidden="1">
      <c r="B122" s="80"/>
      <c r="C122" s="80"/>
      <c r="D122" s="80"/>
      <c r="E122" s="80"/>
      <c r="F122" s="82">
        <v>60.0</v>
      </c>
      <c r="G122" s="79" t="str">
        <f>IFERROR(__xludf.DUMMYFUNCTION("TRIM(REGEXREPLACE(C122, ""[0-9]+[a-f]?\."", """"))"),"")</f>
        <v/>
      </c>
      <c r="H122" s="79" t="str">
        <f>IFERROR(__xludf.DUMMYFUNCTION("TRIM(REGEXREPLACE(D122, ""[0-9]+[a-f]?\."", """"))"),"")</f>
        <v/>
      </c>
      <c r="I122" s="79" t="str">
        <f>IFERROR(__xludf.DUMMYFUNCTION("TRIM(REGEXREPLACE(E122, ""[0-9]+[a-f]?\."", """"))"),"")</f>
        <v/>
      </c>
      <c r="J122" s="79" t="s">
        <v>615</v>
      </c>
      <c r="K122" s="79" t="s">
        <v>617</v>
      </c>
      <c r="L122" s="79" t="s">
        <v>618</v>
      </c>
    </row>
    <row r="123" hidden="1"/>
    <row r="124">
      <c r="A124" s="79" t="s">
        <v>619</v>
      </c>
      <c r="B124" s="80" t="s">
        <v>620</v>
      </c>
      <c r="C124" s="80" t="s">
        <v>621</v>
      </c>
      <c r="D124" s="80" t="s">
        <v>622</v>
      </c>
      <c r="E124" s="80" t="s">
        <v>623</v>
      </c>
      <c r="F124" s="82">
        <v>59.0</v>
      </c>
      <c r="G124" s="79" t="str">
        <f>IFERROR(__xludf.DUMMYFUNCTION("TRIM(REGEXREPLACE(C124, ""[0-9]+[a-f]?\."", """"))"),"I will now read out several statements. You should tell me whether these statements are true for you by using the following scale.")</f>
        <v>I will now read out several statements. You should tell me whether these statements are true for you by using the following scale.</v>
      </c>
      <c r="H124" s="79" t="str">
        <f>IFERROR(__xludf.DUMMYFUNCTION("TRIM(REGEXREPLACE(D124,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24" s="79" t="str">
        <f>IFERROR(__xludf.DUMMYFUNCTION("TRIM(REGEXREPLACE(E124,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24" s="79" t="s">
        <v>628</v>
      </c>
      <c r="K124" s="79" t="s">
        <v>629</v>
      </c>
      <c r="L124" s="79" t="s">
        <v>630</v>
      </c>
    </row>
    <row r="125">
      <c r="A125" s="79" t="s">
        <v>619</v>
      </c>
      <c r="B125" s="80" t="s">
        <v>631</v>
      </c>
      <c r="C125" s="80" t="s">
        <v>632</v>
      </c>
      <c r="D125" s="80" t="s">
        <v>633</v>
      </c>
      <c r="E125" s="80" t="s">
        <v>634</v>
      </c>
      <c r="F125" s="82">
        <v>60.0</v>
      </c>
      <c r="G125" s="79" t="str">
        <f>IFERROR(__xludf.DUMMYFUNCTION("TRIM(REGEXREPLACE(C125, ""[0-9]+[a-f]?\."", """"))"),"I feel I do not have much to be proud of.")</f>
        <v>I feel I do not have much to be proud of.</v>
      </c>
      <c r="H125" s="79" t="str">
        <f>IFERROR(__xludf.DUMMYFUNCTION("TRIM(REGEXREPLACE(D125, ""[0-9]+[a-f]?\."", """"))"),"Je sens que je n'ai pas beaucoup de raisons d'être fier (comblé).")</f>
        <v>Je sens que je n'ai pas beaucoup de raisons d'être fier (comblé).</v>
      </c>
      <c r="I125" s="79" t="str">
        <f>IFERROR(__xludf.DUMMYFUNCTION("TRIM(REGEXREPLACE(E125, ""[0-9]+[a-f]?\."", """"))"),"Ina jin ba ni da hujjojin jin daɗi.")</f>
        <v>Ina jin ba ni da hujjojin jin daɗi.</v>
      </c>
      <c r="J125" s="79" t="s">
        <v>635</v>
      </c>
      <c r="K125" s="79" t="s">
        <v>636</v>
      </c>
      <c r="L125" s="79" t="s">
        <v>637</v>
      </c>
    </row>
    <row r="126">
      <c r="A126" s="79" t="s">
        <v>619</v>
      </c>
      <c r="B126" s="80" t="s">
        <v>638</v>
      </c>
      <c r="C126" s="80" t="s">
        <v>639</v>
      </c>
      <c r="D126" s="80" t="s">
        <v>640</v>
      </c>
      <c r="E126" s="80" t="s">
        <v>641</v>
      </c>
      <c r="F126" s="82">
        <v>61.0</v>
      </c>
      <c r="G126" s="79" t="str">
        <f>IFERROR(__xludf.DUMMYFUNCTION("TRIM(REGEXREPLACE(C126, ""[0-9]+[a-f]?\."", """"))"),"At times I think I am no good at all.")</f>
        <v>At times I think I am no good at all.</v>
      </c>
      <c r="H126" s="79" t="str">
        <f>IFERROR(__xludf.DUMMYFUNCTION("TRIM(REGEXREPLACE(D126, ""[0-9]+[a-f]?\."", """"))"),"Parfois, je pense que je suis utile a rien")</f>
        <v>Parfois, je pense que je suis utile a rien</v>
      </c>
      <c r="I126" s="79" t="str">
        <f>IFERROR(__xludf.DUMMYFUNCTION("TRIM(REGEXREPLACE(E126, ""[0-9]+[a-f]?\."", """"))"),"A wasu lokuta ina ganin bani da amfani.")</f>
        <v>A wasu lokuta ina ganin bani da amfani.</v>
      </c>
      <c r="J126" s="79" t="s">
        <v>642</v>
      </c>
      <c r="K126" s="79" t="s">
        <v>643</v>
      </c>
      <c r="L126" s="79" t="s">
        <v>644</v>
      </c>
    </row>
    <row r="127" hidden="1">
      <c r="B127" s="80"/>
      <c r="C127" s="80"/>
      <c r="D127" s="80"/>
      <c r="E127" s="80"/>
      <c r="F127" s="82">
        <v>63.0</v>
      </c>
      <c r="G127" s="79" t="str">
        <f>IFERROR(__xludf.DUMMYFUNCTION("TRIM(REGEXREPLACE(C127, ""[0-9]+[a-f]?\."", """"))"),"")</f>
        <v/>
      </c>
      <c r="H127" s="79" t="str">
        <f>IFERROR(__xludf.DUMMYFUNCTION("TRIM(REGEXREPLACE(D127, ""[0-9]+[a-f]?\."", """"))"),"")</f>
        <v/>
      </c>
      <c r="I127" s="79" t="str">
        <f>IFERROR(__xludf.DUMMYFUNCTION("TRIM(REGEXREPLACE(E127, ""[0-9]+[a-f]?\."", """"))"),"")</f>
        <v/>
      </c>
      <c r="J127" s="79" t="s">
        <v>646</v>
      </c>
      <c r="K127" s="79" t="s">
        <v>647</v>
      </c>
      <c r="L127" s="79" t="s">
        <v>650</v>
      </c>
    </row>
    <row r="128">
      <c r="A128" s="79" t="s">
        <v>396</v>
      </c>
      <c r="B128" s="80" t="s">
        <v>652</v>
      </c>
      <c r="C128" s="80" t="s">
        <v>615</v>
      </c>
      <c r="D128" s="80" t="s">
        <v>617</v>
      </c>
      <c r="E128" s="80" t="s">
        <v>618</v>
      </c>
      <c r="F128" s="82">
        <v>62.0</v>
      </c>
      <c r="G128" s="79" t="str">
        <f>IFERROR(__xludf.DUMMYFUNCTION("TRIM(REGEXREPLACE(C128,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28" s="79" t="str">
        <f>IFERROR(__xludf.DUMMYFUNCTION("TRIM(REGEXREPLACE(D128,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28" s="79" t="str">
        <f>IFERROR(__xludf.DUMMYFUNCTION("TRIM(REGEXREPLACE(E128,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128" s="79" t="s">
        <v>656</v>
      </c>
      <c r="K128" s="79" t="s">
        <v>657</v>
      </c>
      <c r="L128" s="79" t="s">
        <v>658</v>
      </c>
    </row>
    <row r="129" hidden="1">
      <c r="B129" s="80"/>
      <c r="C129" s="80"/>
      <c r="D129" s="80"/>
      <c r="E129" s="80"/>
      <c r="F129" s="82">
        <v>65.0</v>
      </c>
      <c r="G129" s="79" t="str">
        <f>IFERROR(__xludf.DUMMYFUNCTION("TRIM(REGEXREPLACE(C129, ""[0-9]+[a-f]?\."", """"))"),"")</f>
        <v/>
      </c>
      <c r="H129" s="79" t="str">
        <f>IFERROR(__xludf.DUMMYFUNCTION("TRIM(REGEXREPLACE(D129, ""[0-9]+[a-f]?\."", """"))"),"")</f>
        <v/>
      </c>
      <c r="I129" s="79" t="str">
        <f>IFERROR(__xludf.DUMMYFUNCTION("TRIM(REGEXREPLACE(E129, ""[0-9]+[a-f]?\."", """"))"),"")</f>
        <v/>
      </c>
      <c r="J129" s="79" t="s">
        <v>659</v>
      </c>
      <c r="K129" s="79" t="s">
        <v>660</v>
      </c>
      <c r="L129" s="79" t="s">
        <v>661</v>
      </c>
    </row>
    <row r="130" hidden="1">
      <c r="B130" s="80"/>
      <c r="C130" s="80"/>
      <c r="D130" s="80"/>
      <c r="E130" s="80"/>
      <c r="F130" s="82">
        <v>66.0</v>
      </c>
      <c r="G130" s="79" t="str">
        <f>IFERROR(__xludf.DUMMYFUNCTION("TRIM(REGEXREPLACE(C130, ""[0-9]+[a-f]?\."", """"))"),"")</f>
        <v/>
      </c>
      <c r="H130" s="79" t="str">
        <f>IFERROR(__xludf.DUMMYFUNCTION("TRIM(REGEXREPLACE(D130, ""[0-9]+[a-f]?\."", """"))"),"")</f>
        <v/>
      </c>
      <c r="I130" s="79" t="str">
        <f>IFERROR(__xludf.DUMMYFUNCTION("TRIM(REGEXREPLACE(E130, ""[0-9]+[a-f]?\."", """"))"),"")</f>
        <v/>
      </c>
      <c r="J130" s="79" t="s">
        <v>662</v>
      </c>
      <c r="K130" s="79" t="s">
        <v>663</v>
      </c>
      <c r="L130" s="79" t="s">
        <v>665</v>
      </c>
    </row>
    <row r="131">
      <c r="A131" s="79" t="s">
        <v>42</v>
      </c>
      <c r="B131" s="80" t="s">
        <v>667</v>
      </c>
      <c r="C131" s="80" t="s">
        <v>668</v>
      </c>
      <c r="D131" s="80" t="s">
        <v>669</v>
      </c>
      <c r="E131" s="80" t="s">
        <v>670</v>
      </c>
      <c r="F131" s="82">
        <v>63.0</v>
      </c>
      <c r="G131" s="79" t="str">
        <f>IFERROR(__xludf.DUMMYFUNCTION("TRIM(REGEXREPLACE(C131, ""[0-9]+[a-f]?\."", """"))"),"Now I am going to ask you about the areas of your life that worry you.")</f>
        <v>Now I am going to ask you about the areas of your life that worry you.</v>
      </c>
      <c r="H131" s="79" t="str">
        <f>IFERROR(__xludf.DUMMYFUNCTION("TRIM(REGEXREPLACE(D131, ""[0-9]+[a-f]?\."", """"))"),"Je voudrais maintenant vous poser des questions sur les choses qui vous inquiètent dans votre vie.")</f>
        <v>Je voudrais maintenant vous poser des questions sur les choses qui vous inquiètent dans votre vie.</v>
      </c>
      <c r="I131" s="79" t="str">
        <f>IFERROR(__xludf.DUMMYFUNCTION("TRIM(REGEXREPLACE(E131, ""[0-9]+[a-f]?\."", """"))"),"Yanzu ina son in tambaye ku bisa abubuwan da ke damun ku a cikin rayuwar ku.")</f>
        <v>Yanzu ina son in tambaye ku bisa abubuwan da ke damun ku a cikin rayuwar ku.</v>
      </c>
      <c r="J131" s="79" t="s">
        <v>674</v>
      </c>
      <c r="K131" s="79" t="s">
        <v>675</v>
      </c>
      <c r="L131" s="79" t="s">
        <v>676</v>
      </c>
    </row>
    <row r="132">
      <c r="A132" s="79" t="s">
        <v>677</v>
      </c>
      <c r="B132" s="80" t="s">
        <v>678</v>
      </c>
      <c r="C132" s="80" t="s">
        <v>679</v>
      </c>
      <c r="D132" s="80" t="s">
        <v>680</v>
      </c>
      <c r="E132" s="80" t="s">
        <v>681</v>
      </c>
      <c r="F132" s="82">
        <v>64.0</v>
      </c>
      <c r="G132" s="79" t="str">
        <f>IFERROR(__xludf.DUMMYFUNCTION("TRIM(REGEXREPLACE(C132, ""[0-9]+[a-f]?\."", """"))"),"How stressed are you about the following areas of your life?")</f>
        <v>How stressed are you about the following areas of your life?</v>
      </c>
      <c r="H132" s="79" t="str">
        <f>IFERROR(__xludf.DUMMYFUNCTION("TRIM(REGEXREPLACE(D132, ""[0-9]+[a-f]?\."", """"))"),"Dans quelle mesure êtes-vous stressé par les domaines suivants de votre vie ?")</f>
        <v>Dans quelle mesure êtes-vous stressé par les domaines suivants de votre vie ?</v>
      </c>
      <c r="I132" s="79" t="str">
        <f>IFERROR(__xludf.DUMMYFUNCTION("TRIM(REGEXREPLACE(E132, ""[0-9]+[a-f]?\."", """"))"),"Yaya damuwarku game da abubuwa na rayuwarku da zan zana?")</f>
        <v>Yaya damuwarku game da abubuwa na rayuwarku da zan zana?</v>
      </c>
      <c r="J132" s="79" t="s">
        <v>684</v>
      </c>
      <c r="K132" s="79" t="s">
        <v>685</v>
      </c>
      <c r="L132" s="79" t="s">
        <v>686</v>
      </c>
    </row>
    <row r="133">
      <c r="A133" s="79" t="s">
        <v>677</v>
      </c>
      <c r="B133" s="80" t="s">
        <v>687</v>
      </c>
      <c r="C133" s="80" t="s">
        <v>646</v>
      </c>
      <c r="D133" s="80" t="s">
        <v>647</v>
      </c>
      <c r="E133" s="80" t="s">
        <v>650</v>
      </c>
      <c r="F133" s="82">
        <v>65.0</v>
      </c>
      <c r="G133" s="79" t="str">
        <f>IFERROR(__xludf.DUMMYFUNCTION("TRIM(REGEXREPLACE(C133, ""[0-9]+[a-f]?\."", """"))"),"Your own health problems, illness")</f>
        <v>Your own health problems, illness</v>
      </c>
      <c r="H133" s="79" t="str">
        <f>IFERROR(__xludf.DUMMYFUNCTION("TRIM(REGEXREPLACE(D133, ""[0-9]+[a-f]?\."", """"))"),"Vos propres problèmes de santé")</f>
        <v>Vos propres problèmes de santé</v>
      </c>
      <c r="I133" s="79" t="str">
        <f>IFERROR(__xludf.DUMMYFUNCTION("TRIM(REGEXREPLACE(E133, ""[0-9]+[a-f]?\."", """"))"),"Matsalolin lafiyar jikinku")</f>
        <v>Matsalolin lafiyar jikinku</v>
      </c>
      <c r="J133" s="79" t="s">
        <v>689</v>
      </c>
      <c r="K133" s="79" t="s">
        <v>690</v>
      </c>
      <c r="L133" s="79" t="s">
        <v>691</v>
      </c>
    </row>
    <row r="134">
      <c r="A134" s="79" t="s">
        <v>677</v>
      </c>
      <c r="B134" s="80" t="s">
        <v>692</v>
      </c>
      <c r="C134" s="80" t="s">
        <v>693</v>
      </c>
      <c r="D134" s="80" t="s">
        <v>694</v>
      </c>
      <c r="E134" s="80" t="s">
        <v>695</v>
      </c>
      <c r="F134" s="82">
        <v>66.0</v>
      </c>
      <c r="G134" s="79" t="str">
        <f>IFERROR(__xludf.DUMMYFUNCTION("TRIM(REGEXREPLACE(C134, ""[0-9]+[a-f]?\."", """"))"),"Problems at home and with relatives")</f>
        <v>Problems at home and with relatives</v>
      </c>
      <c r="H134" s="79" t="str">
        <f>IFERROR(__xludf.DUMMYFUNCTION("TRIM(REGEXREPLACE(D134, ""[0-9]+[a-f]?\."", """"))"),"Problèmes dans le ménage et avec les proches")</f>
        <v>Problèmes dans le ménage et avec les proches</v>
      </c>
      <c r="I134" s="79" t="str">
        <f>IFERROR(__xludf.DUMMYFUNCTION("TRIM(REGEXREPLACE(E134, ""[0-9]+[a-f]?\."", """"))"),"Matsaloli na cikin gida da na dangi")</f>
        <v>Matsaloli na cikin gida da na dangi</v>
      </c>
      <c r="J134" s="79" t="s">
        <v>696</v>
      </c>
      <c r="K134" s="79" t="s">
        <v>697</v>
      </c>
      <c r="L134" s="79" t="s">
        <v>698</v>
      </c>
    </row>
    <row r="135">
      <c r="A135" s="79" t="s">
        <v>677</v>
      </c>
      <c r="B135" s="80" t="s">
        <v>699</v>
      </c>
      <c r="C135" s="80" t="s">
        <v>659</v>
      </c>
      <c r="D135" s="80" t="s">
        <v>660</v>
      </c>
      <c r="E135" s="80" t="s">
        <v>661</v>
      </c>
      <c r="F135" s="82">
        <v>67.0</v>
      </c>
      <c r="G135" s="79" t="str">
        <f>IFERROR(__xludf.DUMMYFUNCTION("TRIM(REGEXREPLACE(C135, ""[0-9]+[a-f]?\."", """"))"),"Accidents and disasters")</f>
        <v>Accidents and disasters</v>
      </c>
      <c r="H135" s="79" t="str">
        <f>IFERROR(__xludf.DUMMYFUNCTION("TRIM(REGEXREPLACE(D135, ""[0-9]+[a-f]?\."", """"))"),"Accidents et catastrophes")</f>
        <v>Accidents et catastrophes</v>
      </c>
      <c r="I135" s="79" t="str">
        <f>IFERROR(__xludf.DUMMYFUNCTION("TRIM(REGEXREPLACE(E135, ""[0-9]+[a-f]?\."", """"))"),"Hatsari da bala'o'i")</f>
        <v>Hatsari da bala'o'i</v>
      </c>
      <c r="J135" s="79" t="s">
        <v>704</v>
      </c>
      <c r="K135" s="79" t="s">
        <v>705</v>
      </c>
      <c r="L135" s="79" t="s">
        <v>706</v>
      </c>
    </row>
    <row r="136">
      <c r="A136" s="79" t="s">
        <v>677</v>
      </c>
      <c r="B136" s="80" t="s">
        <v>707</v>
      </c>
      <c r="C136" s="80" t="s">
        <v>662</v>
      </c>
      <c r="D136" s="80" t="s">
        <v>663</v>
      </c>
      <c r="E136" s="80" t="s">
        <v>665</v>
      </c>
      <c r="F136" s="82">
        <v>68.0</v>
      </c>
      <c r="G136" s="79" t="str">
        <f>IFERROR(__xludf.DUMMYFUNCTION("TRIM(REGEXREPLACE(C136, ""[0-9]+[a-f]?\."", """"))"),"Not enough money for basic needs (sucha as food and clothing)")</f>
        <v>Not enough money for basic needs (sucha as food and clothing)</v>
      </c>
      <c r="H136" s="79" t="str">
        <f>IFERROR(__xludf.DUMMYFUNCTION("TRIM(REGEXREPLACE(D136, ""[0-9]+[a-f]?\."", """"))"),"Pas assez d'argent pour les besoins de base (tels que la nourriture et les vêtements)")</f>
        <v>Pas assez d'argent pour les besoins de base (tels que la nourriture et les vêtements)</v>
      </c>
      <c r="I136" s="79" t="str">
        <f>IFERROR(__xludf.DUMMYFUNCTION("TRIM(REGEXREPLACE(E136, ""[0-9]+[a-f]?\."", """"))"),"Rashin isassun kuɗi don buƙatun asali (kamar abinci da sutura)")</f>
        <v>Rashin isassun kuɗi don buƙatun asali (kamar abinci da sutura)</v>
      </c>
      <c r="J136" s="79" t="s">
        <v>708</v>
      </c>
      <c r="K136" s="79" t="s">
        <v>709</v>
      </c>
      <c r="L136" s="79" t="s">
        <v>710</v>
      </c>
    </row>
    <row r="137">
      <c r="A137" s="79" t="s">
        <v>677</v>
      </c>
      <c r="B137" s="80" t="s">
        <v>711</v>
      </c>
      <c r="C137" s="80" t="s">
        <v>712</v>
      </c>
      <c r="D137" s="80" t="s">
        <v>713</v>
      </c>
      <c r="E137" s="80" t="s">
        <v>715</v>
      </c>
      <c r="F137" s="82">
        <v>69.0</v>
      </c>
      <c r="G137" s="79" t="str">
        <f>IFERROR(__xludf.DUMMYFUNCTION("TRIM(REGEXREPLACE(C137, ""[0-9]+[a-f]?\."", """"))"),"Not being able to educate all children")</f>
        <v>Not being able to educate all children</v>
      </c>
      <c r="H137" s="79" t="str">
        <f>IFERROR(__xludf.DUMMYFUNCTION("TRIM(REGEXREPLACE(D137, ""[0-9]+[a-f]?\."", """"))"),"Ne pas pouvoir scolariser tous les enfants")</f>
        <v>Ne pas pouvoir scolariser tous les enfants</v>
      </c>
      <c r="I137" s="79" t="str">
        <f>IFERROR(__xludf.DUMMYFUNCTION("TRIM(REGEXREPLACE(E137, ""[0-9]+[a-f]?\."", """"))"),"Rashin iya rubuta dukkan yara a makarantar boko")</f>
        <v>Rashin iya rubuta dukkan yara a makarantar boko</v>
      </c>
      <c r="J137" s="79" t="s">
        <v>718</v>
      </c>
      <c r="K137" s="79" t="s">
        <v>719</v>
      </c>
      <c r="L137" s="79" t="s">
        <v>720</v>
      </c>
    </row>
    <row r="138">
      <c r="A138" s="79" t="s">
        <v>677</v>
      </c>
      <c r="B138" s="80" t="s">
        <v>723</v>
      </c>
      <c r="C138" s="80" t="s">
        <v>724</v>
      </c>
      <c r="D138" s="80" t="s">
        <v>725</v>
      </c>
      <c r="E138" s="80" t="s">
        <v>726</v>
      </c>
      <c r="F138" s="82">
        <v>70.0</v>
      </c>
      <c r="G138" s="79" t="str">
        <f>IFERROR(__xludf.DUMMYFUNCTION("TRIM(REGEXREPLACE(C138, ""[0-9]+[a-f]?\."", """"))"),"Difficulty finding work")</f>
        <v>Difficulty finding work</v>
      </c>
      <c r="H138" s="79" t="str">
        <f>IFERROR(__xludf.DUMMYFUNCTION("TRIM(REGEXREPLACE(D138, ""[0-9]+[a-f]?\."", """"))"),"Difficulté à trouver du travail")</f>
        <v>Difficulté à trouver du travail</v>
      </c>
      <c r="I138" s="79" t="str">
        <f>IFERROR(__xludf.DUMMYFUNCTION("TRIM(REGEXREPLACE(E138, ""[0-9]+[a-f]?\."", """"))"),"Wahalar neman aiki")</f>
        <v>Wahalar neman aiki</v>
      </c>
      <c r="J138" s="79" t="s">
        <v>727</v>
      </c>
      <c r="K138" s="79" t="s">
        <v>728</v>
      </c>
      <c r="L138" s="79" t="s">
        <v>729</v>
      </c>
    </row>
    <row r="139">
      <c r="A139" s="79" t="s">
        <v>677</v>
      </c>
      <c r="B139" s="80" t="s">
        <v>731</v>
      </c>
      <c r="C139" s="80" t="s">
        <v>732</v>
      </c>
      <c r="D139" s="80" t="s">
        <v>733</v>
      </c>
      <c r="E139" s="80" t="s">
        <v>734</v>
      </c>
      <c r="F139" s="82">
        <v>71.0</v>
      </c>
      <c r="G139" s="79" t="str">
        <f>IFERROR(__xludf.DUMMYFUNCTION("TRIM(REGEXREPLACE(C139, ""[0-9]+[a-f]?\."", """"))"),"Idleness of children or spouse")</f>
        <v>Idleness of children or spouse</v>
      </c>
      <c r="H139" s="79" t="str">
        <f>IFERROR(__xludf.DUMMYFUNCTION("TRIM(REGEXREPLACE(D139, ""[0-9]+[a-f]?\."", """"))"),"L'oisiveté des enfants ou du conjoint")</f>
        <v>L'oisiveté des enfants ou du conjoint</v>
      </c>
      <c r="I139" s="79" t="str">
        <f>IFERROR(__xludf.DUMMYFUNCTION("TRIM(REGEXREPLACE(E139, ""[0-9]+[a-f]?\."", """"))"),"Zaman banza na yara ko mata")</f>
        <v>Zaman banza na yara ko mata</v>
      </c>
      <c r="J139" s="79" t="s">
        <v>736</v>
      </c>
      <c r="K139" s="79" t="s">
        <v>737</v>
      </c>
      <c r="L139" s="79" t="s">
        <v>738</v>
      </c>
    </row>
    <row r="140">
      <c r="A140" s="79" t="s">
        <v>677</v>
      </c>
      <c r="B140" s="80" t="s">
        <v>739</v>
      </c>
      <c r="C140" s="80" t="s">
        <v>740</v>
      </c>
      <c r="D140" s="80" t="s">
        <v>741</v>
      </c>
      <c r="E140" s="80" t="s">
        <v>742</v>
      </c>
      <c r="F140" s="82">
        <v>72.0</v>
      </c>
      <c r="G140" s="79" t="str">
        <f>IFERROR(__xludf.DUMMYFUNCTION("TRIM(REGEXREPLACE(C140, ""[0-9]+[a-f]?\."", """"))"),"Alcohol comsumption of children or spouse")</f>
        <v>Alcohol comsumption of children or spouse</v>
      </c>
      <c r="H140" s="79" t="str">
        <f>IFERROR(__xludf.DUMMYFUNCTION("TRIM(REGEXREPLACE(D140, ""[0-9]+[a-f]?\."", """"))"),"Consommation d'alcool des enfants ou du conjoint")</f>
        <v>Consommation d'alcool des enfants ou du conjoint</v>
      </c>
      <c r="I140" s="79" t="str">
        <f>IFERROR(__xludf.DUMMYFUNCTION("TRIM(REGEXREPLACE(E140, ""[0-9]+[a-f]?\."", """"))"),"Shan giya na yara ko mata")</f>
        <v>Shan giya na yara ko mata</v>
      </c>
      <c r="J140" s="79" t="s">
        <v>743</v>
      </c>
      <c r="K140" s="79" t="s">
        <v>744</v>
      </c>
      <c r="L140" s="79" t="s">
        <v>745</v>
      </c>
    </row>
    <row r="141">
      <c r="A141" s="79" t="s">
        <v>677</v>
      </c>
      <c r="B141" s="80" t="s">
        <v>746</v>
      </c>
      <c r="C141" s="80" t="s">
        <v>747</v>
      </c>
      <c r="D141" s="80" t="s">
        <v>748</v>
      </c>
      <c r="E141" s="80" t="s">
        <v>749</v>
      </c>
      <c r="F141" s="82">
        <v>73.0</v>
      </c>
      <c r="G141" s="79" t="str">
        <f>IFERROR(__xludf.DUMMYFUNCTION("TRIM(REGEXREPLACE(C141, ""[0-9]+[a-f]?\."", """"))"),"Death of a family member")</f>
        <v>Death of a family member</v>
      </c>
      <c r="H141" s="79" t="str">
        <f>IFERROR(__xludf.DUMMYFUNCTION("TRIM(REGEXREPLACE(D141, ""[0-9]+[a-f]?\."", """"))"),"Décès d'un membre de la famille")</f>
        <v>Décès d'un membre de la famille</v>
      </c>
      <c r="I141" s="79" t="str">
        <f>IFERROR(__xludf.DUMMYFUNCTION("TRIM(REGEXREPLACE(E141, ""[0-9]+[a-f]?\."", """"))"),"Mutuwar wani ɗan uwa")</f>
        <v>Mutuwar wani ɗan uwa</v>
      </c>
      <c r="J141" s="79" t="s">
        <v>750</v>
      </c>
      <c r="K141" s="79" t="s">
        <v>751</v>
      </c>
      <c r="L141" s="79" t="s">
        <v>752</v>
      </c>
    </row>
    <row r="142">
      <c r="A142" s="79" t="s">
        <v>677</v>
      </c>
      <c r="B142" s="80" t="s">
        <v>753</v>
      </c>
      <c r="C142" s="80" t="s">
        <v>754</v>
      </c>
      <c r="D142" s="80" t="s">
        <v>755</v>
      </c>
      <c r="E142" s="80" t="s">
        <v>756</v>
      </c>
      <c r="F142" s="82">
        <v>74.0</v>
      </c>
      <c r="G142" s="79" t="str">
        <f>IFERROR(__xludf.DUMMYFUNCTION("TRIM(REGEXREPLACE(C142, ""[0-9]+[a-f]?\."", """"))"),"Debts owed to others")</f>
        <v>Debts owed to others</v>
      </c>
      <c r="H142" s="79" t="str">
        <f>IFERROR(__xludf.DUMMYFUNCTION("TRIM(REGEXREPLACE(D142, ""[0-9]+[a-f]?\."", """"))"),"Dettes envers autrui")</f>
        <v>Dettes envers autrui</v>
      </c>
      <c r="I142" s="79" t="str">
        <f>IFERROR(__xludf.DUMMYFUNCTION("TRIM(REGEXREPLACE(E142, ""[0-9]+[a-f]?\."", """"))"),"Bashi da wasu ke binku")</f>
        <v>Bashi da wasu ke binku</v>
      </c>
      <c r="J142" s="79" t="s">
        <v>757</v>
      </c>
      <c r="K142" s="79" t="s">
        <v>758</v>
      </c>
      <c r="L142" s="79" t="s">
        <v>759</v>
      </c>
    </row>
    <row r="143" hidden="1">
      <c r="B143" s="80"/>
      <c r="C143" s="80"/>
      <c r="D143" s="80"/>
      <c r="E143" s="80"/>
      <c r="F143" s="82">
        <v>76.0</v>
      </c>
      <c r="G143" s="79" t="str">
        <f>IFERROR(__xludf.DUMMYFUNCTION("TRIM(REGEXREPLACE(C143, ""[0-9]+[a-f]?\."", """"))"),"")</f>
        <v/>
      </c>
      <c r="H143" s="79" t="str">
        <f>IFERROR(__xludf.DUMMYFUNCTION("TRIM(REGEXREPLACE(D143, ""[0-9]+[a-f]?\."", """"))"),"")</f>
        <v/>
      </c>
      <c r="I143" s="79" t="str">
        <f>IFERROR(__xludf.DUMMYFUNCTION("TRIM(REGEXREPLACE(E143, ""[0-9]+[a-f]?\."", """"))"),"")</f>
        <v/>
      </c>
    </row>
    <row r="144" hidden="1">
      <c r="B144" s="80"/>
      <c r="C144" s="80"/>
      <c r="D144" s="80"/>
      <c r="E144" s="80"/>
      <c r="F144" s="82">
        <v>76.0</v>
      </c>
      <c r="G144" s="79" t="str">
        <f>IFERROR(__xludf.DUMMYFUNCTION("TRIM(REGEXREPLACE(C144, ""[0-9]+[a-f]?\."", """"))"),"")</f>
        <v/>
      </c>
      <c r="H144" s="79" t="str">
        <f>IFERROR(__xludf.DUMMYFUNCTION("TRIM(REGEXREPLACE(D144, ""[0-9]+[a-f]?\."", """"))"),"")</f>
        <v/>
      </c>
      <c r="I144" s="79" t="str">
        <f>IFERROR(__xludf.DUMMYFUNCTION("TRIM(REGEXREPLACE(E144, ""[0-9]+[a-f]?\."", """"))"),"")</f>
        <v/>
      </c>
      <c r="J144" s="79" t="s">
        <v>761</v>
      </c>
      <c r="K144" s="79" t="s">
        <v>762</v>
      </c>
      <c r="L144" s="79" t="s">
        <v>764</v>
      </c>
    </row>
    <row r="145">
      <c r="A145" s="79" t="s">
        <v>42</v>
      </c>
      <c r="B145" s="80" t="s">
        <v>765</v>
      </c>
      <c r="C145" s="80" t="s">
        <v>766</v>
      </c>
      <c r="D145" s="80" t="s">
        <v>767</v>
      </c>
      <c r="E145" s="80" t="s">
        <v>768</v>
      </c>
      <c r="F145" s="82">
        <v>75.0</v>
      </c>
      <c r="G145" s="79" t="str">
        <f>IFERROR(__xludf.DUMMYFUNCTION("TRIM(REGEXREPLACE(C145, ""[0-9]+[a-f]?\."", """"))"),"Now I will ask about some things that may have happened to you during the past three months.")</f>
        <v>Now I will ask about some things that may have happened to you during the past three months.</v>
      </c>
      <c r="H145" s="79" t="str">
        <f>IFERROR(__xludf.DUMMYFUNCTION("TRIM(REGEXREPLACE(D145, ""[0-9]+[a-f]?\."", """"))"),"Maintenant, je vais vous poser des questions sur certaines choses qui vous sont peut-être arrivées au cours des trois derniers mois.")</f>
        <v>Maintenant, je vais vous poser des questions sur certaines choses qui vous sont peut-être arrivées au cours des trois derniers mois.</v>
      </c>
      <c r="I145" s="79" t="str">
        <f>IFERROR(__xludf.DUMMYFUNCTION("TRIM(REGEXREPLACE(E145, ""[0-9]+[a-f]?\."", """"))"),"Yanzu zan yi tambayoyi game da wasu abubuwa da wataƙila sun faru da ku a cikin watanni uku da suka wuce.")</f>
        <v>Yanzu zan yi tambayoyi game da wasu abubuwa da wataƙila sun faru da ku a cikin watanni uku da suka wuce.</v>
      </c>
      <c r="J145" s="79" t="s">
        <v>770</v>
      </c>
      <c r="K145" s="79" t="s">
        <v>771</v>
      </c>
      <c r="L145" s="79" t="s">
        <v>772</v>
      </c>
    </row>
    <row r="146">
      <c r="A146" s="79" t="s">
        <v>553</v>
      </c>
      <c r="B146" s="80" t="s">
        <v>774</v>
      </c>
      <c r="C146" s="80" t="s">
        <v>775</v>
      </c>
      <c r="D146" s="80" t="s">
        <v>777</v>
      </c>
      <c r="E146" s="80" t="s">
        <v>778</v>
      </c>
      <c r="F146" s="82">
        <v>76.0</v>
      </c>
      <c r="G146" s="79" t="str">
        <f>IFERROR(__xludf.DUMMYFUNCTION("TRIM(REGEXREPLACE(C146, ""[0-9]+[a-f]?\."", """"))"),"How often, if at all, were you personally discriminated against based on your identity (ethnicity, religion, nationality)?")</f>
        <v>How often, if at all, were you personally discriminated against based on your identity (ethnicity, religion, nationality)?</v>
      </c>
      <c r="H146" s="79" t="str">
        <f>IFERROR(__xludf.DUMMYFUNCTION("TRIM(REGEXREPLACE(D146,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46" s="79" t="str">
        <f>IFERROR(__xludf.DUMMYFUNCTION("TRIM(REGEXREPLACE(E146, ""[0-9]+[a-f]?\."", """"))"),"Sau nawa, idan ya faru a gareku, aka nuna muku wariya dangance da kabilarku, ko addininku, ko ƙasarku2?")</f>
        <v>Sau nawa, idan ya faru a gareku, aka nuna muku wariya dangance da kabilarku, ko addininku, ko ƙasarku2?</v>
      </c>
      <c r="J146" s="79" t="s">
        <v>780</v>
      </c>
      <c r="K146" s="79" t="s">
        <v>781</v>
      </c>
      <c r="L146" s="79" t="s">
        <v>782</v>
      </c>
    </row>
    <row r="147">
      <c r="A147" s="79" t="s">
        <v>553</v>
      </c>
      <c r="B147" s="80" t="s">
        <v>783</v>
      </c>
      <c r="C147" s="80" t="s">
        <v>784</v>
      </c>
      <c r="D147" s="80" t="s">
        <v>785</v>
      </c>
      <c r="E147" s="80" t="s">
        <v>786</v>
      </c>
      <c r="F147" s="82">
        <v>77.0</v>
      </c>
      <c r="G147" s="79" t="str">
        <f>IFERROR(__xludf.DUMMYFUNCTION("TRIM(REGEXREPLACE(C147, ""[0-9]+[a-f]?\."", """"))"),"How often, if ever, have you felt unsafe walking in the neighborhood where you are staying?")</f>
        <v>How often, if ever, have you felt unsafe walking in the neighborhood where you are staying?</v>
      </c>
      <c r="H147" s="79" t="str">
        <f>IFERROR(__xludf.DUMMYFUNCTION("TRIM(REGEXREPLACE(D147,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147" s="79" t="str">
        <f>IFERROR(__xludf.DUMMYFUNCTION("TRIM(REGEXREPLACE(E147, ""[0-9]+[a-f]?\."", """"))"),"Sau nawa, idan ya faru a gareku, kuka ji kuna cikin hatsari yayin da kuke yawo a cikin unguwar da kuke zaune?")</f>
        <v>Sau nawa, idan ya faru a gareku, kuka ji kuna cikin hatsari yayin da kuke yawo a cikin unguwar da kuke zaune?</v>
      </c>
      <c r="J147" s="79" t="s">
        <v>788</v>
      </c>
      <c r="K147" s="79" t="s">
        <v>789</v>
      </c>
      <c r="L147" s="79" t="s">
        <v>790</v>
      </c>
    </row>
    <row r="148" hidden="1">
      <c r="B148" s="80"/>
      <c r="C148" s="80"/>
      <c r="D148" s="80"/>
      <c r="E148" s="80"/>
      <c r="F148" s="82">
        <v>80.0</v>
      </c>
      <c r="G148" s="79" t="str">
        <f>IFERROR(__xludf.DUMMYFUNCTION("TRIM(REGEXREPLACE(C148, ""[0-9]+[a-f]?\."", """"))"),"")</f>
        <v/>
      </c>
      <c r="H148" s="79" t="str">
        <f>IFERROR(__xludf.DUMMYFUNCTION("TRIM(REGEXREPLACE(D148, ""[0-9]+[a-f]?\."", """"))"),"")</f>
        <v/>
      </c>
      <c r="I148" s="79" t="str">
        <f>IFERROR(__xludf.DUMMYFUNCTION("TRIM(REGEXREPLACE(E148, ""[0-9]+[a-f]?\."", """"))"),"")</f>
        <v/>
      </c>
      <c r="J148" s="79" t="s">
        <v>792</v>
      </c>
      <c r="K148" s="79" t="s">
        <v>793</v>
      </c>
      <c r="L148" s="79" t="s">
        <v>794</v>
      </c>
    </row>
    <row r="149" hidden="1">
      <c r="B149" s="80"/>
      <c r="C149" s="80"/>
      <c r="D149" s="80"/>
      <c r="E149" s="80"/>
      <c r="F149" s="82">
        <v>81.0</v>
      </c>
      <c r="G149" s="79" t="str">
        <f>IFERROR(__xludf.DUMMYFUNCTION("TRIM(REGEXREPLACE(C149, ""[0-9]+[a-f]?\."", """"))"),"")</f>
        <v/>
      </c>
      <c r="H149" s="79" t="str">
        <f>IFERROR(__xludf.DUMMYFUNCTION("TRIM(REGEXREPLACE(D149, ""[0-9]+[a-f]?\."", """"))"),"")</f>
        <v/>
      </c>
      <c r="I149" s="79" t="str">
        <f>IFERROR(__xludf.DUMMYFUNCTION("TRIM(REGEXREPLACE(E149, ""[0-9]+[a-f]?\."", """"))"),"")</f>
        <v/>
      </c>
    </row>
    <row r="150">
      <c r="A150" s="79" t="s">
        <v>194</v>
      </c>
      <c r="B150" s="80" t="s">
        <v>796</v>
      </c>
      <c r="C150" s="80" t="s">
        <v>761</v>
      </c>
      <c r="D150" s="80" t="s">
        <v>762</v>
      </c>
      <c r="E150" s="80" t="s">
        <v>764</v>
      </c>
      <c r="F150" s="82">
        <v>78.0</v>
      </c>
      <c r="G150" s="79" t="str">
        <f>IFERROR(__xludf.DUMMYFUNCTION("TRIM(REGEXREPLACE(C150, ""[0-9]+[a-f]?\."", """"))"),"Have you experienced any of the following during ${period}?")</f>
        <v>Have you experienced any of the following during ${period}?</v>
      </c>
      <c r="H150" s="79" t="str">
        <f>IFERROR(__xludf.DUMMYFUNCTION("TRIM(REGEXREPLACE(D150, ""[0-9]+[a-f]?\."", """"))"),"Avez-vous vécu l'une des situations suivantes depuis le debut de ${period_french} ?")</f>
        <v>Avez-vous vécu l'une des situations suivantes depuis le debut de ${period_french} ?</v>
      </c>
      <c r="I150" s="79" t="str">
        <f>IFERROR(__xludf.DUMMYFUNCTION("TRIM(REGEXREPLACE(E150, ""[0-9]+[a-f]?\."", """"))"),"Ko kun taɓa fuskantar ɗayan waɗannan abubuwan a wannan wurin, lokacin ${period_hausa}?")</f>
        <v>Ko kun taɓa fuskantar ɗayan waɗannan abubuwan a wannan wurin, lokacin ${period_hausa}?</v>
      </c>
      <c r="J150" s="79" t="s">
        <v>799</v>
      </c>
      <c r="K150" s="79" t="s">
        <v>800</v>
      </c>
      <c r="L150" s="79" t="s">
        <v>801</v>
      </c>
    </row>
    <row r="151">
      <c r="A151" s="79" t="s">
        <v>194</v>
      </c>
      <c r="B151" s="80" t="s">
        <v>802</v>
      </c>
      <c r="C151" s="80" t="s">
        <v>803</v>
      </c>
      <c r="D151" s="80" t="s">
        <v>804</v>
      </c>
      <c r="E151" s="80" t="s">
        <v>805</v>
      </c>
      <c r="F151" s="82">
        <v>79.0</v>
      </c>
      <c r="G151" s="79" t="str">
        <f>IFERROR(__xludf.DUMMYFUNCTION("TRIM(REGEXREPLACE(C151, ""[0-9]+[a-f]?\."", """"))"),"Physical attack")</f>
        <v>Physical attack</v>
      </c>
      <c r="H151" s="79" t="str">
        <f>IFERROR(__xludf.DUMMYFUNCTION("TRIM(REGEXREPLACE(D151, ""[0-9]+[a-f]?\."", """"))"),"Attaque physique")</f>
        <v>Attaque physique</v>
      </c>
      <c r="I151" s="79" t="str">
        <f>IFERROR(__xludf.DUMMYFUNCTION("TRIM(REGEXREPLACE(E151, ""[0-9]+[a-f]?\."", """"))"),"harin jiki")</f>
        <v>harin jiki</v>
      </c>
      <c r="J151" s="79" t="s">
        <v>806</v>
      </c>
      <c r="K151" s="79" t="s">
        <v>807</v>
      </c>
      <c r="L151" s="79" t="s">
        <v>808</v>
      </c>
    </row>
    <row r="152">
      <c r="A152" s="79" t="s">
        <v>194</v>
      </c>
      <c r="B152" s="80" t="s">
        <v>809</v>
      </c>
      <c r="C152" s="80" t="s">
        <v>810</v>
      </c>
      <c r="D152" s="80" t="s">
        <v>811</v>
      </c>
      <c r="E152" s="80" t="s">
        <v>812</v>
      </c>
      <c r="F152" s="82">
        <v>80.0</v>
      </c>
      <c r="G152" s="79" t="str">
        <f>IFERROR(__xludf.DUMMYFUNCTION("TRIM(REGEXREPLACE(C152, ""[0-9]+[a-f]?\."", """"))"),"Threat of physical violence/attack")</f>
        <v>Threat of physical violence/attack</v>
      </c>
      <c r="H152" s="79" t="str">
        <f>IFERROR(__xludf.DUMMYFUNCTION("TRIM(REGEXREPLACE(D152, ""[0-9]+[a-f]?\."", """"))"),"Menace de violence physique/agression")</f>
        <v>Menace de violence physique/agression</v>
      </c>
      <c r="I152" s="79" t="str">
        <f>IFERROR(__xludf.DUMMYFUNCTION("TRIM(REGEXREPLACE(E152, ""[0-9]+[a-f]?\."", """"))"),"Barazanar ​​harin jiki")</f>
        <v>Barazanar ​​harin jiki</v>
      </c>
      <c r="J152" s="79" t="s">
        <v>815</v>
      </c>
      <c r="K152" s="79" t="s">
        <v>816</v>
      </c>
      <c r="L152" s="79" t="s">
        <v>818</v>
      </c>
    </row>
    <row r="153">
      <c r="A153" s="79" t="s">
        <v>194</v>
      </c>
      <c r="B153" s="80" t="s">
        <v>819</v>
      </c>
      <c r="C153" s="80" t="s">
        <v>821</v>
      </c>
      <c r="D153" s="80" t="s">
        <v>822</v>
      </c>
      <c r="E153" s="80" t="s">
        <v>823</v>
      </c>
      <c r="F153" s="82">
        <v>81.0</v>
      </c>
      <c r="G153" s="79" t="str">
        <f>IFERROR(__xludf.DUMMYFUNCTION("TRIM(REGEXREPLACE(C153, ""[0-9]+[a-f]?\."", """"))"),"Theft of either money or property?")</f>
        <v>Theft of either money or property?</v>
      </c>
      <c r="H153" s="79" t="str">
        <f>IFERROR(__xludf.DUMMYFUNCTION("TRIM(REGEXREPLACE(D153, ""[0-9]+[a-f]?\."", """"))"),"Vol d'argent ou de propriété?")</f>
        <v>Vol d'argent ou de propriété?</v>
      </c>
      <c r="I153" s="79" t="str">
        <f>IFERROR(__xludf.DUMMYFUNCTION("TRIM(REGEXREPLACE(E153, ""[0-9]+[a-f]?\."", """"))"),"Satar kudi ko dukiya?")</f>
        <v>Satar kudi ko dukiya?</v>
      </c>
      <c r="J153" s="79" t="s">
        <v>824</v>
      </c>
      <c r="K153" s="79" t="s">
        <v>825</v>
      </c>
      <c r="L153" s="79" t="s">
        <v>826</v>
      </c>
    </row>
    <row r="154">
      <c r="A154" s="79" t="s">
        <v>194</v>
      </c>
      <c r="B154" s="80" t="s">
        <v>827</v>
      </c>
      <c r="C154" s="80" t="s">
        <v>792</v>
      </c>
      <c r="D154" s="80" t="s">
        <v>793</v>
      </c>
      <c r="E154" s="80" t="s">
        <v>794</v>
      </c>
      <c r="F154" s="82">
        <v>82.0</v>
      </c>
      <c r="G154" s="79" t="str">
        <f>IFERROR(__xludf.DUMMYFUNCTION("TRIM(REGEXREPLACE(C154, ""[0-9]+[a-f]?\."", """"))"),"Detention or arrest by state security forces?")</f>
        <v>Detention or arrest by state security forces?</v>
      </c>
      <c r="H154" s="79" t="str">
        <f>IFERROR(__xludf.DUMMYFUNCTION("TRIM(REGEXREPLACE(D154, ""[0-9]+[a-f]?\."", """"))"),"Détention ou arrestation par les forces de sécurité de l'État ?")</f>
        <v>Détention ou arrestation par les forces de sécurité de l'État ?</v>
      </c>
      <c r="I154" s="79" t="str">
        <f>IFERROR(__xludf.DUMMYFUNCTION("TRIM(REGEXREPLACE(E154, ""[0-9]+[a-f]?\."", """"))"),"Kaso ko kamu daga jami'an tsaron gwamnati?")</f>
        <v>Kaso ko kamu daga jami'an tsaron gwamnati?</v>
      </c>
      <c r="J154" s="79" t="s">
        <v>829</v>
      </c>
      <c r="K154" s="79" t="s">
        <v>830</v>
      </c>
      <c r="L154" s="79" t="s">
        <v>831</v>
      </c>
    </row>
    <row r="155" hidden="1">
      <c r="B155" s="80"/>
      <c r="C155" s="80"/>
      <c r="D155" s="80"/>
      <c r="E155" s="80"/>
      <c r="F155" s="82">
        <v>85.0</v>
      </c>
      <c r="G155" s="79" t="str">
        <f>IFERROR(__xludf.DUMMYFUNCTION("TRIM(REGEXREPLACE(C155, ""[0-9]+[a-f]?\."", """"))"),"")</f>
        <v/>
      </c>
      <c r="H155" s="79" t="str">
        <f>IFERROR(__xludf.DUMMYFUNCTION("TRIM(REGEXREPLACE(D155, ""[0-9]+[a-f]?\."", """"))"),"")</f>
        <v/>
      </c>
      <c r="I155" s="79" t="str">
        <f>IFERROR(__xludf.DUMMYFUNCTION("TRIM(REGEXREPLACE(E155, ""[0-9]+[a-f]?\."", """"))"),"")</f>
        <v/>
      </c>
      <c r="J155" s="79" t="s">
        <v>832</v>
      </c>
      <c r="K155" s="79" t="s">
        <v>833</v>
      </c>
      <c r="L155" s="79" t="s">
        <v>834</v>
      </c>
    </row>
    <row r="156" hidden="1">
      <c r="B156" s="80"/>
      <c r="C156" s="80"/>
      <c r="D156" s="80"/>
      <c r="E156" s="80"/>
      <c r="F156" s="82">
        <v>86.0</v>
      </c>
      <c r="G156" s="79" t="str">
        <f>IFERROR(__xludf.DUMMYFUNCTION("TRIM(REGEXREPLACE(C156, ""[0-9]+[a-f]?\."", """"))"),"")</f>
        <v/>
      </c>
      <c r="H156" s="79" t="str">
        <f>IFERROR(__xludf.DUMMYFUNCTION("TRIM(REGEXREPLACE(D156, ""[0-9]+[a-f]?\."", """"))"),"")</f>
        <v/>
      </c>
      <c r="I156" s="79" t="str">
        <f>IFERROR(__xludf.DUMMYFUNCTION("TRIM(REGEXREPLACE(E156, ""[0-9]+[a-f]?\."", """"))"),"")</f>
        <v/>
      </c>
    </row>
    <row r="157">
      <c r="A157" s="79" t="s">
        <v>42</v>
      </c>
      <c r="B157" s="80" t="s">
        <v>838</v>
      </c>
      <c r="C157" s="80" t="s">
        <v>839</v>
      </c>
      <c r="D157" s="80" t="s">
        <v>840</v>
      </c>
      <c r="E157" s="80" t="s">
        <v>841</v>
      </c>
      <c r="F157" s="82">
        <v>83.0</v>
      </c>
      <c r="G157" s="79" t="str">
        <f>IFERROR(__xludf.DUMMYFUNCTION("TRIM(REGEXREPLACE(C157, ""[0-9]+[a-f]?\."", """"))"),"Now I would like to ask you to tell me more about your specific experience with:")</f>
        <v>Now I would like to ask you to tell me more about your specific experience with:</v>
      </c>
      <c r="H157" s="79" t="str">
        <f>IFERROR(__xludf.DUMMYFUNCTION("TRIM(REGEXREPLACE(D157, ""[0-9]+[a-f]?\."", """"))"),"J'aimerais maintenant vous demander de m'en dire un peu plus sur votre expérience spécifique avec :")</f>
        <v>J'aimerais maintenant vous demander de m'en dire un peu plus sur votre expérience spécifique avec :</v>
      </c>
      <c r="I157" s="79" t="str">
        <f>IFERROR(__xludf.DUMMYFUNCTION("TRIM(REGEXREPLACE(E157, ""[0-9]+[a-f]?\."", """"))"),"Yanzu ina so in tambaye ku ƙarin bayani game da takamaiman gogewarku na masamman game da:")</f>
        <v>Yanzu ina so in tambaye ku ƙarin bayani game da takamaiman gogewarku na masamman game da:</v>
      </c>
      <c r="J157" s="79" t="s">
        <v>843</v>
      </c>
      <c r="K157" s="79" t="s">
        <v>844</v>
      </c>
      <c r="L157" s="79" t="s">
        <v>845</v>
      </c>
    </row>
    <row r="158">
      <c r="A158" s="79" t="s">
        <v>299</v>
      </c>
      <c r="B158" s="80" t="s">
        <v>848</v>
      </c>
      <c r="C158" s="80" t="s">
        <v>849</v>
      </c>
      <c r="D158" s="80" t="s">
        <v>850</v>
      </c>
      <c r="E158" s="80" t="s">
        <v>851</v>
      </c>
      <c r="F158" s="82">
        <v>84.0</v>
      </c>
      <c r="G158" s="79" t="str">
        <f>IFERROR(__xludf.DUMMYFUNCTION("TRIM(REGEXREPLACE(C158, ""[0-9]+[a-f]?\."", """"))"),"Physical attack")</f>
        <v>Physical attack</v>
      </c>
      <c r="H158" s="79" t="str">
        <f>IFERROR(__xludf.DUMMYFUNCTION("TRIM(REGEXREPLACE(D158, ""[0-9]+[a-f]?\."", """"))"),"Attaque physique")</f>
        <v>Attaque physique</v>
      </c>
      <c r="I158" s="79" t="str">
        <f>IFERROR(__xludf.DUMMYFUNCTION("TRIM(REGEXREPLACE(E158, ""[0-9]+[a-f]?\."", """"))"),"harin jiki")</f>
        <v>harin jiki</v>
      </c>
      <c r="J158" s="79" t="s">
        <v>852</v>
      </c>
      <c r="K158" s="79" t="s">
        <v>853</v>
      </c>
      <c r="L158" s="79" t="s">
        <v>854</v>
      </c>
    </row>
    <row r="159">
      <c r="A159" s="79" t="s">
        <v>299</v>
      </c>
      <c r="B159" s="80" t="s">
        <v>855</v>
      </c>
      <c r="C159" s="80" t="s">
        <v>856</v>
      </c>
      <c r="D159" s="80" t="s">
        <v>857</v>
      </c>
      <c r="E159" s="80" t="s">
        <v>858</v>
      </c>
      <c r="F159" s="82">
        <v>85.0</v>
      </c>
      <c r="G159" s="79" t="str">
        <f>IFERROR(__xludf.DUMMYFUNCTION("TRIM(REGEXREPLACE(C159, ""[0-9]+[a-f]?\."", """"))"),"Threat of physical violence/attack")</f>
        <v>Threat of physical violence/attack</v>
      </c>
      <c r="H159" s="79" t="str">
        <f>IFERROR(__xludf.DUMMYFUNCTION("TRIM(REGEXREPLACE(D159, ""[0-9]+[a-f]?\."", """"))"),"Menace de violence physique/agression")</f>
        <v>Menace de violence physique/agression</v>
      </c>
      <c r="I159" s="79" t="str">
        <f>IFERROR(__xludf.DUMMYFUNCTION("TRIM(REGEXREPLACE(E159, ""[0-9]+[a-f]?\."", """"))"),"Barazanar ​​harin jiki")</f>
        <v>Barazanar ​​harin jiki</v>
      </c>
      <c r="J159" s="79" t="s">
        <v>862</v>
      </c>
      <c r="K159" s="79" t="s">
        <v>863</v>
      </c>
      <c r="L159" s="79" t="s">
        <v>864</v>
      </c>
    </row>
    <row r="160">
      <c r="A160" s="79" t="s">
        <v>299</v>
      </c>
      <c r="B160" s="80" t="s">
        <v>865</v>
      </c>
      <c r="C160" s="80" t="s">
        <v>866</v>
      </c>
      <c r="D160" s="80" t="s">
        <v>867</v>
      </c>
      <c r="E160" s="80" t="s">
        <v>868</v>
      </c>
      <c r="F160" s="82">
        <v>86.0</v>
      </c>
      <c r="G160" s="79" t="str">
        <f>IFERROR(__xludf.DUMMYFUNCTION("TRIM(REGEXREPLACE(C160, ""[0-9]+[a-f]?\."", """"))"),"Theft of either money or property?")</f>
        <v>Theft of either money or property?</v>
      </c>
      <c r="H160" s="79" t="str">
        <f>IFERROR(__xludf.DUMMYFUNCTION("TRIM(REGEXREPLACE(D160, ""[0-9]+[a-f]?\."", """"))"),"Vol d'argent ou de propriété?")</f>
        <v>Vol d'argent ou de propriété?</v>
      </c>
      <c r="I160" s="79" t="str">
        <f>IFERROR(__xludf.DUMMYFUNCTION("TRIM(REGEXREPLACE(E160, ""[0-9]+[a-f]?\."", """"))"),"Satar kudi ko dukiya?")</f>
        <v>Satar kudi ko dukiya?</v>
      </c>
      <c r="J160" s="79" t="s">
        <v>870</v>
      </c>
      <c r="K160" s="79" t="s">
        <v>872</v>
      </c>
      <c r="L160" s="79" t="s">
        <v>873</v>
      </c>
    </row>
    <row r="161">
      <c r="A161" s="79" t="s">
        <v>299</v>
      </c>
      <c r="B161" s="80" t="s">
        <v>874</v>
      </c>
      <c r="C161" s="80" t="s">
        <v>832</v>
      </c>
      <c r="D161" s="80" t="s">
        <v>833</v>
      </c>
      <c r="E161" s="80" t="s">
        <v>834</v>
      </c>
      <c r="F161" s="82">
        <v>87.0</v>
      </c>
      <c r="G161" s="79" t="str">
        <f>IFERROR(__xludf.DUMMYFUNCTION("TRIM(REGEXREPLACE(C161, ""[0-9]+[a-f]?\."", """"))"),"Detention or arrest by state security forces?")</f>
        <v>Detention or arrest by state security forces?</v>
      </c>
      <c r="H161" s="79" t="str">
        <f>IFERROR(__xludf.DUMMYFUNCTION("TRIM(REGEXREPLACE(D161, ""[0-9]+[a-f]?\."", """"))"),"Détention ou arrestation par les forces de sécurité de l'État ?")</f>
        <v>Détention ou arrestation par les forces de sécurité de l'État ?</v>
      </c>
      <c r="I161" s="79" t="str">
        <f>IFERROR(__xludf.DUMMYFUNCTION("TRIM(REGEXREPLACE(E161, ""[0-9]+[a-f]?\."", """"))"),"Kaso ko kamu daga jami'an tsaron gwamnati?")</f>
        <v>Kaso ko kamu daga jami'an tsaron gwamnati?</v>
      </c>
      <c r="J161" s="79" t="s">
        <v>876</v>
      </c>
      <c r="K161" s="79" t="s">
        <v>877</v>
      </c>
      <c r="L161" s="79" t="s">
        <v>878</v>
      </c>
    </row>
    <row r="162" hidden="1">
      <c r="B162" s="80"/>
      <c r="C162" s="80"/>
      <c r="D162" s="80"/>
      <c r="E162" s="80"/>
      <c r="F162" s="82">
        <v>90.0</v>
      </c>
      <c r="G162" s="79" t="str">
        <f>IFERROR(__xludf.DUMMYFUNCTION("TRIM(REGEXREPLACE(C162, ""[0-9]+[a-f]?\."", """"))"),"")</f>
        <v/>
      </c>
      <c r="H162" s="79" t="str">
        <f>IFERROR(__xludf.DUMMYFUNCTION("TRIM(REGEXREPLACE(D162, ""[0-9]+[a-f]?\."", """"))"),"")</f>
        <v/>
      </c>
      <c r="I162" s="79" t="str">
        <f>IFERROR(__xludf.DUMMYFUNCTION("TRIM(REGEXREPLACE(E162, ""[0-9]+[a-f]?\."", """"))"),"")</f>
        <v/>
      </c>
      <c r="J162" s="79" t="s">
        <v>883</v>
      </c>
      <c r="K162" s="79" t="s">
        <v>884</v>
      </c>
      <c r="L162" s="79" t="s">
        <v>885</v>
      </c>
    </row>
    <row r="163" hidden="1">
      <c r="B163" s="80"/>
      <c r="C163" s="80"/>
      <c r="D163" s="80"/>
      <c r="E163" s="80"/>
      <c r="F163" s="82">
        <v>91.0</v>
      </c>
      <c r="G163" s="79" t="str">
        <f>IFERROR(__xludf.DUMMYFUNCTION("TRIM(REGEXREPLACE(C163, ""[0-9]+[a-f]?\."", """"))"),"")</f>
        <v/>
      </c>
      <c r="H163" s="79" t="str">
        <f>IFERROR(__xludf.DUMMYFUNCTION("TRIM(REGEXREPLACE(D163, ""[0-9]+[a-f]?\."", """"))"),"")</f>
        <v/>
      </c>
      <c r="I163" s="79" t="str">
        <f>IFERROR(__xludf.DUMMYFUNCTION("TRIM(REGEXREPLACE(E163, ""[0-9]+[a-f]?\."", """"))"),"")</f>
        <v/>
      </c>
      <c r="J163" s="79" t="s">
        <v>886</v>
      </c>
      <c r="K163" s="79" t="s">
        <v>887</v>
      </c>
      <c r="L163" s="79" t="s">
        <v>888</v>
      </c>
    </row>
    <row r="164">
      <c r="A164" s="79" t="s">
        <v>42</v>
      </c>
      <c r="B164" s="80" t="s">
        <v>889</v>
      </c>
      <c r="C164" s="80" t="s">
        <v>890</v>
      </c>
      <c r="D164" s="80" t="s">
        <v>891</v>
      </c>
      <c r="E164" s="80" t="s">
        <v>892</v>
      </c>
      <c r="F164" s="82">
        <v>88.0</v>
      </c>
      <c r="G164" s="79" t="str">
        <f>IFERROR(__xludf.DUMMYFUNCTION("TRIM(REGEXREPLACE(C164, ""[0-9]+[a-f]?\."", """"))"),"I will now ask you about meals people in your household have consumed in the past 7 days.")</f>
        <v>I will now ask you about meals people in your household have consumed in the past 7 days.</v>
      </c>
      <c r="H164" s="79" t="str">
        <f>IFERROR(__xludf.DUMMYFUNCTION("TRIM(REGEXREPLACE(D164,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64" s="79" t="str">
        <f>IFERROR(__xludf.DUMMYFUNCTION("TRIM(REGEXREPLACE(E164, ""[0-9]+[a-f]?\."", """"))"),"Yanzu zan tambaye ku bisa abincin da mutanen gidanku suka ci a cikin kwanaki 7 da suka wuce.")</f>
        <v>Yanzu zan tambaye ku bisa abincin da mutanen gidanku suka ci a cikin kwanaki 7 da suka wuce.</v>
      </c>
      <c r="J164" s="79" t="s">
        <v>893</v>
      </c>
      <c r="K164" s="79" t="s">
        <v>895</v>
      </c>
      <c r="L164" s="79" t="s">
        <v>896</v>
      </c>
    </row>
    <row r="165">
      <c r="A165" s="79" t="s">
        <v>277</v>
      </c>
      <c r="B165" s="80" t="s">
        <v>898</v>
      </c>
      <c r="C165" s="80" t="s">
        <v>899</v>
      </c>
      <c r="D165" s="80" t="s">
        <v>900</v>
      </c>
      <c r="E165" s="80" t="s">
        <v>901</v>
      </c>
      <c r="F165" s="82">
        <v>89.0</v>
      </c>
      <c r="G165" s="79" t="str">
        <f>IFERROR(__xludf.DUMMYFUNCTION("TRIM(REGEXREPLACE(C165, ""[0-9]+[a-f]?\."", """"))"),"In the last 7 days, have adults gone a whole day without meals?")</f>
        <v>In the last 7 days, have adults gone a whole day without meals?</v>
      </c>
      <c r="H165" s="79" t="str">
        <f>IFERROR(__xludf.DUMMYFUNCTION("TRIM(REGEXREPLACE(D165, ""[0-9]+[a-f]?\."", """"))"),"Au cours des 7 derniers jours, des adultes sont-ils restés une journée entière sans manger de repas ?")</f>
        <v>Au cours des 7 derniers jours, des adultes sont-ils restés une journée entière sans manger de repas ?</v>
      </c>
      <c r="I165" s="79" t="str">
        <f>IFERROR(__xludf.DUMMYFUNCTION("TRIM(REGEXREPLACE(E165, ""[0-9]+[a-f]?\."", """"))"),"A cikin kwanaki 7 da suka wuce, ko manya gidanku sun zauna tsawon wuni guda basu ci abinci ba?")</f>
        <v>A cikin kwanaki 7 da suka wuce, ko manya gidanku sun zauna tsawon wuni guda basu ci abinci ba?</v>
      </c>
      <c r="J165" s="79" t="s">
        <v>906</v>
      </c>
      <c r="K165" s="79" t="s">
        <v>907</v>
      </c>
      <c r="L165" s="79" t="s">
        <v>908</v>
      </c>
    </row>
    <row r="166">
      <c r="A166" s="79" t="s">
        <v>396</v>
      </c>
      <c r="B166" s="80" t="s">
        <v>909</v>
      </c>
      <c r="C166" s="80" t="s">
        <v>910</v>
      </c>
      <c r="D166" s="80" t="s">
        <v>911</v>
      </c>
      <c r="E166" s="80" t="s">
        <v>912</v>
      </c>
      <c r="F166" s="82">
        <v>90.0</v>
      </c>
      <c r="G166" s="79" t="str">
        <f>IFERROR(__xludf.DUMMYFUNCTION("TRIM(REGEXREPLACE(C166, ""[0-9]+[a-f]?\."", """"))"),"How many days?")</f>
        <v>How many days?</v>
      </c>
      <c r="H166" s="79" t="str">
        <f>IFERROR(__xludf.DUMMYFUNCTION("TRIM(REGEXREPLACE(D166, ""[0-9]+[a-f]?\."", """"))"),"Pendant combien de jours?")</f>
        <v>Pendant combien de jours?</v>
      </c>
      <c r="I166" s="79" t="str">
        <f>IFERROR(__xludf.DUMMYFUNCTION("TRIM(REGEXREPLACE(E166, ""[0-9]+[a-f]?\."", """"))"),"151a Tsawon kwanaki nawa?")</f>
        <v>151a Tsawon kwanaki nawa?</v>
      </c>
      <c r="J166" s="79" t="s">
        <v>883</v>
      </c>
      <c r="K166" s="79" t="s">
        <v>884</v>
      </c>
      <c r="L166" s="79" t="s">
        <v>914</v>
      </c>
    </row>
    <row r="167">
      <c r="A167" s="79" t="s">
        <v>277</v>
      </c>
      <c r="B167" s="80" t="s">
        <v>915</v>
      </c>
      <c r="C167" s="80" t="s">
        <v>916</v>
      </c>
      <c r="D167" s="80" t="s">
        <v>917</v>
      </c>
      <c r="E167" s="80" t="s">
        <v>918</v>
      </c>
      <c r="F167" s="82">
        <v>91.0</v>
      </c>
      <c r="G167" s="79" t="str">
        <f>IFERROR(__xludf.DUMMYFUNCTION("TRIM(REGEXREPLACE(C167, ""[0-9]+[a-f]?\."", """"))"),"In the last 7 days, have adults cut the size of meals or skipped meals?")</f>
        <v>In the last 7 days, have adults cut the size of meals or skipped meals?</v>
      </c>
      <c r="H167" s="79" t="str">
        <f>IFERROR(__xludf.DUMMYFUNCTION("TRIM(REGEXREPLACE(D167, ""[0-9]+[a-f]?\."", """"))"),"Au cours des 7 derniers jours, les adultes ont-ils réduit la taille de leur repas ou les ont-ils sauté?")</f>
        <v>Au cours des 7 derniers jours, les adultes ont-ils réduit la taille de leur repas ou les ont-ils sauté?</v>
      </c>
      <c r="I167" s="79" t="str">
        <f>IFERROR(__xludf.DUMMYFUNCTION("TRIM(REGEXREPLACE(E167, ""[0-9]+[a-f]?\."", """"))"),"A cikin kwanaki 7 na ƙarshe, ko manyan gidanku sun rage yawan abincin da suka saba ci ko sun tsallake shi?")</f>
        <v>A cikin kwanaki 7 na ƙarshe, ko manyan gidanku sun rage yawan abincin da suka saba ci ko sun tsallake shi?</v>
      </c>
      <c r="J167" s="79" t="s">
        <v>919</v>
      </c>
      <c r="K167" s="79" t="s">
        <v>920</v>
      </c>
      <c r="L167" s="79" t="s">
        <v>921</v>
      </c>
    </row>
    <row r="168">
      <c r="A168" s="79" t="s">
        <v>396</v>
      </c>
      <c r="B168" s="80" t="s">
        <v>922</v>
      </c>
      <c r="C168" s="80" t="s">
        <v>883</v>
      </c>
      <c r="D168" s="80" t="s">
        <v>884</v>
      </c>
      <c r="E168" s="80" t="s">
        <v>885</v>
      </c>
      <c r="F168" s="82">
        <v>92.0</v>
      </c>
      <c r="G168" s="79" t="str">
        <f>IFERROR(__xludf.DUMMYFUNCTION("TRIM(REGEXREPLACE(C168, ""[0-9]+[a-f]?\."", """"))"),"How many days?")</f>
        <v>How many days?</v>
      </c>
      <c r="H168" s="79" t="str">
        <f>IFERROR(__xludf.DUMMYFUNCTION("TRIM(REGEXREPLACE(D168, ""[0-9]+[a-f]?\."", """"))"),"Pendant combien de jours?")</f>
        <v>Pendant combien de jours?</v>
      </c>
      <c r="I168" s="79" t="str">
        <f>IFERROR(__xludf.DUMMYFUNCTION("TRIM(REGEXREPLACE(E168, ""[0-9]+[a-f]?\."", """"))"),"Tsawon kwanaki nawa?")</f>
        <v>Tsawon kwanaki nawa?</v>
      </c>
      <c r="J168" s="79" t="s">
        <v>927</v>
      </c>
      <c r="K168" s="79" t="s">
        <v>928</v>
      </c>
      <c r="L168" s="79" t="s">
        <v>930</v>
      </c>
    </row>
    <row r="169">
      <c r="A169" s="79" t="s">
        <v>396</v>
      </c>
      <c r="B169" s="80" t="s">
        <v>931</v>
      </c>
      <c r="C169" s="80" t="s">
        <v>886</v>
      </c>
      <c r="D169" s="80" t="s">
        <v>887</v>
      </c>
      <c r="E169" s="80" t="s">
        <v>888</v>
      </c>
      <c r="F169" s="82">
        <v>93.0</v>
      </c>
      <c r="G169" s="79" t="str">
        <f>IFERROR(__xludf.DUMMYFUNCTION("TRIM(REGEXREPLACE(C169, ""[0-9]+[a-f]?\."", """"))"),"In the past week how many days have adults in your household consumed animal protein (including fish, meat, poultry)?")</f>
        <v>In the past week how many days have adults in your household consumed animal protein (including fish, meat, poultry)?</v>
      </c>
      <c r="H169" s="79" t="str">
        <f>IFERROR(__xludf.DUMMYFUNCTION("TRIM(REGEXREPLACE(D169,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69" s="79" t="str">
        <f>IFERROR(__xludf.DUMMYFUNCTION("TRIM(REGEXREPLACE(E169, ""[0-9]+[a-f]?\."", """"))"),"A cikin kwanaki 7 da suka wuce sau nawa manyan gidanku suka ci abinci masu gina jiki kamar su kifi ko nama ko kaji?")</f>
        <v>A cikin kwanaki 7 da suka wuce sau nawa manyan gidanku suka ci abinci masu gina jiki kamar su kifi ko nama ko kaji?</v>
      </c>
      <c r="J169" s="79" t="s">
        <v>933</v>
      </c>
      <c r="K169" s="79" t="s">
        <v>934</v>
      </c>
      <c r="L169" s="79" t="s">
        <v>935</v>
      </c>
    </row>
    <row r="170">
      <c r="A170" s="79" t="s">
        <v>277</v>
      </c>
      <c r="B170" s="80" t="s">
        <v>936</v>
      </c>
      <c r="C170" s="80" t="s">
        <v>937</v>
      </c>
      <c r="D170" s="80" t="s">
        <v>938</v>
      </c>
      <c r="E170" s="80" t="s">
        <v>939</v>
      </c>
      <c r="F170" s="82">
        <v>94.0</v>
      </c>
      <c r="G170" s="79" t="str">
        <f>IFERROR(__xludf.DUMMYFUNCTION("TRIM(REGEXREPLACE(C170, ""[0-9]+[a-f]?\."", """"))"),"In the last 7 days, have children (&lt;14) gone a whole day without meals?")</f>
        <v>In the last 7 days, have children (&lt;14) gone a whole day without meals?</v>
      </c>
      <c r="H170" s="79" t="str">
        <f>IFERROR(__xludf.DUMMYFUNCTION("TRIM(REGEXREPLACE(D170, ""[0-9]+[a-f]?\."", """"))"),"Au cours des 7 derniers jours, des enfants (&lt;14) ont-ils passé une journée entière sans manger de repas ?")</f>
        <v>Au cours des 7 derniers jours, des enfants (&lt;14) ont-ils passé une journée entière sans manger de repas ?</v>
      </c>
      <c r="I170" s="79" t="str">
        <f>IFERROR(__xludf.DUMMYFUNCTION("TRIM(REGEXREPLACE(E170, ""[0-9]+[a-f]?\."", """"))"),"A cikin kwanaki 7 na ƙarshe, ko yara ƴan ƙasa da shekara goma sha huɗu sun zauna tsawon wuni guda ba su ci da abinci ba?")</f>
        <v>A cikin kwanaki 7 na ƙarshe, ko yara ƴan ƙasa da shekara goma sha huɗu sun zauna tsawon wuni guda ba su ci da abinci ba?</v>
      </c>
      <c r="J170" s="79" t="s">
        <v>942</v>
      </c>
      <c r="K170" s="79" t="s">
        <v>943</v>
      </c>
      <c r="L170" s="79" t="s">
        <v>945</v>
      </c>
    </row>
    <row r="171">
      <c r="A171" s="79" t="s">
        <v>396</v>
      </c>
      <c r="B171" s="80" t="s">
        <v>948</v>
      </c>
      <c r="C171" s="80" t="s">
        <v>949</v>
      </c>
      <c r="D171" s="80" t="s">
        <v>950</v>
      </c>
      <c r="E171" s="80" t="s">
        <v>951</v>
      </c>
      <c r="F171" s="82">
        <v>95.0</v>
      </c>
      <c r="G171" s="79" t="str">
        <f>IFERROR(__xludf.DUMMYFUNCTION("TRIM(REGEXREPLACE(C171, ""[0-9]+[a-f]?\."", """"))"),"How many days?")</f>
        <v>How many days?</v>
      </c>
      <c r="H171" s="79" t="str">
        <f>IFERROR(__xludf.DUMMYFUNCTION("TRIM(REGEXREPLACE(D171, ""[0-9]+[a-f]?\."", """"))"),"Pendant combien de jours?")</f>
        <v>Pendant combien de jours?</v>
      </c>
      <c r="I171" s="79" t="str">
        <f>IFERROR(__xludf.DUMMYFUNCTION("TRIM(REGEXREPLACE(E171, ""[0-9]+[a-f]?\."", """"))"),"154a Tsawon kwanaki nawa?")</f>
        <v>154a Tsawon kwanaki nawa?</v>
      </c>
      <c r="J171" s="79" t="s">
        <v>954</v>
      </c>
      <c r="K171" s="79" t="s">
        <v>956</v>
      </c>
      <c r="L171" s="79" t="s">
        <v>957</v>
      </c>
    </row>
    <row r="172">
      <c r="A172" s="79" t="s">
        <v>277</v>
      </c>
      <c r="B172" s="80" t="s">
        <v>958</v>
      </c>
      <c r="C172" s="80" t="s">
        <v>959</v>
      </c>
      <c r="D172" s="80" t="s">
        <v>960</v>
      </c>
      <c r="E172" s="80" t="s">
        <v>961</v>
      </c>
      <c r="F172" s="82">
        <v>96.0</v>
      </c>
      <c r="G172" s="79" t="str">
        <f>IFERROR(__xludf.DUMMYFUNCTION("TRIM(REGEXREPLACE(C172, ""[0-9]+[a-f]?\."", """"))"),"In the last 7 days, have children (&lt;14) cut the size of meals or skipped meals?")</f>
        <v>In the last 7 days, have children (&lt;14) cut the size of meals or skipped meals?</v>
      </c>
      <c r="H172" s="79" t="str">
        <f>IFERROR(__xludf.DUMMYFUNCTION("TRIM(REGEXREPLACE(D172, ""[0-9]+[a-f]?\."", """"))"),"Au cours des 7 derniers jours, des enfants (&lt;14) ont-ils réduit la taille de leurs repas ou les ont-ils sauté?")</f>
        <v>Au cours des 7 derniers jours, des enfants (&lt;14) ont-ils réduit la taille de leurs repas ou les ont-ils sauté?</v>
      </c>
      <c r="I172" s="79" t="str">
        <f>IFERROR(__xludf.DUMMYFUNCTION("TRIM(REGEXREPLACE(E172, ""[0-9]+[a-f]?\."", """"))"),"A cikin kwanaki 7 na ƙarshe, suna da yara (&lt;14) sun rage yawan abinci ko sun rasa gaba ɗaya?")</f>
        <v>A cikin kwanaki 7 na ƙarshe, suna da yara (&lt;14) sun rage yawan abinci ko sun rasa gaba ɗaya?</v>
      </c>
      <c r="J172" s="79" t="s">
        <v>962</v>
      </c>
      <c r="K172" s="79" t="s">
        <v>963</v>
      </c>
      <c r="L172" s="79" t="s">
        <v>964</v>
      </c>
    </row>
    <row r="173">
      <c r="A173" s="79" t="s">
        <v>396</v>
      </c>
      <c r="B173" s="80" t="s">
        <v>966</v>
      </c>
      <c r="C173" s="80" t="s">
        <v>954</v>
      </c>
      <c r="D173" s="80" t="s">
        <v>956</v>
      </c>
      <c r="E173" s="80" t="s">
        <v>969</v>
      </c>
      <c r="F173" s="82">
        <v>97.0</v>
      </c>
      <c r="G173" s="79" t="str">
        <f>IFERROR(__xludf.DUMMYFUNCTION("TRIM(REGEXREPLACE(C173, ""[0-9]+[a-f]?\."", """"))"),"How many days?")</f>
        <v>How many days?</v>
      </c>
      <c r="H173" s="79" t="str">
        <f>IFERROR(__xludf.DUMMYFUNCTION("TRIM(REGEXREPLACE(D173, ""[0-9]+[a-f]?\."", """"))"),"Pendant combien de jours?")</f>
        <v>Pendant combien de jours?</v>
      </c>
      <c r="I173" s="79" t="str">
        <f>IFERROR(__xludf.DUMMYFUNCTION("TRIM(REGEXREPLACE(E173, ""[0-9]+[a-f]?\."", """"))"),"155a Tsawon kwanaki nawa?")</f>
        <v>155a Tsawon kwanaki nawa?</v>
      </c>
      <c r="J173" s="79" t="s">
        <v>974</v>
      </c>
      <c r="K173" s="79" t="s">
        <v>975</v>
      </c>
      <c r="L173" s="79" t="s">
        <v>976</v>
      </c>
    </row>
    <row r="174">
      <c r="A174" s="79" t="s">
        <v>396</v>
      </c>
      <c r="B174" s="80" t="s">
        <v>977</v>
      </c>
      <c r="C174" s="80" t="s">
        <v>978</v>
      </c>
      <c r="D174" s="80" t="s">
        <v>979</v>
      </c>
      <c r="E174" s="80" t="s">
        <v>980</v>
      </c>
      <c r="F174" s="82">
        <v>98.0</v>
      </c>
      <c r="G174" s="79" t="str">
        <f>IFERROR(__xludf.DUMMYFUNCTION("TRIM(REGEXREPLACE(C174, ""[0-9]+[a-f]?\."", """"))"),"In the past week how many days have children in your household consumed animal protein (inlcuding fish, meat, poultry)?")</f>
        <v>In the past week how many days have children in your household consumed animal protein (inlcuding fish, meat, poultry)?</v>
      </c>
      <c r="H174" s="79" t="str">
        <f>IFERROR(__xludf.DUMMYFUNCTION("TRIM(REGEXREPLACE(D174,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74" s="79" t="str">
        <f>IFERROR(__xludf.DUMMYFUNCTION("TRIM(REGEXREPLACE(E174, ""[0-9]+[a-f]?\."", """"))"),"A cikin kwanaki 7 da suka gabata sau nawa yara a cikin gidanku suka ci abinci masu gina jiki kamar su kifi, nama, kaji ?")</f>
        <v>A cikin kwanaki 7 da suka gabata sau nawa yara a cikin gidanku suka ci abinci masu gina jiki kamar su kifi, nama, kaji ?</v>
      </c>
      <c r="J174" s="79" t="s">
        <v>982</v>
      </c>
      <c r="K174" s="79" t="s">
        <v>983</v>
      </c>
      <c r="L174" s="79" t="s">
        <v>984</v>
      </c>
    </row>
    <row r="175" hidden="1"/>
    <row r="176" hidden="1">
      <c r="B176" s="80"/>
      <c r="C176" s="80"/>
      <c r="D176" s="80"/>
      <c r="E176" s="80"/>
      <c r="F176" s="82">
        <v>99.0</v>
      </c>
      <c r="G176" s="79" t="str">
        <f>IFERROR(__xludf.DUMMYFUNCTION("TRIM(REGEXREPLACE(C176, ""[0-9]+[a-f]?\."", """"))"),"")</f>
        <v/>
      </c>
      <c r="H176" s="79" t="str">
        <f>IFERROR(__xludf.DUMMYFUNCTION("TRIM(REGEXREPLACE(D176, ""[0-9]+[a-f]?\."", """"))"),"")</f>
        <v/>
      </c>
      <c r="I176" s="79" t="str">
        <f>IFERROR(__xludf.DUMMYFUNCTION("TRIM(REGEXREPLACE(E176, ""[0-9]+[a-f]?\."", """"))"),"")</f>
        <v/>
      </c>
      <c r="J176" s="79" t="s">
        <v>985</v>
      </c>
      <c r="K176" s="79" t="s">
        <v>986</v>
      </c>
      <c r="L176" s="79" t="s">
        <v>987</v>
      </c>
    </row>
    <row r="177">
      <c r="A177" s="79" t="s">
        <v>988</v>
      </c>
      <c r="B177" s="80" t="s">
        <v>989</v>
      </c>
      <c r="C177" s="80" t="s">
        <v>990</v>
      </c>
      <c r="D177" s="80" t="s">
        <v>991</v>
      </c>
      <c r="E177" s="80" t="s">
        <v>992</v>
      </c>
      <c r="F177" s="82">
        <v>99.0</v>
      </c>
      <c r="G177" s="79" t="str">
        <f>IFERROR(__xludf.DUMMYFUNCTION("TRIM(REGEXREPLACE(C177, ""[0-9]+[a-f]?\."", """"))"),"Has your household spent money on the following types of expenses in the past month?")</f>
        <v>Has your household spent money on the following types of expenses in the past month?</v>
      </c>
      <c r="H177" s="79" t="str">
        <f>IFERROR(__xludf.DUMMYFUNCTION("TRIM(REGEXREPLACE(D177, ""[0-9]+[a-f]?\."", """"))"),"Votre ménage a-t-il dépensé de l'argent pour les types de dépenses suivants au cours du dernier mois ?")</f>
        <v>Votre ménage a-t-il dépensé de l'argent pour les types de dépenses suivants au cours du dernier mois ?</v>
      </c>
      <c r="I177" s="79" t="str">
        <f>IFERROR(__xludf.DUMMYFUNCTION("TRIM(REGEXREPLACE(E177, ""[0-9]+[a-f]?\."", """"))"),"Shin gidanku ya kashe kuɗi akan irin waɗannan abubuwan a cikin watan da ya gabata?")</f>
        <v>Shin gidanku ya kashe kuɗi akan irin waɗannan abubuwan a cikin watan da ya gabata?</v>
      </c>
      <c r="J177" s="79" t="s">
        <v>995</v>
      </c>
      <c r="K177" s="79" t="s">
        <v>997</v>
      </c>
      <c r="L177" s="79" t="s">
        <v>999</v>
      </c>
    </row>
    <row r="178" hidden="1">
      <c r="B178" s="80"/>
      <c r="C178" s="80"/>
      <c r="D178" s="80"/>
      <c r="E178" s="80"/>
      <c r="F178" s="82">
        <v>81.0</v>
      </c>
      <c r="G178" s="79" t="str">
        <f>IFERROR(__xludf.DUMMYFUNCTION("TRIM(REGEXREPLACE(C178, ""[0-9]+[a-f]?\."", """"))"),"")</f>
        <v/>
      </c>
      <c r="H178" s="79" t="str">
        <f>IFERROR(__xludf.DUMMYFUNCTION("TRIM(REGEXREPLACE(D178, ""[0-9]+[a-f]?\."", """"))"),"")</f>
        <v/>
      </c>
      <c r="I178" s="79" t="str">
        <f>IFERROR(__xludf.DUMMYFUNCTION("TRIM(REGEXREPLACE(E178, ""[0-9]+[a-f]?\."", """"))"),"")</f>
        <v/>
      </c>
      <c r="J178" s="79" t="s">
        <v>1003</v>
      </c>
      <c r="K178" s="79" t="s">
        <v>1004</v>
      </c>
      <c r="L178" s="79" t="s">
        <v>1005</v>
      </c>
    </row>
    <row r="179" hidden="1">
      <c r="B179" s="80"/>
      <c r="C179" s="80"/>
      <c r="D179" s="80"/>
      <c r="E179" s="80"/>
      <c r="F179" s="82">
        <v>100.0</v>
      </c>
      <c r="G179" s="79" t="str">
        <f>IFERROR(__xludf.DUMMYFUNCTION("TRIM(REGEXREPLACE(C179, ""[0-9]+[a-f]?\."", """"))"),"")</f>
        <v/>
      </c>
      <c r="H179" s="79" t="str">
        <f>IFERROR(__xludf.DUMMYFUNCTION("TRIM(REGEXREPLACE(D179, ""[0-9]+[a-f]?\."", """"))"),"")</f>
        <v/>
      </c>
      <c r="I179" s="79" t="str">
        <f>IFERROR(__xludf.DUMMYFUNCTION("TRIM(REGEXREPLACE(E179, ""[0-9]+[a-f]?\."", """"))"),"")</f>
        <v/>
      </c>
      <c r="J179" s="79" t="s">
        <v>1007</v>
      </c>
      <c r="K179" s="79" t="s">
        <v>1008</v>
      </c>
      <c r="L179" s="79" t="s">
        <v>1009</v>
      </c>
    </row>
    <row r="180">
      <c r="A180" s="79" t="s">
        <v>396</v>
      </c>
      <c r="B180" s="80" t="s">
        <v>1010</v>
      </c>
      <c r="C180" s="80" t="s">
        <v>1011</v>
      </c>
      <c r="D180" s="80" t="s">
        <v>1013</v>
      </c>
      <c r="E180" s="80" t="s">
        <v>1015</v>
      </c>
      <c r="F180" s="82">
        <v>100.0</v>
      </c>
      <c r="G180" s="79" t="str">
        <f>IFERROR(__xludf.DUMMYFUNCTION("TRIM(REGEXREPLACE(C180, ""[0-9]+[a-f]?\."", """"))"),"How much did your household spend on ${w_item} in the past month (in CFA)?")</f>
        <v>How much did your household spend on ${w_item} in the past month (in CFA)?</v>
      </c>
      <c r="H180" s="79" t="str">
        <f>IFERROR(__xludf.DUMMYFUNCTION("TRIM(REGEXREPLACE(D180, ""[0-9]+[a-f]?\."", """"))"),"Combien votre ménage a-t-il dépensé pour ${w_item} au cours du dernier mois (en CFA) ?")</f>
        <v>Combien votre ménage a-t-il dépensé pour ${w_item} au cours du dernier mois (en CFA) ?</v>
      </c>
      <c r="I180" s="79" t="str">
        <f>IFERROR(__xludf.DUMMYFUNCTION("TRIM(REGEXREPLACE(E180, ""[0-9]+[a-f]?\."", """"))"),"Nawa ne (a CFA) gidanku ya kashe akan ${w_item} cikin watan da ya gabata ?")</f>
        <v>Nawa ne (a CFA) gidanku ya kashe akan ${w_item} cikin watan da ya gabata ?</v>
      </c>
      <c r="J180" s="79" t="s">
        <v>1017</v>
      </c>
      <c r="K180" s="79" t="s">
        <v>1018</v>
      </c>
      <c r="L180" s="79" t="s">
        <v>1019</v>
      </c>
    </row>
    <row r="181" hidden="1">
      <c r="B181" s="80"/>
      <c r="C181" s="80"/>
      <c r="D181" s="80"/>
      <c r="E181" s="80"/>
      <c r="F181" s="82">
        <v>84.0</v>
      </c>
      <c r="G181" s="79" t="str">
        <f>IFERROR(__xludf.DUMMYFUNCTION("TRIM(REGEXREPLACE(C181, ""[0-9]+[a-f]?\."", """"))"),"")</f>
        <v/>
      </c>
      <c r="H181" s="79" t="str">
        <f>IFERROR(__xludf.DUMMYFUNCTION("TRIM(REGEXREPLACE(D181, ""[0-9]+[a-f]?\."", """"))"),"")</f>
        <v/>
      </c>
      <c r="I181" s="79" t="str">
        <f>IFERROR(__xludf.DUMMYFUNCTION("TRIM(REGEXREPLACE(E181, ""[0-9]+[a-f]?\."", """"))"),"")</f>
        <v/>
      </c>
      <c r="J181" s="79" t="s">
        <v>1020</v>
      </c>
      <c r="K181" s="79" t="s">
        <v>1021</v>
      </c>
      <c r="L181" s="79" t="s">
        <v>1022</v>
      </c>
    </row>
    <row r="182">
      <c r="A182" s="79" t="s">
        <v>1023</v>
      </c>
      <c r="B182" s="80" t="s">
        <v>1024</v>
      </c>
      <c r="C182" s="80" t="s">
        <v>985</v>
      </c>
      <c r="D182" s="80" t="s">
        <v>986</v>
      </c>
      <c r="E182" s="80" t="s">
        <v>987</v>
      </c>
      <c r="F182" s="82">
        <v>101.0</v>
      </c>
      <c r="G182" s="79" t="str">
        <f>IFERROR(__xludf.DUMMYFUNCTION("TRIM(REGEXREPLACE(C182, ""[0-9]+[a-f]?\."", """"))"),"Has your household spent money on the following types of expenses in the past week?")</f>
        <v>Has your household spent money on the following types of expenses in the past week?</v>
      </c>
      <c r="H182" s="79" t="str">
        <f>IFERROR(__xludf.DUMMYFUNCTION("TRIM(REGEXREPLACE(D182, ""[0-9]+[a-f]?\."", """"))"),"Votre ménage a-t-il dépensé de l'argent pour les types de dépenses suivants au cours de la semaine dernière ?")</f>
        <v>Votre ménage a-t-il dépensé de l'argent pour les types de dépenses suivants au cours de la semaine dernière ?</v>
      </c>
      <c r="I182" s="79" t="str">
        <f>IFERROR(__xludf.DUMMYFUNCTION("TRIM(REGEXREPLACE(E182, ""[0-9]+[a-f]?\."", """"))"),"Ko gidanku sun kashe kuɗi akan ire iren waɗannan abubuwan a cikin satin da ya gabata?")</f>
        <v>Ko gidanku sun kashe kuɗi akan ire iren waɗannan abubuwan a cikin satin da ya gabata?</v>
      </c>
      <c r="J182" s="79" t="s">
        <v>1026</v>
      </c>
      <c r="K182" s="79" t="s">
        <v>1027</v>
      </c>
      <c r="L182" s="79" t="s">
        <v>1028</v>
      </c>
    </row>
    <row r="183" hidden="1">
      <c r="B183" s="80"/>
      <c r="C183" s="80"/>
      <c r="D183" s="80"/>
      <c r="E183" s="80"/>
      <c r="F183" s="82">
        <v>102.0</v>
      </c>
      <c r="G183" s="79" t="str">
        <f>IFERROR(__xludf.DUMMYFUNCTION("TRIM(REGEXREPLACE(C183, ""[0-9]+[a-f]?\."", """"))"),"")</f>
        <v/>
      </c>
      <c r="H183" s="79" t="str">
        <f>IFERROR(__xludf.DUMMYFUNCTION("TRIM(REGEXREPLACE(D183, ""[0-9]+[a-f]?\."", """"))"),"")</f>
        <v/>
      </c>
      <c r="I183" s="79" t="str">
        <f>IFERROR(__xludf.DUMMYFUNCTION("TRIM(REGEXREPLACE(E183, ""[0-9]+[a-f]?\."", """"))"),"")</f>
        <v/>
      </c>
      <c r="J183" s="79" t="s">
        <v>1029</v>
      </c>
      <c r="K183" s="79" t="s">
        <v>1030</v>
      </c>
      <c r="L183" s="79" t="s">
        <v>1031</v>
      </c>
    </row>
    <row r="184" hidden="1">
      <c r="B184" s="80"/>
      <c r="C184" s="80"/>
      <c r="D184" s="80"/>
      <c r="E184" s="80"/>
      <c r="F184" s="82">
        <v>103.0</v>
      </c>
      <c r="G184" s="79" t="str">
        <f>IFERROR(__xludf.DUMMYFUNCTION("TRIM(REGEXREPLACE(C184, ""[0-9]+[a-f]?\."", """"))"),"")</f>
        <v/>
      </c>
      <c r="H184" s="79" t="str">
        <f>IFERROR(__xludf.DUMMYFUNCTION("TRIM(REGEXREPLACE(D184, ""[0-9]+[a-f]?\."", """"))"),"")</f>
        <v/>
      </c>
      <c r="I184" s="79" t="str">
        <f>IFERROR(__xludf.DUMMYFUNCTION("TRIM(REGEXREPLACE(E184, ""[0-9]+[a-f]?\."", """"))"),"")</f>
        <v/>
      </c>
      <c r="J184" s="79" t="s">
        <v>1032</v>
      </c>
      <c r="K184" s="79" t="s">
        <v>1033</v>
      </c>
      <c r="L184" s="79" t="s">
        <v>1034</v>
      </c>
    </row>
    <row r="185">
      <c r="A185" s="79" t="s">
        <v>396</v>
      </c>
      <c r="B185" s="80" t="s">
        <v>1035</v>
      </c>
      <c r="C185" s="80" t="s">
        <v>1007</v>
      </c>
      <c r="D185" s="80" t="s">
        <v>1008</v>
      </c>
      <c r="E185" s="80" t="s">
        <v>1009</v>
      </c>
      <c r="F185" s="82">
        <v>102.0</v>
      </c>
      <c r="G185" s="79" t="str">
        <f>IFERROR(__xludf.DUMMYFUNCTION("TRIM(REGEXREPLACE(C185, ""[0-9]+[a-f]?\."", """"))"),"How much did your household spend on ${w_item_week} in the past week (in CFA)?")</f>
        <v>How much did your household spend on ${w_item_week} in the past week (in CFA)?</v>
      </c>
      <c r="H185" s="79" t="str">
        <f>IFERROR(__xludf.DUMMYFUNCTION("TRIM(REGEXREPLACE(D185, ""[0-9]+[a-f]?\."", """"))"),"Combien votre ménage a-t-il dépensé en ${w_item_week} la semaine dernière (en CFA) ?")</f>
        <v>Combien votre ménage a-t-il dépensé en ${w_item_week} la semaine dernière (en CFA) ?</v>
      </c>
      <c r="I185" s="79" t="str">
        <f>IFERROR(__xludf.DUMMYFUNCTION("TRIM(REGEXREPLACE(E185, ""[0-9]+[a-f]?\."", """"))"),"Nawa ne gidan ku ya kashe (a CFA) a ${w_item_week} satin da ya gabata ?")</f>
        <v>Nawa ne gidan ku ya kashe (a CFA) a ${w_item_week} satin da ya gabata ?</v>
      </c>
      <c r="J185" s="79" t="s">
        <v>1036</v>
      </c>
      <c r="K185" s="79" t="s">
        <v>1038</v>
      </c>
      <c r="L185" s="79" t="s">
        <v>1039</v>
      </c>
    </row>
    <row r="186" hidden="1">
      <c r="B186" s="80"/>
      <c r="C186" s="80"/>
      <c r="D186" s="80"/>
      <c r="E186" s="80"/>
      <c r="F186" s="82">
        <v>105.0</v>
      </c>
      <c r="G186" s="79" t="str">
        <f>IFERROR(__xludf.DUMMYFUNCTION("TRIM(REGEXREPLACE(C186, ""[0-9]+[a-f]?\."", """"))"),"")</f>
        <v/>
      </c>
      <c r="H186" s="79" t="str">
        <f>IFERROR(__xludf.DUMMYFUNCTION("TRIM(REGEXREPLACE(D186, ""[0-9]+[a-f]?\."", """"))"),"")</f>
        <v/>
      </c>
      <c r="I186" s="79" t="str">
        <f>IFERROR(__xludf.DUMMYFUNCTION("TRIM(REGEXREPLACE(E186, ""[0-9]+[a-f]?\."", """"))"),"")</f>
        <v/>
      </c>
      <c r="J186" s="79" t="s">
        <v>1042</v>
      </c>
      <c r="K186" s="79" t="s">
        <v>1043</v>
      </c>
      <c r="L186" s="79" t="s">
        <v>1044</v>
      </c>
    </row>
    <row r="187" hidden="1">
      <c r="B187" s="80"/>
      <c r="C187" s="80"/>
      <c r="D187" s="80"/>
      <c r="E187" s="80"/>
      <c r="F187" s="82">
        <v>105.0</v>
      </c>
      <c r="G187" s="79" t="str">
        <f>IFERROR(__xludf.DUMMYFUNCTION("TRIM(REGEXREPLACE(C187, ""[0-9]+[a-f]?\."", """"))"),"")</f>
        <v/>
      </c>
      <c r="H187" s="79" t="str">
        <f>IFERROR(__xludf.DUMMYFUNCTION("TRIM(REGEXREPLACE(D187, ""[0-9]+[a-f]?\."", """"))"),"")</f>
        <v/>
      </c>
      <c r="I187" s="79" t="str">
        <f>IFERROR(__xludf.DUMMYFUNCTION("TRIM(REGEXREPLACE(E187, ""[0-9]+[a-f]?\."", """"))"),"")</f>
        <v/>
      </c>
    </row>
    <row r="188">
      <c r="A188" s="79" t="s">
        <v>277</v>
      </c>
      <c r="B188" s="80" t="s">
        <v>1045</v>
      </c>
      <c r="C188" s="80" t="s">
        <v>1046</v>
      </c>
      <c r="D188" s="80" t="s">
        <v>1048</v>
      </c>
      <c r="E188" s="80" t="s">
        <v>1049</v>
      </c>
      <c r="F188" s="82">
        <v>103.0</v>
      </c>
      <c r="G188" s="79" t="str">
        <f>IFERROR(__xludf.DUMMYFUNCTION("TRIM(REGEXREPLACE(C188, ""[0-9]+[a-f]?\."", """"))"),"For Tabaski, did your household purchase any of the following?")</f>
        <v>For Tabaski, did your household purchase any of the following?</v>
      </c>
      <c r="H188" s="79" t="str">
        <f>IFERROR(__xludf.DUMMYFUNCTION("TRIM(REGEXREPLACE(D188, ""[0-9]+[a-f]?\."", """"))"),"Pour la Tabaski, votre ménage a-t-il acheté l'un des articles suivants ?")</f>
        <v>Pour la Tabaski, votre ménage a-t-il acheté l'un des articles suivants ?</v>
      </c>
      <c r="I188" s="79" t="str">
        <f>IFERROR(__xludf.DUMMYFUNCTION("TRIM(REGEXREPLACE(E188, ""[0-9]+[a-f]?\."", """"))"),"Don sallar layya, gidanku ya sayi ɗaya daga cikin waɗannan abubuwa?")</f>
        <v>Don sallar layya, gidanku ya sayi ɗaya daga cikin waɗannan abubuwa?</v>
      </c>
      <c r="J188" s="79" t="s">
        <v>1051</v>
      </c>
      <c r="K188" s="79" t="s">
        <v>1052</v>
      </c>
      <c r="L188" s="79" t="s">
        <v>1054</v>
      </c>
    </row>
    <row r="189">
      <c r="A189" s="79" t="s">
        <v>277</v>
      </c>
      <c r="B189" s="80" t="s">
        <v>1056</v>
      </c>
      <c r="C189" s="80" t="s">
        <v>1029</v>
      </c>
      <c r="D189" s="80" t="s">
        <v>1030</v>
      </c>
      <c r="E189" s="80" t="s">
        <v>1031</v>
      </c>
      <c r="F189" s="82">
        <v>104.0</v>
      </c>
      <c r="G189" s="79" t="str">
        <f>IFERROR(__xludf.DUMMYFUNCTION("TRIM(REGEXREPLACE(C189, ""[0-9]+[a-f]?\."", """"))"),"Clothing")</f>
        <v>Clothing</v>
      </c>
      <c r="H189" s="79" t="str">
        <f>IFERROR(__xludf.DUMMYFUNCTION("TRIM(REGEXREPLACE(D189, ""[0-9]+[a-f]?\."", """"))"),"Vêtements")</f>
        <v>Vêtements</v>
      </c>
      <c r="I189" s="79" t="str">
        <f>IFERROR(__xludf.DUMMYFUNCTION("TRIM(REGEXREPLACE(E189, ""[0-9]+[a-f]?\."", """"))"),"Tufafi")</f>
        <v>Tufafi</v>
      </c>
      <c r="J189" s="79" t="s">
        <v>1058</v>
      </c>
      <c r="K189" s="79" t="s">
        <v>1059</v>
      </c>
      <c r="L189" s="79" t="s">
        <v>1060</v>
      </c>
    </row>
    <row r="190">
      <c r="A190" s="79" t="s">
        <v>277</v>
      </c>
      <c r="B190" s="80" t="s">
        <v>1061</v>
      </c>
      <c r="C190" s="80" t="s">
        <v>1032</v>
      </c>
      <c r="D190" s="80" t="s">
        <v>1033</v>
      </c>
      <c r="E190" s="80" t="s">
        <v>1034</v>
      </c>
      <c r="F190" s="82">
        <v>105.0</v>
      </c>
      <c r="G190" s="79" t="str">
        <f>IFERROR(__xludf.DUMMYFUNCTION("TRIM(REGEXREPLACE(C190, ""[0-9]+[a-f]?\."", """"))"),"Sheep")</f>
        <v>Sheep</v>
      </c>
      <c r="H190" s="79" t="str">
        <f>IFERROR(__xludf.DUMMYFUNCTION("TRIM(REGEXREPLACE(D190, ""[0-9]+[a-f]?\."", """"))"),"Mouton")</f>
        <v>Mouton</v>
      </c>
      <c r="I190" s="79" t="str">
        <f>IFERROR(__xludf.DUMMYFUNCTION("TRIM(REGEXREPLACE(E190, ""[0-9]+[a-f]?\."", """"))"),"Rago")</f>
        <v>Rago</v>
      </c>
      <c r="J190" s="79" t="s">
        <v>1063</v>
      </c>
      <c r="K190" s="79" t="s">
        <v>1064</v>
      </c>
      <c r="L190" s="79" t="s">
        <v>1065</v>
      </c>
    </row>
    <row r="191">
      <c r="A191" s="79" t="s">
        <v>277</v>
      </c>
      <c r="B191" s="80" t="s">
        <v>1066</v>
      </c>
      <c r="C191" s="80" t="s">
        <v>1067</v>
      </c>
      <c r="D191" s="80" t="s">
        <v>1068</v>
      </c>
      <c r="E191" s="80" t="s">
        <v>1070</v>
      </c>
      <c r="F191" s="82">
        <v>106.0</v>
      </c>
      <c r="G191" s="79" t="str">
        <f>IFERROR(__xludf.DUMMYFUNCTION("TRIM(REGEXREPLACE(C191, ""[0-9]+[a-f]?\."", """"))"),"Goat")</f>
        <v>Goat</v>
      </c>
      <c r="H191" s="79" t="str">
        <f>IFERROR(__xludf.DUMMYFUNCTION("TRIM(REGEXREPLACE(D191, ""[0-9]+[a-f]?\."", """"))"),"Chèvre")</f>
        <v>Chèvre</v>
      </c>
      <c r="I191" s="79" t="str">
        <f>IFERROR(__xludf.DUMMYFUNCTION("TRIM(REGEXREPLACE(E191, ""[0-9]+[a-f]?\."", """"))"),"Akuya")</f>
        <v>Akuya</v>
      </c>
      <c r="J191" s="79" t="s">
        <v>1073</v>
      </c>
      <c r="K191" s="79" t="s">
        <v>1074</v>
      </c>
      <c r="L191" s="79" t="s">
        <v>1075</v>
      </c>
    </row>
    <row r="192">
      <c r="A192" s="79" t="s">
        <v>277</v>
      </c>
      <c r="B192" s="80" t="s">
        <v>1077</v>
      </c>
      <c r="C192" s="80" t="s">
        <v>1042</v>
      </c>
      <c r="D192" s="80" t="s">
        <v>1043</v>
      </c>
      <c r="E192" s="80" t="s">
        <v>1044</v>
      </c>
      <c r="F192" s="82">
        <v>107.0</v>
      </c>
      <c r="G192" s="79" t="str">
        <f>IFERROR(__xludf.DUMMYFUNCTION("TRIM(REGEXREPLACE(C192, ""[0-9]+[a-f]?\."", """"))"),"Poultry")</f>
        <v>Poultry</v>
      </c>
      <c r="H192" s="79" t="str">
        <f>IFERROR(__xludf.DUMMYFUNCTION("TRIM(REGEXREPLACE(D192, ""[0-9]+[a-f]?\."", """"))"),"Volaille")</f>
        <v>Volaille</v>
      </c>
      <c r="I192" s="79" t="str">
        <f>IFERROR(__xludf.DUMMYFUNCTION("TRIM(REGEXREPLACE(E192, ""[0-9]+[a-f]?\."", """"))"),"Kaji")</f>
        <v>Kaji</v>
      </c>
      <c r="J192" s="79" t="s">
        <v>1078</v>
      </c>
      <c r="K192" s="79" t="s">
        <v>1079</v>
      </c>
      <c r="L192" s="79" t="s">
        <v>1080</v>
      </c>
    </row>
    <row r="193" hidden="1">
      <c r="B193" s="80"/>
      <c r="C193" s="80"/>
      <c r="D193" s="80"/>
      <c r="E193" s="80"/>
      <c r="F193" s="82">
        <v>108.0</v>
      </c>
      <c r="G193" s="79" t="str">
        <f>IFERROR(__xludf.DUMMYFUNCTION("TRIM(REGEXREPLACE(C193, ""[0-9]+[a-f]?\."", """"))"),"")</f>
        <v/>
      </c>
      <c r="H193" s="79" t="str">
        <f>IFERROR(__xludf.DUMMYFUNCTION("TRIM(REGEXREPLACE(D193, ""[0-9]+[a-f]?\."", """"))"),"")</f>
        <v/>
      </c>
      <c r="I193" s="79" t="str">
        <f>IFERROR(__xludf.DUMMYFUNCTION("TRIM(REGEXREPLACE(E193, ""[0-9]+[a-f]?\."", """"))"),"")</f>
        <v/>
      </c>
    </row>
    <row r="194" hidden="1">
      <c r="B194" s="80"/>
      <c r="C194" s="80"/>
      <c r="D194" s="80"/>
      <c r="E194" s="80"/>
      <c r="F194" s="82">
        <v>109.0</v>
      </c>
      <c r="G194" s="79" t="str">
        <f>IFERROR(__xludf.DUMMYFUNCTION("TRIM(REGEXREPLACE(C194, ""[0-9]+[a-f]?\."", """"))"),"")</f>
        <v/>
      </c>
      <c r="H194" s="79" t="str">
        <f>IFERROR(__xludf.DUMMYFUNCTION("TRIM(REGEXREPLACE(D194, ""[0-9]+[a-f]?\."", """"))"),"")</f>
        <v/>
      </c>
      <c r="I194" s="79" t="str">
        <f>IFERROR(__xludf.DUMMYFUNCTION("TRIM(REGEXREPLACE(E194, ""[0-9]+[a-f]?\."", """"))"),"")</f>
        <v/>
      </c>
    </row>
    <row r="195" hidden="1">
      <c r="B195" s="80"/>
      <c r="C195" s="80"/>
      <c r="D195" s="80"/>
      <c r="E195" s="80"/>
      <c r="F195" s="82">
        <v>108.0</v>
      </c>
      <c r="G195" s="79" t="str">
        <f>IFERROR(__xludf.DUMMYFUNCTION("TRIM(REGEXREPLACE(C195, ""[0-9]+[a-f]?\."", """"))"),"")</f>
        <v/>
      </c>
      <c r="H195" s="79" t="str">
        <f>IFERROR(__xludf.DUMMYFUNCTION("TRIM(REGEXREPLACE(D195, ""[0-9]+[a-f]?\."", """"))"),"")</f>
        <v/>
      </c>
      <c r="I195" s="79" t="str">
        <f>IFERROR(__xludf.DUMMYFUNCTION("TRIM(REGEXREPLACE(E195, ""[0-9]+[a-f]?\."", """"))"),"")</f>
        <v/>
      </c>
      <c r="J195" s="79" t="s">
        <v>1083</v>
      </c>
      <c r="K195" s="79" t="s">
        <v>1084</v>
      </c>
      <c r="L195" s="79" t="s">
        <v>1085</v>
      </c>
    </row>
    <row r="196">
      <c r="A196" s="79" t="s">
        <v>1086</v>
      </c>
      <c r="B196" s="80" t="s">
        <v>1087</v>
      </c>
      <c r="C196" s="80" t="s">
        <v>1088</v>
      </c>
      <c r="D196" s="80" t="s">
        <v>1089</v>
      </c>
      <c r="E196" s="80" t="s">
        <v>1090</v>
      </c>
      <c r="F196" s="82">
        <v>108.0</v>
      </c>
      <c r="G196" s="79" t="str">
        <f>IFERROR(__xludf.DUMMYFUNCTION("TRIM(REGEXREPLACE(C196, ""[0-9]+[a-f]?\."", """"))"),"During ${period}, was your household negatively affected by any of the following types of events?")</f>
        <v>During ${period}, was your household negatively affected by any of the following types of events?</v>
      </c>
      <c r="H196" s="79" t="str">
        <f>IFERROR(__xludf.DUMMYFUNCTION("TRIM(REGEXREPLACE(D196, ""[0-9]+[a-f]?\."", """"))"),"Au cours de ${period_french}, votre ménage a-t-il été affecté négativement par l'un des types d'événements suivants ?")</f>
        <v>Au cours de ${period_french}, votre ménage a-t-il été affecté négativement par l'un des types d'événements suivants ?</v>
      </c>
      <c r="I196" s="79" t="str">
        <f>IFERROR(__xludf.DUMMYFUNCTION("TRIM(REGEXREPLACE(E196, ""[0-9]+[a-f]?\."", """"))"),"A lokacin ${period_hausa}, ko gidanku ya fuskanci wani daga cikin matsaloli nan masu zuwa? Zaɓi duk abin da ya dace")</f>
        <v>A lokacin ${period_hausa}, ko gidanku ya fuskanci wani daga cikin matsaloli nan masu zuwa? Zaɓi duk abin da ya dace</v>
      </c>
      <c r="J196" s="79" t="s">
        <v>1091</v>
      </c>
      <c r="K196" s="79" t="s">
        <v>1092</v>
      </c>
      <c r="L196" s="79" t="s">
        <v>1093</v>
      </c>
    </row>
    <row r="197">
      <c r="A197" s="79" t="s">
        <v>299</v>
      </c>
      <c r="B197" s="80" t="s">
        <v>1094</v>
      </c>
      <c r="C197" s="80" t="s">
        <v>1095</v>
      </c>
      <c r="D197" s="80" t="s">
        <v>1096</v>
      </c>
      <c r="E197" s="80" t="s">
        <v>1097</v>
      </c>
      <c r="F197" s="82">
        <v>109.0</v>
      </c>
      <c r="G197" s="79" t="str">
        <f>IFERROR(__xludf.DUMMYFUNCTION("TRIM(REGEXREPLACE(C197, ""[0-9]+[a-f]?\."", """"))"),"Please briefly describe the event(s) that negatveily affected your household")</f>
        <v>Please briefly describe the event(s) that negatveily affected your household</v>
      </c>
      <c r="H197" s="79" t="str">
        <f>IFERROR(__xludf.DUMMYFUNCTION("TRIM(REGEXREPLACE(D197, ""[0-9]+[a-f]?\."", """"))"),"Veuillez décrire brièvement le/les événement(s) qui ont eu des effets négatifs sur votre ménage au cours des 3 derniers mois")</f>
        <v>Veuillez décrire brièvement le/les événement(s) qui ont eu des effets négatifs sur votre ménage au cours des 3 derniers mois</v>
      </c>
      <c r="I197" s="79" t="str">
        <f>IFERROR(__xludf.DUMMYFUNCTION("TRIM(REGEXREPLACE(E197, ""[0-9]+[a-f]?\."", """"))"),"Da fatan za ku yi taƙaitaccen bayani a kan abin da ya shafi gidan ku")</f>
        <v>Da fatan za ku yi taƙaitaccen bayani a kan abin da ya shafi gidan ku</v>
      </c>
      <c r="J197" s="79" t="s">
        <v>1099</v>
      </c>
      <c r="K197" s="79" t="s">
        <v>1100</v>
      </c>
      <c r="L197" s="79" t="s">
        <v>1101</v>
      </c>
    </row>
    <row r="198" hidden="1">
      <c r="B198" s="80"/>
      <c r="C198" s="80"/>
      <c r="D198" s="80"/>
      <c r="E198" s="80"/>
      <c r="F198" s="82">
        <v>111.0</v>
      </c>
      <c r="G198" s="79" t="str">
        <f>IFERROR(__xludf.DUMMYFUNCTION("TRIM(REGEXREPLACE(C198, ""[0-9]+[a-f]?\."", """"))"),"")</f>
        <v/>
      </c>
      <c r="H198" s="79" t="str">
        <f>IFERROR(__xludf.DUMMYFUNCTION("TRIM(REGEXREPLACE(D198, ""[0-9]+[a-f]?\."", """"))"),"")</f>
        <v/>
      </c>
      <c r="I198" s="79" t="str">
        <f>IFERROR(__xludf.DUMMYFUNCTION("TRIM(REGEXREPLACE(E198, ""[0-9]+[a-f]?\."", """"))"),"")</f>
        <v/>
      </c>
      <c r="J198" s="79" t="s">
        <v>1102</v>
      </c>
      <c r="K198" s="79" t="s">
        <v>1103</v>
      </c>
      <c r="L198" s="79" t="s">
        <v>1104</v>
      </c>
    </row>
    <row r="199" hidden="1">
      <c r="B199" s="80"/>
      <c r="C199" s="80"/>
      <c r="D199" s="80"/>
      <c r="E199" s="80"/>
      <c r="F199" s="82">
        <v>112.0</v>
      </c>
      <c r="G199" s="79" t="str">
        <f>IFERROR(__xludf.DUMMYFUNCTION("TRIM(REGEXREPLACE(C199, ""[0-9]+[a-f]?\."", """"))"),"")</f>
        <v/>
      </c>
      <c r="H199" s="79" t="str">
        <f>IFERROR(__xludf.DUMMYFUNCTION("TRIM(REGEXREPLACE(D199, ""[0-9]+[a-f]?\."", """"))"),"")</f>
        <v/>
      </c>
      <c r="I199" s="79" t="str">
        <f>IFERROR(__xludf.DUMMYFUNCTION("TRIM(REGEXREPLACE(E199, ""[0-9]+[a-f]?\."", """"))"),"")</f>
        <v/>
      </c>
      <c r="J199" s="79" t="s">
        <v>1106</v>
      </c>
      <c r="K199" s="79" t="s">
        <v>1107</v>
      </c>
      <c r="L199" s="79" t="s">
        <v>1108</v>
      </c>
    </row>
    <row r="200" hidden="1">
      <c r="B200" s="80"/>
      <c r="C200" s="80"/>
      <c r="D200" s="80"/>
      <c r="E200" s="80"/>
      <c r="F200" s="82">
        <v>113.0</v>
      </c>
      <c r="G200" s="79" t="str">
        <f>IFERROR(__xludf.DUMMYFUNCTION("TRIM(REGEXREPLACE(C200, ""[0-9]+[a-f]?\."", """"))"),"")</f>
        <v/>
      </c>
      <c r="H200" s="79" t="str">
        <f>IFERROR(__xludf.DUMMYFUNCTION("TRIM(REGEXREPLACE(D200, ""[0-9]+[a-f]?\."", """"))"),"")</f>
        <v/>
      </c>
      <c r="I200" s="79" t="str">
        <f>IFERROR(__xludf.DUMMYFUNCTION("TRIM(REGEXREPLACE(E200, ""[0-9]+[a-f]?\."", """"))"),"")</f>
        <v/>
      </c>
    </row>
    <row r="201">
      <c r="A201" s="79" t="s">
        <v>277</v>
      </c>
      <c r="B201" s="80" t="s">
        <v>1110</v>
      </c>
      <c r="C201" s="80" t="s">
        <v>1083</v>
      </c>
      <c r="D201" s="80" t="s">
        <v>1084</v>
      </c>
      <c r="E201" s="80" t="s">
        <v>1085</v>
      </c>
      <c r="F201" s="82">
        <v>110.0</v>
      </c>
      <c r="G201" s="79" t="str">
        <f>IFERROR(__xludf.DUMMYFUNCTION("TRIM(REGEXREPLACE(C201, ""[0-9]+[a-f]?\."", """"))"),"In response to ${w_emergency_name}, did you or your household take the following actions?")</f>
        <v>In response to ${w_emergency_name}, did you or your household take the following actions?</v>
      </c>
      <c r="H201" s="79" t="str">
        <f>IFERROR(__xludf.DUMMYFUNCTION("TRIM(REGEXREPLACE(D201, ""[0-9]+[a-f]?\."", """"))"),"En réponse à ${w_emergency_name}, avez-vous vous ou votre ménage pris les mesures suivantes ??")</f>
        <v>En réponse à ${w_emergency_name}, avez-vous vous ou votre ménage pris les mesures suivantes ??</v>
      </c>
      <c r="I201" s="79" t="str">
        <f>IFERROR(__xludf.DUMMYFUNCTION("TRIM(REGEXREPLACE(E201, ""[0-9]+[a-f]?\."", """"))"),"Dangance da ${w_emergency_name}, ku ko ƴan gindanku kun ɗauki waɗannan matakai?")</f>
        <v>Dangance da ${w_emergency_name}, ku ko ƴan gindanku kun ɗauki waɗannan matakai?</v>
      </c>
      <c r="J201" s="79" t="s">
        <v>1111</v>
      </c>
      <c r="K201" s="79" t="s">
        <v>1112</v>
      </c>
      <c r="L201" s="79" t="s">
        <v>1113</v>
      </c>
    </row>
    <row r="202">
      <c r="A202" s="79" t="s">
        <v>277</v>
      </c>
      <c r="B202" s="80" t="s">
        <v>1114</v>
      </c>
      <c r="C202" s="80" t="s">
        <v>1115</v>
      </c>
      <c r="D202" s="80" t="s">
        <v>1116</v>
      </c>
      <c r="E202" s="80" t="s">
        <v>1117</v>
      </c>
      <c r="F202" s="82">
        <v>111.0</v>
      </c>
      <c r="G202" s="79" t="str">
        <f>IFERROR(__xludf.DUMMYFUNCTION("TRIM(REGEXREPLACE(C202, ""[0-9]+[a-f]?\."", """"))"),"Sell assets?")</f>
        <v>Sell assets?</v>
      </c>
      <c r="H202" s="79" t="str">
        <f>IFERROR(__xludf.DUMMYFUNCTION("TRIM(REGEXREPLACE(D202, ""[0-9]+[a-f]?\."", """"))"),"Vendre des actifs")</f>
        <v>Vendre des actifs</v>
      </c>
      <c r="I202" s="79" t="str">
        <f>IFERROR(__xludf.DUMMYFUNCTION("TRIM(REGEXREPLACE(E202, ""[0-9]+[a-f]?\."", """"))"),"Saida kadarori")</f>
        <v>Saida kadarori</v>
      </c>
      <c r="J202" s="79" t="s">
        <v>1120</v>
      </c>
      <c r="K202" s="79" t="s">
        <v>1121</v>
      </c>
      <c r="L202" s="79" t="s">
        <v>1122</v>
      </c>
    </row>
    <row r="203">
      <c r="A203" s="79" t="s">
        <v>277</v>
      </c>
      <c r="B203" s="80" t="s">
        <v>1123</v>
      </c>
      <c r="C203" s="80" t="s">
        <v>1125</v>
      </c>
      <c r="D203" s="80" t="s">
        <v>1126</v>
      </c>
      <c r="E203" s="80" t="s">
        <v>1127</v>
      </c>
      <c r="F203" s="82">
        <v>112.0</v>
      </c>
      <c r="G203" s="79" t="str">
        <f>IFERROR(__xludf.DUMMYFUNCTION("TRIM(REGEXREPLACE(C203, ""[0-9]+[a-f]?\."", """"))"),"Borrow money?")</f>
        <v>Borrow money?</v>
      </c>
      <c r="H203" s="79" t="str">
        <f>IFERROR(__xludf.DUMMYFUNCTION("TRIM(REGEXREPLACE(D203, ""[0-9]+[a-f]?\."", """"))"),"Emprunter de l'argent")</f>
        <v>Emprunter de l'argent</v>
      </c>
      <c r="I203" s="79" t="str">
        <f>IFERROR(__xludf.DUMMYFUNCTION("TRIM(REGEXREPLACE(E203, ""[0-9]+[a-f]?\."", """"))"),"Bashin kuɗi")</f>
        <v>Bashin kuɗi</v>
      </c>
      <c r="J203" s="79" t="s">
        <v>1131</v>
      </c>
      <c r="K203" s="79" t="s">
        <v>1132</v>
      </c>
      <c r="L203" s="79" t="s">
        <v>1133</v>
      </c>
    </row>
    <row r="204">
      <c r="A204" s="79" t="s">
        <v>277</v>
      </c>
      <c r="B204" s="80" t="s">
        <v>1134</v>
      </c>
      <c r="C204" s="80" t="s">
        <v>1102</v>
      </c>
      <c r="D204" s="80" t="s">
        <v>1103</v>
      </c>
      <c r="E204" s="80" t="s">
        <v>1104</v>
      </c>
      <c r="F204" s="82">
        <v>113.0</v>
      </c>
      <c r="G204" s="79" t="str">
        <f>IFERROR(__xludf.DUMMYFUNCTION("TRIM(REGEXREPLACE(C204, ""[0-9]+[a-f]?\."", """"))"),"Spend your savings?")</f>
        <v>Spend your savings?</v>
      </c>
      <c r="H204" s="79" t="str">
        <f>IFERROR(__xludf.DUMMYFUNCTION("TRIM(REGEXREPLACE(D204, ""[0-9]+[a-f]?\."", """"))"),"Utiliser votre épargne")</f>
        <v>Utiliser votre épargne</v>
      </c>
      <c r="I204" s="79" t="str">
        <f>IFERROR(__xludf.DUMMYFUNCTION("TRIM(REGEXREPLACE(E204, ""[0-9]+[a-f]?\."", """"))"),"Kashe kuɗin ajiyar ku")</f>
        <v>Kashe kuɗin ajiyar ku</v>
      </c>
      <c r="J204" s="79" t="s">
        <v>1138</v>
      </c>
      <c r="K204" s="79" t="s">
        <v>1141</v>
      </c>
      <c r="L204" s="79" t="s">
        <v>1142</v>
      </c>
    </row>
    <row r="205">
      <c r="A205" s="79" t="s">
        <v>277</v>
      </c>
      <c r="B205" s="80" t="s">
        <v>1143</v>
      </c>
      <c r="C205" s="80" t="s">
        <v>1106</v>
      </c>
      <c r="D205" s="80" t="s">
        <v>1107</v>
      </c>
      <c r="E205" s="80" t="s">
        <v>1108</v>
      </c>
      <c r="F205" s="82">
        <v>114.0</v>
      </c>
      <c r="G205" s="79" t="str">
        <f>IFERROR(__xludf.DUMMYFUNCTION("TRIM(REGEXREPLACE(C205, ""[0-9]+[a-f]?\."", """"))"),"Reduce spending on food or change your food consumption?")</f>
        <v>Reduce spending on food or change your food consumption?</v>
      </c>
      <c r="H205" s="79" t="str">
        <f>IFERROR(__xludf.DUMMYFUNCTION("TRIM(REGEXREPLACE(D205, ""[0-9]+[a-f]?\."", """"))"),"Réduire les dépenses alimentaires ou changé des habitudes de consommation ?")</f>
        <v>Réduire les dépenses alimentaires ou changé des habitudes de consommation ?</v>
      </c>
      <c r="I205" s="79" t="str">
        <f>IFERROR(__xludf.DUMMYFUNCTION("TRIM(REGEXREPLACE(E205, ""[0-9]+[a-f]?\."", """"))"),"Rage kashe kuɗi akan abinci ko canza abincin?")</f>
        <v>Rage kashe kuɗi akan abinci ko canza abincin?</v>
      </c>
      <c r="J205" s="79" t="s">
        <v>1144</v>
      </c>
      <c r="K205" s="79" t="s">
        <v>1145</v>
      </c>
      <c r="L205" s="79" t="s">
        <v>1146</v>
      </c>
    </row>
    <row r="206" hidden="1">
      <c r="B206" s="80"/>
      <c r="C206" s="80"/>
      <c r="D206" s="80"/>
      <c r="E206" s="80"/>
      <c r="F206" s="82">
        <v>98.0</v>
      </c>
      <c r="G206" s="79" t="str">
        <f>IFERROR(__xludf.DUMMYFUNCTION("TRIM(REGEXREPLACE(C206, ""[0-9]+[a-f]?\."", """"))"),"")</f>
        <v/>
      </c>
      <c r="H206" s="79" t="str">
        <f>IFERROR(__xludf.DUMMYFUNCTION("TRIM(REGEXREPLACE(D206, ""[0-9]+[a-f]?\."", """"))"),"")</f>
        <v/>
      </c>
      <c r="I206" s="79" t="str">
        <f>IFERROR(__xludf.DUMMYFUNCTION("TRIM(REGEXREPLACE(E206, ""[0-9]+[a-f]?\."", """"))"),"")</f>
        <v/>
      </c>
      <c r="J206" s="79" t="s">
        <v>1149</v>
      </c>
      <c r="K206" s="79" t="s">
        <v>1150</v>
      </c>
      <c r="L206" s="79" t="s">
        <v>1150</v>
      </c>
    </row>
    <row r="207" hidden="1">
      <c r="B207" s="80"/>
      <c r="C207" s="80"/>
      <c r="D207" s="80"/>
      <c r="E207" s="80"/>
      <c r="F207" s="82">
        <v>116.0</v>
      </c>
      <c r="G207" s="79" t="str">
        <f>IFERROR(__xludf.DUMMYFUNCTION("TRIM(REGEXREPLACE(C207, ""[0-9]+[a-f]?\."", """"))"),"")</f>
        <v/>
      </c>
      <c r="H207" s="79" t="str">
        <f>IFERROR(__xludf.DUMMYFUNCTION("TRIM(REGEXREPLACE(D207, ""[0-9]+[a-f]?\."", """"))"),"")</f>
        <v/>
      </c>
      <c r="I207" s="79" t="str">
        <f>IFERROR(__xludf.DUMMYFUNCTION("TRIM(REGEXREPLACE(E207, ""[0-9]+[a-f]?\."", """"))"),"")</f>
        <v/>
      </c>
    </row>
    <row r="208">
      <c r="A208" s="79" t="s">
        <v>42</v>
      </c>
      <c r="B208" s="80" t="s">
        <v>1154</v>
      </c>
      <c r="C208" s="80" t="s">
        <v>1155</v>
      </c>
      <c r="D208" s="80" t="s">
        <v>1156</v>
      </c>
      <c r="E208" s="80" t="s">
        <v>1158</v>
      </c>
      <c r="F208" s="82">
        <v>115.0</v>
      </c>
      <c r="G208" s="79" t="str">
        <f>IFERROR(__xludf.DUMMYFUNCTION("TRIM(REGEXREPLACE(C208, ""[0-9]+[a-f]?\."", """"))"),"For ${w_emergency_name}
What was the value of the following in CFA?")</f>
        <v>For ${w_emergency_name}
What was the value of the following in CFA?</v>
      </c>
      <c r="H208" s="79" t="str">
        <f>IFERROR(__xludf.DUMMYFUNCTION("TRIM(REGEXREPLACE(D208, ""[0-9]+[a-f]?\."", """"))"),"Par rapport à ${w_emergency_name}
Quelle était la valeur des éléments suivantes en CFA?")</f>
        <v>Par rapport à ${w_emergency_name}
Quelle était la valeur des éléments suivantes en CFA?</v>
      </c>
      <c r="I208" s="79" t="str">
        <f>IFERROR(__xludf.DUMMYFUNCTION("TRIM(REGEXREPLACE(E208, ""[0-9]+[a-f]?\."", """"))"),"Game da ${w_emergency_name}
 Nawa ne kimar waɗannan abubuwan a kuɗin CFA?")</f>
        <v>Game da ${w_emergency_name}
 Nawa ne kimar waɗannan abubuwan a kuɗin CFA?</v>
      </c>
      <c r="J208" s="79" t="s">
        <v>1159</v>
      </c>
      <c r="K208" s="79" t="s">
        <v>1160</v>
      </c>
      <c r="L208" s="79" t="s">
        <v>1162</v>
      </c>
    </row>
    <row r="209">
      <c r="A209" s="79" t="s">
        <v>396</v>
      </c>
      <c r="B209" s="80" t="s">
        <v>1165</v>
      </c>
      <c r="C209" s="80" t="s">
        <v>1166</v>
      </c>
      <c r="D209" s="80" t="s">
        <v>1167</v>
      </c>
      <c r="E209" s="80" t="s">
        <v>1168</v>
      </c>
      <c r="F209" s="82">
        <v>116.0</v>
      </c>
      <c r="G209" s="79" t="str">
        <f>IFERROR(__xludf.DUMMYFUNCTION("TRIM(REGEXREPLACE(C209, ""[0-9]+[a-f]?\."", """"))"),"Assets you sold")</f>
        <v>Assets you sold</v>
      </c>
      <c r="H209" s="79" t="str">
        <f>IFERROR(__xludf.DUMMYFUNCTION("TRIM(REGEXREPLACE(D209, ""[0-9]+[a-f]?\."", """"))"),"Les actifs que vous avez vendus")</f>
        <v>Les actifs que vous avez vendus</v>
      </c>
      <c r="I209" s="79" t="str">
        <f>IFERROR(__xludf.DUMMYFUNCTION("TRIM(REGEXREPLACE(E209, ""[0-9]+[a-f]?\."", """"))"),"Kadarorin da kuka saida")</f>
        <v>Kadarorin da kuka saida</v>
      </c>
      <c r="J209" s="79" t="s">
        <v>1169</v>
      </c>
      <c r="K209" s="79" t="s">
        <v>1170</v>
      </c>
      <c r="L209" s="79" t="s">
        <v>1171</v>
      </c>
    </row>
    <row r="210">
      <c r="A210" s="79" t="s">
        <v>396</v>
      </c>
      <c r="B210" s="80" t="s">
        <v>1172</v>
      </c>
      <c r="C210" s="80" t="s">
        <v>1173</v>
      </c>
      <c r="D210" s="80" t="s">
        <v>1174</v>
      </c>
      <c r="E210" s="80" t="s">
        <v>1175</v>
      </c>
      <c r="F210" s="82">
        <v>117.0</v>
      </c>
      <c r="G210" s="79" t="str">
        <f>IFERROR(__xludf.DUMMYFUNCTION("TRIM(REGEXREPLACE(C210, ""[0-9]+[a-f]?\."", """"))"),"Loan(s) you took")</f>
        <v>Loan(s) you took</v>
      </c>
      <c r="H210" s="79" t="str">
        <f>IFERROR(__xludf.DUMMYFUNCTION("TRIM(REGEXREPLACE(D210, ""[0-9]+[a-f]?\."", """"))"),"Les prêt(s) que vous avez contracté")</f>
        <v>Les prêt(s) que vous avez contracté</v>
      </c>
      <c r="I210" s="79" t="str">
        <f>IFERROR(__xludf.DUMMYFUNCTION("TRIM(REGEXREPLACE(E210, ""[0-9]+[a-f]?\."", """"))"),"Bashin da kuka ɗauka")</f>
        <v>Bashin da kuka ɗauka</v>
      </c>
      <c r="J210" s="79" t="s">
        <v>1178</v>
      </c>
      <c r="K210" s="79" t="s">
        <v>1179</v>
      </c>
      <c r="L210" s="79" t="s">
        <v>1180</v>
      </c>
    </row>
    <row r="211">
      <c r="A211" s="79" t="s">
        <v>396</v>
      </c>
      <c r="B211" s="80" t="s">
        <v>1181</v>
      </c>
      <c r="C211" s="80" t="s">
        <v>1182</v>
      </c>
      <c r="D211" s="80" t="s">
        <v>1183</v>
      </c>
      <c r="E211" s="80" t="s">
        <v>1184</v>
      </c>
      <c r="F211" s="82">
        <v>118.0</v>
      </c>
      <c r="G211" s="79" t="str">
        <f>IFERROR(__xludf.DUMMYFUNCTION("TRIM(REGEXREPLACE(C211, ""[0-9]+[a-f]?\."", """"))"),"Savings you spent?")</f>
        <v>Savings you spent?</v>
      </c>
      <c r="H211" s="79" t="str">
        <f>IFERROR(__xludf.DUMMYFUNCTION("TRIM(REGEXREPLACE(D211, ""[0-9]+[a-f]?\."", """"))"),"L'épargne que vous avez utilisé")</f>
        <v>L'épargne que vous avez utilisé</v>
      </c>
      <c r="I211" s="79" t="str">
        <f>IFERROR(__xludf.DUMMYFUNCTION("TRIM(REGEXREPLACE(E211, ""[0-9]+[a-f]?\."", """"))"),"Ajiyar da kuka kashe")</f>
        <v>Ajiyar da kuka kashe</v>
      </c>
      <c r="J211" s="79" t="s">
        <v>1189</v>
      </c>
      <c r="K211" s="79" t="s">
        <v>1190</v>
      </c>
      <c r="L211" s="79" t="s">
        <v>1191</v>
      </c>
    </row>
    <row r="212" hidden="1">
      <c r="B212" s="80"/>
      <c r="C212" s="80"/>
      <c r="D212" s="80"/>
      <c r="E212" s="80"/>
      <c r="F212" s="82">
        <v>119.0</v>
      </c>
      <c r="G212" s="79" t="str">
        <f>IFERROR(__xludf.DUMMYFUNCTION("TRIM(REGEXREPLACE(C212, ""[0-9]+[a-f]?\."", """"))"),"")</f>
        <v/>
      </c>
      <c r="H212" s="79" t="str">
        <f>IFERROR(__xludf.DUMMYFUNCTION("TRIM(REGEXREPLACE(D212, ""[0-9]+[a-f]?\."", """"))"),"")</f>
        <v/>
      </c>
      <c r="I212" s="79" t="str">
        <f>IFERROR(__xludf.DUMMYFUNCTION("TRIM(REGEXREPLACE(E212, ""[0-9]+[a-f]?\."", """"))"),"")</f>
        <v/>
      </c>
      <c r="J212" s="79" t="s">
        <v>1193</v>
      </c>
      <c r="K212" s="79" t="s">
        <v>1194</v>
      </c>
      <c r="L212" s="79" t="s">
        <v>1196</v>
      </c>
    </row>
    <row r="213" hidden="1">
      <c r="B213" s="80"/>
      <c r="C213" s="80"/>
      <c r="D213" s="80"/>
      <c r="E213" s="80"/>
      <c r="F213" s="82">
        <v>120.0</v>
      </c>
      <c r="G213" s="79" t="str">
        <f>IFERROR(__xludf.DUMMYFUNCTION("TRIM(REGEXREPLACE(C213, ""[0-9]+[a-f]?\."", """"))"),"")</f>
        <v/>
      </c>
      <c r="H213" s="79" t="str">
        <f>IFERROR(__xludf.DUMMYFUNCTION("TRIM(REGEXREPLACE(D213, ""[0-9]+[a-f]?\."", """"))"),"")</f>
        <v/>
      </c>
      <c r="I213" s="79" t="str">
        <f>IFERROR(__xludf.DUMMYFUNCTION("TRIM(REGEXREPLACE(E213, ""[0-9]+[a-f]?\."", """"))"),"")</f>
        <v/>
      </c>
      <c r="J213" s="79" t="s">
        <v>1199</v>
      </c>
      <c r="K213" s="79" t="s">
        <v>1200</v>
      </c>
      <c r="L213" s="79" t="s">
        <v>1201</v>
      </c>
    </row>
    <row r="214" hidden="1">
      <c r="B214" s="80"/>
      <c r="C214" s="80"/>
      <c r="D214" s="80"/>
      <c r="E214" s="80"/>
      <c r="F214" s="82">
        <v>121.0</v>
      </c>
      <c r="G214" s="79" t="str">
        <f>IFERROR(__xludf.DUMMYFUNCTION("TRIM(REGEXREPLACE(C214, ""[0-9]+[a-f]?\."", """"))"),"")</f>
        <v/>
      </c>
      <c r="H214" s="79" t="str">
        <f>IFERROR(__xludf.DUMMYFUNCTION("TRIM(REGEXREPLACE(D214, ""[0-9]+[a-f]?\."", """"))"),"")</f>
        <v/>
      </c>
      <c r="I214" s="79" t="str">
        <f>IFERROR(__xludf.DUMMYFUNCTION("TRIM(REGEXREPLACE(E214, ""[0-9]+[a-f]?\."", """"))"),"")</f>
        <v/>
      </c>
      <c r="J214" s="79" t="s">
        <v>1203</v>
      </c>
      <c r="K214" s="79" t="s">
        <v>1204</v>
      </c>
      <c r="L214" s="79" t="s">
        <v>1205</v>
      </c>
    </row>
    <row r="215">
      <c r="A215" s="79" t="s">
        <v>42</v>
      </c>
      <c r="B215" s="80" t="s">
        <v>1206</v>
      </c>
      <c r="C215" s="80" t="s">
        <v>1207</v>
      </c>
      <c r="D215" s="80" t="s">
        <v>1208</v>
      </c>
      <c r="E215" s="80" t="s">
        <v>1209</v>
      </c>
      <c r="F215" s="82">
        <v>119.0</v>
      </c>
      <c r="G215" s="79" t="str">
        <f>IFERROR(__xludf.DUMMYFUNCTION("TRIM(REGEXREPLACE(C215,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215" s="79" t="str">
        <f>IFERROR(__xludf.DUMMYFUNCTION("TRIM(REGEXREPLACE(D215,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215" s="79" t="str">
        <f>IFERROR(__xludf.DUMMYFUNCTION("TRIM(REGEXREPLACE(E215,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215" s="79" t="s">
        <v>1210</v>
      </c>
      <c r="K215" s="79" t="s">
        <v>1211</v>
      </c>
      <c r="L215" s="79" t="s">
        <v>1212</v>
      </c>
    </row>
    <row r="216" hidden="1">
      <c r="B216" s="80"/>
      <c r="C216" s="80"/>
      <c r="D216" s="80"/>
      <c r="E216" s="80"/>
      <c r="F216" s="82">
        <v>123.0</v>
      </c>
      <c r="G216" s="79" t="str">
        <f>IFERROR(__xludf.DUMMYFUNCTION("TRIM(REGEXREPLACE(C216, ""[0-9]+[a-f]?\."", """"))"),"")</f>
        <v/>
      </c>
      <c r="H216" s="79" t="str">
        <f>IFERROR(__xludf.DUMMYFUNCTION("TRIM(REGEXREPLACE(D216, ""[0-9]+[a-f]?\."", """"))"),"")</f>
        <v/>
      </c>
      <c r="I216" s="79" t="str">
        <f>IFERROR(__xludf.DUMMYFUNCTION("TRIM(REGEXREPLACE(E216, ""[0-9]+[a-f]?\."", """"))"),"")</f>
        <v/>
      </c>
      <c r="J216" s="79" t="s">
        <v>1214</v>
      </c>
      <c r="K216" s="79" t="s">
        <v>1215</v>
      </c>
      <c r="L216" s="79" t="s">
        <v>1216</v>
      </c>
    </row>
    <row r="217">
      <c r="A217" s="79" t="s">
        <v>1217</v>
      </c>
      <c r="B217" s="80" t="s">
        <v>1218</v>
      </c>
      <c r="C217" s="80" t="s">
        <v>1219</v>
      </c>
      <c r="D217" s="80" t="s">
        <v>1220</v>
      </c>
      <c r="E217" s="80" t="s">
        <v>1222</v>
      </c>
      <c r="F217" s="82">
        <v>120.0</v>
      </c>
      <c r="G217" s="79" t="str">
        <f>IFERROR(__xludf.DUMMYFUNCTION("TRIM(REGEXREPLACE(C217,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217" s="79" t="str">
        <f>IFERROR(__xludf.DUMMYFUNCTION("TRIM(REGEXREPLACE(D217,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217" s="79" t="str">
        <f>IFERROR(__xludf.DUMMYFUNCTION("TRIM(REGEXREPLACE(E217,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217" s="79" t="s">
        <v>1223</v>
      </c>
      <c r="K217" s="79" t="s">
        <v>1224</v>
      </c>
      <c r="L217" s="79" t="s">
        <v>1225</v>
      </c>
    </row>
    <row r="218">
      <c r="A218" s="79" t="s">
        <v>1217</v>
      </c>
      <c r="B218" s="80" t="s">
        <v>1226</v>
      </c>
      <c r="C218" s="80" t="s">
        <v>1193</v>
      </c>
      <c r="D218" s="80" t="s">
        <v>1194</v>
      </c>
      <c r="E218" s="80" t="s">
        <v>1196</v>
      </c>
      <c r="F218" s="82">
        <v>121.0</v>
      </c>
      <c r="G218" s="79" t="str">
        <f>IFERROR(__xludf.DUMMYFUNCTION("TRIM(REGEXREPLACE(C218, ""[0-9]+[a-f]?\."", """"))"),"How to use money that you earn")</f>
        <v>How to use money that you earn</v>
      </c>
      <c r="H218" s="79" t="str">
        <f>IFERROR(__xludf.DUMMYFUNCTION("TRIM(REGEXREPLACE(D218, ""[0-9]+[a-f]?\."", """"))"),"Comment utiliser l'argent que vous gagnez")</f>
        <v>Comment utiliser l'argent que vous gagnez</v>
      </c>
      <c r="I218" s="79" t="str">
        <f>IFERROR(__xludf.DUMMYFUNCTION("TRIM(REGEXREPLACE(E218, ""[0-9]+[a-f]?\."", """"))"),"Yadda ake amfani da kuɗin da kuke samu")</f>
        <v>Yadda ake amfani da kuɗin da kuke samu</v>
      </c>
      <c r="J218" s="79" t="s">
        <v>1229</v>
      </c>
      <c r="K218" s="79" t="s">
        <v>1230</v>
      </c>
      <c r="L218" s="79" t="s">
        <v>1231</v>
      </c>
    </row>
    <row r="219">
      <c r="A219" s="79" t="s">
        <v>1217</v>
      </c>
      <c r="B219" s="80" t="s">
        <v>1232</v>
      </c>
      <c r="C219" s="80" t="s">
        <v>1199</v>
      </c>
      <c r="D219" s="80" t="s">
        <v>1200</v>
      </c>
      <c r="E219" s="80" t="s">
        <v>1201</v>
      </c>
      <c r="F219" s="82">
        <v>122.0</v>
      </c>
      <c r="G219" s="79" t="str">
        <f>IFERROR(__xludf.DUMMYFUNCTION("TRIM(REGEXREPLACE(C219, ""[0-9]+[a-f]?\."", """"))"),"Daily household expenses (Less than 500 CFA)")</f>
        <v>Daily household expenses (Less than 500 CFA)</v>
      </c>
      <c r="H219" s="79" t="str">
        <f>IFERROR(__xludf.DUMMYFUNCTION("TRIM(REGEXREPLACE(D219, ""[0-9]+[a-f]?\."", """"))"),"Dépenses quotidiennes du ménage (Moins de 500 CFA)")</f>
        <v>Dépenses quotidiennes du ménage (Moins de 500 CFA)</v>
      </c>
      <c r="I219" s="79" t="str">
        <f>IFERROR(__xludf.DUMMYFUNCTION("TRIM(REGEXREPLACE(E219, ""[0-9]+[a-f]?\."", """"))"),"Kashe Kuɗin gidan na yau da kullum ( Kasa da dala ɗari CFA 500)")</f>
        <v>Kashe Kuɗin gidan na yau da kullum ( Kasa da dala ɗari CFA 500)</v>
      </c>
      <c r="J219" s="79" t="s">
        <v>1234</v>
      </c>
      <c r="K219" s="79" t="s">
        <v>1235</v>
      </c>
      <c r="L219" s="79" t="s">
        <v>1236</v>
      </c>
    </row>
    <row r="220">
      <c r="A220" s="79" t="s">
        <v>1217</v>
      </c>
      <c r="B220" s="80" t="s">
        <v>1237</v>
      </c>
      <c r="C220" s="80" t="s">
        <v>1203</v>
      </c>
      <c r="D220" s="80" t="s">
        <v>1204</v>
      </c>
      <c r="E220" s="80" t="s">
        <v>1205</v>
      </c>
      <c r="F220" s="82">
        <v>123.0</v>
      </c>
      <c r="G220" s="79" t="str">
        <f>IFERROR(__xludf.DUMMYFUNCTION("TRIM(REGEXREPLACE(C220, ""[0-9]+[a-f]?\."", """"))"),"Household purchases (over 500 CFA)")</f>
        <v>Household purchases (over 500 CFA)</v>
      </c>
      <c r="H220" s="79" t="str">
        <f>IFERROR(__xludf.DUMMYFUNCTION("TRIM(REGEXREPLACE(D220, ""[0-9]+[a-f]?\."", """"))"),"Achats du ménage (plus de 500 CFA)")</f>
        <v>Achats du ménage (plus de 500 CFA)</v>
      </c>
      <c r="I220" s="79" t="str">
        <f>IFERROR(__xludf.DUMMYFUNCTION("TRIM(REGEXREPLACE(E220, ""[0-9]+[a-f]?\."", """"))"),"Sayayya na gida (sama da dala ɗari CFA 500)")</f>
        <v>Sayayya na gida (sama da dala ɗari CFA 500)</v>
      </c>
      <c r="J220" s="79" t="s">
        <v>1241</v>
      </c>
      <c r="K220" s="79" t="s">
        <v>1243</v>
      </c>
      <c r="L220" s="79" t="s">
        <v>1244</v>
      </c>
    </row>
    <row r="221">
      <c r="A221" s="79" t="s">
        <v>1217</v>
      </c>
      <c r="B221" s="80" t="s">
        <v>1246</v>
      </c>
      <c r="C221" s="80" t="s">
        <v>1247</v>
      </c>
      <c r="D221" s="80" t="s">
        <v>1248</v>
      </c>
      <c r="E221" s="80" t="s">
        <v>1250</v>
      </c>
      <c r="F221" s="82">
        <v>124.0</v>
      </c>
      <c r="G221" s="79" t="str">
        <f>IFERROR(__xludf.DUMMYFUNCTION("TRIM(REGEXREPLACE(C221, ""[0-9]+[a-f]?\."", """"))"),"What to do if someone in your household falls ill")</f>
        <v>What to do if someone in your household falls ill</v>
      </c>
      <c r="H221" s="79" t="str">
        <f>IFERROR(__xludf.DUMMYFUNCTION("TRIM(REGEXREPLACE(D221, ""[0-9]+[a-f]?\."", """"))"),"Que faire si un membre de votre ménage tombe malade")</f>
        <v>Que faire si un membre de votre ménage tombe malade</v>
      </c>
      <c r="I221" s="79" t="str">
        <f>IFERROR(__xludf.DUMMYFUNCTION("TRIM(REGEXREPLACE(E221, ""[0-9]+[a-f]?\."", """"))"),"Abin da za'a yi idan wani a cikin gidanku ya kamu da rashin lafiya")</f>
        <v>Abin da za'a yi idan wani a cikin gidanku ya kamu da rashin lafiya</v>
      </c>
      <c r="J221" s="79" t="s">
        <v>1251</v>
      </c>
      <c r="K221" s="79" t="s">
        <v>1252</v>
      </c>
      <c r="L221" s="79" t="s">
        <v>1253</v>
      </c>
    </row>
    <row r="222">
      <c r="A222" s="79" t="s">
        <v>1217</v>
      </c>
      <c r="B222" s="80" t="s">
        <v>1254</v>
      </c>
      <c r="C222" s="80" t="s">
        <v>1214</v>
      </c>
      <c r="D222" s="80" t="s">
        <v>1215</v>
      </c>
      <c r="E222" s="80" t="s">
        <v>1216</v>
      </c>
      <c r="F222" s="82">
        <v>125.0</v>
      </c>
      <c r="G222" s="79" t="str">
        <f>IFERROR(__xludf.DUMMYFUNCTION("TRIM(REGEXREPLACE(C222, ""[0-9]+[a-f]?\."", """"))"),"Whether children attend school or not")</f>
        <v>Whether children attend school or not</v>
      </c>
      <c r="H222" s="79" t="str">
        <f>IFERROR(__xludf.DUMMYFUNCTION("TRIM(REGEXREPLACE(D222, ""[0-9]+[a-f]?\."", """"))"),"Que les enfants soient scolarisés ou non")</f>
        <v>Que les enfants soient scolarisés ou non</v>
      </c>
      <c r="I222" s="79" t="str">
        <f>IFERROR(__xludf.DUMMYFUNCTION("TRIM(REGEXREPLACE(E222, ""[0-9]+[a-f]?\."", """"))"),"Ko za'a rubuta yara makaranta ko a'a")</f>
        <v>Ko za'a rubuta yara makaranta ko a'a</v>
      </c>
      <c r="J222" s="79" t="s">
        <v>1256</v>
      </c>
      <c r="K222" s="79" t="s">
        <v>1257</v>
      </c>
      <c r="L222" s="79" t="s">
        <v>1259</v>
      </c>
    </row>
    <row r="223">
      <c r="A223" s="79" t="s">
        <v>1217</v>
      </c>
      <c r="B223" s="80" t="s">
        <v>1260</v>
      </c>
      <c r="C223" s="80" t="s">
        <v>1262</v>
      </c>
      <c r="D223" s="80" t="s">
        <v>1263</v>
      </c>
      <c r="E223" s="80" t="s">
        <v>1265</v>
      </c>
      <c r="F223" s="82">
        <v>126.0</v>
      </c>
      <c r="G223" s="79" t="str">
        <f>IFERROR(__xludf.DUMMYFUNCTION("TRIM(REGEXREPLACE(C223, ""[0-9]+[a-f]?\."", """"))"),"Whether you will migrate to find work or stay at home")</f>
        <v>Whether you will migrate to find work or stay at home</v>
      </c>
      <c r="H223" s="79" t="str">
        <f>IFERROR(__xludf.DUMMYFUNCTION("TRIM(REGEXREPLACE(D223, ""[0-9]+[a-f]?\."", """"))"),"Si vous migrez pour trouver du travail ou rester à la maison")</f>
        <v>Si vous migrez pour trouver du travail ou rester à la maison</v>
      </c>
      <c r="I223" s="79" t="str">
        <f>IFERROR(__xludf.DUMMYFUNCTION("TRIM(REGEXREPLACE(E223, ""[0-9]+[a-f]?\."", """"))"),"Ko za ku yi tahiya wurin biɗa ko za ku zauna a gida")</f>
        <v>Ko za ku yi tahiya wurin biɗa ko za ku zauna a gida</v>
      </c>
      <c r="J223" s="79" t="s">
        <v>1267</v>
      </c>
      <c r="K223" s="79" t="s">
        <v>1268</v>
      </c>
      <c r="L223" s="79" t="s">
        <v>1269</v>
      </c>
    </row>
    <row r="224" hidden="1">
      <c r="B224" s="80"/>
      <c r="C224" s="80"/>
      <c r="D224" s="80"/>
      <c r="E224" s="80"/>
      <c r="F224" s="82">
        <v>130.0</v>
      </c>
      <c r="G224" s="79" t="str">
        <f>IFERROR(__xludf.DUMMYFUNCTION("TRIM(REGEXREPLACE(C224, ""[0-9]+[a-f]?\."", """"))"),"")</f>
        <v/>
      </c>
      <c r="H224" s="79" t="str">
        <f>IFERROR(__xludf.DUMMYFUNCTION("TRIM(REGEXREPLACE(D224, ""[0-9]+[a-f]?\."", """"))"),"")</f>
        <v/>
      </c>
      <c r="I224" s="79" t="str">
        <f>IFERROR(__xludf.DUMMYFUNCTION("TRIM(REGEXREPLACE(E224, ""[0-9]+[a-f]?\."", """"))"),"")</f>
        <v/>
      </c>
      <c r="J224" s="79" t="s">
        <v>1271</v>
      </c>
      <c r="K224" s="79" t="s">
        <v>1272</v>
      </c>
      <c r="L224" s="79" t="s">
        <v>1273</v>
      </c>
    </row>
    <row r="225">
      <c r="A225" s="79" t="s">
        <v>42</v>
      </c>
      <c r="B225" s="80" t="s">
        <v>1274</v>
      </c>
      <c r="C225" s="80" t="s">
        <v>1275</v>
      </c>
      <c r="D225" s="80" t="s">
        <v>1276</v>
      </c>
      <c r="E225" s="80" t="s">
        <v>1277</v>
      </c>
      <c r="F225" s="82">
        <v>127.0</v>
      </c>
      <c r="G225" s="79" t="str">
        <f>IFERROR(__xludf.DUMMYFUNCTION("TRIM(REGEXREPLACE(C225, ""[0-9]+[a-f]?\."", """"))"),"Can you make your own decisions, without the input of anyone else if you want to regarding:")</f>
        <v>Can you make your own decisions, without the input of anyone else if you want to regarding:</v>
      </c>
      <c r="H225" s="79" t="str">
        <f>IFERROR(__xludf.DUMMYFUNCTION("TRIM(REGEXREPLACE(D225, ""[0-9]+[a-f]?\."", """"))"),"Pouvez-vous prendre vos propres décisions, sans l'intervention de quelqu'un d'autre, si vous le souhaitez concernant :")</f>
        <v>Pouvez-vous prendre vos propres décisions, sans l'intervention de quelqu'un d'autre, si vous le souhaitez concernant :</v>
      </c>
      <c r="I225" s="79" t="str">
        <f>IFERROR(__xludf.DUMMYFUNCTION("TRIM(REGEXREPLACE(E225, ""[0-9]+[a-f]?\."", """"))"),"Za ku iya yanke shawara da kanku, ba tare da sa bakin wani ba idan kuna so dangance da:")</f>
        <v>Za ku iya yanke shawara da kanku, ba tare da sa bakin wani ba idan kuna so dangance da:</v>
      </c>
      <c r="J225" s="79" t="s">
        <v>1280</v>
      </c>
      <c r="K225" s="79" t="s">
        <v>1282</v>
      </c>
      <c r="L225" s="79" t="s">
        <v>1284</v>
      </c>
    </row>
    <row r="226">
      <c r="A226" s="79" t="s">
        <v>553</v>
      </c>
      <c r="B226" s="80" t="s">
        <v>1286</v>
      </c>
      <c r="C226" s="80" t="s">
        <v>1287</v>
      </c>
      <c r="D226" s="80" t="s">
        <v>1288</v>
      </c>
      <c r="E226" s="80" t="s">
        <v>1289</v>
      </c>
      <c r="F226" s="82">
        <v>128.0</v>
      </c>
      <c r="G226" s="79" t="str">
        <f>IFERROR(__xludf.DUMMYFUNCTION("TRIM(REGEXREPLACE(C226, ""[0-9]+[a-f]?\."", """"))"),"How to use money that you earn")</f>
        <v>How to use money that you earn</v>
      </c>
      <c r="H226" s="79" t="str">
        <f>IFERROR(__xludf.DUMMYFUNCTION("TRIM(REGEXREPLACE(D226, ""[0-9]+[a-f]?\."", """"))"),"Comment utiliser l'argent que vous gagnez")</f>
        <v>Comment utiliser l'argent que vous gagnez</v>
      </c>
      <c r="I226" s="79" t="str">
        <f>IFERROR(__xludf.DUMMYFUNCTION("TRIM(REGEXREPLACE(E226, ""[0-9]+[a-f]?\."", """"))"),"Yadda ake amfani da kuɗin da kuke samu")</f>
        <v>Yadda ake amfani da kuɗin da kuke samu</v>
      </c>
      <c r="J226" s="79" t="s">
        <v>1290</v>
      </c>
      <c r="K226" s="79" t="s">
        <v>1291</v>
      </c>
      <c r="L226" s="79" t="s">
        <v>1292</v>
      </c>
    </row>
    <row r="227">
      <c r="A227" s="79" t="s">
        <v>553</v>
      </c>
      <c r="B227" s="80" t="s">
        <v>1293</v>
      </c>
      <c r="C227" s="80" t="s">
        <v>1294</v>
      </c>
      <c r="D227" s="80" t="s">
        <v>1295</v>
      </c>
      <c r="E227" s="80" t="s">
        <v>1296</v>
      </c>
      <c r="F227" s="82">
        <v>129.0</v>
      </c>
      <c r="G227" s="79" t="str">
        <f>IFERROR(__xludf.DUMMYFUNCTION("TRIM(REGEXREPLACE(C227, ""[0-9]+[a-f]?\."", """"))"),"Daily household expenses (less than 500 CFA)")</f>
        <v>Daily household expenses (less than 500 CFA)</v>
      </c>
      <c r="H227" s="79" t="str">
        <f>IFERROR(__xludf.DUMMYFUNCTION("TRIM(REGEXREPLACE(D227, ""[0-9]+[a-f]?\."", """"))"),"Dépenses quotidiennes du ménage (moins de 500 CFA)")</f>
        <v>Dépenses quotidiennes du ménage (moins de 500 CFA)</v>
      </c>
      <c r="I227" s="79" t="str">
        <f>IFERROR(__xludf.DUMMYFUNCTION("TRIM(REGEXREPLACE(E227, ""[0-9]+[a-f]?\."", """"))"),"Kashe Kuɗin gida na yau da kullum ( Kasa da dala ɗari CFA 500)")</f>
        <v>Kashe Kuɗin gida na yau da kullum ( Kasa da dala ɗari CFA 500)</v>
      </c>
      <c r="J227" s="79" t="s">
        <v>1299</v>
      </c>
      <c r="K227" s="79" t="s">
        <v>1300</v>
      </c>
      <c r="L227" s="79" t="s">
        <v>1301</v>
      </c>
    </row>
    <row r="228">
      <c r="A228" s="79" t="s">
        <v>553</v>
      </c>
      <c r="B228" s="80" t="s">
        <v>1302</v>
      </c>
      <c r="C228" s="80" t="s">
        <v>1303</v>
      </c>
      <c r="D228" s="80" t="s">
        <v>1304</v>
      </c>
      <c r="E228" s="80" t="s">
        <v>1305</v>
      </c>
      <c r="F228" s="82">
        <v>130.0</v>
      </c>
      <c r="G228" s="79" t="str">
        <f>IFERROR(__xludf.DUMMYFUNCTION("TRIM(REGEXREPLACE(C228, ""[0-9]+[a-f]?\."", """"))"),"Household purchases (over 500 CFA)")</f>
        <v>Household purchases (over 500 CFA)</v>
      </c>
      <c r="H228" s="79" t="str">
        <f>IFERROR(__xludf.DUMMYFUNCTION("TRIM(REGEXREPLACE(D228, ""[0-9]+[a-f]?\."", """"))"),"Achats du ménage (plus de 500 CFA)")</f>
        <v>Achats du ménage (plus de 500 CFA)</v>
      </c>
      <c r="I228" s="79" t="str">
        <f>IFERROR(__xludf.DUMMYFUNCTION("TRIM(REGEXREPLACE(E228, ""[0-9]+[a-f]?\."", """"))"),"Sayayya na gida (sama da dala ɗari CFA 500)")</f>
        <v>Sayayya na gida (sama da dala ɗari CFA 500)</v>
      </c>
      <c r="J228" s="79" t="s">
        <v>1309</v>
      </c>
      <c r="K228" s="79" t="s">
        <v>1310</v>
      </c>
      <c r="L228" s="79" t="s">
        <v>1311</v>
      </c>
    </row>
    <row r="229">
      <c r="A229" s="79" t="s">
        <v>553</v>
      </c>
      <c r="B229" s="80" t="s">
        <v>1312</v>
      </c>
      <c r="C229" s="80" t="s">
        <v>1314</v>
      </c>
      <c r="D229" s="80" t="s">
        <v>1315</v>
      </c>
      <c r="E229" s="80" t="s">
        <v>1316</v>
      </c>
      <c r="F229" s="82">
        <v>131.0</v>
      </c>
      <c r="G229" s="79" t="str">
        <f>IFERROR(__xludf.DUMMYFUNCTION("TRIM(REGEXREPLACE(C229, ""[0-9]+[a-f]?\."", """"))"),"What job you do")</f>
        <v>What job you do</v>
      </c>
      <c r="H229" s="79" t="str">
        <f>IFERROR(__xludf.DUMMYFUNCTION("TRIM(REGEXREPLACE(D229, ""[0-9]+[a-f]?\."", """"))"),"Quel travail tu fais")</f>
        <v>Quel travail tu fais</v>
      </c>
      <c r="I229" s="79" t="str">
        <f>IFERROR(__xludf.DUMMYFUNCTION("TRIM(REGEXREPLACE(E229, ""[0-9]+[a-f]?\."", """"))"),"Wane aiki kuke yi")</f>
        <v>Wane aiki kuke yi</v>
      </c>
      <c r="J229" s="79" t="s">
        <v>1317</v>
      </c>
      <c r="K229" s="79" t="s">
        <v>1318</v>
      </c>
      <c r="L229" s="79" t="s">
        <v>1319</v>
      </c>
    </row>
    <row r="230">
      <c r="A230" s="79" t="s">
        <v>553</v>
      </c>
      <c r="B230" s="80" t="s">
        <v>1320</v>
      </c>
      <c r="C230" s="80" t="s">
        <v>1271</v>
      </c>
      <c r="D230" s="80" t="s">
        <v>1272</v>
      </c>
      <c r="E230" s="80" t="s">
        <v>1273</v>
      </c>
      <c r="F230" s="82">
        <v>132.0</v>
      </c>
      <c r="G230" s="79" t="str">
        <f>IFERROR(__xludf.DUMMYFUNCTION("TRIM(REGEXREPLACE(C230, ""[0-9]+[a-f]?\."", """"))"),"Whether you will migrate to find work")</f>
        <v>Whether you will migrate to find work</v>
      </c>
      <c r="H230" s="79" t="str">
        <f>IFERROR(__xludf.DUMMYFUNCTION("TRIM(REGEXREPLACE(D230, ""[0-9]+[a-f]?\."", """"))"),"Si vous migrez pour trouver du travail")</f>
        <v>Si vous migrez pour trouver du travail</v>
      </c>
      <c r="I230" s="79" t="str">
        <f>IFERROR(__xludf.DUMMYFUNCTION("TRIM(REGEXREPLACE(E230, ""[0-9]+[a-f]?\."", """"))"),"Ko za ku yi tahiya don neman aiki")</f>
        <v>Ko za ku yi tahiya don neman aiki</v>
      </c>
      <c r="J230" s="79" t="s">
        <v>1323</v>
      </c>
      <c r="K230" s="79" t="s">
        <v>1324</v>
      </c>
      <c r="L230" s="79" t="s">
        <v>1325</v>
      </c>
    </row>
    <row r="231">
      <c r="A231" s="79" t="s">
        <v>194</v>
      </c>
      <c r="B231" s="80" t="s">
        <v>1326</v>
      </c>
      <c r="C231" s="80" t="s">
        <v>1327</v>
      </c>
      <c r="D231" s="80" t="s">
        <v>1328</v>
      </c>
      <c r="E231" s="80" t="s">
        <v>1328</v>
      </c>
      <c r="F231" s="82">
        <v>133.0</v>
      </c>
      <c r="G231" s="79" t="str">
        <f>IFERROR(__xludf.DUMMYFUNCTION("TRIM(REGEXREPLACE(C231, ""[0-9]+[a-f]?\."", """"))"),"The next set of questions are for married women only. Are you married?")</f>
        <v>The next set of questions are for married women only. Are you married?</v>
      </c>
      <c r="H231" s="79" t="str">
        <f>IFERROR(__xludf.DUMMYFUNCTION("TRIM(REGEXREPLACE(D231, ""[0-9]+[a-f]?\."", """"))"),"")</f>
        <v/>
      </c>
      <c r="I231" s="79" t="str">
        <f>IFERROR(__xludf.DUMMYFUNCTION("TRIM(REGEXREPLACE(E231, ""[0-9]+[a-f]?\."", """"))"),"")</f>
        <v/>
      </c>
      <c r="J231" s="79" t="s">
        <v>1330</v>
      </c>
      <c r="K231" s="79" t="s">
        <v>1331</v>
      </c>
      <c r="L231" s="79" t="s">
        <v>1331</v>
      </c>
    </row>
    <row r="232">
      <c r="A232" s="79" t="s">
        <v>42</v>
      </c>
      <c r="B232" s="80" t="s">
        <v>1332</v>
      </c>
      <c r="C232" s="80" t="s">
        <v>1333</v>
      </c>
      <c r="D232" s="80" t="s">
        <v>1334</v>
      </c>
      <c r="E232" s="80" t="s">
        <v>1335</v>
      </c>
      <c r="F232" s="82">
        <v>134.0</v>
      </c>
      <c r="G232" s="79" t="str">
        <f>IFERROR(__xludf.DUMMYFUNCTION("TRIM(REGEXREPLACE(C232,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232" s="79" t="str">
        <f>IFERROR(__xludf.DUMMYFUNCTION("TRIM(REGEXREPLACE(D232,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232" s="79" t="str">
        <f>IFERROR(__xludf.DUMMYFUNCTION("TRIM(REGEXREPLACE(E232,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232" s="79" t="s">
        <v>1337</v>
      </c>
      <c r="K232" s="79" t="s">
        <v>1338</v>
      </c>
      <c r="L232" s="79" t="s">
        <v>1339</v>
      </c>
    </row>
    <row r="233">
      <c r="A233" s="79" t="s">
        <v>553</v>
      </c>
      <c r="B233" s="80" t="s">
        <v>1340</v>
      </c>
      <c r="C233" s="80" t="s">
        <v>1341</v>
      </c>
      <c r="D233" s="80" t="s">
        <v>1342</v>
      </c>
      <c r="E233" s="80" t="s">
        <v>1344</v>
      </c>
      <c r="F233" s="82">
        <v>135.0</v>
      </c>
      <c r="G233" s="79" t="str">
        <f>IFERROR(__xludf.DUMMYFUNCTION("TRIM(REGEXREPLACE(C233, ""[0-9]+[a-f]?\."", """"))"),"Things that happen at work or in the fields?")</f>
        <v>Things that happen at work or in the fields?</v>
      </c>
      <c r="H233" s="79" t="str">
        <f>IFERROR(__xludf.DUMMYFUNCTION("TRIM(REGEXREPLACE(D233, ""[0-9]+[a-f]?\."", """"))"),"Des choses qui se passent au travail ou dans les champs ?")</f>
        <v>Des choses qui se passent au travail ou dans les champs ?</v>
      </c>
      <c r="I233" s="79" t="str">
        <f>IFERROR(__xludf.DUMMYFUNCTION("TRIM(REGEXREPLACE(E233, ""[0-9]+[a-f]?\."", """"))"),"Abubuwan da ke faruwa a wurin aiki ko a gona?")</f>
        <v>Abubuwan da ke faruwa a wurin aiki ko a gona?</v>
      </c>
      <c r="J233" s="79" t="s">
        <v>1346</v>
      </c>
      <c r="K233" s="79" t="s">
        <v>1347</v>
      </c>
      <c r="L233" s="79" t="s">
        <v>1348</v>
      </c>
    </row>
    <row r="234">
      <c r="A234" s="79" t="s">
        <v>553</v>
      </c>
      <c r="B234" s="80" t="s">
        <v>1349</v>
      </c>
      <c r="C234" s="80" t="s">
        <v>1350</v>
      </c>
      <c r="D234" s="80" t="s">
        <v>1352</v>
      </c>
      <c r="E234" s="80" t="s">
        <v>1353</v>
      </c>
      <c r="F234" s="82">
        <v>136.0</v>
      </c>
      <c r="G234" s="79" t="str">
        <f>IFERROR(__xludf.DUMMYFUNCTION("TRIM(REGEXREPLACE(C234, ""[0-9]+[a-f]?\."", """"))"),"Things that happen in the community?")</f>
        <v>Things that happen in the community?</v>
      </c>
      <c r="H234" s="79" t="str">
        <f>IFERROR(__xludf.DUMMYFUNCTION("TRIM(REGEXREPLACE(D234, ""[0-9]+[a-f]?\."", """"))"),"Des choses qui se passent dans la communauté ?")</f>
        <v>Des choses qui se passent dans la communauté ?</v>
      </c>
      <c r="I234" s="79" t="str">
        <f>IFERROR(__xludf.DUMMYFUNCTION("TRIM(REGEXREPLACE(E234, ""[0-9]+[a-f]?\."", """"))"),"Abubuwan da ke faruwa a cikin al'umma?")</f>
        <v>Abubuwan da ke faruwa a cikin al'umma?</v>
      </c>
      <c r="J234" s="79" t="s">
        <v>1354</v>
      </c>
      <c r="K234" s="79" t="s">
        <v>1355</v>
      </c>
      <c r="L234" s="79" t="s">
        <v>1356</v>
      </c>
    </row>
    <row r="235">
      <c r="A235" s="79" t="s">
        <v>553</v>
      </c>
      <c r="B235" s="80" t="s">
        <v>1357</v>
      </c>
      <c r="C235" s="80" t="s">
        <v>1358</v>
      </c>
      <c r="D235" s="80" t="s">
        <v>1359</v>
      </c>
      <c r="E235" s="80" t="s">
        <v>1361</v>
      </c>
      <c r="F235" s="82">
        <v>137.0</v>
      </c>
      <c r="G235" s="79" t="str">
        <f>IFERROR(__xludf.DUMMYFUNCTION("TRIM(REGEXREPLACE(C235, ""[0-9]+[a-f]?\."", """"))"),"Who to vote for in local elections?")</f>
        <v>Who to vote for in local elections?</v>
      </c>
      <c r="H235" s="79" t="str">
        <f>IFERROR(__xludf.DUMMYFUNCTION("TRIM(REGEXREPLACE(D235, ""[0-9]+[a-f]?\."", """"))"),"Pour qui voter aux élections municipales ?")</f>
        <v>Pour qui voter aux élections municipales ?</v>
      </c>
      <c r="I235" s="79" t="str">
        <f>IFERROR(__xludf.DUMMYFUNCTION("TRIM(REGEXREPLACE(E235, ""[0-9]+[a-f]?\."", """"))"),"Wanene za'a zaɓa a zaɓen ƙananan hukumomi?")</f>
        <v>Wanene za'a zaɓa a zaɓen ƙananan hukumomi?</v>
      </c>
      <c r="J235" s="79" t="s">
        <v>1364</v>
      </c>
      <c r="K235" s="79" t="s">
        <v>1365</v>
      </c>
      <c r="L235" s="79" t="s">
        <v>1366</v>
      </c>
    </row>
    <row r="236">
      <c r="A236" s="79" t="s">
        <v>553</v>
      </c>
      <c r="B236" s="80" t="s">
        <v>1367</v>
      </c>
      <c r="C236" s="80" t="s">
        <v>1368</v>
      </c>
      <c r="D236" s="80" t="s">
        <v>1369</v>
      </c>
      <c r="E236" s="80" t="s">
        <v>1370</v>
      </c>
      <c r="F236" s="82">
        <v>138.0</v>
      </c>
      <c r="G236" s="79" t="str">
        <f>IFERROR(__xludf.DUMMYFUNCTION("TRIM(REGEXREPLACE(C236, ""[0-9]+[a-f]?\."", """"))"),"How to you invest your money such as whether to improve your house")</f>
        <v>How to you invest your money such as whether to improve your house</v>
      </c>
      <c r="H236" s="79" t="str">
        <f>IFERROR(__xludf.DUMMYFUNCTION("TRIM(REGEXREPLACE(D236, ""[0-9]+[a-f]?\."", """"))"),"Comment investir votre argent, par exemple pour améliorer votre maison")</f>
        <v>Comment investir votre argent, par exemple pour améliorer votre maison</v>
      </c>
      <c r="I236" s="79" t="str">
        <f>IFERROR(__xludf.DUMMYFUNCTION("TRIM(REGEXREPLACE(E236, ""[0-9]+[a-f]?\."", """"))"),"Yadda za ku kashe kuɗin ku, kamar gyaran gidanku")</f>
        <v>Yadda za ku kashe kuɗin ku, kamar gyaran gidanku</v>
      </c>
      <c r="J236" s="79" t="s">
        <v>1372</v>
      </c>
      <c r="K236" s="79" t="s">
        <v>1373</v>
      </c>
      <c r="L236" s="79" t="s">
        <v>1374</v>
      </c>
    </row>
    <row r="237">
      <c r="A237" s="79" t="s">
        <v>553</v>
      </c>
      <c r="B237" s="80" t="s">
        <v>1375</v>
      </c>
      <c r="C237" s="80" t="s">
        <v>1376</v>
      </c>
      <c r="D237" s="80" t="s">
        <v>1377</v>
      </c>
      <c r="E237" s="80" t="s">
        <v>1378</v>
      </c>
      <c r="F237" s="82">
        <v>139.0</v>
      </c>
      <c r="G237" s="79" t="str">
        <f>IFERROR(__xludf.DUMMYFUNCTION("TRIM(REGEXREPLACE(C237, ""[0-9]+[a-f]?\."", """"))"),"Family planning (when to have children)")</f>
        <v>Family planning (when to have children)</v>
      </c>
      <c r="H237" s="79" t="str">
        <f>IFERROR(__xludf.DUMMYFUNCTION("TRIM(REGEXREPLACE(D237, ""[0-9]+[a-f]?\."", """"))"),"Planification familiale (quand avoir des enfants)")</f>
        <v>Planification familiale (quand avoir des enfants)</v>
      </c>
      <c r="I237" s="79" t="str">
        <f>IFERROR(__xludf.DUMMYFUNCTION("TRIM(REGEXREPLACE(E237, ""[0-9]+[a-f]?\."", """"))"),"Tsarin iyali (lokacin ɗaukan ciki)")</f>
        <v>Tsarin iyali (lokacin ɗaukan ciki)</v>
      </c>
      <c r="J237" s="79" t="s">
        <v>1379</v>
      </c>
      <c r="K237" s="79" t="s">
        <v>1380</v>
      </c>
      <c r="L237" s="79" t="s">
        <v>1381</v>
      </c>
    </row>
    <row r="238">
      <c r="A238" s="79" t="s">
        <v>553</v>
      </c>
      <c r="B238" s="80" t="s">
        <v>1382</v>
      </c>
      <c r="C238" s="80" t="s">
        <v>1384</v>
      </c>
      <c r="D238" s="80" t="s">
        <v>1386</v>
      </c>
      <c r="E238" s="80" t="s">
        <v>1387</v>
      </c>
      <c r="F238" s="82">
        <v>140.0</v>
      </c>
      <c r="G238" s="79" t="str">
        <f>IFERROR(__xludf.DUMMYFUNCTION("TRIM(REGEXREPLACE(C238, ""[0-9]+[a-f]?\."", """"))"),"Do you and your spouse ever disagree about any of these topics?")</f>
        <v>Do you and your spouse ever disagree about any of these topics?</v>
      </c>
      <c r="H238" s="79" t="str">
        <f>IFERROR(__xludf.DUMMYFUNCTION("TRIM(REGEXREPLACE(D238, ""[0-9]+[a-f]?\."", """"))"),"Vous et votre conjoint avez-vous déjà eu un désaccord sur ces sujets ?")</f>
        <v>Vous et votre conjoint avez-vous déjà eu un désaccord sur ces sujets ?</v>
      </c>
      <c r="I238" s="79" t="str">
        <f>IFERROR(__xludf.DUMMYFUNCTION("TRIM(REGEXREPLACE(E238, ""[0-9]+[a-f]?\."", """"))"),"Ko ke da mijnki kun taɓa samun saɓani game da waɗannan batutuwa?")</f>
        <v>Ko ke da mijnki kun taɓa samun saɓani game da waɗannan batutuwa?</v>
      </c>
      <c r="J238" s="79" t="s">
        <v>1388</v>
      </c>
      <c r="K238" s="79" t="s">
        <v>1389</v>
      </c>
      <c r="L238" s="79" t="s">
        <v>1390</v>
      </c>
    </row>
    <row r="239">
      <c r="A239" s="79" t="s">
        <v>553</v>
      </c>
      <c r="B239" s="80" t="s">
        <v>1391</v>
      </c>
      <c r="C239" s="80" t="s">
        <v>1392</v>
      </c>
      <c r="D239" s="80" t="s">
        <v>1393</v>
      </c>
      <c r="E239" s="80" t="s">
        <v>1394</v>
      </c>
      <c r="F239" s="82">
        <v>141.0</v>
      </c>
      <c r="G239" s="79" t="str">
        <f>IFERROR(__xludf.DUMMYFUNCTION("TRIM(REGEXREPLACE(C239, ""[0-9]+[a-f]?\."", """"))"),"Do these conversations ever get contentious?")</f>
        <v>Do these conversations ever get contentious?</v>
      </c>
      <c r="H239" s="79" t="str">
        <f>IFERROR(__xludf.DUMMYFUNCTION("TRIM(REGEXREPLACE(D239, ""[0-9]+[a-f]?\."", """"))"),"Ces conversations deviennent-elles parfois controversées ?")</f>
        <v>Ces conversations deviennent-elles parfois controversées ?</v>
      </c>
      <c r="I239" s="79" t="str">
        <f>IFERROR(__xludf.DUMMYFUNCTION("TRIM(REGEXREPLACE(E239, ""[0-9]+[a-f]?\."", """"))"),"Ko waɗannan hirarrakin sun taɓa zama sabani?")</f>
        <v>Ko waɗannan hirarrakin sun taɓa zama sabani?</v>
      </c>
      <c r="J239" s="79" t="s">
        <v>1395</v>
      </c>
      <c r="K239" s="79" t="s">
        <v>1396</v>
      </c>
      <c r="L239" s="79" t="s">
        <v>1397</v>
      </c>
    </row>
    <row r="240">
      <c r="A240" s="79" t="s">
        <v>42</v>
      </c>
      <c r="B240" s="80" t="s">
        <v>1398</v>
      </c>
      <c r="C240" s="80" t="s">
        <v>1399</v>
      </c>
      <c r="D240" s="80" t="s">
        <v>1400</v>
      </c>
      <c r="E240" s="80" t="s">
        <v>1401</v>
      </c>
      <c r="F240" s="82">
        <v>142.0</v>
      </c>
      <c r="G240" s="79" t="str">
        <f>IFERROR(__xludf.DUMMYFUNCTION("TRIM(REGEXREPLACE(C240, ""[0-9]+[a-f]?\."", """"))"),"I will read you several statements. Please tell me the extent do you agree/disagree with each:")</f>
        <v>I will read you several statements. Please tell me the extent do you agree/disagree with each:</v>
      </c>
      <c r="H240" s="79" t="str">
        <f>IFERROR(__xludf.DUMMYFUNCTION("TRIM(REGEXREPLACE(D240, ""[0-9]+[a-f]?\."", """"))"),"Je vais vous lire plusieurs déclarations. Veuillez me dire dans quelle mesure êtes-vous d'accord/pas d'accord avec chacun :")</f>
        <v>Je vais vous lire plusieurs déclarations. Veuillez me dire dans quelle mesure êtes-vous d'accord/pas d'accord avec chacun :</v>
      </c>
      <c r="I240" s="79" t="str">
        <f>IFERROR(__xludf.DUMMYFUNCTION("TRIM(REGEXREPLACE(E240, ""[0-9]+[a-f]?\."", """"))"),"Zan karanta muku maganganu da yawa. Da fatan za a gaya mini iya yarda/rishin yarda da kowanne:")</f>
        <v>Zan karanta muku maganganu da yawa. Da fatan za a gaya mini iya yarda/rishin yarda da kowanne:</v>
      </c>
      <c r="J240" s="79" t="s">
        <v>1404</v>
      </c>
      <c r="K240" s="79" t="s">
        <v>1405</v>
      </c>
      <c r="L240" s="79" t="s">
        <v>1406</v>
      </c>
    </row>
    <row r="241">
      <c r="A241" s="79" t="s">
        <v>619</v>
      </c>
      <c r="B241" s="80" t="s">
        <v>1407</v>
      </c>
      <c r="C241" s="80" t="s">
        <v>1408</v>
      </c>
      <c r="D241" s="80" t="s">
        <v>1409</v>
      </c>
      <c r="E241" s="80" t="s">
        <v>1411</v>
      </c>
      <c r="F241" s="82">
        <v>143.0</v>
      </c>
      <c r="G241" s="79" t="str">
        <f>IFERROR(__xludf.DUMMYFUNCTION("TRIM(REGEXREPLACE(C241, ""[0-9]+[a-f]?\."", """"))"),"I must always respect decisions taken by my household even if you do not agree")</f>
        <v>I must always respect decisions taken by my household even if you do not agree</v>
      </c>
      <c r="H241" s="79" t="str">
        <f>IFERROR(__xludf.DUMMYFUNCTION("TRIM(REGEXREPLACE(D241, ""[0-9]+[a-f]?\."", """"))"),"Je dois toujours respecter les décisions prises par mon ménage même si je ne suis pas d'accord")</f>
        <v>Je dois toujours respecter les décisions prises par mon ménage même si je ne suis pas d'accord</v>
      </c>
      <c r="I241" s="79" t="str">
        <f>IFERROR(__xludf.DUMMYFUNCTION("TRIM(REGEXREPLACE(E241, ""[0-9]+[a-f]?\."", """"))"),"Dole ne in mutunta shawarar da gidanmu ya yanke ko da ba ra'ayina ba ne")</f>
        <v>Dole ne in mutunta shawarar da gidanmu ya yanke ko da ba ra'ayina ba ne</v>
      </c>
      <c r="J241" s="79" t="s">
        <v>1412</v>
      </c>
      <c r="K241" s="79" t="s">
        <v>1413</v>
      </c>
      <c r="L241" s="79" t="s">
        <v>1414</v>
      </c>
    </row>
    <row r="242">
      <c r="A242" s="79" t="s">
        <v>619</v>
      </c>
      <c r="B242" s="80" t="s">
        <v>1415</v>
      </c>
      <c r="C242" s="80" t="s">
        <v>1416</v>
      </c>
      <c r="D242" s="80" t="s">
        <v>1417</v>
      </c>
      <c r="E242" s="80" t="s">
        <v>1418</v>
      </c>
      <c r="F242" s="82">
        <v>144.0</v>
      </c>
      <c r="G242" s="79" t="str">
        <f>IFERROR(__xludf.DUMMYFUNCTION("TRIM(REGEXREPLACE(C242, ""[0-9]+[a-f]?\."", """"))"),"I should always sacrifice my personal needs and wants to satisfy my parents.")</f>
        <v>I should always sacrifice my personal needs and wants to satisfy my parents.</v>
      </c>
      <c r="H242" s="79" t="str">
        <f>IFERROR(__xludf.DUMMYFUNCTION("TRIM(REGEXREPLACE(D242, ""[0-9]+[a-f]?\."", """"))"),"Je devrais toujours sacrifier mes besoins personnels et vouloir satisfaire mes parents.")</f>
        <v>Je devrais toujours sacrifier mes besoins personnels et vouloir satisfaire mes parents.</v>
      </c>
      <c r="I242" s="79" t="str">
        <f>IFERROR(__xludf.DUMMYFUNCTION("TRIM(REGEXREPLACE(E242, ""[0-9]+[a-f]?\."", """"))"),"Dole ne ko yaushe in sadaukar da bukatuna na kaina don in gamsar da iyayena.")</f>
        <v>Dole ne ko yaushe in sadaukar da bukatuna na kaina don in gamsar da iyayena.</v>
      </c>
      <c r="J242" s="79" t="s">
        <v>1419</v>
      </c>
      <c r="K242" s="79" t="s">
        <v>1420</v>
      </c>
      <c r="L242" s="79" t="s">
        <v>1421</v>
      </c>
    </row>
    <row r="243">
      <c r="A243" s="79" t="s">
        <v>619</v>
      </c>
      <c r="B243" s="80" t="s">
        <v>1422</v>
      </c>
      <c r="C243" s="80" t="s">
        <v>1423</v>
      </c>
      <c r="D243" s="80" t="s">
        <v>1424</v>
      </c>
      <c r="E243" s="80" t="s">
        <v>1425</v>
      </c>
      <c r="F243" s="82">
        <v>145.0</v>
      </c>
      <c r="G243" s="79" t="str">
        <f>IFERROR(__xludf.DUMMYFUNCTION("TRIM(REGEXREPLACE(C243, ""[0-9]+[a-f]?\."", """"))"),"If I had an emergency that required 5,000 CFA urgently (within 3 days), I would be able to find the money.")</f>
        <v>If I had an emergency that required 5,000 CFA urgently (within 3 days), I would be able to find the money.</v>
      </c>
      <c r="H243" s="79" t="str">
        <f>IFERROR(__xludf.DUMMYFUNCTION("TRIM(REGEXREPLACE(D243, ""[0-9]+[a-f]?\."", """"))"),"Si j'avais une urgence qui nécessitait 5 000 CFA en urgence (dans les 3 jours), je serais capable de trouver l'argent.")</f>
        <v>Si j'avais une urgence qui nécessitait 5 000 CFA en urgence (dans les 3 jours), je serais capable de trouver l'argent.</v>
      </c>
      <c r="I243" s="79" t="str">
        <f>IFERROR(__xludf.DUMMYFUNCTION("TRIM(REGEXREPLACE(E243, ""[0-9]+[a-f]?\."", """"))"),"Idan ina da biƙatar gaggawa na 5,000 CFA (a cikin kwanaki 3), zan iya samun kuɗin.")</f>
        <v>Idan ina da biƙatar gaggawa na 5,000 CFA (a cikin kwanaki 3), zan iya samun kuɗin.</v>
      </c>
      <c r="J243" s="79" t="s">
        <v>1427</v>
      </c>
      <c r="K243" s="79" t="s">
        <v>1428</v>
      </c>
      <c r="L243" s="79" t="s">
        <v>1429</v>
      </c>
    </row>
    <row r="244">
      <c r="A244" s="79" t="s">
        <v>1430</v>
      </c>
      <c r="B244" s="80" t="s">
        <v>1432</v>
      </c>
      <c r="C244" s="80" t="s">
        <v>1433</v>
      </c>
      <c r="D244" s="80" t="s">
        <v>1434</v>
      </c>
      <c r="E244" s="80" t="s">
        <v>1436</v>
      </c>
      <c r="F244" s="82">
        <v>146.0</v>
      </c>
      <c r="G244" s="79" t="str">
        <f>IFERROR(__xludf.DUMMYFUNCTION("TRIM(REGEXREPLACE(C244, ""[0-9]+[a-f]?\."", """"))"),"What type of person would you go to first for this money?")</f>
        <v>What type of person would you go to first for this money?</v>
      </c>
      <c r="H244" s="79" t="str">
        <f>IFERROR(__xludf.DUMMYFUNCTION("TRIM(REGEXREPLACE(D244, ""[0-9]+[a-f]?\."", """"))"),"Vers quel type de personne iriez-vous en premier pour cet argent ?")</f>
        <v>Vers quel type de personne iriez-vous en premier pour cet argent ?</v>
      </c>
      <c r="I244" s="79" t="str">
        <f>IFERROR(__xludf.DUMMYFUNCTION("TRIM(REGEXREPLACE(E244, ""[0-9]+[a-f]?\."", """"))"),"Wane irin mutum ne za ku fara zuwa wurin shi don wannan kuɗin?")</f>
        <v>Wane irin mutum ne za ku fara zuwa wurin shi don wannan kuɗin?</v>
      </c>
      <c r="J244" s="79" t="s">
        <v>1437</v>
      </c>
      <c r="K244" s="79" t="s">
        <v>1438</v>
      </c>
      <c r="L244" s="79" t="s">
        <v>1439</v>
      </c>
    </row>
    <row r="245">
      <c r="A245" s="79" t="s">
        <v>299</v>
      </c>
      <c r="B245" s="80" t="s">
        <v>1440</v>
      </c>
      <c r="C245" s="80" t="s">
        <v>1441</v>
      </c>
      <c r="D245" s="80" t="s">
        <v>1442</v>
      </c>
      <c r="E245" s="80" t="s">
        <v>1443</v>
      </c>
      <c r="F245" s="82">
        <v>147.0</v>
      </c>
      <c r="G245" s="79" t="str">
        <f>IFERROR(__xludf.DUMMYFUNCTION("TRIM(REGEXREPLACE(C245, ""[0-9]+[a-f]?\."", """"))"),"Specify your relationship with this person")</f>
        <v>Specify your relationship with this person</v>
      </c>
      <c r="H245" s="79" t="str">
        <f>IFERROR(__xludf.DUMMYFUNCTION("TRIM(REGEXREPLACE(D245, ""[0-9]+[a-f]?\."", """"))"),"Précisez votre relation avec cette personne")</f>
        <v>Précisez votre relation avec cette personne</v>
      </c>
      <c r="I245" s="79" t="str">
        <f>IFERROR(__xludf.DUMMYFUNCTION("TRIM(REGEXREPLACE(E245, ""[0-9]+[a-f]?\."", """"))"),"Faɗi dangantakar ku da wannan mutumen")</f>
        <v>Faɗi dangantakar ku da wannan mutumen</v>
      </c>
      <c r="J245" s="79" t="s">
        <v>1445</v>
      </c>
      <c r="K245" s="79" t="s">
        <v>1446</v>
      </c>
      <c r="L245" s="79" t="s">
        <v>1447</v>
      </c>
    </row>
    <row r="246">
      <c r="A246" s="79" t="s">
        <v>42</v>
      </c>
      <c r="B246" s="80" t="s">
        <v>1448</v>
      </c>
      <c r="C246" s="80" t="s">
        <v>1449</v>
      </c>
      <c r="D246" s="80" t="s">
        <v>1450</v>
      </c>
      <c r="E246" s="80" t="s">
        <v>1451</v>
      </c>
      <c r="F246" s="82">
        <v>148.0</v>
      </c>
      <c r="G246" s="79" t="str">
        <f>IFERROR(__xludf.DUMMYFUNCTION("TRIM(REGEXREPLACE(C246, ""[0-9]+[a-f]?\."", """"))"),"The next set of questions are about your opinions regarding the roles that women and men play")</f>
        <v>The next set of questions are about your opinions regarding the roles that women and men play</v>
      </c>
      <c r="H246" s="79" t="str">
        <f>IFERROR(__xludf.DUMMYFUNCTION("TRIM(REGEXREPLACE(D246, ""[0-9]+[a-f]?\."", """"))"),"La prochaine série de questions porte sur vos opinions concernant les rôles que jouent les femmes et les hommes")</f>
        <v>La prochaine série de questions porte sur vos opinions concernant les rôles que jouent les femmes et les hommes</v>
      </c>
      <c r="I246" s="79" t="str">
        <f>IFERROR(__xludf.DUMMYFUNCTION("TRIM(REGEXREPLACE(E246, ""[0-9]+[a-f]?\."", """"))"),"Tambayoyi na gaba sun ta'allaƙa ne da ra'ayoyin ku game da rawar da mata da maza suke takawa.")</f>
        <v>Tambayoyi na gaba sun ta'allaƙa ne da ra'ayoyin ku game da rawar da mata da maza suke takawa.</v>
      </c>
      <c r="J246" s="79" t="s">
        <v>1452</v>
      </c>
      <c r="K246" s="79" t="s">
        <v>1453</v>
      </c>
      <c r="L246" s="79" t="s">
        <v>1454</v>
      </c>
    </row>
    <row r="247">
      <c r="A247" s="79" t="s">
        <v>553</v>
      </c>
      <c r="B247" s="80" t="s">
        <v>1455</v>
      </c>
      <c r="C247" s="80" t="s">
        <v>1456</v>
      </c>
      <c r="D247" s="80" t="s">
        <v>1457</v>
      </c>
      <c r="E247" s="80" t="s">
        <v>1459</v>
      </c>
      <c r="F247" s="82">
        <v>149.0</v>
      </c>
      <c r="G247" s="79" t="str">
        <f>IFERROR(__xludf.DUMMYFUNCTION("TRIM(REGEXREPLACE(C247, ""[0-9]+[a-f]?\."", """"))"),"How often, if ever do you talk about the role of women in society with other people?")</f>
        <v>How often, if ever do you talk about the role of women in society with other people?</v>
      </c>
      <c r="H247" s="79" t="str">
        <f>IFERROR(__xludf.DUMMYFUNCTION("TRIM(REGEXREPLACE(D247, ""[0-9]+[a-f]?\."", """"))"),"À quelle fréquence, si jamais cela est arrivé, parlez-vous du rôle des femmes dans la société avec d'autres personnes ?")</f>
        <v>À quelle fréquence, si jamais cela est arrivé, parlez-vous du rôle des femmes dans la société avec d'autres personnes ?</v>
      </c>
      <c r="I247" s="79" t="str">
        <f>IFERROR(__xludf.DUMMYFUNCTION("TRIM(REGEXREPLACE(E247, ""[0-9]+[a-f]?\."", """"))"),"Sau nawa, idan ya na faruwa, kuke yin magana game da taka rawan mata a cikin al'umma tare da sauran mutane?")</f>
        <v>Sau nawa, idan ya na faruwa, kuke yin magana game da taka rawan mata a cikin al'umma tare da sauran mutane?</v>
      </c>
      <c r="J247" s="79" t="s">
        <v>1461</v>
      </c>
      <c r="K247" s="79" t="s">
        <v>1462</v>
      </c>
      <c r="L247" s="79" t="s">
        <v>1463</v>
      </c>
    </row>
    <row r="248">
      <c r="A248" s="79" t="s">
        <v>42</v>
      </c>
      <c r="B248" s="80" t="s">
        <v>1464</v>
      </c>
      <c r="C248" s="80" t="s">
        <v>1465</v>
      </c>
      <c r="D248" s="80" t="s">
        <v>1466</v>
      </c>
      <c r="E248" s="80" t="s">
        <v>1467</v>
      </c>
      <c r="F248" s="82">
        <v>150.0</v>
      </c>
      <c r="G248" s="79" t="str">
        <f>IFERROR(__xludf.DUMMYFUNCTION("TRIM(REGEXREPLACE(C248, ""[0-9]+[a-f]?\."", """"))"),"In your opinion, how much influence a wife should have over the following decisions within a couple?")</f>
        <v>In your opinion, how much influence a wife should have over the following decisions within a couple?</v>
      </c>
      <c r="H248" s="79" t="str">
        <f>IFERROR(__xludf.DUMMYFUNCTION("TRIM(REGEXREPLACE(D248, ""[0-9]+[a-f]?\."", """"))"),"Selon vous, quelle influence une épouse devrait-elle avoir sur les décisions suivantes au sein d'un couple ?")</f>
        <v>Selon vous, quelle influence une épouse devrait-elle avoir sur les décisions suivantes au sein d'un couple ?</v>
      </c>
      <c r="I248" s="79" t="str">
        <f>IFERROR(__xludf.DUMMYFUNCTION("TRIM(REGEXREPLACE(E248, ""[0-9]+[a-f]?\."", """"))"),"A ra'ayinka, wane tasiri mace ya kamata ta yi bisa yanke shawarwari da zan zana a tsakanin ta da mijinta?")</f>
        <v>A ra'ayinka, wane tasiri mace ya kamata ta yi bisa yanke shawarwari da zan zana a tsakanin ta da mijinta?</v>
      </c>
      <c r="J248" s="79" t="s">
        <v>1468</v>
      </c>
      <c r="K248" s="79" t="s">
        <v>1469</v>
      </c>
      <c r="L248" s="79" t="s">
        <v>1470</v>
      </c>
    </row>
    <row r="249">
      <c r="A249" s="79" t="s">
        <v>1471</v>
      </c>
      <c r="B249" s="80" t="s">
        <v>1472</v>
      </c>
      <c r="C249" s="80" t="s">
        <v>1473</v>
      </c>
      <c r="D249" s="80" t="s">
        <v>1474</v>
      </c>
      <c r="E249" s="80" t="s">
        <v>1475</v>
      </c>
      <c r="F249" s="82">
        <v>151.0</v>
      </c>
      <c r="G249" s="79" t="str">
        <f>IFERROR(__xludf.DUMMYFUNCTION("TRIM(REGEXREPLACE(C249, ""[0-9]+[a-f]?\."", """"))"),"Daily household expenses (Less than 500 CFA)")</f>
        <v>Daily household expenses (Less than 500 CFA)</v>
      </c>
      <c r="H249" s="79" t="str">
        <f>IFERROR(__xludf.DUMMYFUNCTION("TRIM(REGEXREPLACE(D249, ""[0-9]+[a-f]?\."", """"))"),"Dépenses quotidiennes du ménage (Moins de 500 CFA)")</f>
        <v>Dépenses quotidiennes du ménage (Moins de 500 CFA)</v>
      </c>
      <c r="I249" s="79" t="str">
        <f>IFERROR(__xludf.DUMMYFUNCTION("TRIM(REGEXREPLACE(E249, ""[0-9]+[a-f]?\."", """"))"),"Kashe kashen kuɗin gida na yau da kullun ( Kasa da dala ɗari CFA 500)")</f>
        <v>Kashe kashen kuɗin gida na yau da kullun ( Kasa da dala ɗari CFA 500)</v>
      </c>
      <c r="J249" s="79" t="s">
        <v>1476</v>
      </c>
      <c r="K249" s="79" t="s">
        <v>1477</v>
      </c>
      <c r="L249" s="79" t="s">
        <v>1478</v>
      </c>
    </row>
    <row r="250">
      <c r="A250" s="79" t="s">
        <v>1471</v>
      </c>
      <c r="B250" s="80" t="s">
        <v>1479</v>
      </c>
      <c r="C250" s="80" t="s">
        <v>1480</v>
      </c>
      <c r="D250" s="80" t="s">
        <v>1481</v>
      </c>
      <c r="E250" s="80" t="s">
        <v>1482</v>
      </c>
      <c r="F250" s="82">
        <v>152.0</v>
      </c>
      <c r="G250" s="79" t="str">
        <f>IFERROR(__xludf.DUMMYFUNCTION("TRIM(REGEXREPLACE(C250, ""[0-9]+[a-f]?\."", """"))"),"Household purchases worth more than 500 CFA")</f>
        <v>Household purchases worth more than 500 CFA</v>
      </c>
      <c r="H250" s="79" t="str">
        <f>IFERROR(__xludf.DUMMYFUNCTION("TRIM(REGEXREPLACE(D250, ""[0-9]+[a-f]?\."", """"))"),"Achats des ménages d'une valeur supérieure à 500 CFA")</f>
        <v>Achats des ménages d'une valeur supérieure à 500 CFA</v>
      </c>
      <c r="I250" s="79" t="str">
        <f>IFERROR(__xludf.DUMMYFUNCTION("TRIM(REGEXREPLACE(E250, ""[0-9]+[a-f]?\."", """"))"),"Siyayyar gida na sama da dala ɗari 500 CFA")</f>
        <v>Siyayyar gida na sama da dala ɗari 500 CFA</v>
      </c>
      <c r="J250" s="79" t="s">
        <v>1484</v>
      </c>
      <c r="K250" s="79" t="s">
        <v>1485</v>
      </c>
      <c r="L250" s="79" t="s">
        <v>1486</v>
      </c>
    </row>
    <row r="251">
      <c r="A251" s="79" t="s">
        <v>1471</v>
      </c>
      <c r="B251" s="80" t="s">
        <v>1487</v>
      </c>
      <c r="C251" s="80" t="s">
        <v>1488</v>
      </c>
      <c r="D251" s="80" t="s">
        <v>1489</v>
      </c>
      <c r="E251" s="80" t="s">
        <v>1490</v>
      </c>
      <c r="F251" s="82">
        <v>153.0</v>
      </c>
      <c r="G251" s="79" t="str">
        <f>IFERROR(__xludf.DUMMYFUNCTION("TRIM(REGEXREPLACE(C251, ""[0-9]+[a-f]?\."", """"))"),"Family planning (how many children to have)")</f>
        <v>Family planning (how many children to have)</v>
      </c>
      <c r="H251" s="79" t="str">
        <f>IFERROR(__xludf.DUMMYFUNCTION("TRIM(REGEXREPLACE(D251, ""[0-9]+[a-f]?\."", """"))"),"Planification familiale (combien d'enfants avoir)")</f>
        <v>Planification familiale (combien d'enfants avoir)</v>
      </c>
      <c r="I251" s="79" t="str">
        <f>IFERROR(__xludf.DUMMYFUNCTION("TRIM(REGEXREPLACE(E251, ""[0-9]+[a-f]?\."", """"))"),"Tsarin iyali (ƴaƴa nawa za a haifa)")</f>
        <v>Tsarin iyali (ƴaƴa nawa za a haifa)</v>
      </c>
      <c r="J251" s="79" t="s">
        <v>1492</v>
      </c>
      <c r="K251" s="79" t="s">
        <v>1493</v>
      </c>
      <c r="L251" s="79" t="s">
        <v>1494</v>
      </c>
    </row>
    <row r="252">
      <c r="A252" s="79" t="s">
        <v>1471</v>
      </c>
      <c r="B252" s="80" t="s">
        <v>1495</v>
      </c>
      <c r="C252" s="80" t="s">
        <v>1496</v>
      </c>
      <c r="D252" s="80" t="s">
        <v>1497</v>
      </c>
      <c r="E252" s="80" t="s">
        <v>1498</v>
      </c>
      <c r="F252" s="82">
        <v>154.0</v>
      </c>
      <c r="G252" s="79" t="str">
        <f>IFERROR(__xludf.DUMMYFUNCTION("TRIM(REGEXREPLACE(C252, ""[0-9]+[a-f]?\."", """"))"),"Whether the husband will migrate to find work")</f>
        <v>Whether the husband will migrate to find work</v>
      </c>
      <c r="H252" s="79" t="str">
        <f>IFERROR(__xludf.DUMMYFUNCTION("TRIM(REGEXREPLACE(D252, ""[0-9]+[a-f]?\."", """"))"),"Si le mari va migrer pour trouver du travail")</f>
        <v>Si le mari va migrer pour trouver du travail</v>
      </c>
      <c r="I252" s="79" t="str">
        <f>IFERROR(__xludf.DUMMYFUNCTION("TRIM(REGEXREPLACE(E252, ""[0-9]+[a-f]?\."", """"))"),"Ko miji zai yi tahiya don neman aiki")</f>
        <v>Ko miji zai yi tahiya don neman aiki</v>
      </c>
      <c r="J252" s="79" t="s">
        <v>1499</v>
      </c>
      <c r="K252" s="79" t="s">
        <v>1500</v>
      </c>
      <c r="L252" s="79" t="s">
        <v>1501</v>
      </c>
    </row>
    <row r="253">
      <c r="A253" s="79" t="s">
        <v>1471</v>
      </c>
      <c r="B253" s="80" t="s">
        <v>1502</v>
      </c>
      <c r="C253" s="80" t="s">
        <v>1503</v>
      </c>
      <c r="D253" s="80" t="s">
        <v>1504</v>
      </c>
      <c r="E253" s="80" t="s">
        <v>1505</v>
      </c>
      <c r="F253" s="82">
        <v>155.0</v>
      </c>
      <c r="G253" s="79" t="str">
        <f>IFERROR(__xludf.DUMMYFUNCTION("TRIM(REGEXREPLACE(C253, ""[0-9]+[a-f]?\."", """"))"),"Who to vote for in local elections?")</f>
        <v>Who to vote for in local elections?</v>
      </c>
      <c r="H253" s="79" t="str">
        <f>IFERROR(__xludf.DUMMYFUNCTION("TRIM(REGEXREPLACE(D253, ""[0-9]+[a-f]?\."", """"))"),"Pour qui voter aux élections municipales ?")</f>
        <v>Pour qui voter aux élections municipales ?</v>
      </c>
      <c r="I253" s="79" t="str">
        <f>IFERROR(__xludf.DUMMYFUNCTION("TRIM(REGEXREPLACE(E253, ""[0-9]+[a-f]?\."", """"))"),"Wanene za'a zaɓa a zaɓen ƙananan hukumomi?")</f>
        <v>Wanene za'a zaɓa a zaɓen ƙananan hukumomi?</v>
      </c>
      <c r="J253" s="79" t="s">
        <v>1506</v>
      </c>
      <c r="K253" s="79" t="s">
        <v>1507</v>
      </c>
      <c r="L253" s="79" t="s">
        <v>1508</v>
      </c>
    </row>
    <row r="254">
      <c r="A254" s="79" t="s">
        <v>1471</v>
      </c>
      <c r="B254" s="80" t="s">
        <v>1509</v>
      </c>
      <c r="C254" s="80" t="s">
        <v>1510</v>
      </c>
      <c r="D254" s="80" t="s">
        <v>1511</v>
      </c>
      <c r="E254" s="80" t="s">
        <v>1513</v>
      </c>
      <c r="F254" s="82">
        <v>156.0</v>
      </c>
      <c r="G254" s="79" t="str">
        <f>IFERROR(__xludf.DUMMYFUNCTION("TRIM(REGEXREPLACE(C254, ""[0-9]+[a-f]?\."", """"))"),"To whom your daughter should marry?")</f>
        <v>To whom your daughter should marry?</v>
      </c>
      <c r="H254" s="79" t="str">
        <f>IFERROR(__xludf.DUMMYFUNCTION("TRIM(REGEXREPLACE(D254, ""[0-9]+[a-f]?\."", """"))"),"Avec qui votre fille devrait-elle se marier ?")</f>
        <v>Avec qui votre fille devrait-elle se marier ?</v>
      </c>
      <c r="I254" s="79" t="str">
        <f>IFERROR(__xludf.DUMMYFUNCTION("TRIM(REGEXREPLACE(E254, ""[0-9]+[a-f]?\."", """"))"),"Wa ya kamata ƴarku ta aura?")</f>
        <v>Wa ya kamata ƴarku ta aura?</v>
      </c>
      <c r="J254" s="79" t="s">
        <v>1515</v>
      </c>
      <c r="K254" s="79" t="s">
        <v>1517</v>
      </c>
      <c r="L254" s="79" t="s">
        <v>1518</v>
      </c>
    </row>
    <row r="255">
      <c r="A255" s="79" t="s">
        <v>1471</v>
      </c>
      <c r="B255" s="80" t="s">
        <v>1519</v>
      </c>
      <c r="C255" s="80" t="s">
        <v>1520</v>
      </c>
      <c r="D255" s="80" t="s">
        <v>1521</v>
      </c>
      <c r="E255" s="80" t="s">
        <v>1522</v>
      </c>
      <c r="F255" s="82">
        <v>157.0</v>
      </c>
      <c r="G255" s="79" t="str">
        <f>IFERROR(__xludf.DUMMYFUNCTION("TRIM(REGEXREPLACE(C255, ""[0-9]+[a-f]?\."", """"))"),"Children's enrollment in school")</f>
        <v>Children's enrollment in school</v>
      </c>
      <c r="H255" s="79" t="str">
        <f>IFERROR(__xludf.DUMMYFUNCTION("TRIM(REGEXREPLACE(D255, ""[0-9]+[a-f]?\."", """"))"),"Inscription des enfants à l'école")</f>
        <v>Inscription des enfants à l'école</v>
      </c>
      <c r="I255" s="79" t="str">
        <f>IFERROR(__xludf.DUMMYFUNCTION("TRIM(REGEXREPLACE(E255, ""[0-9]+[a-f]?\."", """"))"),"Rubuta yara a makaranta")</f>
        <v>Rubuta yara a makaranta</v>
      </c>
      <c r="J255" s="79" t="s">
        <v>1523</v>
      </c>
      <c r="K255" s="79" t="s">
        <v>1524</v>
      </c>
      <c r="L255" s="79" t="s">
        <v>1525</v>
      </c>
    </row>
    <row r="256">
      <c r="A256" s="79" t="s">
        <v>194</v>
      </c>
      <c r="B256" s="80" t="s">
        <v>1526</v>
      </c>
      <c r="C256" s="80" t="s">
        <v>1527</v>
      </c>
      <c r="D256" s="80" t="s">
        <v>1528</v>
      </c>
      <c r="E256" s="80" t="s">
        <v>1529</v>
      </c>
      <c r="F256" s="82">
        <v>158.0</v>
      </c>
      <c r="G256" s="79" t="str">
        <f>IFERROR(__xludf.DUMMYFUNCTION("TRIM(REGEXREPLACE(C256, ""[0-9]+[a-f]?\."", """"))"),"Imagine one of your daughters wanted to marry someone of a different religious faith, would you give them your permission?")</f>
        <v>Imagine one of your daughters wanted to marry someone of a different religious faith, would you give them your permission?</v>
      </c>
      <c r="H256" s="79" t="str">
        <f>IFERROR(__xludf.DUMMYFUNCTION("TRIM(REGEXREPLACE(D256, ""[0-9]+[a-f]?\."", """"))"),"Imaginez qu'une de vos filles veuille épouser quelqu'un d'une confession religieuse différente, leur donneriez-vous votre permission ?")</f>
        <v>Imaginez qu'une de vos filles veuille épouser quelqu'un d'une confession religieuse différente, leur donneriez-vous votre permission ?</v>
      </c>
      <c r="I256" s="79" t="str">
        <f>IFERROR(__xludf.DUMMYFUNCTION("TRIM(REGEXREPLACE(E256, ""[0-9]+[a-f]?\."", """"))"),"Ku ƙaddara da wata ɗiyarku ta na son ta auri wani mai bin wani addini daban, za ku bada izininku?")</f>
        <v>Ku ƙaddara da wata ɗiyarku ta na son ta auri wani mai bin wani addini daban, za ku bada izininku?</v>
      </c>
      <c r="J256" s="79" t="s">
        <v>1530</v>
      </c>
      <c r="K256" s="79" t="s">
        <v>1531</v>
      </c>
      <c r="L256" s="79" t="s">
        <v>1532</v>
      </c>
    </row>
    <row r="257">
      <c r="A257" s="79" t="s">
        <v>194</v>
      </c>
      <c r="B257" s="80" t="s">
        <v>1533</v>
      </c>
      <c r="C257" s="80" t="s">
        <v>1534</v>
      </c>
      <c r="D257" s="80" t="s">
        <v>1535</v>
      </c>
      <c r="E257" s="80" t="s">
        <v>1536</v>
      </c>
      <c r="F257" s="82">
        <v>159.0</v>
      </c>
      <c r="G257" s="79" t="str">
        <f>IFERROR(__xludf.DUMMYFUNCTION("TRIM(REGEXREPLACE(C257, ""[0-9]+[a-f]?\."", """"))"),"Imagine one of your sons wanted to marry someone of a different religious faith, would you give them your permission?")</f>
        <v>Imagine one of your sons wanted to marry someone of a different religious faith, would you give them your permission?</v>
      </c>
      <c r="H257" s="79" t="str">
        <f>IFERROR(__xludf.DUMMYFUNCTION("TRIM(REGEXREPLACE(D257, ""[0-9]+[a-f]?\."", """"))"),"Imaginez que l'un de vos fils veuille épouser quelqu'un d'une confession religieuse différente, leur donneriez-vous votre permission ?")</f>
        <v>Imaginez que l'un de vos fils veuille épouser quelqu'un d'une confession religieuse différente, leur donneriez-vous votre permission ?</v>
      </c>
      <c r="I257" s="79" t="str">
        <f>IFERROR(__xludf.DUMMYFUNCTION("TRIM(REGEXREPLACE(E257, ""[0-9]+[a-f]?\."", """"))"),"Ku ƙaddara da wani ɗanku ya na son ya auri wata ƴa mai bin wani addini daban, za ku bada izininku?")</f>
        <v>Ku ƙaddara da wani ɗanku ya na son ya auri wata ƴa mai bin wani addini daban, za ku bada izininku?</v>
      </c>
      <c r="J257" s="79" t="s">
        <v>1538</v>
      </c>
      <c r="K257" s="79" t="s">
        <v>1539</v>
      </c>
      <c r="L257" s="79" t="s">
        <v>1540</v>
      </c>
    </row>
    <row r="258">
      <c r="A258" s="79" t="s">
        <v>194</v>
      </c>
      <c r="B258" s="80" t="s">
        <v>1541</v>
      </c>
      <c r="C258" s="80" t="s">
        <v>1542</v>
      </c>
      <c r="D258" s="80" t="s">
        <v>1543</v>
      </c>
      <c r="E258" s="80" t="s">
        <v>1544</v>
      </c>
      <c r="F258" s="82">
        <v>160.0</v>
      </c>
      <c r="G258" s="79" t="str">
        <f>IFERROR(__xludf.DUMMYFUNCTION("TRIM(REGEXREPLACE(C258, ""[0-9]+[a-f]?\."", """"))"),"Imagine one of your daughters wanted to marry someone of a different ethnic group, would you give them your permission?")</f>
        <v>Imagine one of your daughters wanted to marry someone of a different ethnic group, would you give them your permission?</v>
      </c>
      <c r="H258" s="79" t="str">
        <f>IFERROR(__xludf.DUMMYFUNCTION("TRIM(REGEXREPLACE(D258, ""[0-9]+[a-f]?\."", """"))"),"Imaginez qu'une de vos filles veuille épouser quelqu'un d'un groupe ethnique différent, leur donneriez-vous votre permission ?")</f>
        <v>Imaginez qu'une de vos filles veuille épouser quelqu'un d'un groupe ethnique différent, leur donneriez-vous votre permission ?</v>
      </c>
      <c r="I258" s="79" t="str">
        <f>IFERROR(__xludf.DUMMYFUNCTION("TRIM(REGEXREPLACE(E258, ""[0-9]+[a-f]?\."", """"))"),"Ku ƙaddara da wata ɗiyarka tana son ta auri ɗan wata kabila daban, za ku bada izininka?")</f>
        <v>Ku ƙaddara da wata ɗiyarka tana son ta auri ɗan wata kabila daban, za ku bada izininka?</v>
      </c>
      <c r="J258" s="79" t="s">
        <v>1545</v>
      </c>
      <c r="K258" s="79" t="s">
        <v>1546</v>
      </c>
      <c r="L258" s="79" t="s">
        <v>1547</v>
      </c>
    </row>
    <row r="259">
      <c r="A259" s="79" t="s">
        <v>194</v>
      </c>
      <c r="B259" s="80" t="s">
        <v>1548</v>
      </c>
      <c r="C259" s="80" t="s">
        <v>1549</v>
      </c>
      <c r="D259" s="80" t="s">
        <v>1550</v>
      </c>
      <c r="E259" s="80" t="s">
        <v>1551</v>
      </c>
      <c r="F259" s="82">
        <v>161.0</v>
      </c>
      <c r="G259" s="79" t="str">
        <f>IFERROR(__xludf.DUMMYFUNCTION("TRIM(REGEXREPLACE(C259, ""[0-9]+[a-f]?\."", """"))"),"Imagine one of your sons wanted to marry someone of a different ethnic group, would you give them your permission?")</f>
        <v>Imagine one of your sons wanted to marry someone of a different ethnic group, would you give them your permission?</v>
      </c>
      <c r="H259" s="79" t="str">
        <f>IFERROR(__xludf.DUMMYFUNCTION("TRIM(REGEXREPLACE(D259, ""[0-9]+[a-f]?\."", """"))"),"Imaginez que l'un de vos fils veuille épouser quelqu'un d'un groupe ethnique différent, leur donneriez-vous votre permission ?")</f>
        <v>Imaginez que l'un de vos fils veuille épouser quelqu'un d'un groupe ethnique différent, leur donneriez-vous votre permission ?</v>
      </c>
      <c r="I259" s="79" t="str">
        <f>IFERROR(__xludf.DUMMYFUNCTION("TRIM(REGEXREPLACE(E259, ""[0-9]+[a-f]?\."", """"))"),"Ku ƙaddara da wani ɗanku ya na son ya auri wani ɗan wata ƙabila daban, za ku bada izininka?")</f>
        <v>Ku ƙaddara da wani ɗanku ya na son ya auri wani ɗan wata ƙabila daban, za ku bada izininka?</v>
      </c>
      <c r="J259" s="79" t="s">
        <v>1553</v>
      </c>
      <c r="K259" s="79" t="s">
        <v>1554</v>
      </c>
      <c r="L259" s="79" t="s">
        <v>1555</v>
      </c>
    </row>
    <row r="260">
      <c r="A260" s="79" t="s">
        <v>42</v>
      </c>
      <c r="B260" s="80" t="s">
        <v>1556</v>
      </c>
      <c r="C260" s="80" t="s">
        <v>1557</v>
      </c>
      <c r="D260" s="80" t="s">
        <v>1558</v>
      </c>
      <c r="E260" s="80" t="s">
        <v>1559</v>
      </c>
      <c r="F260" s="82">
        <v>162.0</v>
      </c>
      <c r="G260" s="79" t="str">
        <f>IFERROR(__xludf.DUMMYFUNCTION("TRIM(REGEXREPLACE(C260, ""[0-9]+[a-f]?\."", """"))"),"Please tell me the degree to which you agree or disagree with the following statements.")</f>
        <v>Please tell me the degree to which you agree or disagree with the following statements.</v>
      </c>
      <c r="H260" s="79" t="str">
        <f>IFERROR(__xludf.DUMMYFUNCTION("TRIM(REGEXREPLACE(D260, ""[0-9]+[a-f]?\."", """"))"),"Veuillez me dire dans quelle mesure vous êtes d'accord ou pas d'accord avec les énoncés suivants.")</f>
        <v>Veuillez me dire dans quelle mesure vous êtes d'accord ou pas d'accord avec les énoncés suivants.</v>
      </c>
      <c r="I260" s="79" t="str">
        <f>IFERROR(__xludf.DUMMYFUNCTION("TRIM(REGEXREPLACE(E260, ""[0-9]+[a-f]?\."", """"))"),"Yanzu ina son ku gaya mini har zuwa wane matsayi kuka yarda ko baku yarda ba da waɗannan maganganun da zan zana muku.")</f>
        <v>Yanzu ina son ku gaya mini har zuwa wane matsayi kuka yarda ko baku yarda ba da waɗannan maganganun da zan zana muku.</v>
      </c>
      <c r="J260" s="79" t="s">
        <v>1561</v>
      </c>
      <c r="K260" s="79" t="s">
        <v>1562</v>
      </c>
      <c r="L260" s="79" t="s">
        <v>1563</v>
      </c>
    </row>
    <row r="261">
      <c r="A261" s="79" t="s">
        <v>619</v>
      </c>
      <c r="B261" s="80" t="s">
        <v>1564</v>
      </c>
      <c r="C261" s="80" t="s">
        <v>1565</v>
      </c>
      <c r="D261" s="80" t="s">
        <v>1566</v>
      </c>
      <c r="E261" s="80" t="s">
        <v>1567</v>
      </c>
      <c r="F261" s="82">
        <v>163.0</v>
      </c>
      <c r="G261" s="79" t="str">
        <f>IFERROR(__xludf.DUMMYFUNCTION("TRIM(REGEXREPLACE(C261, ""[0-9]+[a-f]?\."", """"))"),"Middle school education for males is more important than middle school education for females.")</f>
        <v>Middle school education for males is more important than middle school education for females.</v>
      </c>
      <c r="H261" s="79" t="str">
        <f>IFERROR(__xludf.DUMMYFUNCTION("TRIM(REGEXREPLACE(D261, ""[0-9]+[a-f]?\."", """"))"),"L'enseignement secondaire pour les hommes est plus important que l'enseignement secondaire pour les femmes.")</f>
        <v>L'enseignement secondaire pour les hommes est plus important que l'enseignement secondaire pour les femmes.</v>
      </c>
      <c r="I261" s="79" t="str">
        <f>IFERROR(__xludf.DUMMYFUNCTION("TRIM(REGEXREPLACE(E261, ""[0-9]+[a-f]?\."", """"))"),"Ilimin koleji ga maza yana da mahimmanci fiye da ilimin koleji ga mata.")</f>
        <v>Ilimin koleji ga maza yana da mahimmanci fiye da ilimin koleji ga mata.</v>
      </c>
      <c r="J261" s="79" t="s">
        <v>1568</v>
      </c>
      <c r="K261" s="79" t="s">
        <v>1569</v>
      </c>
      <c r="L261" s="79" t="s">
        <v>1570</v>
      </c>
    </row>
    <row r="262">
      <c r="A262" s="79" t="s">
        <v>619</v>
      </c>
      <c r="B262" s="80" t="s">
        <v>1571</v>
      </c>
      <c r="C262" s="80" t="s">
        <v>1572</v>
      </c>
      <c r="D262" s="80" t="s">
        <v>1573</v>
      </c>
      <c r="E262" s="80" t="s">
        <v>1574</v>
      </c>
      <c r="F262" s="82">
        <v>164.0</v>
      </c>
      <c r="G262" s="79" t="str">
        <f>IFERROR(__xludf.DUMMYFUNCTION("TRIM(REGEXREPLACE(C262, ""[0-9]+[a-f]?\."", """"))"),"Women and men should have equal rights to their inheritance (Women should not be denied their right)")</f>
        <v>Women and men should have equal rights to their inheritance (Women should not be denied their right)</v>
      </c>
      <c r="H262" s="79" t="str">
        <f>IFERROR(__xludf.DUMMYFUNCTION("TRIM(REGEXREPLACE(D262, ""[0-9]+[a-f]?\."", """"))"),"Les femmes et les hommes devraient avoir des droits égaux à l'héritage (les femmes ne devraient pas être privées de leur droit)")</f>
        <v>Les femmes et les hommes devraient avoir des droits égaux à l'héritage (les femmes ne devraient pas être privées de leur droit)</v>
      </c>
      <c r="I262" s="79" t="str">
        <f>IFERROR(__xludf.DUMMYFUNCTION("TRIM(REGEXREPLACE(E262, ""[0-9]+[a-f]?\."", """"))"),"Ya kamata mata da maza su samu haƙƙi daidai akan gado (Bai Kamata a hana ma mata haƙƙinsu ba)")</f>
        <v>Ya kamata mata da maza su samu haƙƙi daidai akan gado (Bai Kamata a hana ma mata haƙƙinsu ba)</v>
      </c>
      <c r="J262" s="79" t="s">
        <v>1575</v>
      </c>
      <c r="K262" s="79" t="s">
        <v>1576</v>
      </c>
      <c r="L262" s="79" t="s">
        <v>1578</v>
      </c>
    </row>
    <row r="263">
      <c r="A263" s="79" t="s">
        <v>619</v>
      </c>
      <c r="B263" s="80" t="s">
        <v>1579</v>
      </c>
      <c r="C263" s="80" t="s">
        <v>1580</v>
      </c>
      <c r="D263" s="80" t="s">
        <v>1581</v>
      </c>
      <c r="E263" s="80" t="s">
        <v>1582</v>
      </c>
      <c r="F263" s="82">
        <v>165.0</v>
      </c>
      <c r="G263" s="79" t="str">
        <f>IFERROR(__xludf.DUMMYFUNCTION("TRIM(REGEXREPLACE(C263, ""[0-9]+[a-f]?\."", """"))"),"A woman can reject a marriage that her family chose for her without her consent")</f>
        <v>A woman can reject a marriage that her family chose for her without her consent</v>
      </c>
      <c r="H263" s="79" t="str">
        <f>IFERROR(__xludf.DUMMYFUNCTION("TRIM(REGEXREPLACE(D263, ""[0-9]+[a-f]?\."", """"))"),"Une femme peut refuser un mariage que sa famille a choisi pour elle sans son consentement")</f>
        <v>Une femme peut refuser un mariage que sa famille a choisi pour elle sans son consentement</v>
      </c>
      <c r="I263" s="79" t="str">
        <f>IFERROR(__xludf.DUMMYFUNCTION("TRIM(REGEXREPLACE(E263, ""[0-9]+[a-f]?\."", """"))"),"Mace za ta iya ƙin auren da danginta suka zaɓa mata idan bata yarda ba")</f>
        <v>Mace za ta iya ƙin auren da danginta suka zaɓa mata idan bata yarda ba</v>
      </c>
      <c r="J263" s="79" t="s">
        <v>1583</v>
      </c>
      <c r="K263" s="79" t="s">
        <v>1584</v>
      </c>
      <c r="L263" s="79" t="s">
        <v>1585</v>
      </c>
    </row>
    <row r="264">
      <c r="A264" s="79" t="s">
        <v>619</v>
      </c>
      <c r="B264" s="80" t="s">
        <v>1586</v>
      </c>
      <c r="C264" s="80" t="s">
        <v>1587</v>
      </c>
      <c r="D264" s="80" t="s">
        <v>1588</v>
      </c>
      <c r="E264" s="80" t="s">
        <v>1589</v>
      </c>
      <c r="F264" s="82">
        <v>166.0</v>
      </c>
      <c r="G264" s="79" t="str">
        <f>IFERROR(__xludf.DUMMYFUNCTION("TRIM(REGEXREPLACE(C264, ""[0-9]+[a-f]?\."", """"))"),"Women and men should have equal rights in making the decision to divorce.")</f>
        <v>Women and men should have equal rights in making the decision to divorce.</v>
      </c>
      <c r="H264" s="79" t="str">
        <f>IFERROR(__xludf.DUMMYFUNCTION("TRIM(REGEXREPLACE(D264, ""[0-9]+[a-f]?\."", """"))"),"Les femmes et les hommes devraient avoir des droits égaux dans la décision de divorcer.")</f>
        <v>Les femmes et les hommes devraient avoir des droits égaux dans la décision de divorcer.</v>
      </c>
      <c r="I264" s="79" t="str">
        <f>IFERROR(__xludf.DUMMYFUNCTION("TRIM(REGEXREPLACE(E264, ""[0-9]+[a-f]?\."", """"))"),"Yakamata a ce mata da maza suna da haƙƙi daidai wajen yanke shawarar rabuwar aure.")</f>
        <v>Yakamata a ce mata da maza suna da haƙƙi daidai wajen yanke shawarar rabuwar aure.</v>
      </c>
      <c r="J264" s="79" t="s">
        <v>1592</v>
      </c>
      <c r="K264" s="79" t="s">
        <v>1593</v>
      </c>
      <c r="L264" s="79" t="s">
        <v>1594</v>
      </c>
    </row>
    <row r="265">
      <c r="A265" s="79" t="s">
        <v>619</v>
      </c>
      <c r="B265" s="80" t="s">
        <v>1595</v>
      </c>
      <c r="C265" s="80" t="s">
        <v>1596</v>
      </c>
      <c r="D265" s="80" t="s">
        <v>1597</v>
      </c>
      <c r="E265" s="80" t="s">
        <v>1598</v>
      </c>
      <c r="F265" s="82">
        <v>167.0</v>
      </c>
      <c r="G265" s="79" t="str">
        <f>IFERROR(__xludf.DUMMYFUNCTION("TRIM(REGEXREPLACE(C265, ""[0-9]+[a-f]?\."", """"))"),"The law should not allow a man to marry more than one woman.")</f>
        <v>The law should not allow a man to marry more than one woman.</v>
      </c>
      <c r="H265" s="79" t="str">
        <f>IFERROR(__xludf.DUMMYFUNCTION("TRIM(REGEXREPLACE(D265, ""[0-9]+[a-f]?\."", """"))"),"La loi ne devrait pas permettre à un homme d'épouser plus d'une femme.")</f>
        <v>La loi ne devrait pas permettre à un homme d'épouser plus d'une femme.</v>
      </c>
      <c r="I265" s="79" t="str">
        <f>IFERROR(__xludf.DUMMYFUNCTION("TRIM(REGEXREPLACE(E265, ""[0-9]+[a-f]?\."", """"))"),"Yakamata doka ta hana ma namiji ya auri fiye da mace ɗaya.")</f>
        <v>Yakamata doka ta hana ma namiji ya auri fiye da mace ɗaya.</v>
      </c>
      <c r="J265" s="79" t="s">
        <v>1599</v>
      </c>
      <c r="K265" s="79" t="s">
        <v>1600</v>
      </c>
      <c r="L265" s="79" t="s">
        <v>1601</v>
      </c>
    </row>
    <row r="266" hidden="1"/>
    <row r="267">
      <c r="A267" s="79" t="s">
        <v>194</v>
      </c>
      <c r="B267" s="80" t="s">
        <v>1602</v>
      </c>
      <c r="C267" s="80" t="s">
        <v>1603</v>
      </c>
      <c r="D267" s="80" t="s">
        <v>1604</v>
      </c>
      <c r="E267" s="80" t="s">
        <v>1606</v>
      </c>
      <c r="F267" s="82">
        <v>168.0</v>
      </c>
      <c r="G267" s="79" t="str">
        <f>IFERROR(__xludf.DUMMYFUNCTION("TRIM(REGEXREPLACE(C267, ""[0-9]+[a-f]?\."", """"))"),"In your opinion, is a husband justified in hitting or beating his wife if:")</f>
        <v>In your opinion, is a husband justified in hitting or beating his wife if:</v>
      </c>
      <c r="H267" s="79" t="str">
        <f>IFERROR(__xludf.DUMMYFUNCTION("TRIM(REGEXREPLACE(D267, ""[0-9]+[a-f]?\."", """"))"),"A votre avis, est-il justifié pour un mari de frapper ou de battre sa femme si :")</f>
        <v>A votre avis, est-il justifié pour un mari de frapper ou de battre sa femme si :</v>
      </c>
      <c r="I267" s="79" t="str">
        <f>IFERROR(__xludf.DUMMYFUNCTION("TRIM(REGEXREPLACE(E267, ""[0-9]+[a-f]?\."", """"))"),"A ganinku, ko ya cancanta miji ya bugi matarshi ko ya bata kashi idan:")</f>
        <v>A ganinku, ko ya cancanta miji ya bugi matarshi ko ya bata kashi idan:</v>
      </c>
      <c r="J267" s="79" t="s">
        <v>1608</v>
      </c>
      <c r="K267" s="79" t="s">
        <v>1609</v>
      </c>
      <c r="L267" s="79" t="s">
        <v>1610</v>
      </c>
    </row>
    <row r="268">
      <c r="A268" s="79" t="s">
        <v>194</v>
      </c>
      <c r="B268" s="80" t="s">
        <v>1611</v>
      </c>
      <c r="C268" s="80" t="s">
        <v>1612</v>
      </c>
      <c r="D268" s="80" t="s">
        <v>1613</v>
      </c>
      <c r="E268" s="80" t="s">
        <v>1614</v>
      </c>
      <c r="F268" s="82">
        <v>169.0</v>
      </c>
      <c r="G268" s="79" t="str">
        <f>IFERROR(__xludf.DUMMYFUNCTION("TRIM(REGEXREPLACE(C268, ""[0-9]+[a-f]?\."", """"))"),"She neglects the children")</f>
        <v>She neglects the children</v>
      </c>
      <c r="H268" s="79" t="str">
        <f>IFERROR(__xludf.DUMMYFUNCTION("TRIM(REGEXREPLACE(D268, ""[0-9]+[a-f]?\."", """"))"),"Elle néglige les enfants")</f>
        <v>Elle néglige les enfants</v>
      </c>
      <c r="I268" s="79" t="str">
        <f>IFERROR(__xludf.DUMMYFUNCTION("TRIM(REGEXREPLACE(E268, ""[0-9]+[a-f]?\."", """"))"),"Ta yi sakaci da yara")</f>
        <v>Ta yi sakaci da yara</v>
      </c>
      <c r="J268" s="79" t="s">
        <v>1615</v>
      </c>
      <c r="K268" s="79" t="s">
        <v>1616</v>
      </c>
      <c r="L268" s="79" t="s">
        <v>1617</v>
      </c>
    </row>
    <row r="269">
      <c r="A269" s="79" t="s">
        <v>194</v>
      </c>
      <c r="B269" s="80" t="s">
        <v>1618</v>
      </c>
      <c r="C269" s="80" t="s">
        <v>1619</v>
      </c>
      <c r="D269" s="80" t="s">
        <v>1620</v>
      </c>
      <c r="E269" s="80" t="s">
        <v>1621</v>
      </c>
      <c r="F269" s="82">
        <v>170.0</v>
      </c>
      <c r="G269" s="79" t="str">
        <f>IFERROR(__xludf.DUMMYFUNCTION("TRIM(REGEXREPLACE(C269, ""[0-9]+[a-f]?\."", """"))"),"She argues with him")</f>
        <v>She argues with him</v>
      </c>
      <c r="H269" s="79" t="str">
        <f>IFERROR(__xludf.DUMMYFUNCTION("TRIM(REGEXREPLACE(D269, ""[0-9]+[a-f]?\."", """"))"),"Elle se dispute avec lui")</f>
        <v>Elle se dispute avec lui</v>
      </c>
      <c r="I269" s="79" t="str">
        <f>IFERROR(__xludf.DUMMYFUNCTION("TRIM(REGEXREPLACE(E269, ""[0-9]+[a-f]?\."", """"))"),"Ta yi mishi gardama")</f>
        <v>Ta yi mishi gardama</v>
      </c>
      <c r="J269" s="79" t="s">
        <v>1623</v>
      </c>
      <c r="K269" s="79" t="s">
        <v>1624</v>
      </c>
      <c r="L269" s="79" t="s">
        <v>1625</v>
      </c>
    </row>
    <row r="270">
      <c r="A270" s="79" t="s">
        <v>194</v>
      </c>
      <c r="B270" s="80" t="s">
        <v>1626</v>
      </c>
      <c r="C270" s="80" t="s">
        <v>1628</v>
      </c>
      <c r="D270" s="80" t="s">
        <v>1629</v>
      </c>
      <c r="E270" s="80" t="s">
        <v>1630</v>
      </c>
      <c r="F270" s="82">
        <v>171.0</v>
      </c>
      <c r="G270" s="79" t="str">
        <f>IFERROR(__xludf.DUMMYFUNCTION("TRIM(REGEXREPLACE(C270, ""[0-9]+[a-f]?\."", """"))"),"She refuses to pray")</f>
        <v>She refuses to pray</v>
      </c>
      <c r="H270" s="79" t="str">
        <f>IFERROR(__xludf.DUMMYFUNCTION("TRIM(REGEXREPLACE(D270, ""[0-9]+[a-f]?\."", """"))"),"Elle refuse de prier")</f>
        <v>Elle refuse de prier</v>
      </c>
      <c r="I270" s="79" t="str">
        <f>IFERROR(__xludf.DUMMYFUNCTION("TRIM(REGEXREPLACE(E270, ""[0-9]+[a-f]?\."", """"))"),"Ta ƙi yin sallah")</f>
        <v>Ta ƙi yin sallah</v>
      </c>
      <c r="J270" s="79" t="s">
        <v>1632</v>
      </c>
      <c r="K270" s="79" t="s">
        <v>1633</v>
      </c>
      <c r="L270" s="79" t="s">
        <v>1635</v>
      </c>
    </row>
    <row r="271">
      <c r="A271" s="79" t="s">
        <v>194</v>
      </c>
      <c r="B271" s="80" t="s">
        <v>1637</v>
      </c>
      <c r="C271" s="80" t="s">
        <v>1638</v>
      </c>
      <c r="D271" s="80" t="s">
        <v>1639</v>
      </c>
      <c r="E271" s="80" t="s">
        <v>1640</v>
      </c>
      <c r="F271" s="82">
        <v>172.0</v>
      </c>
      <c r="G271" s="79" t="str">
        <f>IFERROR(__xludf.DUMMYFUNCTION("TRIM(REGEXREPLACE(C271, ""[0-9]+[a-f]?\."", """"))"),"She burns the food")</f>
        <v>She burns the food</v>
      </c>
      <c r="H271" s="79" t="str">
        <f>IFERROR(__xludf.DUMMYFUNCTION("TRIM(REGEXREPLACE(D271, ""[0-9]+[a-f]?\."", """"))"),"Elle brûle la nourriture")</f>
        <v>Elle brûle la nourriture</v>
      </c>
      <c r="I271" s="79" t="str">
        <f>IFERROR(__xludf.DUMMYFUNCTION("TRIM(REGEXREPLACE(E271, ""[0-9]+[a-f]?\."", """"))"),"Ta ƙona abincin")</f>
        <v>Ta ƙona abincin</v>
      </c>
      <c r="J271" s="79" t="s">
        <v>1641</v>
      </c>
      <c r="K271" s="79" t="s">
        <v>1642</v>
      </c>
      <c r="L271" s="79" t="s">
        <v>1643</v>
      </c>
    </row>
    <row r="272" hidden="1">
      <c r="B272" s="80"/>
      <c r="C272" s="80"/>
      <c r="D272" s="80"/>
      <c r="E272" s="80"/>
      <c r="F272" s="82">
        <v>174.0</v>
      </c>
      <c r="G272" s="79" t="str">
        <f>IFERROR(__xludf.DUMMYFUNCTION("TRIM(REGEXREPLACE(C272, ""[0-9]+[a-f]?\."", """"))"),"")</f>
        <v/>
      </c>
      <c r="H272" s="79" t="str">
        <f>IFERROR(__xludf.DUMMYFUNCTION("TRIM(REGEXREPLACE(D272, ""[0-9]+[a-f]?\."", """"))"),"")</f>
        <v/>
      </c>
      <c r="I272" s="79" t="str">
        <f>IFERROR(__xludf.DUMMYFUNCTION("TRIM(REGEXREPLACE(E272, ""[0-9]+[a-f]?\."", """"))"),"")</f>
        <v/>
      </c>
      <c r="J272" s="79" t="s">
        <v>1645</v>
      </c>
      <c r="K272" s="79" t="s">
        <v>1646</v>
      </c>
      <c r="L272" s="79" t="s">
        <v>1647</v>
      </c>
    </row>
    <row r="273">
      <c r="A273" s="79" t="s">
        <v>1648</v>
      </c>
      <c r="B273" s="80" t="s">
        <v>1649</v>
      </c>
      <c r="C273" s="80" t="s">
        <v>1650</v>
      </c>
      <c r="D273" s="80" t="s">
        <v>1651</v>
      </c>
      <c r="E273" s="80" t="s">
        <v>1652</v>
      </c>
      <c r="F273" s="82">
        <v>173.0</v>
      </c>
      <c r="G273" s="79" t="str">
        <f>IFERROR(__xludf.DUMMYFUNCTION("TRIM(REGEXREPLACE(C273,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273" s="79" t="str">
        <f>IFERROR(__xludf.DUMMYFUNCTION("TRIM(REGEXREPLACE(D273,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273" s="79" t="str">
        <f>IFERROR(__xludf.DUMMYFUNCTION("TRIM(REGEXREPLACE(E273,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273" s="79" t="s">
        <v>1656</v>
      </c>
      <c r="K273" s="79" t="s">
        <v>1657</v>
      </c>
      <c r="L273" s="79" t="s">
        <v>1658</v>
      </c>
    </row>
    <row r="274">
      <c r="A274" s="79" t="s">
        <v>299</v>
      </c>
      <c r="B274" s="80" t="s">
        <v>1659</v>
      </c>
      <c r="C274" s="80" t="s">
        <v>1660</v>
      </c>
      <c r="D274" s="80" t="s">
        <v>1661</v>
      </c>
      <c r="E274" s="80" t="s">
        <v>1662</v>
      </c>
      <c r="F274" s="82">
        <v>174.0</v>
      </c>
      <c r="G274" s="79" t="str">
        <f>IFERROR(__xludf.DUMMYFUNCTION("TRIM(REGEXREPLACE(C274, ""[0-9]+[a-f]?\."", """"))"),"Enumerator: Briefly summarize the changes described by the respondent")</f>
        <v>Enumerator: Briefly summarize the changes described by the respondent</v>
      </c>
      <c r="H274" s="79" t="str">
        <f>IFERROR(__xludf.DUMMYFUNCTION("TRIM(REGEXREPLACE(D274, ""[0-9]+[a-f]?\."", """"))"),"Enquêteur : Résumez brièvement les changements décrits par le répondant")</f>
        <v>Enquêteur : Résumez brièvement les changements décrits par le répondant</v>
      </c>
      <c r="I274" s="79" t="str">
        <f>IFERROR(__xludf.DUMMYFUNCTION("TRIM(REGEXREPLACE(E274, ""[0-9]+[a-f]?\."", """"))"),"Ɗan bincike: A taƙaice rubuta canje-canjen da mai bada amsa ya gaya maka")</f>
        <v>Ɗan bincike: A taƙaice rubuta canje-canjen da mai bada amsa ya gaya maka</v>
      </c>
      <c r="J274" s="79" t="s">
        <v>1663</v>
      </c>
      <c r="K274" s="79" t="s">
        <v>1664</v>
      </c>
      <c r="L274" s="79" t="s">
        <v>1665</v>
      </c>
    </row>
    <row r="275" hidden="1">
      <c r="B275" s="80"/>
      <c r="C275" s="80"/>
      <c r="D275" s="80"/>
      <c r="E275" s="80"/>
      <c r="F275" s="82">
        <v>174.0</v>
      </c>
      <c r="G275" s="79" t="str">
        <f>IFERROR(__xludf.DUMMYFUNCTION("TRIM(REGEXREPLACE(C275, ""[0-9]+[a-f]?\."", """"))"),"")</f>
        <v/>
      </c>
      <c r="H275" s="79" t="str">
        <f>IFERROR(__xludf.DUMMYFUNCTION("TRIM(REGEXREPLACE(D275, ""[0-9]+[a-f]?\."", """"))"),"")</f>
        <v/>
      </c>
      <c r="I275" s="79" t="str">
        <f>IFERROR(__xludf.DUMMYFUNCTION("TRIM(REGEXREPLACE(E275, ""[0-9]+[a-f]?\."", """"))"),"")</f>
        <v/>
      </c>
    </row>
    <row r="276" hidden="1">
      <c r="B276" s="80"/>
      <c r="C276" s="80"/>
      <c r="D276" s="80"/>
      <c r="E276" s="80"/>
      <c r="F276" s="82">
        <v>175.0</v>
      </c>
      <c r="G276" s="79" t="str">
        <f>IFERROR(__xludf.DUMMYFUNCTION("TRIM(REGEXREPLACE(C276, ""[0-9]+[a-f]?\."", """"))"),"")</f>
        <v/>
      </c>
      <c r="H276" s="79" t="str">
        <f>IFERROR(__xludf.DUMMYFUNCTION("TRIM(REGEXREPLACE(D276, ""[0-9]+[a-f]?\."", """"))"),"")</f>
        <v/>
      </c>
      <c r="I276" s="79" t="str">
        <f>IFERROR(__xludf.DUMMYFUNCTION("TRIM(REGEXREPLACE(E276, ""[0-9]+[a-f]?\."", """"))"),"")</f>
        <v/>
      </c>
    </row>
    <row r="277" hidden="1">
      <c r="B277" s="80"/>
      <c r="C277" s="80"/>
      <c r="D277" s="80"/>
      <c r="E277" s="80"/>
      <c r="F277" s="82">
        <v>176.0</v>
      </c>
      <c r="G277" s="79" t="str">
        <f>IFERROR(__xludf.DUMMYFUNCTION("TRIM(REGEXREPLACE(C277, ""[0-9]+[a-f]?\."", """"))"),"")</f>
        <v/>
      </c>
      <c r="H277" s="79" t="str">
        <f>IFERROR(__xludf.DUMMYFUNCTION("TRIM(REGEXREPLACE(D277, ""[0-9]+[a-f]?\."", """"))"),"")</f>
        <v/>
      </c>
      <c r="I277" s="79" t="str">
        <f>IFERROR(__xludf.DUMMYFUNCTION("TRIM(REGEXREPLACE(E277, ""[0-9]+[a-f]?\."", """"))"),"")</f>
        <v/>
      </c>
    </row>
    <row r="278" hidden="1">
      <c r="B278" s="80"/>
      <c r="C278" s="80"/>
      <c r="D278" s="80"/>
      <c r="E278" s="80"/>
      <c r="F278" s="82">
        <v>177.0</v>
      </c>
      <c r="G278" s="79" t="str">
        <f>IFERROR(__xludf.DUMMYFUNCTION("TRIM(REGEXREPLACE(C278, ""[0-9]+[a-f]?\."", """"))"),"")</f>
        <v/>
      </c>
      <c r="H278" s="79" t="str">
        <f>IFERROR(__xludf.DUMMYFUNCTION("TRIM(REGEXREPLACE(D278, ""[0-9]+[a-f]?\."", """"))"),"")</f>
        <v/>
      </c>
      <c r="I278" s="79" t="str">
        <f>IFERROR(__xludf.DUMMYFUNCTION("TRIM(REGEXREPLACE(E278, ""[0-9]+[a-f]?\."", """"))"),"")</f>
        <v/>
      </c>
    </row>
    <row r="279">
      <c r="A279" s="79" t="s">
        <v>194</v>
      </c>
      <c r="B279" s="80" t="s">
        <v>1670</v>
      </c>
      <c r="C279" s="80" t="s">
        <v>1671</v>
      </c>
      <c r="D279" s="80" t="s">
        <v>1672</v>
      </c>
      <c r="E279" s="80" t="s">
        <v>1673</v>
      </c>
      <c r="F279" s="82">
        <v>175.0</v>
      </c>
      <c r="G279" s="79" t="str">
        <f>IFERROR(__xludf.DUMMYFUNCTION("TRIM(REGEXREPLACE(C279, ""[0-9]+[a-f]?\."", """"))"),"Now I would like to ask you questions about some other important aspects of a woman's life. I know that some of these questions are very personal. Let me assure you that your answers are completely confidential and will not be told to anyone.
In the past"&amp;" three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H279" s="79" t="str">
        <f>IFERROR(__xludf.DUMMYFUNCTION("TRIM(REGEXREPLACE(D279, ""[0-9]+[a-f]?\."", """"))"),"Maintenant, j'aimerais vous poser des questions sur d'autres aspects importants de la vie d'une femme. Je sais que certaines de ces questions sont très personnelles. Permettez-moi de vous assurer que vos réponses sont entièrement confidentielles et ne ser"&amp;"ont divulguées à personne.
Au cours des trois derniers mois, votre mari ou un autre membre de votre ménage vous a-t-il empêché de")</f>
        <v>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I279" s="79" t="str">
        <f>IFERROR(__xludf.DUMMYFUNCTION("TRIM(REGEXREPLACE(E279, ""[0-9]+[a-f]?\."", """"))"),"Yanzu zan ina son yi muku tambayoyi game da wasu muhimman al'amura na rayuwar mace. Na san cewa wasu daga cikin waɗannan tambayoyin na sirri ne. Bari in tabbatar muku cewa amsoshin ku na sirri ne gaba ɗaya kuma ba za a faɗa wa kowa ba.
A cikin wata uku d"&amp;"a suka wuce mijinku ko wani ɗan gidanku ya hana ku")</f>
        <v>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c r="J279" s="79" t="s">
        <v>1676</v>
      </c>
      <c r="K279" s="79" t="s">
        <v>1678</v>
      </c>
      <c r="L279" s="79" t="s">
        <v>1679</v>
      </c>
    </row>
    <row r="280">
      <c r="A280" s="79" t="s">
        <v>194</v>
      </c>
      <c r="B280" s="80" t="s">
        <v>1680</v>
      </c>
      <c r="C280" s="80" t="s">
        <v>1645</v>
      </c>
      <c r="D280" s="80" t="s">
        <v>1646</v>
      </c>
      <c r="E280" s="80" t="s">
        <v>1647</v>
      </c>
      <c r="F280" s="82">
        <v>176.0</v>
      </c>
      <c r="G280" s="79" t="str">
        <f>IFERROR(__xludf.DUMMYFUNCTION("TRIM(REGEXREPLACE(C280, ""[0-9]+[a-f]?\."", """"))"),"visiting your family or friends?")</f>
        <v>visiting your family or friends?</v>
      </c>
      <c r="H280" s="79" t="str">
        <f>IFERROR(__xludf.DUMMYFUNCTION("TRIM(REGEXREPLACE(D280, ""[0-9]+[a-f]?\."", """"))"),"rendre visite à votre famille ou à vos amis ?")</f>
        <v>rendre visite à votre famille ou à vos amis ?</v>
      </c>
      <c r="I280" s="79" t="str">
        <f>IFERROR(__xludf.DUMMYFUNCTION("TRIM(REGEXREPLACE(E280, ""[0-9]+[a-f]?\."", """"))"),"ziyartar danginku ko abokananku?")</f>
        <v>ziyartar danginku ko abokananku?</v>
      </c>
      <c r="J280" s="79" t="s">
        <v>1687</v>
      </c>
      <c r="K280" s="79" t="s">
        <v>1688</v>
      </c>
      <c r="L280" s="79" t="s">
        <v>1689</v>
      </c>
    </row>
    <row r="281">
      <c r="A281" s="79" t="s">
        <v>194</v>
      </c>
      <c r="B281" s="80" t="s">
        <v>1690</v>
      </c>
      <c r="C281" s="80" t="s">
        <v>1691</v>
      </c>
      <c r="D281" s="80" t="s">
        <v>1692</v>
      </c>
      <c r="E281" s="80" t="s">
        <v>1693</v>
      </c>
      <c r="F281" s="82">
        <v>177.0</v>
      </c>
      <c r="G281" s="79" t="str">
        <f>IFERROR(__xludf.DUMMYFUNCTION("TRIM(REGEXREPLACE(C281, ""[0-9]+[a-f]?\."", """"))"),"working outside the household?")</f>
        <v>working outside the household?</v>
      </c>
      <c r="H281" s="79" t="str">
        <f>IFERROR(__xludf.DUMMYFUNCTION("TRIM(REGEXREPLACE(D281, ""[0-9]+[a-f]?\."", """"))"),"travailler en dehors du ménage ?")</f>
        <v>travailler en dehors du ménage ?</v>
      </c>
      <c r="I281" s="79" t="str">
        <f>IFERROR(__xludf.DUMMYFUNCTION("TRIM(REGEXREPLACE(E281, ""[0-9]+[a-f]?\."", """"))"),"aiki a wajen gidanku?")</f>
        <v>aiki a wajen gidanku?</v>
      </c>
      <c r="J281" s="79" t="s">
        <v>1694</v>
      </c>
      <c r="K281" s="79" t="s">
        <v>1695</v>
      </c>
      <c r="L281" s="79" t="s">
        <v>1696</v>
      </c>
    </row>
    <row r="282" hidden="1">
      <c r="B282" s="80"/>
      <c r="C282" s="80"/>
      <c r="D282" s="80"/>
      <c r="E282" s="80"/>
      <c r="F282" s="82">
        <v>179.0</v>
      </c>
      <c r="G282" s="79" t="str">
        <f>IFERROR(__xludf.DUMMYFUNCTION("TRIM(REGEXREPLACE(C282, ""[0-9]+[a-f]?\."", """"))"),"")</f>
        <v/>
      </c>
      <c r="H282" s="79" t="str">
        <f>IFERROR(__xludf.DUMMYFUNCTION("TRIM(REGEXREPLACE(D282, ""[0-9]+[a-f]?\."", """"))"),"")</f>
        <v/>
      </c>
      <c r="I282" s="79" t="str">
        <f>IFERROR(__xludf.DUMMYFUNCTION("TRIM(REGEXREPLACE(E282, ""[0-9]+[a-f]?\."", """"))"),"")</f>
        <v/>
      </c>
      <c r="J282" s="79" t="s">
        <v>1699</v>
      </c>
      <c r="K282" s="79" t="s">
        <v>1701</v>
      </c>
      <c r="L282" s="79" t="s">
        <v>1703</v>
      </c>
    </row>
    <row r="283" hidden="1">
      <c r="B283" s="80"/>
      <c r="C283" s="80"/>
      <c r="D283" s="80"/>
      <c r="E283" s="80"/>
      <c r="F283" s="82">
        <v>180.0</v>
      </c>
      <c r="G283" s="79" t="str">
        <f>IFERROR(__xludf.DUMMYFUNCTION("TRIM(REGEXREPLACE(C283, ""[0-9]+[a-f]?\."", """"))"),"")</f>
        <v/>
      </c>
      <c r="H283" s="79" t="str">
        <f>IFERROR(__xludf.DUMMYFUNCTION("TRIM(REGEXREPLACE(D283, ""[0-9]+[a-f]?\."", """"))"),"")</f>
        <v/>
      </c>
      <c r="I283" s="79" t="str">
        <f>IFERROR(__xludf.DUMMYFUNCTION("TRIM(REGEXREPLACE(E283, ""[0-9]+[a-f]?\."", """"))"),"")</f>
        <v/>
      </c>
    </row>
    <row r="284" hidden="1">
      <c r="B284" s="80"/>
      <c r="C284" s="80"/>
      <c r="D284" s="80"/>
      <c r="E284" s="80"/>
      <c r="F284" s="82">
        <v>181.0</v>
      </c>
      <c r="G284" s="79" t="str">
        <f>IFERROR(__xludf.DUMMYFUNCTION("TRIM(REGEXREPLACE(C284, ""[0-9]+[a-f]?\."", """"))"),"")</f>
        <v/>
      </c>
      <c r="H284" s="79" t="str">
        <f>IFERROR(__xludf.DUMMYFUNCTION("TRIM(REGEXREPLACE(D284, ""[0-9]+[a-f]?\."", """"))"),"")</f>
        <v/>
      </c>
      <c r="I284" s="79" t="str">
        <f>IFERROR(__xludf.DUMMYFUNCTION("TRIM(REGEXREPLACE(E284, ""[0-9]+[a-f]?\."", """"))"),"")</f>
        <v/>
      </c>
    </row>
    <row r="285" hidden="1">
      <c r="B285" s="80"/>
      <c r="C285" s="80"/>
      <c r="D285" s="80"/>
      <c r="E285" s="80"/>
      <c r="F285" s="82">
        <v>180.0</v>
      </c>
      <c r="G285" s="79" t="str">
        <f>IFERROR(__xludf.DUMMYFUNCTION("TRIM(REGEXREPLACE(C285, ""[0-9]+[a-f]?\."", """"))"),"")</f>
        <v/>
      </c>
      <c r="H285" s="79" t="str">
        <f>IFERROR(__xludf.DUMMYFUNCTION("TRIM(REGEXREPLACE(D285, ""[0-9]+[a-f]?\."", """"))"),"")</f>
        <v/>
      </c>
      <c r="I285" s="79" t="str">
        <f>IFERROR(__xludf.DUMMYFUNCTION("TRIM(REGEXREPLACE(E285, ""[0-9]+[a-f]?\."", """"))"),"")</f>
        <v/>
      </c>
      <c r="J285" s="79" t="s">
        <v>1707</v>
      </c>
      <c r="K285" s="79" t="s">
        <v>1708</v>
      </c>
      <c r="L285" s="79" t="s">
        <v>1709</v>
      </c>
    </row>
    <row r="286" hidden="1">
      <c r="B286" s="80"/>
      <c r="C286" s="80"/>
      <c r="D286" s="80"/>
      <c r="E286" s="80"/>
      <c r="F286" s="82">
        <v>181.0</v>
      </c>
      <c r="G286" s="79" t="str">
        <f>IFERROR(__xludf.DUMMYFUNCTION("TRIM(REGEXREPLACE(C286, ""[0-9]+[a-f]?\."", """"))"),"")</f>
        <v/>
      </c>
      <c r="H286" s="79" t="str">
        <f>IFERROR(__xludf.DUMMYFUNCTION("TRIM(REGEXREPLACE(D286, ""[0-9]+[a-f]?\."", """"))"),"")</f>
        <v/>
      </c>
      <c r="I286" s="79" t="str">
        <f>IFERROR(__xludf.DUMMYFUNCTION("TRIM(REGEXREPLACE(E286, ""[0-9]+[a-f]?\."", """"))"),"")</f>
        <v/>
      </c>
      <c r="J286" s="79" t="s">
        <v>1713</v>
      </c>
      <c r="K286" s="79" t="s">
        <v>1715</v>
      </c>
      <c r="L286" s="79" t="s">
        <v>1716</v>
      </c>
    </row>
    <row r="287">
      <c r="A287" s="79" t="s">
        <v>42</v>
      </c>
      <c r="B287" s="80" t="s">
        <v>1717</v>
      </c>
      <c r="C287" s="80" t="s">
        <v>1718</v>
      </c>
      <c r="D287" s="80" t="s">
        <v>1719</v>
      </c>
      <c r="E287" s="80" t="s">
        <v>1719</v>
      </c>
      <c r="F287" s="82">
        <v>178.0</v>
      </c>
      <c r="G287" s="79" t="str">
        <f>IFERROR(__xludf.DUMMYFUNCTION("TRIM(REGEXREPLACE(C287, ""[0-9]+[a-f]?\."", """"))"),"The next set of questions are for married women only")</f>
        <v>The next set of questions are for married women only</v>
      </c>
      <c r="H287" s="79" t="str">
        <f>IFERROR(__xludf.DUMMYFUNCTION("TRIM(REGEXREPLACE(D287, ""[0-9]+[a-f]?\."", """"))"),"")</f>
        <v/>
      </c>
      <c r="I287" s="79" t="str">
        <f>IFERROR(__xludf.DUMMYFUNCTION("TRIM(REGEXREPLACE(E287, ""[0-9]+[a-f]?\."", """"))"),"")</f>
        <v/>
      </c>
      <c r="J287" s="79" t="s">
        <v>1720</v>
      </c>
      <c r="K287" s="79" t="s">
        <v>1721</v>
      </c>
      <c r="L287" s="79" t="s">
        <v>1721</v>
      </c>
    </row>
    <row r="288">
      <c r="A288" s="79" t="s">
        <v>553</v>
      </c>
      <c r="B288" s="80" t="s">
        <v>1722</v>
      </c>
      <c r="C288" s="80" t="s">
        <v>1723</v>
      </c>
      <c r="D288" s="80" t="s">
        <v>1725</v>
      </c>
      <c r="E288" s="80" t="s">
        <v>1726</v>
      </c>
      <c r="F288" s="82">
        <v>179.0</v>
      </c>
      <c r="G288" s="79" t="str">
        <f>IFERROR(__xludf.DUMMYFUNCTION("TRIM(REGEXREPLACE(C288,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288" s="79" t="str">
        <f>IFERROR(__xludf.DUMMYFUNCTION("TRIM(REGEXREPLACE(D288,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288" s="79" t="str">
        <f>IFERROR(__xludf.DUMMYFUNCTION("TRIM(REGEXREPLACE(E288,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288" s="79" t="s">
        <v>1727</v>
      </c>
      <c r="K288" s="79" t="s">
        <v>1728</v>
      </c>
      <c r="L288" s="79" t="s">
        <v>1729</v>
      </c>
    </row>
    <row r="289">
      <c r="A289" s="79" t="s">
        <v>553</v>
      </c>
      <c r="B289" s="80" t="s">
        <v>1730</v>
      </c>
      <c r="C289" s="80" t="s">
        <v>1731</v>
      </c>
      <c r="D289" s="80" t="s">
        <v>1732</v>
      </c>
      <c r="E289" s="80" t="s">
        <v>1733</v>
      </c>
      <c r="F289" s="82">
        <v>180.0</v>
      </c>
      <c r="G289" s="79" t="str">
        <f>IFERROR(__xludf.DUMMYFUNCTION("TRIM(REGEXREPLACE(C289, ""[0-9]+[a-f]?\."", """"))"),"He is affectionnate with you")</f>
        <v>He is affectionnate with you</v>
      </c>
      <c r="H289" s="79" t="str">
        <f>IFERROR(__xludf.DUMMYFUNCTION("TRIM(REGEXREPLACE(D289, ""[0-9]+[a-f]?\."", """"))"),"Il est affectueux avec vous")</f>
        <v>Il est affectueux avec vous</v>
      </c>
      <c r="I289" s="79" t="str">
        <f>IFERROR(__xludf.DUMMYFUNCTION("TRIM(REGEXREPLACE(E289, ""[0-9]+[a-f]?\."", """"))"),"Yana nuna muku soyayya")</f>
        <v>Yana nuna muku soyayya</v>
      </c>
      <c r="J289" s="79" t="s">
        <v>1735</v>
      </c>
      <c r="K289" s="79" t="s">
        <v>1736</v>
      </c>
      <c r="L289" s="79" t="s">
        <v>1737</v>
      </c>
    </row>
    <row r="290">
      <c r="A290" s="79" t="s">
        <v>553</v>
      </c>
      <c r="B290" s="80" t="s">
        <v>1739</v>
      </c>
      <c r="C290" s="80" t="s">
        <v>1699</v>
      </c>
      <c r="D290" s="80" t="s">
        <v>1701</v>
      </c>
      <c r="E290" s="80" t="s">
        <v>1703</v>
      </c>
      <c r="F290" s="82">
        <v>181.0</v>
      </c>
      <c r="G290" s="79" t="str">
        <f>IFERROR(__xludf.DUMMYFUNCTION("TRIM(REGEXREPLACE(C290, ""[0-9]+[a-f]?\."", """"))"),"He respects you and your wishes")</f>
        <v>He respects you and your wishes</v>
      </c>
      <c r="H290" s="79" t="str">
        <f>IFERROR(__xludf.DUMMYFUNCTION("TRIM(REGEXREPLACE(D290, ""[0-9]+[a-f]?\."", """"))"),"Il vous respecte et respecte vos souhaits")</f>
        <v>Il vous respecte et respecte vos souhaits</v>
      </c>
      <c r="I290" s="79" t="str">
        <f>IFERROR(__xludf.DUMMYFUNCTION("TRIM(REGEXREPLACE(E290, ""[0-9]+[a-f]?\."", """"))"),"Yana girmama ku kuma ya na girmama buƙatuntu")</f>
        <v>Yana girmama ku kuma ya na girmama buƙatuntu</v>
      </c>
      <c r="J290" s="79" t="s">
        <v>1740</v>
      </c>
      <c r="K290" s="79" t="s">
        <v>1741</v>
      </c>
      <c r="L290" s="79" t="s">
        <v>1742</v>
      </c>
    </row>
    <row r="291" hidden="1">
      <c r="B291" s="80"/>
      <c r="C291" s="80"/>
      <c r="D291" s="80"/>
      <c r="E291" s="80"/>
      <c r="F291" s="82">
        <v>184.0</v>
      </c>
      <c r="G291" s="79" t="str">
        <f>IFERROR(__xludf.DUMMYFUNCTION("TRIM(REGEXREPLACE(C291, ""[0-9]+[a-f]?\."", """"))"),"")</f>
        <v/>
      </c>
      <c r="H291" s="79" t="str">
        <f>IFERROR(__xludf.DUMMYFUNCTION("TRIM(REGEXREPLACE(D291, ""[0-9]+[a-f]?\."", """"))"),"")</f>
        <v/>
      </c>
      <c r="I291" s="79" t="str">
        <f>IFERROR(__xludf.DUMMYFUNCTION("TRIM(REGEXREPLACE(E291, ""[0-9]+[a-f]?\."", """"))"),"")</f>
        <v/>
      </c>
      <c r="J291" s="79" t="s">
        <v>1743</v>
      </c>
      <c r="K291" s="79" t="s">
        <v>1744</v>
      </c>
      <c r="L291" s="79" t="s">
        <v>1745</v>
      </c>
    </row>
    <row r="292" hidden="1">
      <c r="B292" s="80"/>
      <c r="C292" s="80"/>
      <c r="D292" s="80"/>
      <c r="E292" s="80"/>
      <c r="F292" s="82">
        <v>185.0</v>
      </c>
      <c r="G292" s="79" t="str">
        <f>IFERROR(__xludf.DUMMYFUNCTION("TRIM(REGEXREPLACE(C292, ""[0-9]+[a-f]?\."", """"))"),"")</f>
        <v/>
      </c>
      <c r="H292" s="79" t="str">
        <f>IFERROR(__xludf.DUMMYFUNCTION("TRIM(REGEXREPLACE(D292, ""[0-9]+[a-f]?\."", """"))"),"")</f>
        <v/>
      </c>
      <c r="I292" s="79" t="str">
        <f>IFERROR(__xludf.DUMMYFUNCTION("TRIM(REGEXREPLACE(E292, ""[0-9]+[a-f]?\."", """"))"),"")</f>
        <v/>
      </c>
      <c r="J292" s="79" t="s">
        <v>1746</v>
      </c>
      <c r="K292" s="79" t="s">
        <v>1748</v>
      </c>
      <c r="L292" s="79" t="s">
        <v>1749</v>
      </c>
    </row>
    <row r="293">
      <c r="A293" s="79" t="s">
        <v>277</v>
      </c>
      <c r="B293" s="80" t="s">
        <v>1750</v>
      </c>
      <c r="C293" s="80" t="s">
        <v>1707</v>
      </c>
      <c r="D293" s="80" t="s">
        <v>1708</v>
      </c>
      <c r="E293" s="80" t="s">
        <v>1709</v>
      </c>
      <c r="F293" s="82">
        <v>182.0</v>
      </c>
      <c r="G293" s="79" t="str">
        <f>IFERROR(__xludf.DUMMYFUNCTION("TRIM(REGEXREPLACE(C293,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293" s="79" t="str">
        <f>IFERROR(__xludf.DUMMYFUNCTION("TRIM(REGEXREPLACE(D293,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293" s="79" t="str">
        <f>IFERROR(__xludf.DUMMYFUNCTION("TRIM(REGEXREPLACE(E293,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293" s="79" t="s">
        <v>1751</v>
      </c>
      <c r="K293" s="79" t="s">
        <v>1752</v>
      </c>
      <c r="L293" s="79" t="s">
        <v>1753</v>
      </c>
    </row>
    <row r="294">
      <c r="A294" s="79" t="s">
        <v>277</v>
      </c>
      <c r="B294" s="80" t="s">
        <v>1754</v>
      </c>
      <c r="C294" s="80" t="s">
        <v>1713</v>
      </c>
      <c r="D294" s="80" t="s">
        <v>1715</v>
      </c>
      <c r="E294" s="80" t="s">
        <v>1716</v>
      </c>
      <c r="F294" s="82">
        <v>183.0</v>
      </c>
      <c r="G294" s="79" t="str">
        <f>IFERROR(__xludf.DUMMYFUNCTION("TRIM(REGEXREPLACE(C294, ""[0-9]+[a-f]?\."", """"))"),"He does not trust your fidelty")</f>
        <v>He does not trust your fidelty</v>
      </c>
      <c r="H294" s="79" t="str">
        <f>IFERROR(__xludf.DUMMYFUNCTION("TRIM(REGEXREPLACE(D294, ""[0-9]+[a-f]?\."", """"))"),"Il est jaloux et vous montre qu'il n’a pas confiance en vous ?")</f>
        <v>Il est jaloux et vous montre qu'il n’a pas confiance en vous ?</v>
      </c>
      <c r="I294" s="79" t="str">
        <f>IFERROR(__xludf.DUMMYFUNCTION("TRIM(REGEXREPLACE(E294, ""[0-9]+[a-f]?\."", """"))"),"Yana zargin ku kullum da nuna rashin yarda?")</f>
        <v>Yana zargin ku kullum da nuna rashin yarda?</v>
      </c>
      <c r="J294" s="79" t="s">
        <v>1755</v>
      </c>
      <c r="K294" s="79" t="s">
        <v>1757</v>
      </c>
      <c r="L294" s="79" t="s">
        <v>1758</v>
      </c>
    </row>
    <row r="295">
      <c r="A295" s="79" t="s">
        <v>277</v>
      </c>
      <c r="B295" s="80" t="s">
        <v>1759</v>
      </c>
      <c r="C295" s="80" t="s">
        <v>1760</v>
      </c>
      <c r="D295" s="80" t="s">
        <v>1761</v>
      </c>
      <c r="E295" s="80" t="s">
        <v>1762</v>
      </c>
      <c r="F295" s="82">
        <v>184.0</v>
      </c>
      <c r="G295" s="79" t="str">
        <f>IFERROR(__xludf.DUMMYFUNCTION("TRIM(REGEXREPLACE(C295, ""[0-9]+[a-f]?\."", """"))"),"He (does/did) not permit you to meet your girl friends?")</f>
        <v>He (does/did) not permit you to meet your girl friends?</v>
      </c>
      <c r="H295" s="79" t="str">
        <f>IFERROR(__xludf.DUMMYFUNCTION("TRIM(REGEXREPLACE(D295, ""[0-9]+[a-f]?\."", """"))"),"Il ne vous a pas permis de rencontrer vos copines ?")</f>
        <v>Il ne vous a pas permis de rencontrer vos copines ?</v>
      </c>
      <c r="I295" s="79" t="str">
        <f>IFERROR(__xludf.DUMMYFUNCTION("TRIM(REGEXREPLACE(E295, ""[0-9]+[a-f]?\."", """"))"),"Bai baku izinin ganin ƙawayenku ba?")</f>
        <v>Bai baku izinin ganin ƙawayenku ba?</v>
      </c>
      <c r="J295" s="79" t="s">
        <v>1763</v>
      </c>
      <c r="K295" s="79" t="s">
        <v>1764</v>
      </c>
      <c r="L295" s="79" t="s">
        <v>1765</v>
      </c>
    </row>
    <row r="296">
      <c r="A296" s="79" t="s">
        <v>277</v>
      </c>
      <c r="B296" s="80" t="s">
        <v>1766</v>
      </c>
      <c r="C296" s="80" t="s">
        <v>1767</v>
      </c>
      <c r="D296" s="80" t="s">
        <v>1768</v>
      </c>
      <c r="E296" s="80" t="s">
        <v>1769</v>
      </c>
      <c r="F296" s="82">
        <v>185.0</v>
      </c>
      <c r="G296" s="79" t="str">
        <f>IFERROR(__xludf.DUMMYFUNCTION("TRIM(REGEXREPLACE(C296, ""[0-9]+[a-f]?\."", """"))"),"He (tries/tried) to limit your contact with your family?")</f>
        <v>He (tries/tried) to limit your contact with your family?</v>
      </c>
      <c r="H296" s="79" t="str">
        <f>IFERROR(__xludf.DUMMYFUNCTION("TRIM(REGEXREPLACE(D296, ""[0-9]+[a-f]?\."", """"))"),"Il essaie de limiter vos contacts avec votre famille ?")</f>
        <v>Il essaie de limiter vos contacts avec votre famille ?</v>
      </c>
      <c r="I296" s="79" t="str">
        <f>IFERROR(__xludf.DUMMYFUNCTION("TRIM(REGEXREPLACE(E296, ""[0-9]+[a-f]?\."", """"))"),"Ya na ƙoƙarin ya rage hulɗarku da danginku?")</f>
        <v>Ya na ƙoƙarin ya rage hulɗarku da danginku?</v>
      </c>
      <c r="J296" s="79" t="s">
        <v>1770</v>
      </c>
      <c r="K296" s="79" t="s">
        <v>1771</v>
      </c>
      <c r="L296" s="79" t="s">
        <v>1772</v>
      </c>
    </row>
    <row r="297" hidden="1">
      <c r="B297" s="80"/>
      <c r="C297" s="80"/>
      <c r="D297" s="80"/>
      <c r="E297" s="80"/>
      <c r="F297" s="82">
        <v>190.0</v>
      </c>
      <c r="G297" s="79" t="str">
        <f>IFERROR(__xludf.DUMMYFUNCTION("TRIM(REGEXREPLACE(C297, ""[0-9]+[a-f]?\."", """"))"),"")</f>
        <v/>
      </c>
      <c r="H297" s="79" t="str">
        <f>IFERROR(__xludf.DUMMYFUNCTION("TRIM(REGEXREPLACE(D297, ""[0-9]+[a-f]?\."", """"))"),"")</f>
        <v/>
      </c>
      <c r="I297" s="79" t="str">
        <f>IFERROR(__xludf.DUMMYFUNCTION("TRIM(REGEXREPLACE(E297, ""[0-9]+[a-f]?\."", """"))"),"")</f>
        <v/>
      </c>
      <c r="J297" s="79" t="s">
        <v>1776</v>
      </c>
      <c r="K297" s="79" t="s">
        <v>1777</v>
      </c>
      <c r="L297" s="79" t="s">
        <v>1778</v>
      </c>
    </row>
    <row r="298" hidden="1">
      <c r="B298" s="80"/>
      <c r="C298" s="80"/>
      <c r="D298" s="80"/>
      <c r="E298" s="80"/>
      <c r="F298" s="82">
        <v>191.0</v>
      </c>
      <c r="G298" s="79" t="str">
        <f>IFERROR(__xludf.DUMMYFUNCTION("TRIM(REGEXREPLACE(C298, ""[0-9]+[a-f]?\."", """"))"),"")</f>
        <v/>
      </c>
      <c r="H298" s="79" t="str">
        <f>IFERROR(__xludf.DUMMYFUNCTION("TRIM(REGEXREPLACE(D298, ""[0-9]+[a-f]?\."", """"))"),"")</f>
        <v/>
      </c>
      <c r="I298" s="79" t="str">
        <f>IFERROR(__xludf.DUMMYFUNCTION("TRIM(REGEXREPLACE(E298, ""[0-9]+[a-f]?\."", """"))"),"")</f>
        <v/>
      </c>
      <c r="J298" s="79" t="s">
        <v>1780</v>
      </c>
      <c r="K298" s="79" t="s">
        <v>1781</v>
      </c>
      <c r="L298" s="79" t="s">
        <v>1782</v>
      </c>
    </row>
    <row r="299">
      <c r="A299" s="79" t="s">
        <v>194</v>
      </c>
      <c r="B299" s="80" t="s">
        <v>1783</v>
      </c>
      <c r="C299" s="80" t="s">
        <v>1743</v>
      </c>
      <c r="D299" s="80" t="s">
        <v>1744</v>
      </c>
      <c r="E299" s="80" t="s">
        <v>1745</v>
      </c>
      <c r="F299" s="82">
        <v>186.0</v>
      </c>
      <c r="G299" s="79" t="str">
        <f>IFERROR(__xludf.DUMMYFUNCTION("TRIM(REGEXREPLACE(C299, ""[0-9]+[a-f]?\."", """"))"),"Now if you will permit me, I need to ask some more questions about your relationship with your husband. Does he ever?")</f>
        <v>Now if you will permit me, I need to ask some more questions about your relationship with your husband. Does he ever?</v>
      </c>
      <c r="H299" s="79" t="str">
        <f>IFERROR(__xludf.DUMMYFUNCTION("TRIM(REGEXREPLACE(D299,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299" s="79" t="str">
        <f>IFERROR(__xludf.DUMMYFUNCTION("TRIM(REGEXREPLACE(E299, ""[0-9]+[a-f]?\."", """"))"),"Yanzu idan za ki ba ni izini, Ina bukatar yin wasu tambayoyi game da dangantakarki da mijinki. Ko ya taba?")</f>
        <v>Yanzu idan za ki ba ni izini, Ina bukatar yin wasu tambayoyi game da dangantakarki da mijinki. Ko ya taba?</v>
      </c>
      <c r="J299" s="79" t="s">
        <v>1786</v>
      </c>
      <c r="K299" s="79" t="s">
        <v>1787</v>
      </c>
      <c r="L299" s="79" t="s">
        <v>1788</v>
      </c>
    </row>
    <row r="300">
      <c r="A300" s="79" t="s">
        <v>194</v>
      </c>
      <c r="B300" s="80" t="s">
        <v>1789</v>
      </c>
      <c r="C300" s="80" t="s">
        <v>1746</v>
      </c>
      <c r="D300" s="80" t="s">
        <v>1748</v>
      </c>
      <c r="E300" s="80" t="s">
        <v>1749</v>
      </c>
      <c r="F300" s="82">
        <v>187.0</v>
      </c>
      <c r="G300" s="79" t="str">
        <f>IFERROR(__xludf.DUMMYFUNCTION("TRIM(REGEXREPLACE(C300, ""[0-9]+[a-f]?\."", """"))"),"Say or do something to humiliate you in front of others")</f>
        <v>Say or do something to humiliate you in front of others</v>
      </c>
      <c r="H300" s="79" t="str">
        <f>IFERROR(__xludf.DUMMYFUNCTION("TRIM(REGEXREPLACE(D300, ""[0-9]+[a-f]?\."", """"))"),"Dit ou fait quelque chose pour vous humilier devant les autres")</f>
        <v>Dit ou fait quelque chose pour vous humilier devant les autres</v>
      </c>
      <c r="I300" s="79" t="str">
        <f>IFERROR(__xludf.DUMMYFUNCTION("TRIM(REGEXREPLACE(E300, ""[0-9]+[a-f]?\."", """"))"),"Fadi ko yin wani abu don wulaƙanta ku a gaban wasu")</f>
        <v>Fadi ko yin wani abu don wulaƙanta ku a gaban wasu</v>
      </c>
      <c r="J300" s="79" t="s">
        <v>1790</v>
      </c>
      <c r="K300" s="79" t="s">
        <v>1791</v>
      </c>
      <c r="L300" s="79" t="s">
        <v>1792</v>
      </c>
    </row>
    <row r="301">
      <c r="A301" s="79" t="s">
        <v>194</v>
      </c>
      <c r="B301" s="80" t="s">
        <v>1793</v>
      </c>
      <c r="C301" s="80" t="s">
        <v>1794</v>
      </c>
      <c r="D301" s="80" t="s">
        <v>1795</v>
      </c>
      <c r="E301" s="80" t="s">
        <v>1796</v>
      </c>
      <c r="F301" s="82">
        <v>188.0</v>
      </c>
      <c r="G301" s="79" t="str">
        <f>IFERROR(__xludf.DUMMYFUNCTION("TRIM(REGEXREPLACE(C301, ""[0-9]+[a-f]?\."", """"))"),"Threaten you or someone close to you with harm")</f>
        <v>Threaten you or someone close to you with harm</v>
      </c>
      <c r="H301" s="79" t="str">
        <f>IFERROR(__xludf.DUMMYFUNCTION("TRIM(REGEXREPLACE(D301, ""[0-9]+[a-f]?\."", """"))"),"Vous menacer vous-même ou quelqu'un proche de vous à vous faire du mal")</f>
        <v>Vous menacer vous-même ou quelqu'un proche de vous à vous faire du mal</v>
      </c>
      <c r="I301" s="79" t="str">
        <f>IFERROR(__xludf.DUMMYFUNCTION("TRIM(REGEXREPLACE(E301, ""[0-9]+[a-f]?\."", """"))"),"Yi muku barazana ko wani na kusa da ku da cutarwa")</f>
        <v>Yi muku barazana ko wani na kusa da ku da cutarwa</v>
      </c>
      <c r="J301" s="79" t="s">
        <v>1797</v>
      </c>
      <c r="K301" s="79" t="s">
        <v>1798</v>
      </c>
      <c r="L301" s="79" t="s">
        <v>1799</v>
      </c>
    </row>
    <row r="302">
      <c r="A302" s="79" t="s">
        <v>194</v>
      </c>
      <c r="B302" s="80" t="s">
        <v>1800</v>
      </c>
      <c r="C302" s="80" t="s">
        <v>1801</v>
      </c>
      <c r="D302" s="80" t="s">
        <v>1802</v>
      </c>
      <c r="E302" s="80" t="s">
        <v>1804</v>
      </c>
      <c r="F302" s="82">
        <v>189.0</v>
      </c>
      <c r="G302" s="79" t="str">
        <f>IFERROR(__xludf.DUMMYFUNCTION("TRIM(REGEXREPLACE(C302, ""[0-9]+[a-f]?\."", """"))"),"Push you shake you or throw something at you")</f>
        <v>Push you shake you or throw something at you</v>
      </c>
      <c r="H302" s="79" t="str">
        <f>IFERROR(__xludf.DUMMYFUNCTION("TRIM(REGEXREPLACE(D302, ""[0-9]+[a-f]?\."", """"))"),"Vous pousser, vous secouer ou jeter quelque chose sur vous")</f>
        <v>Vous pousser, vous secouer ou jeter quelque chose sur vous</v>
      </c>
      <c r="I302" s="79" t="str">
        <f>IFERROR(__xludf.DUMMYFUNCTION("TRIM(REGEXREPLACE(E302, ""[0-9]+[a-f]?\."", """"))"),"Tura ku girgiza ku ko jefar da wani abu bisanku")</f>
        <v>Tura ku girgiza ku ko jefar da wani abu bisanku</v>
      </c>
      <c r="J302" s="79" t="s">
        <v>1805</v>
      </c>
      <c r="K302" s="79" t="s">
        <v>1807</v>
      </c>
      <c r="L302" s="79" t="s">
        <v>1808</v>
      </c>
    </row>
    <row r="303">
      <c r="A303" s="79" t="s">
        <v>194</v>
      </c>
      <c r="B303" s="80" t="s">
        <v>1809</v>
      </c>
      <c r="C303" s="80" t="s">
        <v>1810</v>
      </c>
      <c r="D303" s="80" t="s">
        <v>1811</v>
      </c>
      <c r="E303" s="80" t="s">
        <v>1812</v>
      </c>
      <c r="F303" s="82">
        <v>190.0</v>
      </c>
      <c r="G303" s="79" t="str">
        <f>IFERROR(__xludf.DUMMYFUNCTION("TRIM(REGEXREPLACE(C303, ""[0-9]+[a-f]?\."", """"))"),"Slap you or twist your arm")</f>
        <v>Slap you or twist your arm</v>
      </c>
      <c r="H303" s="79" t="str">
        <f>IFERROR(__xludf.DUMMYFUNCTION("TRIM(REGEXREPLACE(D303, ""[0-9]+[a-f]?\."", """"))"),"Vous gifler ou vous tordre le bras")</f>
        <v>Vous gifler ou vous tordre le bras</v>
      </c>
      <c r="I303" s="79" t="str">
        <f>IFERROR(__xludf.DUMMYFUNCTION("TRIM(REGEXREPLACE(E303, ""[0-9]+[a-f]?\."", """"))"),"Mari ko murɗa hannunku")</f>
        <v>Mari ko murɗa hannunku</v>
      </c>
      <c r="J303" s="79" t="s">
        <v>1814</v>
      </c>
      <c r="K303" s="79" t="s">
        <v>1815</v>
      </c>
      <c r="L303" s="79" t="s">
        <v>1816</v>
      </c>
    </row>
    <row r="304">
      <c r="A304" s="79" t="s">
        <v>194</v>
      </c>
      <c r="B304" s="80" t="s">
        <v>1817</v>
      </c>
      <c r="C304" s="80" t="s">
        <v>1818</v>
      </c>
      <c r="D304" s="80" t="s">
        <v>1819</v>
      </c>
      <c r="E304" s="80" t="s">
        <v>1820</v>
      </c>
      <c r="F304" s="82">
        <v>191.0</v>
      </c>
      <c r="G304" s="79" t="str">
        <f>IFERROR(__xludf.DUMMYFUNCTION("TRIM(REGEXREPLACE(C304, ""[0-9]+[a-f]?\."", """"))"),"Punch you with his fist or with something that could hurt you")</f>
        <v>Punch you with his fist or with something that could hurt you</v>
      </c>
      <c r="H304" s="79" t="str">
        <f>IFERROR(__xludf.DUMMYFUNCTION("TRIM(REGEXREPLACE(D304, ""[0-9]+[a-f]?\."", """"))"),"Vous frapper avec son poing ou avec quelque chose qui pourrait vous blesser")</f>
        <v>Vous frapper avec son poing ou avec quelque chose qui pourrait vous blesser</v>
      </c>
      <c r="I304" s="79" t="str">
        <f>IFERROR(__xludf.DUMMYFUNCTION("TRIM(REGEXREPLACE(E304, ""[0-9]+[a-f]?\."", """"))"),"Yi muku naushi da hannu ko da wani abu da zai iya cutar da ku")</f>
        <v>Yi muku naushi da hannu ko da wani abu da zai iya cutar da ku</v>
      </c>
      <c r="J304" s="79" t="s">
        <v>1821</v>
      </c>
      <c r="K304" s="79" t="s">
        <v>1822</v>
      </c>
      <c r="L304" s="79" t="s">
        <v>1823</v>
      </c>
    </row>
    <row r="305">
      <c r="A305" s="79" t="s">
        <v>194</v>
      </c>
      <c r="B305" s="80" t="s">
        <v>1825</v>
      </c>
      <c r="C305" s="80" t="s">
        <v>1776</v>
      </c>
      <c r="D305" s="80" t="s">
        <v>1777</v>
      </c>
      <c r="E305" s="80" t="s">
        <v>1778</v>
      </c>
      <c r="F305" s="82">
        <v>192.0</v>
      </c>
      <c r="G305" s="79" t="str">
        <f>IFERROR(__xludf.DUMMYFUNCTION("TRIM(REGEXREPLACE(C305, ""[0-9]+[a-f]?\."", """"))"),"Kick you or drag you")</f>
        <v>Kick you or drag you</v>
      </c>
      <c r="H305" s="79" t="str">
        <f>IFERROR(__xludf.DUMMYFUNCTION("TRIM(REGEXREPLACE(D305, ""[0-9]+[a-f]?\."", """"))"),"Vous donner un coup de pied ou vous traîner")</f>
        <v>Vous donner un coup de pied ou vous traîner</v>
      </c>
      <c r="I305" s="79" t="str">
        <f>IFERROR(__xludf.DUMMYFUNCTION("TRIM(REGEXREPLACE(E305, ""[0-9]+[a-f]?\."", """"))"),"Habre ku ko jan ku")</f>
        <v>Habre ku ko jan ku</v>
      </c>
      <c r="J305" s="79" t="s">
        <v>1826</v>
      </c>
      <c r="K305" s="79" t="s">
        <v>1827</v>
      </c>
      <c r="L305" s="79" t="s">
        <v>1828</v>
      </c>
    </row>
    <row r="306">
      <c r="A306" s="79" t="s">
        <v>194</v>
      </c>
      <c r="B306" s="80" t="s">
        <v>1829</v>
      </c>
      <c r="C306" s="80" t="s">
        <v>1780</v>
      </c>
      <c r="D306" s="80" t="s">
        <v>1781</v>
      </c>
      <c r="E306" s="80" t="s">
        <v>1782</v>
      </c>
      <c r="F306" s="82">
        <v>193.0</v>
      </c>
      <c r="G306" s="79" t="str">
        <f>IFERROR(__xludf.DUMMYFUNCTION("TRIM(REGEXREPLACE(C306, ""[0-9]+[a-f]?\."", """"))"),"Try to strangle you or burn you")</f>
        <v>Try to strangle you or burn you</v>
      </c>
      <c r="H306" s="79" t="str">
        <f>IFERROR(__xludf.DUMMYFUNCTION("TRIM(REGEXREPLACE(D306, ""[0-9]+[a-f]?\."", """"))"),"Essayer de vous étrangler ou de vous brûler")</f>
        <v>Essayer de vous étrangler ou de vous brûler</v>
      </c>
      <c r="I306" s="79" t="str">
        <f>IFERROR(__xludf.DUMMYFUNCTION("TRIM(REGEXREPLACE(E306, ""[0-9]+[a-f]?\."", """"))"),"Yi ƙoƙarin shake ku ko kona ku")</f>
        <v>Yi ƙoƙarin shake ku ko kona ku</v>
      </c>
      <c r="J306" s="79" t="s">
        <v>1831</v>
      </c>
      <c r="K306" s="79" t="s">
        <v>1832</v>
      </c>
      <c r="L306" s="79" t="s">
        <v>1833</v>
      </c>
    </row>
    <row r="307">
      <c r="A307" s="79" t="s">
        <v>194</v>
      </c>
      <c r="B307" s="80" t="s">
        <v>1834</v>
      </c>
      <c r="C307" s="80" t="s">
        <v>1835</v>
      </c>
      <c r="D307" s="80" t="s">
        <v>1837</v>
      </c>
      <c r="E307" s="80" t="s">
        <v>1838</v>
      </c>
      <c r="F307" s="82">
        <v>194.0</v>
      </c>
      <c r="G307" s="79" t="str">
        <f>IFERROR(__xludf.DUMMYFUNCTION("TRIM(REGEXREPLACE(C307, ""[0-9]+[a-f]?\."", """"))"),"threaten you with a knife, gun, or other type of weapon")</f>
        <v>threaten you with a knife, gun, or other type of weapon</v>
      </c>
      <c r="H307" s="79" t="str">
        <f>IFERROR(__xludf.DUMMYFUNCTION("TRIM(REGEXREPLACE(D307, ""[0-9]+[a-f]?\."", """"))"),"Vous menacer avec un couteau, une arme à feu ou tout autre type d'arme")</f>
        <v>Vous menacer avec un couteau, une arme à feu ou tout autre type d'arme</v>
      </c>
      <c r="I307" s="79" t="str">
        <f>IFERROR(__xludf.DUMMYFUNCTION("TRIM(REGEXREPLACE(E307, ""[0-9]+[a-f]?\."", """"))"),"yi muku barazana da wuka, bindiga, ko wani makami daban")</f>
        <v>yi muku barazana da wuka, bindiga, ko wani makami daban</v>
      </c>
      <c r="J307" s="79" t="s">
        <v>1839</v>
      </c>
      <c r="K307" s="79" t="s">
        <v>1840</v>
      </c>
      <c r="L307" s="79" t="s">
        <v>1841</v>
      </c>
    </row>
    <row r="308">
      <c r="A308" s="79" t="s">
        <v>194</v>
      </c>
      <c r="B308" s="80" t="s">
        <v>1842</v>
      </c>
      <c r="C308" s="80" t="s">
        <v>1843</v>
      </c>
      <c r="D308" s="80" t="s">
        <v>1844</v>
      </c>
      <c r="E308" s="80" t="s">
        <v>1845</v>
      </c>
      <c r="F308" s="82">
        <v>195.0</v>
      </c>
      <c r="G308" s="79" t="str">
        <f>IFERROR(__xludf.DUMMYFUNCTION("TRIM(REGEXREPLACE(C308, ""[0-9]+[a-f]?\."", """"))"),"attack you with a knife, gun, or other type of weapon")</f>
        <v>attack you with a knife, gun, or other type of weapon</v>
      </c>
      <c r="H308" s="79" t="str">
        <f>IFERROR(__xludf.DUMMYFUNCTION("TRIM(REGEXREPLACE(D308, ""[0-9]+[a-f]?\."", """"))"),"Vous attaquer avec un couteau, une arme à feu ou tout autre type d'arme")</f>
        <v>Vous attaquer avec un couteau, une arme à feu ou tout autre type d'arme</v>
      </c>
      <c r="I308" s="79" t="str">
        <f>IFERROR(__xludf.DUMMYFUNCTION("TRIM(REGEXREPLACE(E308, ""[0-9]+[a-f]?\."", """"))"),"Kawo muku hari da wuka, bindiga, ko wani makami daban")</f>
        <v>Kawo muku hari da wuka, bindiga, ko wani makami daban</v>
      </c>
      <c r="J308" s="79" t="s">
        <v>1846</v>
      </c>
      <c r="K308" s="79" t="s">
        <v>1847</v>
      </c>
      <c r="L308" s="79" t="s">
        <v>1848</v>
      </c>
    </row>
    <row r="309">
      <c r="A309" s="79" t="s">
        <v>194</v>
      </c>
      <c r="B309" s="80" t="s">
        <v>1849</v>
      </c>
      <c r="C309" s="80" t="s">
        <v>1850</v>
      </c>
      <c r="D309" s="80" t="s">
        <v>1851</v>
      </c>
      <c r="E309" s="80" t="s">
        <v>1852</v>
      </c>
      <c r="F309" s="82">
        <v>196.0</v>
      </c>
      <c r="G309" s="79" t="str">
        <f>IFERROR(__xludf.DUMMYFUNCTION("TRIM(REGEXREPLACE(C309, ""[0-9]+[a-f]?\."", """"))"),"force you to perform sexual actswith him even when you did not want to")</f>
        <v>force you to perform sexual actswith him even when you did not want to</v>
      </c>
      <c r="H309" s="79" t="str">
        <f>IFERROR(__xludf.DUMMYFUNCTION("TRIM(REGEXREPLACE(D309, ""[0-9]+[a-f]?\."", """"))"),"vous forcer à accomplir des actes sexuels avec lui même lorsque vous ne le vouliez pas")</f>
        <v>vous forcer à accomplir des actes sexuels avec lui même lorsque vous ne le vouliez pas</v>
      </c>
      <c r="I309" s="79" t="str">
        <f>IFERROR(__xludf.DUMMYFUNCTION("TRIM(REGEXREPLACE(E309, ""[0-9]+[a-f]?\."", """"))"),"tilasta muku ka yin jima'i da shi ko da ba ki da buƙata")</f>
        <v>tilasta muku ka yin jima'i da shi ko da ba ki da buƙata</v>
      </c>
      <c r="J309" s="79" t="s">
        <v>1855</v>
      </c>
      <c r="K309" s="79" t="s">
        <v>1856</v>
      </c>
      <c r="L309" s="79" t="s">
        <v>1857</v>
      </c>
    </row>
    <row r="310" hidden="1">
      <c r="B310" s="80"/>
      <c r="C310" s="80"/>
      <c r="D310" s="80"/>
      <c r="E310" s="80"/>
      <c r="F310" s="82">
        <v>153.0</v>
      </c>
      <c r="G310" s="79" t="str">
        <f>IFERROR(__xludf.DUMMYFUNCTION("TRIM(REGEXREPLACE(C310, ""[0-9]+[a-f]?\."", """"))"),"")</f>
        <v/>
      </c>
      <c r="H310" s="79" t="str">
        <f>IFERROR(__xludf.DUMMYFUNCTION("TRIM(REGEXREPLACE(D310, ""[0-9]+[a-f]?\."", """"))"),"")</f>
        <v/>
      </c>
      <c r="I310" s="79" t="str">
        <f>IFERROR(__xludf.DUMMYFUNCTION("TRIM(REGEXREPLACE(E310, ""[0-9]+[a-f]?\."", """"))"),"")</f>
        <v/>
      </c>
      <c r="J310" s="79" t="s">
        <v>1859</v>
      </c>
      <c r="K310" s="79" t="s">
        <v>1860</v>
      </c>
      <c r="L310" s="79" t="s">
        <v>1861</v>
      </c>
    </row>
    <row r="311" hidden="1">
      <c r="B311" s="80"/>
      <c r="C311" s="80"/>
      <c r="D311" s="80"/>
      <c r="E311" s="80"/>
      <c r="F311" s="82">
        <v>154.0</v>
      </c>
      <c r="G311" s="79" t="str">
        <f>IFERROR(__xludf.DUMMYFUNCTION("TRIM(REGEXREPLACE(C311, ""[0-9]+[a-f]?\."", """"))"),"")</f>
        <v/>
      </c>
      <c r="H311" s="79" t="str">
        <f>IFERROR(__xludf.DUMMYFUNCTION("TRIM(REGEXREPLACE(D311, ""[0-9]+[a-f]?\."", """"))"),"")</f>
        <v/>
      </c>
      <c r="I311" s="79" t="str">
        <f>IFERROR(__xludf.DUMMYFUNCTION("TRIM(REGEXREPLACE(E311, ""[0-9]+[a-f]?\."", """"))"),"")</f>
        <v/>
      </c>
      <c r="J311" s="79" t="s">
        <v>1863</v>
      </c>
      <c r="K311" s="79" t="s">
        <v>1864</v>
      </c>
      <c r="L311" s="79" t="s">
        <v>1865</v>
      </c>
    </row>
    <row r="312">
      <c r="A312" s="79" t="s">
        <v>42</v>
      </c>
      <c r="B312" s="80" t="s">
        <v>1867</v>
      </c>
      <c r="C312" s="80" t="s">
        <v>1868</v>
      </c>
      <c r="D312" s="80" t="s">
        <v>1869</v>
      </c>
      <c r="E312" s="80" t="s">
        <v>1870</v>
      </c>
      <c r="F312" s="82">
        <v>197.0</v>
      </c>
      <c r="G312" s="79" t="str">
        <f>IFERROR(__xludf.DUMMYFUNCTION("TRIM(REGEXREPLACE(C312, ""[0-9]+[a-f]?\."", """"))"),"Enumerator: THANK THE RESPONDENT FOR HER COOPERATION AND REASSURE HER ABOUT THE CONFIDENTIALITY OF HER ANSWERS.")</f>
        <v>Enumerator: THANK THE RESPONDENT FOR HER COOPERATION AND REASSURE HER ABOUT THE CONFIDENTIALITY OF HER ANSWERS.</v>
      </c>
      <c r="H312" s="79" t="str">
        <f>IFERROR(__xludf.DUMMYFUNCTION("TRIM(REGEXREPLACE(D312, ""[0-9]+[a-f]?\."", """"))"),"Enquêteur : REMERCIER LA RÉPONDANTE POUR SA COOPÉRATION ET LA RASSURER SUR LA CONFIDENTIALITÉ DE SES RÉPONSES.")</f>
        <v>Enquêteur : REMERCIER LA RÉPONDANTE POUR SA COOPÉRATION ET LA RASSURER SUR LA CONFIDENTIALITÉ DE SES RÉPONSES.</v>
      </c>
      <c r="I312" s="79" t="str">
        <f>IFERROR(__xludf.DUMMYFUNCTION("TRIM(REGEXREPLACE(E312, ""[0-9]+[a-f]?\."", """"))"),"Ɗan bincike: Ka gode wa mai bada amsa bisa haɗin kai da kuma ka tabbatar mata game da kiyaye SIRRIN HIRAR A KA YI DA ITA.")</f>
        <v>Ɗan bincike: Ka gode wa mai bada amsa bisa haɗin kai da kuma ka tabbatar mata game da kiyaye SIRRIN HIRAR A KA YI DA ITA.</v>
      </c>
      <c r="J312" s="79" t="s">
        <v>1871</v>
      </c>
      <c r="K312" s="79" t="s">
        <v>1872</v>
      </c>
      <c r="L312" s="79" t="s">
        <v>1873</v>
      </c>
    </row>
    <row r="313" hidden="1">
      <c r="B313" s="80"/>
      <c r="C313" s="80"/>
      <c r="D313" s="80"/>
      <c r="E313" s="80"/>
      <c r="F313" s="82">
        <v>155.0</v>
      </c>
      <c r="G313" s="79" t="str">
        <f>IFERROR(__xludf.DUMMYFUNCTION("TRIM(REGEXREPLACE(C313, ""[0-9]+[a-f]?\."", """"))"),"")</f>
        <v/>
      </c>
      <c r="H313" s="79" t="str">
        <f>IFERROR(__xludf.DUMMYFUNCTION("TRIM(REGEXREPLACE(D313, ""[0-9]+[a-f]?\."", """"))"),"")</f>
        <v/>
      </c>
      <c r="I313" s="79" t="str">
        <f>IFERROR(__xludf.DUMMYFUNCTION("TRIM(REGEXREPLACE(E313, ""[0-9]+[a-f]?\."", """"))"),"")</f>
        <v/>
      </c>
      <c r="J313" s="79" t="s">
        <v>1876</v>
      </c>
      <c r="K313" s="79" t="s">
        <v>1877</v>
      </c>
      <c r="L313" s="79" t="s">
        <v>1878</v>
      </c>
    </row>
    <row r="314" hidden="1">
      <c r="B314" s="80"/>
      <c r="C314" s="80"/>
      <c r="D314" s="80"/>
      <c r="E314" s="80"/>
      <c r="F314" s="82">
        <v>156.0</v>
      </c>
      <c r="G314" s="79" t="str">
        <f>IFERROR(__xludf.DUMMYFUNCTION("TRIM(REGEXREPLACE(C314, ""[0-9]+[a-f]?\."", """"))"),"")</f>
        <v/>
      </c>
      <c r="H314" s="79" t="str">
        <f>IFERROR(__xludf.DUMMYFUNCTION("TRIM(REGEXREPLACE(D314, ""[0-9]+[a-f]?\."", """"))"),"")</f>
        <v/>
      </c>
      <c r="I314" s="79" t="str">
        <f>IFERROR(__xludf.DUMMYFUNCTION("TRIM(REGEXREPLACE(E314, ""[0-9]+[a-f]?\."", """"))"),"")</f>
        <v/>
      </c>
      <c r="J314" s="79" t="s">
        <v>1880</v>
      </c>
      <c r="K314" s="79" t="s">
        <v>1881</v>
      </c>
      <c r="L314" s="79" t="s">
        <v>1882</v>
      </c>
    </row>
    <row r="315" hidden="1">
      <c r="B315" s="80"/>
      <c r="C315" s="80"/>
      <c r="D315" s="80"/>
      <c r="E315" s="80"/>
      <c r="F315" s="82">
        <v>157.0</v>
      </c>
      <c r="G315" s="79" t="str">
        <f>IFERROR(__xludf.DUMMYFUNCTION("TRIM(REGEXREPLACE(C315, ""[0-9]+[a-f]?\."", """"))"),"")</f>
        <v/>
      </c>
      <c r="H315" s="79" t="str">
        <f>IFERROR(__xludf.DUMMYFUNCTION("TRIM(REGEXREPLACE(D315, ""[0-9]+[a-f]?\."", """"))"),"")</f>
        <v/>
      </c>
      <c r="I315" s="79" t="str">
        <f>IFERROR(__xludf.DUMMYFUNCTION("TRIM(REGEXREPLACE(E315, ""[0-9]+[a-f]?\."", """"))"),"")</f>
        <v/>
      </c>
      <c r="J315" s="79" t="s">
        <v>1883</v>
      </c>
      <c r="K315" s="79" t="s">
        <v>1884</v>
      </c>
      <c r="L315" s="79" t="s">
        <v>1885</v>
      </c>
    </row>
    <row r="316" hidden="1">
      <c r="B316" s="80"/>
      <c r="C316" s="80"/>
      <c r="D316" s="80"/>
      <c r="E316" s="80"/>
      <c r="F316" s="82">
        <v>158.0</v>
      </c>
      <c r="G316" s="79" t="str">
        <f>IFERROR(__xludf.DUMMYFUNCTION("TRIM(REGEXREPLACE(C316, ""[0-9]+[a-f]?\."", """"))"),"")</f>
        <v/>
      </c>
      <c r="H316" s="79" t="str">
        <f>IFERROR(__xludf.DUMMYFUNCTION("TRIM(REGEXREPLACE(D316, ""[0-9]+[a-f]?\."", """"))"),"")</f>
        <v/>
      </c>
      <c r="I316" s="79" t="str">
        <f>IFERROR(__xludf.DUMMYFUNCTION("TRIM(REGEXREPLACE(E316, ""[0-9]+[a-f]?\."", """"))"),"")</f>
        <v/>
      </c>
      <c r="J316" s="79" t="s">
        <v>1886</v>
      </c>
      <c r="K316" s="79" t="s">
        <v>1887</v>
      </c>
      <c r="L316" s="79" t="s">
        <v>1888</v>
      </c>
    </row>
    <row r="317" hidden="1">
      <c r="B317" s="80"/>
      <c r="C317" s="80"/>
      <c r="D317" s="80"/>
      <c r="E317" s="80"/>
      <c r="F317" s="82">
        <v>159.0</v>
      </c>
      <c r="G317" s="79" t="str">
        <f>IFERROR(__xludf.DUMMYFUNCTION("TRIM(REGEXREPLACE(C317, ""[0-9]+[a-f]?\."", """"))"),"")</f>
        <v/>
      </c>
      <c r="H317" s="79" t="str">
        <f>IFERROR(__xludf.DUMMYFUNCTION("TRIM(REGEXREPLACE(D317, ""[0-9]+[a-f]?\."", """"))"),"")</f>
        <v/>
      </c>
      <c r="I317" s="79" t="str">
        <f>IFERROR(__xludf.DUMMYFUNCTION("TRIM(REGEXREPLACE(E317, ""[0-9]+[a-f]?\."", """"))"),"")</f>
        <v/>
      </c>
      <c r="J317" s="79" t="s">
        <v>1890</v>
      </c>
      <c r="K317" s="79" t="s">
        <v>1891</v>
      </c>
      <c r="L317" s="79" t="s">
        <v>1892</v>
      </c>
    </row>
    <row r="318" hidden="1">
      <c r="B318" s="80"/>
      <c r="C318" s="80"/>
      <c r="D318" s="80"/>
      <c r="E318" s="80"/>
      <c r="F318" s="82">
        <v>195.0</v>
      </c>
      <c r="G318" s="79" t="str">
        <f>IFERROR(__xludf.DUMMYFUNCTION("TRIM(REGEXREPLACE(C318, ""[0-9]+[a-f]?\."", """"))"),"")</f>
        <v/>
      </c>
      <c r="H318" s="79" t="str">
        <f>IFERROR(__xludf.DUMMYFUNCTION("TRIM(REGEXREPLACE(D318, ""[0-9]+[a-f]?\."", """"))"),"")</f>
        <v/>
      </c>
      <c r="I318" s="79" t="str">
        <f>IFERROR(__xludf.DUMMYFUNCTION("TRIM(REGEXREPLACE(E318, ""[0-9]+[a-f]?\."", """"))"),"")</f>
        <v/>
      </c>
    </row>
    <row r="319" hidden="1">
      <c r="B319" s="80"/>
      <c r="C319" s="80"/>
      <c r="D319" s="80"/>
      <c r="E319" s="80"/>
      <c r="F319" s="82">
        <v>196.0</v>
      </c>
      <c r="G319" s="79" t="str">
        <f>IFERROR(__xludf.DUMMYFUNCTION("TRIM(REGEXREPLACE(C319, ""[0-9]+[a-f]?\."", """"))"),"")</f>
        <v/>
      </c>
      <c r="H319" s="79" t="str">
        <f>IFERROR(__xludf.DUMMYFUNCTION("TRIM(REGEXREPLACE(D319, ""[0-9]+[a-f]?\."", """"))"),"")</f>
        <v/>
      </c>
      <c r="I319" s="79" t="str">
        <f>IFERROR(__xludf.DUMMYFUNCTION("TRIM(REGEXREPLACE(E319, ""[0-9]+[a-f]?\."", """"))"),"")</f>
        <v/>
      </c>
    </row>
    <row r="320">
      <c r="A320" s="79" t="s">
        <v>42</v>
      </c>
      <c r="B320" s="80" t="s">
        <v>1893</v>
      </c>
      <c r="C320" s="80" t="s">
        <v>1894</v>
      </c>
      <c r="D320" s="80" t="s">
        <v>1895</v>
      </c>
      <c r="E320" s="80" t="s">
        <v>1895</v>
      </c>
      <c r="F320" s="82">
        <v>198.0</v>
      </c>
      <c r="G320" s="79" t="str">
        <f>IFERROR(__xludf.DUMMYFUNCTION("TRIM(REGEXREPLACE(C320, ""[0-9]+[a-f]?\."", """"))"),"HoH Questions")</f>
        <v>HoH Questions</v>
      </c>
      <c r="H320" s="79" t="str">
        <f>IFERROR(__xludf.DUMMYFUNCTION("TRIM(REGEXREPLACE(D320, ""[0-9]+[a-f]?\."", """"))"),"")</f>
        <v/>
      </c>
      <c r="I320" s="79" t="str">
        <f>IFERROR(__xludf.DUMMYFUNCTION("TRIM(REGEXREPLACE(E320, ""[0-9]+[a-f]?\."", """"))"),"")</f>
        <v/>
      </c>
      <c r="J320" s="79" t="s">
        <v>1896</v>
      </c>
      <c r="K320" s="79" t="s">
        <v>1897</v>
      </c>
      <c r="L320" s="79" t="s">
        <v>1897</v>
      </c>
    </row>
    <row r="321" hidden="1">
      <c r="B321" s="80"/>
      <c r="C321" s="80"/>
      <c r="D321" s="80"/>
      <c r="E321" s="80"/>
      <c r="F321" s="82">
        <v>162.0</v>
      </c>
      <c r="G321" s="79" t="str">
        <f>IFERROR(__xludf.DUMMYFUNCTION("TRIM(REGEXREPLACE(C321, ""[0-9]+[a-f]?\."", """"))"),"")</f>
        <v/>
      </c>
      <c r="H321" s="79" t="str">
        <f>IFERROR(__xludf.DUMMYFUNCTION("TRIM(REGEXREPLACE(D321, ""[0-9]+[a-f]?\."", """"))"),"")</f>
        <v/>
      </c>
      <c r="I321" s="79" t="str">
        <f>IFERROR(__xludf.DUMMYFUNCTION("TRIM(REGEXREPLACE(E321, ""[0-9]+[a-f]?\."", """"))"),"")</f>
        <v/>
      </c>
      <c r="J321" s="79" t="s">
        <v>1899</v>
      </c>
      <c r="K321" s="79" t="s">
        <v>1900</v>
      </c>
      <c r="L321" s="79" t="s">
        <v>1901</v>
      </c>
    </row>
    <row r="322" hidden="1">
      <c r="B322" s="80"/>
      <c r="C322" s="80"/>
      <c r="D322" s="80"/>
      <c r="E322" s="80"/>
      <c r="F322" s="82">
        <v>197.0</v>
      </c>
      <c r="G322" s="79" t="str">
        <f>IFERROR(__xludf.DUMMYFUNCTION("TRIM(REGEXREPLACE(C322, ""[0-9]+[a-f]?\."", """"))"),"")</f>
        <v/>
      </c>
      <c r="H322" s="79" t="str">
        <f>IFERROR(__xludf.DUMMYFUNCTION("TRIM(REGEXREPLACE(D322, ""[0-9]+[a-f]?\."", """"))"),"")</f>
        <v/>
      </c>
      <c r="I322" s="79" t="str">
        <f>IFERROR(__xludf.DUMMYFUNCTION("TRIM(REGEXREPLACE(E322, ""[0-9]+[a-f]?\."", """"))"),"")</f>
        <v/>
      </c>
      <c r="J322" s="79" t="s">
        <v>1902</v>
      </c>
      <c r="K322" s="79" t="s">
        <v>1903</v>
      </c>
      <c r="L322" s="79" t="s">
        <v>1904</v>
      </c>
    </row>
    <row r="323" hidden="1">
      <c r="B323" s="80"/>
      <c r="C323" s="80"/>
      <c r="D323" s="80"/>
      <c r="E323" s="80"/>
      <c r="F323" s="82">
        <v>198.0</v>
      </c>
      <c r="G323" s="79" t="str">
        <f>IFERROR(__xludf.DUMMYFUNCTION("TRIM(REGEXREPLACE(C323, ""[0-9]+[a-f]?\."", """"))"),"")</f>
        <v/>
      </c>
      <c r="H323" s="79" t="str">
        <f>IFERROR(__xludf.DUMMYFUNCTION("TRIM(REGEXREPLACE(D323, ""[0-9]+[a-f]?\."", """"))"),"")</f>
        <v/>
      </c>
      <c r="I323" s="79" t="str">
        <f>IFERROR(__xludf.DUMMYFUNCTION("TRIM(REGEXREPLACE(E323, ""[0-9]+[a-f]?\."", """"))"),"")</f>
        <v/>
      </c>
      <c r="J323" s="79" t="s">
        <v>1905</v>
      </c>
      <c r="K323" s="79" t="s">
        <v>1906</v>
      </c>
      <c r="L323" s="79" t="s">
        <v>1907</v>
      </c>
    </row>
    <row r="324" hidden="1">
      <c r="B324" s="80"/>
      <c r="C324" s="80"/>
      <c r="D324" s="80"/>
      <c r="E324" s="80"/>
      <c r="F324" s="82">
        <v>199.0</v>
      </c>
      <c r="G324" s="79" t="str">
        <f>IFERROR(__xludf.DUMMYFUNCTION("TRIM(REGEXREPLACE(C324, ""[0-9]+[a-f]?\."", """"))"),"")</f>
        <v/>
      </c>
      <c r="H324" s="79" t="str">
        <f>IFERROR(__xludf.DUMMYFUNCTION("TRIM(REGEXREPLACE(D324, ""[0-9]+[a-f]?\."", """"))"),"")</f>
        <v/>
      </c>
      <c r="I324" s="79" t="str">
        <f>IFERROR(__xludf.DUMMYFUNCTION("TRIM(REGEXREPLACE(E324, ""[0-9]+[a-f]?\."", """"))"),"")</f>
        <v/>
      </c>
      <c r="J324" s="79" t="s">
        <v>1908</v>
      </c>
      <c r="K324" s="79" t="s">
        <v>1909</v>
      </c>
      <c r="L324" s="79" t="s">
        <v>1910</v>
      </c>
    </row>
    <row r="325" hidden="1">
      <c r="B325" s="80"/>
      <c r="C325" s="80"/>
      <c r="D325" s="80"/>
      <c r="E325" s="80"/>
      <c r="F325" s="82">
        <v>166.0</v>
      </c>
      <c r="G325" s="79" t="str">
        <f>IFERROR(__xludf.DUMMYFUNCTION("TRIM(REGEXREPLACE(C325, ""[0-9]+[a-f]?\."", """"))"),"")</f>
        <v/>
      </c>
      <c r="H325" s="79" t="str">
        <f>IFERROR(__xludf.DUMMYFUNCTION("TRIM(REGEXREPLACE(D325, ""[0-9]+[a-f]?\."", """"))"),"")</f>
        <v/>
      </c>
      <c r="I325" s="79" t="str">
        <f>IFERROR(__xludf.DUMMYFUNCTION("TRIM(REGEXREPLACE(E325, ""[0-9]+[a-f]?\."", """"))"),"")</f>
        <v/>
      </c>
      <c r="J325" s="79" t="s">
        <v>1912</v>
      </c>
      <c r="K325" s="79" t="s">
        <v>1913</v>
      </c>
      <c r="L325" s="79" t="s">
        <v>1914</v>
      </c>
    </row>
    <row r="326" hidden="1">
      <c r="B326" s="80"/>
      <c r="C326" s="80"/>
      <c r="D326" s="80"/>
      <c r="E326" s="80"/>
      <c r="F326" s="82">
        <v>167.0</v>
      </c>
      <c r="G326" s="79" t="str">
        <f>IFERROR(__xludf.DUMMYFUNCTION("TRIM(REGEXREPLACE(C326, ""[0-9]+[a-f]?\."", """"))"),"")</f>
        <v/>
      </c>
      <c r="H326" s="79" t="str">
        <f>IFERROR(__xludf.DUMMYFUNCTION("TRIM(REGEXREPLACE(D326, ""[0-9]+[a-f]?\."", """"))"),"")</f>
        <v/>
      </c>
      <c r="I326" s="79" t="str">
        <f>IFERROR(__xludf.DUMMYFUNCTION("TRIM(REGEXREPLACE(E326, ""[0-9]+[a-f]?\."", """"))"),"")</f>
        <v/>
      </c>
      <c r="J326" s="79" t="s">
        <v>1915</v>
      </c>
      <c r="K326" s="79" t="s">
        <v>1916</v>
      </c>
      <c r="L326" s="79" t="s">
        <v>1917</v>
      </c>
    </row>
    <row r="327" hidden="1">
      <c r="B327" s="80"/>
      <c r="C327" s="80"/>
      <c r="D327" s="80"/>
      <c r="E327" s="80"/>
      <c r="F327" s="82">
        <v>168.0</v>
      </c>
      <c r="G327" s="79" t="str">
        <f>IFERROR(__xludf.DUMMYFUNCTION("TRIM(REGEXREPLACE(C327, ""[0-9]+[a-f]?\."", """"))"),"")</f>
        <v/>
      </c>
      <c r="H327" s="79" t="str">
        <f>IFERROR(__xludf.DUMMYFUNCTION("TRIM(REGEXREPLACE(D327, ""[0-9]+[a-f]?\."", """"))"),"")</f>
        <v/>
      </c>
      <c r="I327" s="79" t="str">
        <f>IFERROR(__xludf.DUMMYFUNCTION("TRIM(REGEXREPLACE(E327, ""[0-9]+[a-f]?\."", """"))"),"")</f>
        <v/>
      </c>
      <c r="J327" s="79" t="s">
        <v>1918</v>
      </c>
      <c r="K327" s="79" t="s">
        <v>1919</v>
      </c>
      <c r="L327" s="79" t="s">
        <v>1920</v>
      </c>
    </row>
    <row r="328" hidden="1">
      <c r="B328" s="80"/>
      <c r="C328" s="80"/>
      <c r="D328" s="80"/>
      <c r="E328" s="80"/>
      <c r="F328" s="82">
        <v>198.0</v>
      </c>
      <c r="G328" s="79" t="str">
        <f>IFERROR(__xludf.DUMMYFUNCTION("TRIM(REGEXREPLACE(C328, ""[0-9]+[a-f]?\."", """"))"),"")</f>
        <v/>
      </c>
      <c r="H328" s="79" t="str">
        <f>IFERROR(__xludf.DUMMYFUNCTION("TRIM(REGEXREPLACE(D328, ""[0-9]+[a-f]?\."", """"))"),"")</f>
        <v/>
      </c>
      <c r="I328" s="79" t="str">
        <f>IFERROR(__xludf.DUMMYFUNCTION("TRIM(REGEXREPLACE(E328, ""[0-9]+[a-f]?\."", """"))"),"")</f>
        <v/>
      </c>
    </row>
    <row r="329" hidden="1">
      <c r="B329" s="80"/>
      <c r="C329" s="80"/>
      <c r="D329" s="80"/>
      <c r="E329" s="80"/>
      <c r="F329" s="82">
        <v>199.0</v>
      </c>
      <c r="G329" s="79" t="str">
        <f>IFERROR(__xludf.DUMMYFUNCTION("TRIM(REGEXREPLACE(C329, ""[0-9]+[a-f]?\."", """"))"),"")</f>
        <v/>
      </c>
      <c r="H329" s="79" t="str">
        <f>IFERROR(__xludf.DUMMYFUNCTION("TRIM(REGEXREPLACE(D329, ""[0-9]+[a-f]?\."", """"))"),"")</f>
        <v/>
      </c>
      <c r="I329" s="79" t="str">
        <f>IFERROR(__xludf.DUMMYFUNCTION("TRIM(REGEXREPLACE(E329, ""[0-9]+[a-f]?\."", """"))"),"")</f>
        <v/>
      </c>
    </row>
    <row r="330">
      <c r="A330" s="79" t="s">
        <v>42</v>
      </c>
      <c r="B330" s="80" t="s">
        <v>1921</v>
      </c>
      <c r="C330" s="80" t="s">
        <v>1902</v>
      </c>
      <c r="D330" s="80" t="s">
        <v>1903</v>
      </c>
      <c r="E330" s="80" t="s">
        <v>1904</v>
      </c>
      <c r="F330" s="82">
        <v>199.0</v>
      </c>
      <c r="G330" s="79" t="str">
        <f>IFERROR(__xludf.DUMMYFUNCTION("TRIM(REGEXREPLACE(C330,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330" s="79" t="str">
        <f>IFERROR(__xludf.DUMMYFUNCTION("TRIM(REGEXREPLACE(D330,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330" s="79" t="str">
        <f>IFERROR(__xludf.DUMMYFUNCTION("TRIM(REGEXREPLACE(E330,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330" s="79" t="s">
        <v>1925</v>
      </c>
      <c r="K330" s="79" t="s">
        <v>1926</v>
      </c>
      <c r="L330" s="79" t="s">
        <v>1927</v>
      </c>
    </row>
    <row r="331">
      <c r="A331" s="79" t="s">
        <v>194</v>
      </c>
      <c r="B331" s="80" t="s">
        <v>1928</v>
      </c>
      <c r="C331" s="80" t="s">
        <v>1905</v>
      </c>
      <c r="D331" s="80" t="s">
        <v>1906</v>
      </c>
      <c r="E331" s="80" t="s">
        <v>1907</v>
      </c>
      <c r="F331" s="82">
        <v>200.0</v>
      </c>
      <c r="G331" s="79" t="str">
        <f>IFERROR(__xludf.DUMMYFUNCTION("TRIM(REGEXREPLACE(C331, ""[0-9]+[a-f]?\."", """"))"),"Are there new members in the household since we last spoke to you? For reference, these are the members you mentioned:
${hoh_roster_list}")</f>
        <v>Are there new members in the household since we last spoke to you? For reference, these are the members you mentioned:
${hoh_roster_list}</v>
      </c>
      <c r="H331" s="79" t="str">
        <f>IFERROR(__xludf.DUMMYFUNCTION("TRIM(REGEXREPLACE(D331,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331" s="79" t="str">
        <f>IFERROR(__xludf.DUMMYFUNCTION("TRIM(REGEXREPLACE(E331,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331" s="79" t="s">
        <v>1929</v>
      </c>
      <c r="K331" s="79" t="s">
        <v>1930</v>
      </c>
      <c r="L331" s="79" t="s">
        <v>1931</v>
      </c>
    </row>
    <row r="332">
      <c r="A332" s="79" t="s">
        <v>396</v>
      </c>
      <c r="B332" s="80" t="s">
        <v>1932</v>
      </c>
      <c r="C332" s="80" t="s">
        <v>1908</v>
      </c>
      <c r="D332" s="80" t="s">
        <v>1909</v>
      </c>
      <c r="E332" s="80" t="s">
        <v>1910</v>
      </c>
      <c r="F332" s="82">
        <v>201.0</v>
      </c>
      <c r="G332" s="79" t="str">
        <f>IFERROR(__xludf.DUMMYFUNCTION("TRIM(REGEXREPLACE(C332, ""[0-9]+[a-f]?\."", """"))"),"How many?")</f>
        <v>How many?</v>
      </c>
      <c r="H332" s="79" t="str">
        <f>IFERROR(__xludf.DUMMYFUNCTION("TRIM(REGEXREPLACE(D332, ""[0-9]+[a-f]?\."", """"))"),"Combien?")</f>
        <v>Combien?</v>
      </c>
      <c r="I332" s="79" t="str">
        <f>IFERROR(__xludf.DUMMYFUNCTION("TRIM(REGEXREPLACE(E332, ""[0-9]+[a-f]?\."", """"))"),"Nawa?")</f>
        <v>Nawa?</v>
      </c>
      <c r="J332" s="79" t="s">
        <v>1936</v>
      </c>
      <c r="K332" s="79" t="s">
        <v>1937</v>
      </c>
      <c r="L332" s="79" t="s">
        <v>1938</v>
      </c>
    </row>
    <row r="333" hidden="1">
      <c r="B333" s="80"/>
      <c r="C333" s="80"/>
      <c r="D333" s="80"/>
      <c r="E333" s="80"/>
      <c r="F333" s="82">
        <v>201.0</v>
      </c>
      <c r="G333" s="79" t="str">
        <f>IFERROR(__xludf.DUMMYFUNCTION("TRIM(REGEXREPLACE(C333, ""[0-9]+[a-f]?\."", """"))"),"")</f>
        <v/>
      </c>
      <c r="H333" s="79" t="str">
        <f>IFERROR(__xludf.DUMMYFUNCTION("TRIM(REGEXREPLACE(D333, ""[0-9]+[a-f]?\."", """"))"),"")</f>
        <v/>
      </c>
      <c r="I333" s="79" t="str">
        <f>IFERROR(__xludf.DUMMYFUNCTION("TRIM(REGEXREPLACE(E333, ""[0-9]+[a-f]?\."", """"))"),"")</f>
        <v/>
      </c>
      <c r="J333" s="79" t="s">
        <v>1940</v>
      </c>
      <c r="K333" s="79" t="s">
        <v>1941</v>
      </c>
      <c r="L333" s="79" t="s">
        <v>1942</v>
      </c>
    </row>
    <row r="334" hidden="1">
      <c r="B334" s="80"/>
      <c r="C334" s="80"/>
      <c r="D334" s="80"/>
      <c r="E334" s="80"/>
      <c r="F334" s="82">
        <v>202.0</v>
      </c>
      <c r="G334" s="79" t="str">
        <f>IFERROR(__xludf.DUMMYFUNCTION("TRIM(REGEXREPLACE(C334, ""[0-9]+[a-f]?\."", """"))"),"")</f>
        <v/>
      </c>
      <c r="H334" s="79" t="str">
        <f>IFERROR(__xludf.DUMMYFUNCTION("TRIM(REGEXREPLACE(D334, ""[0-9]+[a-f]?\."", """"))"),"")</f>
        <v/>
      </c>
      <c r="I334" s="79" t="str">
        <f>IFERROR(__xludf.DUMMYFUNCTION("TRIM(REGEXREPLACE(E334, ""[0-9]+[a-f]?\."", """"))"),"")</f>
        <v/>
      </c>
    </row>
    <row r="335" hidden="1">
      <c r="B335" s="80"/>
      <c r="C335" s="80"/>
      <c r="D335" s="80"/>
      <c r="E335" s="80"/>
      <c r="F335" s="82">
        <v>174.0</v>
      </c>
      <c r="G335" s="79" t="str">
        <f>IFERROR(__xludf.DUMMYFUNCTION("TRIM(REGEXREPLACE(C335, ""[0-9]+[a-f]?\."", """"))"),"")</f>
        <v/>
      </c>
      <c r="H335" s="79" t="str">
        <f>IFERROR(__xludf.DUMMYFUNCTION("TRIM(REGEXREPLACE(D335, ""[0-9]+[a-f]?\."", """"))"),"")</f>
        <v/>
      </c>
      <c r="I335" s="79" t="str">
        <f>IFERROR(__xludf.DUMMYFUNCTION("TRIM(REGEXREPLACE(E335, ""[0-9]+[a-f]?\."", """"))"),"")</f>
        <v/>
      </c>
      <c r="J335" s="79" t="s">
        <v>1946</v>
      </c>
      <c r="K335" s="79" t="s">
        <v>1947</v>
      </c>
      <c r="L335" s="79" t="s">
        <v>1949</v>
      </c>
    </row>
    <row r="336" hidden="1">
      <c r="B336" s="80"/>
      <c r="C336" s="80"/>
      <c r="D336" s="80"/>
      <c r="E336" s="80"/>
      <c r="F336" s="82">
        <v>202.0</v>
      </c>
      <c r="G336" s="79" t="str">
        <f>IFERROR(__xludf.DUMMYFUNCTION("TRIM(REGEXREPLACE(C336, ""[0-9]+[a-f]?\."", """"))"),"")</f>
        <v/>
      </c>
      <c r="H336" s="79" t="str">
        <f>IFERROR(__xludf.DUMMYFUNCTION("TRIM(REGEXREPLACE(D336, ""[0-9]+[a-f]?\."", """"))"),"")</f>
        <v/>
      </c>
      <c r="I336" s="79" t="str">
        <f>IFERROR(__xludf.DUMMYFUNCTION("TRIM(REGEXREPLACE(E336, ""[0-9]+[a-f]?\."", """"))"),"")</f>
        <v/>
      </c>
      <c r="J336" s="79" t="s">
        <v>1950</v>
      </c>
      <c r="K336" s="79" t="s">
        <v>1951</v>
      </c>
      <c r="L336" s="79" t="s">
        <v>1952</v>
      </c>
    </row>
    <row r="337" hidden="1">
      <c r="B337" s="80"/>
      <c r="C337" s="80"/>
      <c r="D337" s="80"/>
      <c r="E337" s="80"/>
      <c r="F337" s="82">
        <v>203.0</v>
      </c>
      <c r="G337" s="79" t="str">
        <f>IFERROR(__xludf.DUMMYFUNCTION("TRIM(REGEXREPLACE(C337, ""[0-9]+[a-f]?\."", """"))"),"")</f>
        <v/>
      </c>
      <c r="H337" s="79" t="str">
        <f>IFERROR(__xludf.DUMMYFUNCTION("TRIM(REGEXREPLACE(D337, ""[0-9]+[a-f]?\."", """"))"),"")</f>
        <v/>
      </c>
      <c r="I337" s="79" t="str">
        <f>IFERROR(__xludf.DUMMYFUNCTION("TRIM(REGEXREPLACE(E337, ""[0-9]+[a-f]?\."", """"))"),"")</f>
        <v/>
      </c>
      <c r="J337" s="79" t="s">
        <v>1953</v>
      </c>
      <c r="K337" s="79" t="s">
        <v>1954</v>
      </c>
      <c r="L337" s="79" t="s">
        <v>1955</v>
      </c>
    </row>
    <row r="338" hidden="1">
      <c r="B338" s="80"/>
      <c r="C338" s="80"/>
      <c r="D338" s="80"/>
      <c r="E338" s="80"/>
      <c r="F338" s="82">
        <v>204.0</v>
      </c>
      <c r="G338" s="79" t="str">
        <f>IFERROR(__xludf.DUMMYFUNCTION("TRIM(REGEXREPLACE(C338, ""[0-9]+[a-f]?\."", """"))"),"")</f>
        <v/>
      </c>
      <c r="H338" s="79" t="str">
        <f>IFERROR(__xludf.DUMMYFUNCTION("TRIM(REGEXREPLACE(D338, ""[0-9]+[a-f]?\."", """"))"),"")</f>
        <v/>
      </c>
      <c r="I338" s="79" t="str">
        <f>IFERROR(__xludf.DUMMYFUNCTION("TRIM(REGEXREPLACE(E338, ""[0-9]+[a-f]?\."", """"))"),"")</f>
        <v/>
      </c>
      <c r="J338" s="79" t="s">
        <v>1957</v>
      </c>
      <c r="K338" s="79" t="s">
        <v>1958</v>
      </c>
      <c r="L338" s="79" t="s">
        <v>1959</v>
      </c>
    </row>
    <row r="339" hidden="1">
      <c r="B339" s="80"/>
      <c r="C339" s="80"/>
      <c r="D339" s="80"/>
      <c r="E339" s="80"/>
      <c r="F339" s="82">
        <v>182.0</v>
      </c>
      <c r="G339" s="79" t="str">
        <f>IFERROR(__xludf.DUMMYFUNCTION("TRIM(REGEXREPLACE(C339, ""[0-9]+[a-f]?\."", """"))"),"")</f>
        <v/>
      </c>
      <c r="H339" s="79" t="str">
        <f>IFERROR(__xludf.DUMMYFUNCTION("TRIM(REGEXREPLACE(D339, ""[0-9]+[a-f]?\."", """"))"),"")</f>
        <v/>
      </c>
      <c r="I339" s="79" t="str">
        <f>IFERROR(__xludf.DUMMYFUNCTION("TRIM(REGEXREPLACE(E339, ""[0-9]+[a-f]?\."", """"))"),"")</f>
        <v/>
      </c>
      <c r="J339" s="79" t="s">
        <v>1960</v>
      </c>
      <c r="K339" s="79" t="s">
        <v>1961</v>
      </c>
      <c r="L339" s="79" t="s">
        <v>1962</v>
      </c>
    </row>
    <row r="340">
      <c r="A340" s="79" t="s">
        <v>299</v>
      </c>
      <c r="B340" s="80" t="s">
        <v>1963</v>
      </c>
      <c r="C340" s="80" t="s">
        <v>1964</v>
      </c>
      <c r="D340" s="80" t="s">
        <v>1965</v>
      </c>
      <c r="E340" s="80" t="s">
        <v>1966</v>
      </c>
      <c r="F340" s="82">
        <v>202.0</v>
      </c>
      <c r="G340" s="79" t="str">
        <f>IFERROR(__xludf.DUMMYFUNCTION("TRIM(REGEXREPLACE(C340, ""[0-9]+[a-f]?\."", """"))"),"What is the last name of ${hoh_hhtext}?")</f>
        <v>What is the last name of ${hoh_hhtext}?</v>
      </c>
      <c r="H340" s="79" t="str">
        <f>IFERROR(__xludf.DUMMYFUNCTION("TRIM(REGEXREPLACE(D340, ""[0-9]+[a-f]?\."", """"))"),"Quel est le nom de ${hoh_hhtextfrench} ?")</f>
        <v>Quel est le nom de ${hoh_hhtextfrench} ?</v>
      </c>
      <c r="I340" s="79" t="str">
        <f>IFERROR(__xludf.DUMMYFUNCTION("TRIM(REGEXREPLACE(E340, ""[0-9]+[a-f]?\."", """"))"),"Menene sunan uban ${hoh_hhtexthausa}?")</f>
        <v>Menene sunan uban ${hoh_hhtexthausa}?</v>
      </c>
      <c r="J340" s="79" t="s">
        <v>1967</v>
      </c>
      <c r="K340" s="79" t="s">
        <v>1969</v>
      </c>
      <c r="L340" s="79" t="s">
        <v>1970</v>
      </c>
    </row>
    <row r="341">
      <c r="A341" s="79" t="s">
        <v>299</v>
      </c>
      <c r="B341" s="80" t="s">
        <v>1972</v>
      </c>
      <c r="C341" s="80" t="s">
        <v>1940</v>
      </c>
      <c r="D341" s="80" t="s">
        <v>1941</v>
      </c>
      <c r="E341" s="80" t="s">
        <v>1942</v>
      </c>
      <c r="F341" s="82">
        <v>203.0</v>
      </c>
      <c r="G341" s="79" t="str">
        <f>IFERROR(__xludf.DUMMYFUNCTION("TRIM(REGEXREPLACE(C341, ""[0-9]+[a-f]?\."", """"))"),"What is the first name of ${hoh_hhtext}?")</f>
        <v>What is the first name of ${hoh_hhtext}?</v>
      </c>
      <c r="H341" s="79" t="str">
        <f>IFERROR(__xludf.DUMMYFUNCTION("TRIM(REGEXREPLACE(D341, ""[0-9]+[a-f]?\."", """"))"),"Quel est le prenom de cette personne ${hoh_hhtextfrench} ?")</f>
        <v>Quel est le prenom de cette personne ${hoh_hhtextfrench} ?</v>
      </c>
      <c r="I341" s="79" t="str">
        <f>IFERROR(__xludf.DUMMYFUNCTION("TRIM(REGEXREPLACE(E341, ""[0-9]+[a-f]?\."", """"))"),"Menene sunan ${hoh_hhtexthausa}?")</f>
        <v>Menene sunan ${hoh_hhtexthausa}?</v>
      </c>
      <c r="J341" s="79" t="s">
        <v>1975</v>
      </c>
      <c r="K341" s="79" t="s">
        <v>1976</v>
      </c>
      <c r="L341" s="79" t="s">
        <v>1978</v>
      </c>
    </row>
    <row r="342" hidden="1">
      <c r="B342" s="80"/>
      <c r="C342" s="80"/>
      <c r="D342" s="80"/>
      <c r="E342" s="80"/>
      <c r="F342" s="82">
        <v>176.0</v>
      </c>
      <c r="G342" s="79" t="str">
        <f>IFERROR(__xludf.DUMMYFUNCTION("TRIM(REGEXREPLACE(C342, ""[0-9]+[a-f]?\."", """"))"),"")</f>
        <v/>
      </c>
      <c r="H342" s="79" t="str">
        <f>IFERROR(__xludf.DUMMYFUNCTION("TRIM(REGEXREPLACE(D342, ""[0-9]+[a-f]?\."", """"))"),"")</f>
        <v/>
      </c>
      <c r="I342" s="79" t="str">
        <f>IFERROR(__xludf.DUMMYFUNCTION("TRIM(REGEXREPLACE(E342, ""[0-9]+[a-f]?\."", """"))"),"")</f>
        <v/>
      </c>
      <c r="J342" s="79" t="s">
        <v>1979</v>
      </c>
      <c r="K342" s="79" t="s">
        <v>1980</v>
      </c>
      <c r="L342" s="79" t="s">
        <v>1981</v>
      </c>
    </row>
    <row r="343" hidden="1">
      <c r="B343" s="80"/>
      <c r="C343" s="80"/>
      <c r="D343" s="80"/>
      <c r="E343" s="80"/>
      <c r="F343" s="82">
        <v>177.0</v>
      </c>
      <c r="G343" s="79" t="str">
        <f>IFERROR(__xludf.DUMMYFUNCTION("TRIM(REGEXREPLACE(C343, ""[0-9]+[a-f]?\."", """"))"),"")</f>
        <v/>
      </c>
      <c r="H343" s="79" t="str">
        <f>IFERROR(__xludf.DUMMYFUNCTION("TRIM(REGEXREPLACE(D343, ""[0-9]+[a-f]?\."", """"))"),"")</f>
        <v/>
      </c>
      <c r="I343" s="79" t="str">
        <f>IFERROR(__xludf.DUMMYFUNCTION("TRIM(REGEXREPLACE(E343, ""[0-9]+[a-f]?\."", """"))"),"")</f>
        <v/>
      </c>
      <c r="J343" s="79" t="s">
        <v>1983</v>
      </c>
      <c r="K343" s="79" t="s">
        <v>1984</v>
      </c>
      <c r="L343" s="79" t="s">
        <v>1985</v>
      </c>
    </row>
    <row r="344">
      <c r="A344" s="79" t="s">
        <v>1987</v>
      </c>
      <c r="B344" s="80" t="s">
        <v>1988</v>
      </c>
      <c r="C344" s="80" t="s">
        <v>1950</v>
      </c>
      <c r="D344" s="80" t="s">
        <v>1951</v>
      </c>
      <c r="E344" s="80" t="s">
        <v>1952</v>
      </c>
      <c r="F344" s="82">
        <v>204.0</v>
      </c>
      <c r="G344" s="79" t="str">
        <f>IFERROR(__xludf.DUMMYFUNCTION("TRIM(REGEXREPLACE(C344, ""[0-9]+[a-f]?\."", """"))"),"What is ${hoh_new_mem_name}'s relationship to you, the household head?")</f>
        <v>What is ${hoh_new_mem_name}'s relationship to you, the household head?</v>
      </c>
      <c r="H344" s="79" t="str">
        <f>IFERROR(__xludf.DUMMYFUNCTION("TRIM(REGEXREPLACE(D344, ""[0-9]+[a-f]?\."", """"))"),"Quelle est la relation entre ${hoh_new_mem_name} et vous, le chef de ménage ?")</f>
        <v>Quelle est la relation entre ${hoh_new_mem_name} et vous, le chef de ménage ?</v>
      </c>
      <c r="I344" s="79" t="str">
        <f>IFERROR(__xludf.DUMMYFUNCTION("TRIM(REGEXREPLACE(E344, ""[0-9]+[a-f]?\."", """"))"),"Menene alaƙa tsakanin ${hoh_new_mem_name} da, mai gida?")</f>
        <v>Menene alaƙa tsakanin ${hoh_new_mem_name} da, mai gida?</v>
      </c>
      <c r="J344" s="79" t="s">
        <v>1991</v>
      </c>
      <c r="K344" s="79" t="s">
        <v>1992</v>
      </c>
      <c r="L344" s="79" t="s">
        <v>1993</v>
      </c>
    </row>
    <row r="345">
      <c r="A345" s="79" t="s">
        <v>1994</v>
      </c>
      <c r="B345" s="80" t="s">
        <v>1995</v>
      </c>
      <c r="C345" s="80" t="s">
        <v>1953</v>
      </c>
      <c r="D345" s="80" t="s">
        <v>1954</v>
      </c>
      <c r="E345" s="80" t="s">
        <v>1955</v>
      </c>
      <c r="F345" s="82">
        <v>205.0</v>
      </c>
      <c r="G345" s="79" t="str">
        <f>IFERROR(__xludf.DUMMYFUNCTION("TRIM(REGEXREPLACE(C345, ""[0-9]+[a-f]?\."", """"))"),"What is ${hoh_new_mem_name}'s sex?")</f>
        <v>What is ${hoh_new_mem_name}'s sex?</v>
      </c>
      <c r="H345" s="79" t="str">
        <f>IFERROR(__xludf.DUMMYFUNCTION("TRIM(REGEXREPLACE(D345, ""[0-9]+[a-f]?\."", """"))"),"Quel est le sexe de ${hoh_new_mem_name} ?")</f>
        <v>Quel est le sexe de ${hoh_new_mem_name} ?</v>
      </c>
      <c r="I345" s="79" t="str">
        <f>IFERROR(__xludf.DUMMYFUNCTION("TRIM(REGEXREPLACE(E345, ""[0-9]+[a-f]?\."", """"))"),"Menene jinsin ${hoh_new_mem_name}?")</f>
        <v>Menene jinsin ${hoh_new_mem_name}?</v>
      </c>
      <c r="J345" s="79" t="s">
        <v>1996</v>
      </c>
      <c r="K345" s="79" t="s">
        <v>1997</v>
      </c>
      <c r="L345" s="79" t="s">
        <v>1998</v>
      </c>
    </row>
    <row r="346">
      <c r="A346" s="79" t="s">
        <v>396</v>
      </c>
      <c r="B346" s="80" t="s">
        <v>1999</v>
      </c>
      <c r="C346" s="80" t="s">
        <v>1957</v>
      </c>
      <c r="D346" s="80" t="s">
        <v>1958</v>
      </c>
      <c r="E346" s="80" t="s">
        <v>1959</v>
      </c>
      <c r="F346" s="82">
        <v>206.0</v>
      </c>
      <c r="G346" s="79" t="str">
        <f>IFERROR(__xludf.DUMMYFUNCTION("TRIM(REGEXREPLACE(C346, ""[0-9]+[a-f]?\."", """"))"),"What is ${hoh_new_mem_name}'s age?")</f>
        <v>What is ${hoh_new_mem_name}'s age?</v>
      </c>
      <c r="H346" s="79" t="str">
        <f>IFERROR(__xludf.DUMMYFUNCTION("TRIM(REGEXREPLACE(D346, ""[0-9]+[a-f]?\."", """"))"),"Quel âge a ${hoh_new_mem_name} ?")</f>
        <v>Quel âge a ${hoh_new_mem_name} ?</v>
      </c>
      <c r="I346" s="79" t="str">
        <f>IFERROR(__xludf.DUMMYFUNCTION("TRIM(REGEXREPLACE(E346, ""[0-9]+[a-f]?\."", """"))"),"${hoh_new_mem_name} Shekarun shi/ta nawa?")</f>
        <v>${hoh_new_mem_name} Shekarun shi/ta nawa?</v>
      </c>
      <c r="J346" s="79" t="s">
        <v>2001</v>
      </c>
      <c r="K346" s="79" t="s">
        <v>2003</v>
      </c>
      <c r="L346" s="79" t="s">
        <v>2004</v>
      </c>
    </row>
    <row r="347" hidden="1">
      <c r="B347" s="80"/>
      <c r="C347" s="80"/>
      <c r="D347" s="80"/>
      <c r="E347" s="80"/>
      <c r="F347" s="82">
        <v>190.0</v>
      </c>
      <c r="G347" s="79" t="str">
        <f>IFERROR(__xludf.DUMMYFUNCTION("TRIM(REGEXREPLACE(C347, ""[0-9]+[a-f]?\."", """"))"),"")</f>
        <v/>
      </c>
      <c r="H347" s="79" t="str">
        <f>IFERROR(__xludf.DUMMYFUNCTION("TRIM(REGEXREPLACE(D347, ""[0-9]+[a-f]?\."", """"))"),"")</f>
        <v/>
      </c>
      <c r="I347" s="79" t="str">
        <f>IFERROR(__xludf.DUMMYFUNCTION("TRIM(REGEXREPLACE(E347, ""[0-9]+[a-f]?\."", """"))"),"")</f>
        <v/>
      </c>
      <c r="J347" s="79" t="s">
        <v>2006</v>
      </c>
      <c r="K347" s="79" t="s">
        <v>2007</v>
      </c>
      <c r="L347" s="79" t="s">
        <v>2009</v>
      </c>
    </row>
    <row r="348" hidden="1">
      <c r="B348" s="80"/>
      <c r="C348" s="80"/>
      <c r="D348" s="80"/>
      <c r="E348" s="80"/>
      <c r="F348" s="82">
        <v>191.0</v>
      </c>
      <c r="G348" s="79" t="str">
        <f>IFERROR(__xludf.DUMMYFUNCTION("TRIM(REGEXREPLACE(C348, ""[0-9]+[a-f]?\."", """"))"),"")</f>
        <v/>
      </c>
      <c r="H348" s="79" t="str">
        <f>IFERROR(__xludf.DUMMYFUNCTION("TRIM(REGEXREPLACE(D348, ""[0-9]+[a-f]?\."", """"))"),"")</f>
        <v/>
      </c>
      <c r="I348" s="79" t="str">
        <f>IFERROR(__xludf.DUMMYFUNCTION("TRIM(REGEXREPLACE(E348, ""[0-9]+[a-f]?\."", """"))"),"")</f>
        <v/>
      </c>
      <c r="J348" s="79" t="s">
        <v>2010</v>
      </c>
      <c r="K348" s="79" t="s">
        <v>2011</v>
      </c>
      <c r="L348" s="79" t="s">
        <v>2012</v>
      </c>
    </row>
    <row r="349" hidden="1">
      <c r="B349" s="80"/>
      <c r="C349" s="80"/>
      <c r="D349" s="80"/>
      <c r="E349" s="80"/>
      <c r="F349" s="82">
        <v>192.0</v>
      </c>
      <c r="G349" s="79" t="str">
        <f>IFERROR(__xludf.DUMMYFUNCTION("TRIM(REGEXREPLACE(C349, ""[0-9]+[a-f]?\."", """"))"),"")</f>
        <v/>
      </c>
      <c r="H349" s="79" t="str">
        <f>IFERROR(__xludf.DUMMYFUNCTION("TRIM(REGEXREPLACE(D349, ""[0-9]+[a-f]?\."", """"))"),"")</f>
        <v/>
      </c>
      <c r="I349" s="79" t="str">
        <f>IFERROR(__xludf.DUMMYFUNCTION("TRIM(REGEXREPLACE(E349, ""[0-9]+[a-f]?\."", """"))"),"")</f>
        <v/>
      </c>
      <c r="J349" s="79" t="s">
        <v>2014</v>
      </c>
      <c r="K349" s="79" t="s">
        <v>2015</v>
      </c>
      <c r="L349" s="79" t="s">
        <v>2016</v>
      </c>
    </row>
    <row r="350" hidden="1">
      <c r="B350" s="80"/>
      <c r="C350" s="80"/>
      <c r="D350" s="80"/>
      <c r="E350" s="80"/>
      <c r="F350" s="82">
        <v>180.0</v>
      </c>
      <c r="G350" s="79" t="str">
        <f>IFERROR(__xludf.DUMMYFUNCTION("TRIM(REGEXREPLACE(C350, ""[0-9]+[a-f]?\."", """"))"),"")</f>
        <v/>
      </c>
      <c r="H350" s="79" t="str">
        <f>IFERROR(__xludf.DUMMYFUNCTION("TRIM(REGEXREPLACE(D350, ""[0-9]+[a-f]?\."", """"))"),"")</f>
        <v/>
      </c>
      <c r="I350" s="79" t="str">
        <f>IFERROR(__xludf.DUMMYFUNCTION("TRIM(REGEXREPLACE(E350, ""[0-9]+[a-f]?\."", """"))"),"")</f>
        <v/>
      </c>
      <c r="J350" s="79" t="s">
        <v>2017</v>
      </c>
      <c r="K350" s="79" t="s">
        <v>2018</v>
      </c>
      <c r="L350" s="79" t="s">
        <v>2019</v>
      </c>
    </row>
    <row r="351" hidden="1">
      <c r="B351" s="80"/>
      <c r="C351" s="80"/>
      <c r="D351" s="80"/>
      <c r="E351" s="80"/>
      <c r="F351" s="82">
        <v>181.0</v>
      </c>
      <c r="G351" s="79" t="str">
        <f>IFERROR(__xludf.DUMMYFUNCTION("TRIM(REGEXREPLACE(C351, ""[0-9]+[a-f]?\."", """"))"),"")</f>
        <v/>
      </c>
      <c r="H351" s="79" t="str">
        <f>IFERROR(__xludf.DUMMYFUNCTION("TRIM(REGEXREPLACE(D351, ""[0-9]+[a-f]?\."", """"))"),"")</f>
        <v/>
      </c>
      <c r="I351" s="79" t="str">
        <f>IFERROR(__xludf.DUMMYFUNCTION("TRIM(REGEXREPLACE(E351, ""[0-9]+[a-f]?\."", """"))"),"")</f>
        <v/>
      </c>
      <c r="J351" s="79" t="s">
        <v>2020</v>
      </c>
      <c r="K351" s="79" t="s">
        <v>2021</v>
      </c>
      <c r="L351" s="79" t="s">
        <v>2022</v>
      </c>
    </row>
    <row r="352">
      <c r="A352" s="79" t="s">
        <v>42</v>
      </c>
      <c r="B352" s="80" t="s">
        <v>2023</v>
      </c>
      <c r="C352" s="80" t="s">
        <v>2024</v>
      </c>
      <c r="D352" s="80" t="s">
        <v>2025</v>
      </c>
      <c r="E352" s="80" t="s">
        <v>2026</v>
      </c>
      <c r="F352" s="82">
        <v>207.0</v>
      </c>
      <c r="G352" s="79" t="str">
        <f>IFERROR(__xludf.DUMMYFUNCTION("TRIM(REGEXREPLACE(C352, ""[0-9]+[a-f]?\."", """"))"),"I want to ask a few questions about the members of your household who are currently residing here.")</f>
        <v>I want to ask a few questions about the members of your household who are currently residing here.</v>
      </c>
      <c r="H352" s="79" t="str">
        <f>IFERROR(__xludf.DUMMYFUNCTION("TRIM(REGEXREPLACE(D352, ""[0-9]+[a-f]?\."", """"))"),"Je veux poser quelques questions sur les membres de votre ménage qui résident actuellement ici.")</f>
        <v>Je veux poser quelques questions sur les membres de votre ménage qui résident actuellement ici.</v>
      </c>
      <c r="I352" s="79" t="str">
        <f>IFERROR(__xludf.DUMMYFUNCTION("TRIM(REGEXREPLACE(E352, ""[0-9]+[a-f]?\."", """"))"),"Ina so in muku ƴan tambayoyi bisa yan gidanku da ke zaune a gida a yanzu.")</f>
        <v>Ina so in muku ƴan tambayoyi bisa yan gidanku da ke zaune a gida a yanzu.</v>
      </c>
      <c r="J352" s="79" t="s">
        <v>2028</v>
      </c>
      <c r="K352" s="79" t="s">
        <v>2029</v>
      </c>
      <c r="L352" s="79" t="s">
        <v>2030</v>
      </c>
    </row>
    <row r="353" hidden="1">
      <c r="B353" s="80"/>
      <c r="C353" s="80"/>
      <c r="D353" s="80"/>
      <c r="E353" s="80"/>
      <c r="F353" s="82">
        <v>196.0</v>
      </c>
      <c r="G353" s="79" t="str">
        <f>IFERROR(__xludf.DUMMYFUNCTION("TRIM(REGEXREPLACE(C353, ""[0-9]+[a-f]?\."", """"))"),"")</f>
        <v/>
      </c>
      <c r="H353" s="79" t="str">
        <f>IFERROR(__xludf.DUMMYFUNCTION("TRIM(REGEXREPLACE(D353, ""[0-9]+[a-f]?\."", """"))"),"")</f>
        <v/>
      </c>
      <c r="I353" s="79" t="str">
        <f>IFERROR(__xludf.DUMMYFUNCTION("TRIM(REGEXREPLACE(E353, ""[0-9]+[a-f]?\."", """"))"),"")</f>
        <v/>
      </c>
      <c r="J353" s="79" t="s">
        <v>2031</v>
      </c>
      <c r="K353" s="79" t="s">
        <v>2033</v>
      </c>
      <c r="L353" s="79" t="s">
        <v>2034</v>
      </c>
    </row>
    <row r="354" hidden="1">
      <c r="B354" s="80"/>
      <c r="C354" s="80"/>
      <c r="D354" s="80"/>
      <c r="E354" s="80"/>
      <c r="F354" s="82">
        <v>204.0</v>
      </c>
      <c r="G354" s="79" t="str">
        <f>IFERROR(__xludf.DUMMYFUNCTION("TRIM(REGEXREPLACE(C354, ""[0-9]+[a-f]?\."", """"))"),"")</f>
        <v/>
      </c>
      <c r="H354" s="79" t="str">
        <f>IFERROR(__xludf.DUMMYFUNCTION("TRIM(REGEXREPLACE(D354, ""[0-9]+[a-f]?\."", """"))"),"")</f>
        <v/>
      </c>
      <c r="I354" s="79" t="str">
        <f>IFERROR(__xludf.DUMMYFUNCTION("TRIM(REGEXREPLACE(E354, ""[0-9]+[a-f]?\."", """"))"),"")</f>
        <v/>
      </c>
    </row>
    <row r="355" hidden="1">
      <c r="B355" s="80"/>
      <c r="C355" s="80"/>
      <c r="D355" s="80"/>
      <c r="E355" s="80"/>
      <c r="F355" s="82">
        <v>205.0</v>
      </c>
      <c r="G355" s="79" t="str">
        <f>IFERROR(__xludf.DUMMYFUNCTION("TRIM(REGEXREPLACE(C355, ""[0-9]+[a-f]?\."", """"))"),"")</f>
        <v/>
      </c>
      <c r="H355" s="79" t="str">
        <f>IFERROR(__xludf.DUMMYFUNCTION("TRIM(REGEXREPLACE(D355, ""[0-9]+[a-f]?\."", """"))"),"")</f>
        <v/>
      </c>
      <c r="I355" s="79" t="str">
        <f>IFERROR(__xludf.DUMMYFUNCTION("TRIM(REGEXREPLACE(E355, ""[0-9]+[a-f]?\."", """"))"),"")</f>
        <v/>
      </c>
    </row>
    <row r="356" hidden="1">
      <c r="B356" s="80"/>
      <c r="C356" s="80"/>
      <c r="D356" s="80"/>
      <c r="E356" s="80"/>
      <c r="F356" s="82">
        <v>206.0</v>
      </c>
      <c r="G356" s="79" t="str">
        <f>IFERROR(__xludf.DUMMYFUNCTION("TRIM(REGEXREPLACE(C356, ""[0-9]+[a-f]?\."", """"))"),"")</f>
        <v/>
      </c>
      <c r="H356" s="79" t="str">
        <f>IFERROR(__xludf.DUMMYFUNCTION("TRIM(REGEXREPLACE(D356, ""[0-9]+[a-f]?\."", """"))"),"")</f>
        <v/>
      </c>
      <c r="I356" s="79" t="str">
        <f>IFERROR(__xludf.DUMMYFUNCTION("TRIM(REGEXREPLACE(E356, ""[0-9]+[a-f]?\."", """"))"),"")</f>
        <v/>
      </c>
    </row>
    <row r="357" hidden="1">
      <c r="B357" s="80"/>
      <c r="C357" s="80"/>
      <c r="D357" s="80"/>
      <c r="E357" s="80"/>
      <c r="F357" s="82">
        <v>207.0</v>
      </c>
      <c r="G357" s="79" t="str">
        <f>IFERROR(__xludf.DUMMYFUNCTION("TRIM(REGEXREPLACE(C357, ""[0-9]+[a-f]?\."", """"))"),"")</f>
        <v/>
      </c>
      <c r="H357" s="79" t="str">
        <f>IFERROR(__xludf.DUMMYFUNCTION("TRIM(REGEXREPLACE(D357, ""[0-9]+[a-f]?\."", """"))"),"")</f>
        <v/>
      </c>
      <c r="I357" s="79" t="str">
        <f>IFERROR(__xludf.DUMMYFUNCTION("TRIM(REGEXREPLACE(E357, ""[0-9]+[a-f]?\."", """"))"),"")</f>
        <v/>
      </c>
    </row>
    <row r="358" hidden="1">
      <c r="B358" s="80"/>
      <c r="C358" s="80"/>
      <c r="D358" s="80"/>
      <c r="E358" s="80"/>
      <c r="F358" s="82">
        <v>206.0</v>
      </c>
      <c r="G358" s="79" t="str">
        <f>IFERROR(__xludf.DUMMYFUNCTION("TRIM(REGEXREPLACE(C358, ""[0-9]+[a-f]?\."", """"))"),"")</f>
        <v/>
      </c>
      <c r="H358" s="79" t="str">
        <f>IFERROR(__xludf.DUMMYFUNCTION("TRIM(REGEXREPLACE(D358, ""[0-9]+[a-f]?\."", """"))"),"")</f>
        <v/>
      </c>
      <c r="I358" s="79" t="str">
        <f>IFERROR(__xludf.DUMMYFUNCTION("TRIM(REGEXREPLACE(E358, ""[0-9]+[a-f]?\."", """"))"),"")</f>
        <v/>
      </c>
      <c r="J358" s="79" t="s">
        <v>2042</v>
      </c>
      <c r="K358" s="79" t="s">
        <v>2042</v>
      </c>
      <c r="L358" s="79" t="s">
        <v>2042</v>
      </c>
    </row>
    <row r="359" hidden="1">
      <c r="B359" s="80"/>
      <c r="C359" s="80"/>
      <c r="D359" s="80"/>
      <c r="E359" s="80"/>
      <c r="F359" s="82">
        <v>207.0</v>
      </c>
      <c r="G359" s="79" t="str">
        <f>IFERROR(__xludf.DUMMYFUNCTION("TRIM(REGEXREPLACE(C359, ""[0-9]+[a-f]?\."", """"))"),"")</f>
        <v/>
      </c>
      <c r="H359" s="79" t="str">
        <f>IFERROR(__xludf.DUMMYFUNCTION("TRIM(REGEXREPLACE(D359, ""[0-9]+[a-f]?\."", """"))"),"")</f>
        <v/>
      </c>
      <c r="I359" s="79" t="str">
        <f>IFERROR(__xludf.DUMMYFUNCTION("TRIM(REGEXREPLACE(E359, ""[0-9]+[a-f]?\."", """"))"),"")</f>
        <v/>
      </c>
      <c r="J359" s="79" t="s">
        <v>2043</v>
      </c>
      <c r="K359" s="79" t="s">
        <v>2044</v>
      </c>
      <c r="L359" s="79" t="s">
        <v>2045</v>
      </c>
    </row>
    <row r="360" hidden="1">
      <c r="B360" s="80"/>
      <c r="C360" s="80"/>
      <c r="D360" s="80"/>
      <c r="E360" s="80"/>
      <c r="F360" s="82">
        <v>208.0</v>
      </c>
      <c r="G360" s="79" t="str">
        <f>IFERROR(__xludf.DUMMYFUNCTION("TRIM(REGEXREPLACE(C360, ""[0-9]+[a-f]?\."", """"))"),"")</f>
        <v/>
      </c>
      <c r="H360" s="79" t="str">
        <f>IFERROR(__xludf.DUMMYFUNCTION("TRIM(REGEXREPLACE(D360, ""[0-9]+[a-f]?\."", """"))"),"")</f>
        <v/>
      </c>
      <c r="I360" s="79" t="str">
        <f>IFERROR(__xludf.DUMMYFUNCTION("TRIM(REGEXREPLACE(E360, ""[0-9]+[a-f]?\."", """"))"),"")</f>
        <v/>
      </c>
      <c r="J360" s="79" t="s">
        <v>2046</v>
      </c>
      <c r="K360" s="79" t="s">
        <v>2048</v>
      </c>
      <c r="L360" s="79" t="s">
        <v>2048</v>
      </c>
    </row>
    <row r="361" hidden="1">
      <c r="B361" s="80"/>
      <c r="C361" s="80"/>
      <c r="D361" s="80"/>
      <c r="E361" s="80"/>
      <c r="F361" s="82">
        <v>209.0</v>
      </c>
      <c r="G361" s="79" t="str">
        <f>IFERROR(__xludf.DUMMYFUNCTION("TRIM(REGEXREPLACE(C361, ""[0-9]+[a-f]?\."", """"))"),"")</f>
        <v/>
      </c>
      <c r="H361" s="79" t="str">
        <f>IFERROR(__xludf.DUMMYFUNCTION("TRIM(REGEXREPLACE(D361, ""[0-9]+[a-f]?\."", """"))"),"")</f>
        <v/>
      </c>
      <c r="I361" s="79" t="str">
        <f>IFERROR(__xludf.DUMMYFUNCTION("TRIM(REGEXREPLACE(E361, ""[0-9]+[a-f]?\."", """"))"),"")</f>
        <v/>
      </c>
      <c r="J361" s="79" t="s">
        <v>2049</v>
      </c>
      <c r="K361" s="79" t="s">
        <v>2050</v>
      </c>
      <c r="L361" s="79" t="s">
        <v>2050</v>
      </c>
    </row>
    <row r="362" hidden="1">
      <c r="B362" s="80"/>
      <c r="C362" s="80"/>
      <c r="D362" s="80"/>
      <c r="E362" s="80"/>
      <c r="F362" s="82">
        <v>210.0</v>
      </c>
      <c r="G362" s="79" t="str">
        <f>IFERROR(__xludf.DUMMYFUNCTION("TRIM(REGEXREPLACE(C362, ""[0-9]+[a-f]?\."", """"))"),"")</f>
        <v/>
      </c>
      <c r="H362" s="79" t="str">
        <f>IFERROR(__xludf.DUMMYFUNCTION("TRIM(REGEXREPLACE(D362, ""[0-9]+[a-f]?\."", """"))"),"")</f>
        <v/>
      </c>
      <c r="I362" s="79" t="str">
        <f>IFERROR(__xludf.DUMMYFUNCTION("TRIM(REGEXREPLACE(E362, ""[0-9]+[a-f]?\."", """"))"),"")</f>
        <v/>
      </c>
      <c r="J362" s="79" t="s">
        <v>2051</v>
      </c>
      <c r="K362" s="79" t="s">
        <v>2052</v>
      </c>
      <c r="L362" s="79" t="s">
        <v>2053</v>
      </c>
    </row>
    <row r="363" hidden="1">
      <c r="B363" s="80"/>
      <c r="C363" s="80"/>
      <c r="D363" s="80"/>
      <c r="E363" s="80"/>
      <c r="F363" s="82">
        <v>211.0</v>
      </c>
      <c r="G363" s="79" t="str">
        <f>IFERROR(__xludf.DUMMYFUNCTION("TRIM(REGEXREPLACE(C363, ""[0-9]+[a-f]?\."", """"))"),"")</f>
        <v/>
      </c>
      <c r="H363" s="79" t="str">
        <f>IFERROR(__xludf.DUMMYFUNCTION("TRIM(REGEXREPLACE(D363, ""[0-9]+[a-f]?\."", """"))"),"")</f>
        <v/>
      </c>
      <c r="I363" s="79" t="str">
        <f>IFERROR(__xludf.DUMMYFUNCTION("TRIM(REGEXREPLACE(E363, ""[0-9]+[a-f]?\."", """"))"),"")</f>
        <v/>
      </c>
      <c r="J363" s="79" t="s">
        <v>2055</v>
      </c>
      <c r="K363" s="79" t="s">
        <v>2056</v>
      </c>
      <c r="L363" s="79" t="s">
        <v>2057</v>
      </c>
    </row>
    <row r="364" hidden="1">
      <c r="B364" s="80"/>
      <c r="C364" s="80"/>
      <c r="D364" s="80"/>
      <c r="E364" s="80"/>
      <c r="F364" s="82">
        <v>212.0</v>
      </c>
      <c r="G364" s="79" t="str">
        <f>IFERROR(__xludf.DUMMYFUNCTION("TRIM(REGEXREPLACE(C364, ""[0-9]+[a-f]?\."", """"))"),"")</f>
        <v/>
      </c>
      <c r="H364" s="79" t="str">
        <f>IFERROR(__xludf.DUMMYFUNCTION("TRIM(REGEXREPLACE(D364, ""[0-9]+[a-f]?\."", """"))"),"")</f>
        <v/>
      </c>
      <c r="I364" s="79" t="str">
        <f>IFERROR(__xludf.DUMMYFUNCTION("TRIM(REGEXREPLACE(E364, ""[0-9]+[a-f]?\."", """"))"),"")</f>
        <v/>
      </c>
      <c r="J364" s="79" t="s">
        <v>2060</v>
      </c>
      <c r="K364" s="79" t="s">
        <v>2061</v>
      </c>
      <c r="L364" s="79" t="s">
        <v>2062</v>
      </c>
    </row>
    <row r="365" hidden="1">
      <c r="B365" s="80"/>
      <c r="C365" s="80"/>
      <c r="D365" s="80"/>
      <c r="E365" s="80"/>
      <c r="F365" s="82">
        <v>213.0</v>
      </c>
      <c r="G365" s="79" t="str">
        <f>IFERROR(__xludf.DUMMYFUNCTION("TRIM(REGEXREPLACE(C365, ""[0-9]+[a-f]?\."", """"))"),"")</f>
        <v/>
      </c>
      <c r="H365" s="79" t="str">
        <f>IFERROR(__xludf.DUMMYFUNCTION("TRIM(REGEXREPLACE(D365, ""[0-9]+[a-f]?\."", """"))"),"")</f>
        <v/>
      </c>
      <c r="I365" s="79" t="str">
        <f>IFERROR(__xludf.DUMMYFUNCTION("TRIM(REGEXREPLACE(E365, ""[0-9]+[a-f]?\."", """"))"),"")</f>
        <v/>
      </c>
      <c r="J365" s="79" t="s">
        <v>2063</v>
      </c>
      <c r="K365" s="79" t="s">
        <v>2064</v>
      </c>
      <c r="L365" s="79" t="s">
        <v>2064</v>
      </c>
    </row>
    <row r="366">
      <c r="A366" s="79" t="s">
        <v>42</v>
      </c>
      <c r="B366" s="80" t="s">
        <v>2066</v>
      </c>
      <c r="C366" s="80" t="s">
        <v>2042</v>
      </c>
      <c r="D366" s="80" t="s">
        <v>2042</v>
      </c>
      <c r="E366" s="80" t="s">
        <v>2042</v>
      </c>
      <c r="F366" s="82">
        <v>208.0</v>
      </c>
      <c r="G366" s="79" t="str">
        <f>IFERROR(__xludf.DUMMYFUNCTION("TRIM(REGEXREPLACE(C366, ""[0-9]+[a-f]?\."", """"))"),"${hoh_roster_name}
Sex: ${hoh_roster_sex}
Age: ${hoh_roster_age}")</f>
        <v>${hoh_roster_name}
Sex: ${hoh_roster_sex}
Age: ${hoh_roster_age}</v>
      </c>
      <c r="H366" s="79" t="str">
        <f>IFERROR(__xludf.DUMMYFUNCTION("TRIM(REGEXREPLACE(D366, ""[0-9]+[a-f]?\."", """"))"),"${hoh_roster_name}
Sex: ${hoh_roster_sex}
Age: ${hoh_roster_age}")</f>
        <v>${hoh_roster_name}
Sex: ${hoh_roster_sex}
Age: ${hoh_roster_age}</v>
      </c>
      <c r="I366" s="79" t="str">
        <f>IFERROR(__xludf.DUMMYFUNCTION("TRIM(REGEXREPLACE(E366, ""[0-9]+[a-f]?\."", """"))"),"${hoh_roster_name}
Sex: ${hoh_roster_sex}
Age: ${hoh_roster_age}")</f>
        <v>${hoh_roster_name}
Sex: ${hoh_roster_sex}
Age: ${hoh_roster_age}</v>
      </c>
      <c r="J366" s="79" t="s">
        <v>2068</v>
      </c>
      <c r="K366" s="79" t="s">
        <v>2068</v>
      </c>
      <c r="L366" s="79" t="s">
        <v>2068</v>
      </c>
    </row>
    <row r="367">
      <c r="A367" s="79" t="s">
        <v>277</v>
      </c>
      <c r="B367" s="80" t="s">
        <v>2069</v>
      </c>
      <c r="C367" s="80" t="s">
        <v>2043</v>
      </c>
      <c r="D367" s="80" t="s">
        <v>2044</v>
      </c>
      <c r="E367" s="80" t="s">
        <v>2045</v>
      </c>
      <c r="F367" s="82">
        <v>209.0</v>
      </c>
      <c r="G367" s="79" t="str">
        <f>IFERROR(__xludf.DUMMYFUNCTION("TRIM(REGEXREPLACE(C367, ""[0-9]+[a-f]?\."", """"))"),"Is ${hoh_roster_name} a Nigerien national?")</f>
        <v>Is ${hoh_roster_name} a Nigerien national?</v>
      </c>
      <c r="H367" s="79" t="str">
        <f>IFERROR(__xludf.DUMMYFUNCTION("TRIM(REGEXREPLACE(D367, ""[0-9]+[a-f]?\."", """"))"),"${hoh_roster_name} est-il un citoyen(ne) du Niger ?")</f>
        <v>${hoh_roster_name} est-il un citoyen(ne) du Niger ?</v>
      </c>
      <c r="I367" s="79" t="str">
        <f>IFERROR(__xludf.DUMMYFUNCTION("TRIM(REGEXREPLACE(E367, ""[0-9]+[a-f]?\."", """"))"),"Ko ${hoh_roster_name} ɗan ƙasar Nijar ne?")</f>
        <v>Ko ${hoh_roster_name} ɗan ƙasar Nijar ne?</v>
      </c>
      <c r="J367" s="79" t="s">
        <v>2071</v>
      </c>
      <c r="K367" s="79" t="s">
        <v>2072</v>
      </c>
      <c r="L367" s="79" t="s">
        <v>2074</v>
      </c>
    </row>
    <row r="368">
      <c r="A368" s="79" t="s">
        <v>294</v>
      </c>
      <c r="B368" s="80" t="s">
        <v>2075</v>
      </c>
      <c r="C368" s="80" t="s">
        <v>2046</v>
      </c>
      <c r="D368" s="80" t="s">
        <v>2077</v>
      </c>
      <c r="E368" s="80" t="s">
        <v>2079</v>
      </c>
      <c r="F368" s="82">
        <v>210.0</v>
      </c>
      <c r="G368" s="79" t="str">
        <f>IFERROR(__xludf.DUMMYFUNCTION("TRIM(REGEXREPLACE(C368, ""[0-9]+[a-f]?\."", """"))"),"Where are they a cititzen of?")</f>
        <v>Where are they a cititzen of?</v>
      </c>
      <c r="H368" s="79" t="str">
        <f>IFERROR(__xludf.DUMMYFUNCTION("TRIM(REGEXREPLACE(D368, ""[0-9]+[a-f]?\."", """"))"),"D'où sont-ils citoyens ?")</f>
        <v>D'où sont-ils citoyens ?</v>
      </c>
      <c r="I368" s="79" t="str">
        <f>IFERROR(__xludf.DUMMYFUNCTION("TRIM(REGEXREPLACE(E368, ""[0-9]+[a-f]?\."", """"))"),"Ƴan wace ƙasa ce?")</f>
        <v>Ƴan wace ƙasa ce?</v>
      </c>
      <c r="J368" s="79" t="s">
        <v>2082</v>
      </c>
      <c r="K368" s="79" t="s">
        <v>2083</v>
      </c>
      <c r="L368" s="79" t="s">
        <v>2084</v>
      </c>
    </row>
    <row r="369">
      <c r="A369" s="79" t="s">
        <v>299</v>
      </c>
      <c r="B369" s="80" t="s">
        <v>2085</v>
      </c>
      <c r="C369" s="80" t="s">
        <v>2049</v>
      </c>
      <c r="D369" s="80" t="s">
        <v>2086</v>
      </c>
      <c r="E369" s="80" t="s">
        <v>2087</v>
      </c>
      <c r="F369" s="82">
        <v>211.0</v>
      </c>
      <c r="G369" s="79" t="str">
        <f>IFERROR(__xludf.DUMMYFUNCTION("TRIM(REGEXREPLACE(C369, ""[0-9]+[a-f]?\."", """"))"),"Please enter the nationality of ${hoh_roster_name}")</f>
        <v>Please enter the nationality of ${hoh_roster_name}</v>
      </c>
      <c r="H369" s="79" t="str">
        <f>IFERROR(__xludf.DUMMYFUNCTION("TRIM(REGEXREPLACE(D369, ""[0-9]+[a-f]?\."", """"))"),"Veuillez saisir la nationalité de ${hoh_roster_name}")</f>
        <v>Veuillez saisir la nationalité de ${hoh_roster_name}</v>
      </c>
      <c r="I369" s="79" t="str">
        <f>IFERROR(__xludf.DUMMYFUNCTION("TRIM(REGEXREPLACE(E369, ""[0-9]+[a-f]?\."", """"))"),"Da fatan za a shigar da ƙasar ${hoh_roster_name}")</f>
        <v>Da fatan za a shigar da ƙasar ${hoh_roster_name}</v>
      </c>
      <c r="J369" s="79" t="s">
        <v>2089</v>
      </c>
      <c r="K369" s="79" t="s">
        <v>2090</v>
      </c>
      <c r="L369" s="79" t="s">
        <v>2091</v>
      </c>
    </row>
    <row r="370">
      <c r="A370" s="79" t="s">
        <v>194</v>
      </c>
      <c r="B370" s="80" t="s">
        <v>2092</v>
      </c>
      <c r="C370" s="80" t="s">
        <v>2051</v>
      </c>
      <c r="D370" s="80" t="s">
        <v>2052</v>
      </c>
      <c r="E370" s="80" t="s">
        <v>2053</v>
      </c>
      <c r="F370" s="82">
        <v>212.0</v>
      </c>
      <c r="G370" s="79" t="str">
        <f>IFERROR(__xludf.DUMMYFUNCTION("TRIM(REGEXREPLACE(C370, ""[0-9]+[a-f]?\."", """"))"),"Is ${hoh_roster_name} still a member of this household?")</f>
        <v>Is ${hoh_roster_name} still a member of this household?</v>
      </c>
      <c r="H370" s="79" t="str">
        <f>IFERROR(__xludf.DUMMYFUNCTION("TRIM(REGEXREPLACE(D370, ""[0-9]+[a-f]?\."", """"))"),"${hoh_roster_name} est-il toujours membre de ce ménage ?")</f>
        <v>${hoh_roster_name} est-il toujours membre de ce ménage ?</v>
      </c>
      <c r="I370" s="79" t="str">
        <f>IFERROR(__xludf.DUMMYFUNCTION("TRIM(REGEXREPLACE(E370, ""[0-9]+[a-f]?\."", """"))"),"Ko suna yana cikin ƴan gidan nan?")</f>
        <v>Ko suna yana cikin ƴan gidan nan?</v>
      </c>
      <c r="J370" s="79" t="s">
        <v>2095</v>
      </c>
      <c r="K370" s="79" t="s">
        <v>2096</v>
      </c>
      <c r="L370" s="79" t="s">
        <v>2097</v>
      </c>
    </row>
    <row r="371">
      <c r="A371" s="79" t="s">
        <v>2098</v>
      </c>
      <c r="B371" s="80" t="s">
        <v>2099</v>
      </c>
      <c r="C371" s="80" t="s">
        <v>2055</v>
      </c>
      <c r="D371" s="80" t="s">
        <v>2056</v>
      </c>
      <c r="E371" s="80" t="s">
        <v>2057</v>
      </c>
      <c r="F371" s="82">
        <v>213.0</v>
      </c>
      <c r="G371" s="79" t="str">
        <f>IFERROR(__xludf.DUMMYFUNCTION("TRIM(REGEXREPLACE(C371, ""[0-9]+[a-f]?\."", """"))"),"Why are they not a member of this household?")</f>
        <v>Why are they not a member of this household?</v>
      </c>
      <c r="H371" s="79" t="str">
        <f>IFERROR(__xludf.DUMMYFUNCTION("TRIM(REGEXREPLACE(D371, ""[0-9]+[a-f]?\."", """"))"),"Pourquoi ne font-ils pas partie de ce ménage ?")</f>
        <v>Pourquoi ne font-ils pas partie de ce ménage ?</v>
      </c>
      <c r="I371" s="79" t="str">
        <f>IFERROR(__xludf.DUMMYFUNCTION("TRIM(REGEXREPLACE(E371, ""[0-9]+[a-f]?\."", """"))"),"Me ya sa ba su cikin ƴan gidan nan ?")</f>
        <v>Me ya sa ba su cikin ƴan gidan nan ?</v>
      </c>
      <c r="J371" s="79" t="s">
        <v>2100</v>
      </c>
      <c r="K371" s="79" t="s">
        <v>2101</v>
      </c>
      <c r="L371" s="79" t="s">
        <v>2102</v>
      </c>
    </row>
    <row r="372">
      <c r="A372" s="79" t="s">
        <v>299</v>
      </c>
      <c r="B372" s="80" t="s">
        <v>2103</v>
      </c>
      <c r="C372" s="80" t="s">
        <v>2060</v>
      </c>
      <c r="D372" s="80" t="s">
        <v>2061</v>
      </c>
      <c r="E372" s="80" t="s">
        <v>2062</v>
      </c>
      <c r="F372" s="82">
        <v>214.0</v>
      </c>
      <c r="G372" s="79" t="str">
        <f>IFERROR(__xludf.DUMMYFUNCTION("TRIM(REGEXREPLACE(C372, ""[0-9]+[a-f]?\."", """"))"),"Other, specify:")</f>
        <v>Other, specify:</v>
      </c>
      <c r="H372" s="79" t="str">
        <f>IFERROR(__xludf.DUMMYFUNCTION("TRIM(REGEXREPLACE(D372, ""[0-9]+[a-f]?\."", """"))"),"Autre précisez:")</f>
        <v>Autre précisez:</v>
      </c>
      <c r="I372" s="79" t="str">
        <f>IFERROR(__xludf.DUMMYFUNCTION("TRIM(REGEXREPLACE(E372, ""[0-9]+[a-f]?\."", """"))"),"Sauran, bayar da cikakkun bayanai:")</f>
        <v>Sauran, bayar da cikakkun bayanai:</v>
      </c>
      <c r="J372" s="79" t="s">
        <v>2105</v>
      </c>
      <c r="K372" s="79" t="s">
        <v>2107</v>
      </c>
      <c r="L372" s="79" t="s">
        <v>2108</v>
      </c>
    </row>
    <row r="373">
      <c r="A373" s="79" t="s">
        <v>299</v>
      </c>
      <c r="B373" s="80" t="s">
        <v>2110</v>
      </c>
      <c r="C373" s="80" t="s">
        <v>2063</v>
      </c>
      <c r="D373" s="80" t="s">
        <v>2064</v>
      </c>
      <c r="E373" s="80" t="s">
        <v>2064</v>
      </c>
      <c r="F373" s="82">
        <v>215.0</v>
      </c>
      <c r="G373" s="79" t="str">
        <f>IFERROR(__xludf.DUMMYFUNCTION("TRIM(REGEXREPLACE(C373, ""[0-9]+[a-f]?\."", """"))"),"Enumerator: Record any details about the death of the family member")</f>
        <v>Enumerator: Record any details about the death of the family member</v>
      </c>
      <c r="H373" s="79" t="str">
        <f>IFERROR(__xludf.DUMMYFUNCTION("TRIM(REGEXREPLACE(D373, ""[0-9]+[a-f]?\."", """"))"),"Enqueteur: Veuillez noter toute information pertinente concernant le décès")</f>
        <v>Enqueteur: Veuillez noter toute information pertinente concernant le décès</v>
      </c>
      <c r="I373" s="79" t="str">
        <f>IFERROR(__xludf.DUMMYFUNCTION("TRIM(REGEXREPLACE(E373, ""[0-9]+[a-f]?\."", """"))"),"Enqueteur: Veuillez noter toute information pertinente concernant le décès")</f>
        <v>Enqueteur: Veuillez noter toute information pertinente concernant le décès</v>
      </c>
      <c r="J373" s="79" t="s">
        <v>2113</v>
      </c>
      <c r="K373" s="79" t="s">
        <v>2114</v>
      </c>
      <c r="L373" s="79" t="s">
        <v>2114</v>
      </c>
    </row>
    <row r="374">
      <c r="A374" s="79" t="s">
        <v>194</v>
      </c>
      <c r="B374" s="80" t="s">
        <v>2115</v>
      </c>
      <c r="C374" s="80" t="s">
        <v>2116</v>
      </c>
      <c r="D374" s="80" t="s">
        <v>2117</v>
      </c>
      <c r="E374" s="80" t="s">
        <v>2118</v>
      </c>
      <c r="F374" s="82">
        <v>216.0</v>
      </c>
      <c r="G374" s="79" t="str">
        <f>IFERROR(__xludf.DUMMYFUNCTION("TRIM(REGEXREPLACE(C374, ""[0-9]+[a-f]?\."", """"))"),"Is ${hoh_roster_name} currently living in your household?")</f>
        <v>Is ${hoh_roster_name} currently living in your household?</v>
      </c>
      <c r="H374" s="79" t="str">
        <f>IFERROR(__xludf.DUMMYFUNCTION("TRIM(REGEXREPLACE(D374, ""[0-9]+[a-f]?\."", """"))"),"Est-ce que ${hoh_roster_name} vit actuellement dans votre ménage ?")</f>
        <v>Est-ce que ${hoh_roster_name} vit actuellement dans votre ménage ?</v>
      </c>
      <c r="I374" s="79" t="str">
        <f>IFERROR(__xludf.DUMMYFUNCTION("TRIM(REGEXREPLACE(E374, ""[0-9]+[a-f]?\."", """"))"),"Ko ${hoh_roster_name} yana zaune a gidanku a halin yanzu ?")</f>
        <v>Ko ${hoh_roster_name} yana zaune a gidanku a halin yanzu ?</v>
      </c>
      <c r="J374" s="79" t="s">
        <v>2119</v>
      </c>
      <c r="K374" s="79" t="s">
        <v>2120</v>
      </c>
      <c r="L374" s="79" t="s">
        <v>2121</v>
      </c>
    </row>
    <row r="375">
      <c r="A375" s="79" t="s">
        <v>277</v>
      </c>
      <c r="B375" s="80" t="s">
        <v>2122</v>
      </c>
      <c r="C375" s="80" t="s">
        <v>2123</v>
      </c>
      <c r="D375" s="80" t="s">
        <v>2124</v>
      </c>
      <c r="E375" s="80" t="s">
        <v>2125</v>
      </c>
      <c r="F375" s="82">
        <v>217.0</v>
      </c>
      <c r="G375" s="79" t="str">
        <f>IFERROR(__xludf.DUMMYFUNCTION("TRIM(REGEXREPLACE(C375, ""[0-9]+[a-f]?\."", """"))"),"Is ${hoh_roster_name} currently living in Niger?")</f>
        <v>Is ${hoh_roster_name} currently living in Niger?</v>
      </c>
      <c r="H375" s="79" t="str">
        <f>IFERROR(__xludf.DUMMYFUNCTION("TRIM(REGEXREPLACE(D375, ""[0-9]+[a-f]?\."", """"))"),"Est-ce que ${hoh_roster_name} vit actuellement au Niger ?")</f>
        <v>Est-ce que ${hoh_roster_name} vit actuellement au Niger ?</v>
      </c>
      <c r="I375" s="79" t="str">
        <f>IFERROR(__xludf.DUMMYFUNCTION("TRIM(REGEXREPLACE(E375, ""[0-9]+[a-f]?\."", """"))"),"Ko ${hoh_roster_name} yana zaune a Nijar a halin yanzu?")</f>
        <v>Ko ${hoh_roster_name} yana zaune a Nijar a halin yanzu?</v>
      </c>
      <c r="J375" s="79" t="s">
        <v>2127</v>
      </c>
      <c r="K375" s="79" t="s">
        <v>2128</v>
      </c>
      <c r="L375" s="79" t="s">
        <v>2129</v>
      </c>
    </row>
    <row r="376">
      <c r="A376" s="79" t="s">
        <v>287</v>
      </c>
      <c r="B376" s="80" t="s">
        <v>2131</v>
      </c>
      <c r="C376" s="80" t="s">
        <v>2132</v>
      </c>
      <c r="D376" s="80" t="s">
        <v>2133</v>
      </c>
      <c r="E376" s="80" t="s">
        <v>2134</v>
      </c>
      <c r="F376" s="82">
        <v>218.0</v>
      </c>
      <c r="G376" s="79" t="str">
        <f>IFERROR(__xludf.DUMMYFUNCTION("TRIM(REGEXREPLACE(C376, ""[0-9]+[a-f]?\."", """"))"),"What region is ${hoh_roster_name} currently living in?")</f>
        <v>What region is ${hoh_roster_name} currently living in?</v>
      </c>
      <c r="H376" s="79" t="str">
        <f>IFERROR(__xludf.DUMMYFUNCTION("TRIM(REGEXREPLACE(D376, ""[0-9]+[a-f]?\."", """"))"),"Dans quelle région vit actuellement ${hoh_roster_name} ?")</f>
        <v>Dans quelle région vit actuellement ${hoh_roster_name} ?</v>
      </c>
      <c r="I376" s="79" t="str">
        <f>IFERROR(__xludf.DUMMYFUNCTION("TRIM(REGEXREPLACE(E376, ""[0-9]+[a-f]?\."", """"))"),"A cikin wace jaha ce ${hoh_roster_name} yake zaune a yanzu?")</f>
        <v>A cikin wace jaha ce ${hoh_roster_name} yake zaune a yanzu?</v>
      </c>
      <c r="J376" s="79" t="s">
        <v>2136</v>
      </c>
      <c r="K376" s="79" t="s">
        <v>2137</v>
      </c>
      <c r="L376" s="79" t="s">
        <v>2138</v>
      </c>
    </row>
    <row r="377">
      <c r="A377" s="79" t="s">
        <v>2139</v>
      </c>
      <c r="B377" s="80" t="s">
        <v>2140</v>
      </c>
      <c r="C377" s="80" t="s">
        <v>2141</v>
      </c>
      <c r="D377" s="80" t="s">
        <v>2142</v>
      </c>
      <c r="E377" s="80" t="s">
        <v>2143</v>
      </c>
      <c r="F377" s="82">
        <v>219.0</v>
      </c>
      <c r="G377" s="79" t="str">
        <f>IFERROR(__xludf.DUMMYFUNCTION("TRIM(REGEXREPLACE(C377, ""[0-9]+[a-f]?\."", """"))"),"What country is ${hoh_roster_name} currently living in?")</f>
        <v>What country is ${hoh_roster_name} currently living in?</v>
      </c>
      <c r="H377" s="79" t="str">
        <f>IFERROR(__xludf.DUMMYFUNCTION("TRIM(REGEXREPLACE(D377, ""[0-9]+[a-f]?\."", """"))"),"Dans quel pays vit actuellement ${hoh_roster_name} ?")</f>
        <v>Dans quel pays vit actuellement ${hoh_roster_name} ?</v>
      </c>
      <c r="I377" s="79" t="str">
        <f>IFERROR(__xludf.DUMMYFUNCTION("TRIM(REGEXREPLACE(E377, ""[0-9]+[a-f]?\."", """"))"),"A cikin wace kasa ce ${hoh_roster_name} yake zaune a yanzu?")</f>
        <v>A cikin wace kasa ce ${hoh_roster_name} yake zaune a yanzu?</v>
      </c>
      <c r="J377" s="79" t="s">
        <v>2145</v>
      </c>
      <c r="K377" s="79" t="s">
        <v>2146</v>
      </c>
      <c r="L377" s="79" t="s">
        <v>2147</v>
      </c>
    </row>
    <row r="378">
      <c r="A378" s="79" t="s">
        <v>299</v>
      </c>
      <c r="B378" s="80" t="s">
        <v>2148</v>
      </c>
      <c r="C378" s="80" t="s">
        <v>2149</v>
      </c>
      <c r="D378" s="80" t="s">
        <v>2150</v>
      </c>
      <c r="E378" s="80" t="s">
        <v>2151</v>
      </c>
      <c r="F378" s="82">
        <v>220.0</v>
      </c>
      <c r="G378" s="79" t="str">
        <f>IFERROR(__xludf.DUMMYFUNCTION("TRIM(REGEXREPLACE(C378, ""[0-9]+[a-f]?\."", """"))"),"Specify other")</f>
        <v>Specify other</v>
      </c>
      <c r="H378" s="79" t="str">
        <f>IFERROR(__xludf.DUMMYFUNCTION("TRIM(REGEXREPLACE(D378, ""[0-9]+[a-f]?\."", """"))"),"Autre à préciser")</f>
        <v>Autre à préciser</v>
      </c>
      <c r="I378" s="79" t="str">
        <f>IFERROR(__xludf.DUMMYFUNCTION("TRIM(REGEXREPLACE(E378, ""[0-9]+[a-f]?\."", """"))"),"Wani daban a Bayyana")</f>
        <v>Wani daban a Bayyana</v>
      </c>
      <c r="J378" s="79" t="s">
        <v>2155</v>
      </c>
      <c r="K378" s="79" t="s">
        <v>2156</v>
      </c>
      <c r="L378" s="79" t="s">
        <v>2157</v>
      </c>
    </row>
    <row r="379">
      <c r="A379" s="79" t="s">
        <v>305</v>
      </c>
      <c r="B379" s="80" t="s">
        <v>2158</v>
      </c>
      <c r="C379" s="80" t="s">
        <v>2159</v>
      </c>
      <c r="D379" s="80" t="s">
        <v>2160</v>
      </c>
      <c r="E379" s="80" t="s">
        <v>2161</v>
      </c>
      <c r="F379" s="82">
        <v>221.0</v>
      </c>
      <c r="G379" s="79" t="str">
        <f>IFERROR(__xludf.DUMMYFUNCTION("TRIM(REGEXREPLACE(C379, ""[0-9]+[a-f]?\."", """"))"),"Enumerator: Select town")</f>
        <v>Enumerator: Select town</v>
      </c>
      <c r="H379" s="79" t="str">
        <f>IFERROR(__xludf.DUMMYFUNCTION("TRIM(REGEXREPLACE(D379, ""[0-9]+[a-f]?\."", """"))"),"Enquêteur : Sélectionnez la ville")</f>
        <v>Enquêteur : Sélectionnez la ville</v>
      </c>
      <c r="I379" s="79" t="str">
        <f>IFERROR(__xludf.DUMMYFUNCTION("TRIM(REGEXREPLACE(E379, ""[0-9]+[a-f]?\."", """"))"),"Ɗan bincike: Zaɓi gari")</f>
        <v>Ɗan bincike: Zaɓi gari</v>
      </c>
      <c r="J379" s="79" t="s">
        <v>2162</v>
      </c>
      <c r="K379" s="79" t="s">
        <v>2163</v>
      </c>
      <c r="L379" s="79" t="s">
        <v>2164</v>
      </c>
    </row>
    <row r="380">
      <c r="A380" s="79" t="s">
        <v>299</v>
      </c>
      <c r="B380" s="80" t="s">
        <v>2165</v>
      </c>
      <c r="C380" s="80" t="s">
        <v>2155</v>
      </c>
      <c r="D380" s="80" t="s">
        <v>2156</v>
      </c>
      <c r="E380" s="80" t="s">
        <v>2157</v>
      </c>
      <c r="F380" s="82">
        <v>222.0</v>
      </c>
      <c r="G380" s="79" t="str">
        <f>IFERROR(__xludf.DUMMYFUNCTION("TRIM(REGEXREPLACE(C380, ""[0-9]+[a-f]?\."", """"))"),"Specify other")</f>
        <v>Specify other</v>
      </c>
      <c r="H380" s="79" t="str">
        <f>IFERROR(__xludf.DUMMYFUNCTION("TRIM(REGEXREPLACE(D380, ""[0-9]+[a-f]?\."", """"))"),"Autre à préciser")</f>
        <v>Autre à préciser</v>
      </c>
      <c r="I380" s="79" t="str">
        <f>IFERROR(__xludf.DUMMYFUNCTION("TRIM(REGEXREPLACE(E380, ""[0-9]+[a-f]?\."", """"))"),"Wani daban a Bayyana")</f>
        <v>Wani daban a Bayyana</v>
      </c>
      <c r="J380" s="79" t="s">
        <v>2167</v>
      </c>
      <c r="K380" s="79" t="s">
        <v>2169</v>
      </c>
      <c r="L380" s="79" t="s">
        <v>2170</v>
      </c>
    </row>
    <row r="381" hidden="1">
      <c r="B381" s="80"/>
      <c r="C381" s="80"/>
      <c r="D381" s="80"/>
      <c r="E381" s="80"/>
      <c r="F381" s="82">
        <v>228.0</v>
      </c>
      <c r="G381" s="79" t="str">
        <f>IFERROR(__xludf.DUMMYFUNCTION("TRIM(REGEXREPLACE(C381, ""[0-9]+[a-f]?\."", """"))"),"")</f>
        <v/>
      </c>
      <c r="H381" s="79" t="str">
        <f>IFERROR(__xludf.DUMMYFUNCTION("TRIM(REGEXREPLACE(D381, ""[0-9]+[a-f]?\."", """"))"),"")</f>
        <v/>
      </c>
      <c r="I381" s="79" t="str">
        <f>IFERROR(__xludf.DUMMYFUNCTION("TRIM(REGEXREPLACE(E381, ""[0-9]+[a-f]?\."", """"))"),"")</f>
        <v/>
      </c>
      <c r="J381" s="79" t="s">
        <v>2174</v>
      </c>
      <c r="K381" s="79" t="s">
        <v>2175</v>
      </c>
      <c r="L381" s="79" t="s">
        <v>2176</v>
      </c>
    </row>
    <row r="382">
      <c r="A382" s="79" t="s">
        <v>194</v>
      </c>
      <c r="B382" s="80" t="s">
        <v>2177</v>
      </c>
      <c r="C382" s="80" t="s">
        <v>2178</v>
      </c>
      <c r="D382" s="80" t="s">
        <v>2179</v>
      </c>
      <c r="E382" s="80" t="s">
        <v>2180</v>
      </c>
      <c r="F382" s="82">
        <v>223.0</v>
      </c>
      <c r="G382" s="79" t="str">
        <f>IFERROR(__xludf.DUMMYFUNCTION("TRIM(REGEXREPLACE(C382, ""[0-9]+[a-f]?\."", """"))"),"Does ${hoh_roster_name} currently suffer from any illness or disability that limits their ability to travel or work?")</f>
        <v>Does ${hoh_roster_name} currently suffer from any illness or disability that limits their ability to travel or work?</v>
      </c>
      <c r="H382" s="79" t="str">
        <f>IFERROR(__xludf.DUMMYFUNCTION("TRIM(REGEXREPLACE(D382, ""[0-9]+[a-f]?\."", """"))"),"Est-ce que ${hoh_roster_name} souffre actuellement d'une maladie ou d'un handicap qui limite sa capacité à voyager ou à travailler ?")</f>
        <v>Est-ce que ${hoh_roster_name} souffre actuellement d'une maladie ou d'un handicap qui limite sa capacité à voyager ou à travailler ?</v>
      </c>
      <c r="I382" s="79" t="str">
        <f>IFERROR(__xludf.DUMMYFUNCTION("TRIM(REGEXREPLACE(E382, ""[0-9]+[a-f]?\."", """"))"),"ko a halin yanzu ${hoh_roster_name} yana da rashin lafiya ko naƙasa wanda ke iya hanashi zuwa balaguro ko yin aiki?")</f>
        <v>ko a halin yanzu ${hoh_roster_name} yana da rashin lafiya ko naƙasa wanda ke iya hanashi zuwa balaguro ko yin aiki?</v>
      </c>
      <c r="J382" s="79" t="s">
        <v>2181</v>
      </c>
      <c r="K382" s="79" t="s">
        <v>2182</v>
      </c>
      <c r="L382" s="79" t="s">
        <v>2183</v>
      </c>
    </row>
    <row r="383">
      <c r="A383" s="79" t="s">
        <v>484</v>
      </c>
      <c r="B383" s="80" t="s">
        <v>2184</v>
      </c>
      <c r="C383" s="80" t="s">
        <v>2185</v>
      </c>
      <c r="D383" s="80" t="s">
        <v>2186</v>
      </c>
      <c r="E383" s="80" t="s">
        <v>2187</v>
      </c>
      <c r="F383" s="82">
        <v>224.0</v>
      </c>
      <c r="G383" s="79" t="str">
        <f>IFERROR(__xludf.DUMMYFUNCTION("TRIM(REGEXREPLACE(C383, ""[0-9]+[a-f]?\."", """"))"),"What illness limits ${hoh_roster_name} in this way?")</f>
        <v>What illness limits ${hoh_roster_name} in this way?</v>
      </c>
      <c r="H383" s="79" t="str">
        <f>IFERROR(__xludf.DUMMYFUNCTION("TRIM(REGEXREPLACE(D383, ""[0-9]+[a-f]?\."", """"))"),"Quelle maladie limite ${hoh_roster_name} de cette manière ?")</f>
        <v>Quelle maladie limite ${hoh_roster_name} de cette manière ?</v>
      </c>
      <c r="I383" s="79" t="str">
        <f>IFERROR(__xludf.DUMMYFUNCTION("TRIM(REGEXREPLACE(E383, ""[0-9]+[a-f]?\."", """"))"),"Wace rashin lafiya ke tsaida ${hoh_roster_name} ta haka ?")</f>
        <v>Wace rashin lafiya ke tsaida ${hoh_roster_name} ta haka ?</v>
      </c>
      <c r="J383" s="79" t="s">
        <v>2189</v>
      </c>
      <c r="K383" s="79" t="s">
        <v>2190</v>
      </c>
      <c r="L383" s="79" t="s">
        <v>2191</v>
      </c>
    </row>
    <row r="384">
      <c r="A384" s="79" t="s">
        <v>299</v>
      </c>
      <c r="B384" s="80" t="s">
        <v>2193</v>
      </c>
      <c r="C384" s="80" t="s">
        <v>2195</v>
      </c>
      <c r="D384" s="80" t="s">
        <v>2196</v>
      </c>
      <c r="E384" s="80" t="s">
        <v>2198</v>
      </c>
      <c r="F384" s="82">
        <v>225.0</v>
      </c>
      <c r="G384" s="79" t="str">
        <f>IFERROR(__xludf.DUMMYFUNCTION("TRIM(REGEXREPLACE(C384, ""[0-9]+[a-f]?\."", """"))"),"Other, specify:")</f>
        <v>Other, specify:</v>
      </c>
      <c r="H384" s="79" t="str">
        <f>IFERROR(__xludf.DUMMYFUNCTION("TRIM(REGEXREPLACE(D384, ""[0-9]+[a-f]?\."", """"))"),"Autre précisez:")</f>
        <v>Autre précisez:</v>
      </c>
      <c r="I384" s="79" t="str">
        <f>IFERROR(__xludf.DUMMYFUNCTION("TRIM(REGEXREPLACE(E384, ""[0-9]+[a-f]?\."", """"))"),"Sauran, bayar da cikakkun bayanai:")</f>
        <v>Sauran, bayar da cikakkun bayanai:</v>
      </c>
      <c r="J384" s="79" t="s">
        <v>2199</v>
      </c>
      <c r="K384" s="79" t="s">
        <v>2200</v>
      </c>
      <c r="L384" s="79" t="s">
        <v>2201</v>
      </c>
    </row>
    <row r="385">
      <c r="A385" s="79" t="s">
        <v>194</v>
      </c>
      <c r="B385" s="80" t="s">
        <v>2202</v>
      </c>
      <c r="C385" s="80" t="s">
        <v>2203</v>
      </c>
      <c r="D385" s="80" t="s">
        <v>2204</v>
      </c>
      <c r="E385" s="80" t="s">
        <v>2205</v>
      </c>
      <c r="F385" s="82">
        <v>226.0</v>
      </c>
      <c r="G385" s="79" t="str">
        <f>IFERROR(__xludf.DUMMYFUNCTION("TRIM(REGEXREPLACE(C385, ""[0-9]+[a-f]?\."", """"))"),"Does ${hoh_roster_name} have children?")</f>
        <v>Does ${hoh_roster_name} have children?</v>
      </c>
      <c r="H385" s="79" t="str">
        <f>IFERROR(__xludf.DUMMYFUNCTION("TRIM(REGEXREPLACE(D385, ""[0-9]+[a-f]?\."", """"))"),"Est-ce que ${hoh_roster_name} a des enfants ?")</f>
        <v>Est-ce que ${hoh_roster_name} a des enfants ?</v>
      </c>
      <c r="I385" s="79" t="str">
        <f>IFERROR(__xludf.DUMMYFUNCTION("TRIM(REGEXREPLACE(E385, ""[0-9]+[a-f]?\."", """"))"),"ko ${hoh_roster_name} yana da yara?")</f>
        <v>ko ${hoh_roster_name} yana da yara?</v>
      </c>
      <c r="J385" s="79" t="s">
        <v>2206</v>
      </c>
      <c r="K385" s="79" t="s">
        <v>2207</v>
      </c>
      <c r="L385" s="79" t="s">
        <v>2208</v>
      </c>
    </row>
    <row r="386">
      <c r="A386" s="79" t="s">
        <v>396</v>
      </c>
      <c r="B386" s="80" t="s">
        <v>2209</v>
      </c>
      <c r="C386" s="80" t="s">
        <v>2211</v>
      </c>
      <c r="D386" s="80" t="s">
        <v>2212</v>
      </c>
      <c r="E386" s="80" t="s">
        <v>2213</v>
      </c>
      <c r="F386" s="82">
        <v>227.0</v>
      </c>
      <c r="G386" s="79" t="str">
        <f>IFERROR(__xludf.DUMMYFUNCTION("TRIM(REGEXREPLACE(C386, ""[0-9]+[a-f]?\."", """"))"),"How many children is ${hoh_roster_name} responsible for?")</f>
        <v>How many children is ${hoh_roster_name} responsible for?</v>
      </c>
      <c r="H386" s="79" t="str">
        <f>IFERROR(__xludf.DUMMYFUNCTION("TRIM(REGEXREPLACE(D386, ""[0-9]+[a-f]?\."", """"))"),"De combien d'enfants ${hoh_roster_name} est-il responsable ?")</f>
        <v>De combien d'enfants ${hoh_roster_name} est-il responsable ?</v>
      </c>
      <c r="I386" s="79" t="str">
        <f>IFERROR(__xludf.DUMMYFUNCTION("TRIM(REGEXREPLACE(E386, ""[0-9]+[a-f]?\."", """"))"),"Yara nawa ne ${hoh_roster_name} yake ɗauke da Nauyinsu?")</f>
        <v>Yara nawa ne ${hoh_roster_name} yake ɗauke da Nauyinsu?</v>
      </c>
      <c r="J386" s="79" t="s">
        <v>2214</v>
      </c>
      <c r="K386" s="79" t="s">
        <v>2215</v>
      </c>
      <c r="L386" s="79" t="s">
        <v>2216</v>
      </c>
    </row>
    <row r="387">
      <c r="A387" s="79" t="s">
        <v>2217</v>
      </c>
      <c r="B387" s="80" t="s">
        <v>2218</v>
      </c>
      <c r="C387" s="80" t="s">
        <v>2219</v>
      </c>
      <c r="D387" s="80" t="s">
        <v>2220</v>
      </c>
      <c r="E387" s="80" t="s">
        <v>2221</v>
      </c>
      <c r="F387" s="82">
        <v>228.0</v>
      </c>
      <c r="G387" s="79" t="str">
        <f>IFERROR(__xludf.DUMMYFUNCTION("TRIM(REGEXREPLACE(C387, ""[0-9]+[a-f]?\."", """"))"),"What is the highest level of education that ${hoh_roster_name} has completed?")</f>
        <v>What is the highest level of education that ${hoh_roster_name} has completed?</v>
      </c>
      <c r="H387" s="79" t="str">
        <f>IFERROR(__xludf.DUMMYFUNCTION("TRIM(REGEXREPLACE(D387, ""[0-9]+[a-f]?\."", """"))"),"Quel est le plus haut niveau d'études atteint par ${hoh_roster_name} ?")</f>
        <v>Quel est le plus haut niveau d'études atteint par ${hoh_roster_name} ?</v>
      </c>
      <c r="I387" s="79" t="str">
        <f>IFERROR(__xludf.DUMMYFUNCTION("TRIM(REGEXREPLACE(E387, ""[0-9]+[a-f]?\."", """"))"),"Menene mafi girman mastayin ilimi da ${hoh_roster_name} ya kai?")</f>
        <v>Menene mafi girman mastayin ilimi da ${hoh_roster_name} ya kai?</v>
      </c>
      <c r="J387" s="79" t="s">
        <v>2223</v>
      </c>
      <c r="K387" s="79" t="s">
        <v>2224</v>
      </c>
      <c r="L387" s="79" t="s">
        <v>2225</v>
      </c>
    </row>
    <row r="388">
      <c r="A388" s="79" t="s">
        <v>194</v>
      </c>
      <c r="B388" s="80" t="s">
        <v>2226</v>
      </c>
      <c r="C388" s="80" t="s">
        <v>2227</v>
      </c>
      <c r="D388" s="80" t="s">
        <v>2228</v>
      </c>
      <c r="E388" s="80" t="s">
        <v>2230</v>
      </c>
      <c r="F388" s="82">
        <v>229.0</v>
      </c>
      <c r="G388" s="79" t="str">
        <f>IFERROR(__xludf.DUMMYFUNCTION("TRIM(REGEXREPLACE(C388, ""[0-9]+[a-f]?\."", """"))"),"Is ${hoh_roster_name} currently enrolled in school?")</f>
        <v>Is ${hoh_roster_name} currently enrolled in school?</v>
      </c>
      <c r="H388" s="79" t="str">
        <f>IFERROR(__xludf.DUMMYFUNCTION("TRIM(REGEXREPLACE(D388, ""[0-9]+[a-f]?\."", """"))"),"Est-ce que ${hoh_roster_name} est actuellement inscrit à l'école ?")</f>
        <v>Est-ce que ${hoh_roster_name} est actuellement inscrit à l'école ?</v>
      </c>
      <c r="I388" s="79" t="str">
        <f>IFERROR(__xludf.DUMMYFUNCTION("TRIM(REGEXREPLACE(E388, ""[0-9]+[a-f]?\."", """"))"),"Ko ${hoh_roster_name} yana yin lakwal a halin yanzu?")</f>
        <v>Ko ${hoh_roster_name} yana yin lakwal a halin yanzu?</v>
      </c>
      <c r="J388" s="79" t="s">
        <v>2231</v>
      </c>
      <c r="K388" s="79" t="s">
        <v>2232</v>
      </c>
      <c r="L388" s="79" t="s">
        <v>2233</v>
      </c>
    </row>
    <row r="389">
      <c r="A389" s="79" t="s">
        <v>2234</v>
      </c>
      <c r="B389" s="80" t="s">
        <v>2235</v>
      </c>
      <c r="C389" s="80" t="s">
        <v>2174</v>
      </c>
      <c r="D389" s="80" t="s">
        <v>2175</v>
      </c>
      <c r="E389" s="80" t="s">
        <v>2176</v>
      </c>
      <c r="F389" s="82">
        <v>230.0</v>
      </c>
      <c r="G389" s="79" t="str">
        <f>IFERROR(__xludf.DUMMYFUNCTION("TRIM(REGEXREPLACE(C389, ""[0-9]+[a-f]?\."", """"))"),"What kind of school is ${hoh_roster_name} enrolled in?")</f>
        <v>What kind of school is ${hoh_roster_name} enrolled in?</v>
      </c>
      <c r="H389" s="79" t="str">
        <f>IFERROR(__xludf.DUMMYFUNCTION("TRIM(REGEXREPLACE(D389, ""[0-9]+[a-f]?\."", """"))"),"Dans quel type d'école est inscrit ${hoh_roster_name} ?")</f>
        <v>Dans quel type d'école est inscrit ${hoh_roster_name} ?</v>
      </c>
      <c r="I389" s="79" t="str">
        <f>IFERROR(__xludf.DUMMYFUNCTION("TRIM(REGEXREPLACE(E389, ""[0-9]+[a-f]?\."", """"))"),"Wace irin makaranta aka rubuta ${hoh_roster_name}?")</f>
        <v>Wace irin makaranta aka rubuta ${hoh_roster_name}?</v>
      </c>
      <c r="J389" s="79" t="s">
        <v>2236</v>
      </c>
      <c r="K389" s="79" t="s">
        <v>2237</v>
      </c>
      <c r="L389" s="79" t="s">
        <v>2238</v>
      </c>
    </row>
    <row r="390">
      <c r="A390" s="79" t="s">
        <v>396</v>
      </c>
      <c r="B390" s="80" t="s">
        <v>2239</v>
      </c>
      <c r="C390" s="80" t="s">
        <v>2240</v>
      </c>
      <c r="D390" s="80" t="s">
        <v>2241</v>
      </c>
      <c r="E390" s="80" t="s">
        <v>2242</v>
      </c>
      <c r="F390" s="82">
        <v>231.0</v>
      </c>
      <c r="G390" s="79" t="str">
        <f>IFERROR(__xludf.DUMMYFUNCTION("TRIM(REGEXREPLACE(C390, ""[0-9]+[a-f]?\."", """"))"),"What is the cost of school fees for the current academic year in CFA?")</f>
        <v>What is the cost of school fees for the current academic year in CFA?</v>
      </c>
      <c r="H390" s="79" t="str">
        <f>IFERROR(__xludf.DUMMYFUNCTION("TRIM(REGEXREPLACE(D390, ""[0-9]+[a-f]?\."", """"))"),"Quel est le coût des frais de scolarité pour l'année scolaire en cours (en CFA) ?")</f>
        <v>Quel est le coût des frais de scolarité pour l'année scolaire en cours (en CFA) ?</v>
      </c>
      <c r="I390" s="79" t="str">
        <f>IFERROR(__xludf.DUMMYFUNCTION("TRIM(REGEXREPLACE(E390, ""[0-9]+[a-f]?\."", """"))"),"Nawa ne kuɗin makaranta na wannan shekarar (a sefa)?")</f>
        <v>Nawa ne kuɗin makaranta na wannan shekarar (a sefa)?</v>
      </c>
      <c r="J390" s="79" t="s">
        <v>2243</v>
      </c>
      <c r="K390" s="79" t="s">
        <v>2244</v>
      </c>
      <c r="L390" s="79" t="s">
        <v>2245</v>
      </c>
    </row>
    <row r="391">
      <c r="A391" s="79" t="s">
        <v>396</v>
      </c>
      <c r="B391" s="80" t="s">
        <v>2246</v>
      </c>
      <c r="C391" s="80" t="s">
        <v>2247</v>
      </c>
      <c r="D391" s="80" t="s">
        <v>2248</v>
      </c>
      <c r="E391" s="80" t="s">
        <v>2249</v>
      </c>
      <c r="F391" s="82">
        <v>232.0</v>
      </c>
      <c r="G391" s="79" t="str">
        <f>IFERROR(__xludf.DUMMYFUNCTION("TRIM(REGEXREPLACE(C391, ""[0-9]+[a-f]?\."", """"))"),"In the past month (four weeks) how many days has ${hoh_roster_name} missed school for health reasons?")</f>
        <v>In the past month (four weeks) how many days has ${hoh_roster_name} missed school for health reasons?</v>
      </c>
      <c r="H391" s="79" t="str">
        <f>IFERROR(__xludf.DUMMYFUNCTION("TRIM(REGEXREPLACE(D391, ""[0-9]+[a-f]?\."", """"))"),"Au cours du dernier mois (quatre semaines), combien de jours ${hoh_roster_name} a-t-il manqué l'école pour des raisons de santé ?")</f>
        <v>Au cours du dernier mois (quatre semaines), combien de jours ${hoh_roster_name} a-t-il manqué l'école pour des raisons de santé ?</v>
      </c>
      <c r="I391" s="79" t="str">
        <f>IFERROR(__xludf.DUMMYFUNCTION("TRIM(REGEXREPLACE(E391, ""[0-9]+[a-f]?\."", """"))"),"A cikin watan da ya gabata (sati hudu), kwanaki nawa ${hoh_roster_name} yayi fashin zuwa makaranta saboda wata rishin lafiya?")</f>
        <v>A cikin watan da ya gabata (sati hudu), kwanaki nawa ${hoh_roster_name} yayi fashin zuwa makaranta saboda wata rishin lafiya?</v>
      </c>
      <c r="J391" s="79" t="s">
        <v>2250</v>
      </c>
      <c r="K391" s="79" t="s">
        <v>2251</v>
      </c>
      <c r="L391" s="79" t="s">
        <v>2252</v>
      </c>
    </row>
    <row r="392">
      <c r="A392" s="79" t="s">
        <v>396</v>
      </c>
      <c r="B392" s="80" t="s">
        <v>2253</v>
      </c>
      <c r="C392" s="80" t="s">
        <v>2254</v>
      </c>
      <c r="D392" s="80" t="s">
        <v>2255</v>
      </c>
      <c r="E392" s="80" t="s">
        <v>2257</v>
      </c>
      <c r="F392" s="82">
        <v>233.0</v>
      </c>
      <c r="G392" s="79" t="str">
        <f>IFERROR(__xludf.DUMMYFUNCTION("TRIM(REGEXREPLACE(C392, ""[0-9]+[a-f]?\."", """"))"),"In the past month (four weeks) how many days has ${hoh_roster_name} missed school for work or other reasons?")</f>
        <v>In the past month (four weeks) how many days has ${hoh_roster_name} missed school for work or other reasons?</v>
      </c>
      <c r="H392" s="79" t="str">
        <f>IFERROR(__xludf.DUMMYFUNCTION("TRIM(REGEXREPLACE(D392,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392" s="79" t="str">
        <f>IFERROR(__xludf.DUMMYFUNCTION("TRIM(REGEXREPLACE(E392, ""[0-9]+[a-f]?\."", """"))"),"A cikin watan da ya gabata (makonni hudu), kwanaki nawa ${hoh_roster_name} yayi fashin makaranta saboda aiki ko wasu dalilai?")</f>
        <v>A cikin watan da ya gabata (makonni hudu), kwanaki nawa ${hoh_roster_name} yayi fashin makaranta saboda aiki ko wasu dalilai?</v>
      </c>
      <c r="J392" s="79" t="s">
        <v>2258</v>
      </c>
      <c r="K392" s="79" t="s">
        <v>2259</v>
      </c>
      <c r="L392" s="79" t="s">
        <v>2260</v>
      </c>
    </row>
    <row r="393">
      <c r="A393" s="79" t="s">
        <v>277</v>
      </c>
      <c r="B393" s="80" t="s">
        <v>2261</v>
      </c>
      <c r="C393" s="80" t="s">
        <v>2262</v>
      </c>
      <c r="D393" s="80" t="s">
        <v>2263</v>
      </c>
      <c r="E393" s="80" t="s">
        <v>2264</v>
      </c>
      <c r="F393" s="82">
        <v>234.0</v>
      </c>
      <c r="G393" s="79" t="str">
        <f>IFERROR(__xludf.DUMMYFUNCTION("TRIM(REGEXREPLACE(C393, ""[0-9]+[a-f]?\."", """"))"),"Is ${hoh_roster_name} married?")</f>
        <v>Is ${hoh_roster_name} married?</v>
      </c>
      <c r="H393" s="79" t="str">
        <f>IFERROR(__xludf.DUMMYFUNCTION("TRIM(REGEXREPLACE(D393, ""[0-9]+[a-f]?\."", """"))"),"Est-ce que ${hoh_roster_name} est marié ?")</f>
        <v>Est-ce que ${hoh_roster_name} est marié ?</v>
      </c>
      <c r="I393" s="79" t="str">
        <f>IFERROR(__xludf.DUMMYFUNCTION("TRIM(REGEXREPLACE(E393, ""[0-9]+[a-f]?\."", """"))"),"Ko ${hoh_roster_name} yanada aure?")</f>
        <v>Ko ${hoh_roster_name} yanada aure?</v>
      </c>
      <c r="J393" s="79" t="s">
        <v>2265</v>
      </c>
      <c r="K393" s="79" t="s">
        <v>2267</v>
      </c>
      <c r="L393" s="79" t="s">
        <v>2268</v>
      </c>
    </row>
    <row r="394">
      <c r="A394" s="79" t="s">
        <v>396</v>
      </c>
      <c r="B394" s="80" t="s">
        <v>2269</v>
      </c>
      <c r="C394" s="80" t="s">
        <v>2270</v>
      </c>
      <c r="D394" s="80" t="s">
        <v>2271</v>
      </c>
      <c r="E394" s="80" t="s">
        <v>2273</v>
      </c>
      <c r="F394" s="82">
        <v>235.0</v>
      </c>
      <c r="G394" s="79" t="str">
        <f>IFERROR(__xludf.DUMMYFUNCTION("TRIM(REGEXREPLACE(C394, ""[0-9]+[a-f]?\."", """"))"),"How many wives does ${hoh_new_mem_name} have?")</f>
        <v>How many wives does ${hoh_new_mem_name} have?</v>
      </c>
      <c r="H394" s="79" t="str">
        <f>IFERROR(__xludf.DUMMYFUNCTION("TRIM(REGEXREPLACE(D394, ""[0-9]+[a-f]?\."", """"))"),"Combien de femmes a ${hoh_roster_name} ?")</f>
        <v>Combien de femmes a ${hoh_roster_name} ?</v>
      </c>
      <c r="I394" s="79" t="str">
        <f>IFERROR(__xludf.DUMMYFUNCTION("TRIM(REGEXREPLACE(E394, ""[0-9]+[a-f]?\."", """"))"),"Mata nawa ${hoh_roster_name} yake da su?")</f>
        <v>Mata nawa ${hoh_roster_name} yake da su?</v>
      </c>
      <c r="J394" s="79" t="s">
        <v>2276</v>
      </c>
      <c r="K394" s="79" t="s">
        <v>2277</v>
      </c>
      <c r="L394" s="79" t="s">
        <v>2278</v>
      </c>
    </row>
    <row r="395" hidden="1"/>
    <row r="396" hidden="1">
      <c r="B396" s="80"/>
      <c r="C396" s="80"/>
      <c r="D396" s="80"/>
      <c r="E396" s="80"/>
      <c r="F396" s="82">
        <v>220.0</v>
      </c>
      <c r="G396" s="79" t="str">
        <f>IFERROR(__xludf.DUMMYFUNCTION("TRIM(REGEXREPLACE(C396, ""[0-9]+[a-f]?\."", """"))"),"")</f>
        <v/>
      </c>
      <c r="H396" s="79" t="str">
        <f>IFERROR(__xludf.DUMMYFUNCTION("TRIM(REGEXREPLACE(D396, ""[0-9]+[a-f]?\."", """"))"),"")</f>
        <v/>
      </c>
      <c r="I396" s="79" t="str">
        <f>IFERROR(__xludf.DUMMYFUNCTION("TRIM(REGEXREPLACE(E396, ""[0-9]+[a-f]?\."", """"))"),"")</f>
        <v/>
      </c>
      <c r="J396" s="79" t="s">
        <v>2282</v>
      </c>
      <c r="K396" s="79" t="s">
        <v>2283</v>
      </c>
      <c r="L396" s="79" t="s">
        <v>2284</v>
      </c>
    </row>
    <row r="397" hidden="1">
      <c r="B397" s="80"/>
      <c r="C397" s="80"/>
      <c r="D397" s="80"/>
      <c r="E397" s="80"/>
      <c r="F397" s="82">
        <v>221.0</v>
      </c>
      <c r="G397" s="79" t="str">
        <f>IFERROR(__xludf.DUMMYFUNCTION("TRIM(REGEXREPLACE(C397, ""[0-9]+[a-f]?\."", """"))"),"")</f>
        <v/>
      </c>
      <c r="H397" s="79" t="str">
        <f>IFERROR(__xludf.DUMMYFUNCTION("TRIM(REGEXREPLACE(D397, ""[0-9]+[a-f]?\."", """"))"),"")</f>
        <v/>
      </c>
      <c r="I397" s="79" t="str">
        <f>IFERROR(__xludf.DUMMYFUNCTION("TRIM(REGEXREPLACE(E397, ""[0-9]+[a-f]?\."", """"))"),"")</f>
        <v/>
      </c>
      <c r="J397" s="79" t="s">
        <v>2288</v>
      </c>
      <c r="K397" s="79" t="s">
        <v>2290</v>
      </c>
      <c r="L397" s="79" t="s">
        <v>2291</v>
      </c>
    </row>
    <row r="398">
      <c r="A398" s="79" t="s">
        <v>42</v>
      </c>
      <c r="B398" s="80" t="s">
        <v>2293</v>
      </c>
      <c r="C398" s="80" t="s">
        <v>2294</v>
      </c>
      <c r="D398" s="80" t="s">
        <v>2295</v>
      </c>
      <c r="E398" s="80" t="s">
        <v>2296</v>
      </c>
      <c r="F398" s="82">
        <v>236.0</v>
      </c>
      <c r="G398" s="79" t="str">
        <f>IFERROR(__xludf.DUMMYFUNCTION("TRIM(REGEXREPLACE(C398, ""[0-9]+[a-f]?\."", """"))"),"We would now like to ask you about the migration history of ${hoh_roster_name}.")</f>
        <v>We would now like to ask you about the migration history of ${hoh_roster_name}.</v>
      </c>
      <c r="H398" s="79" t="str">
        <f>IFERROR(__xludf.DUMMYFUNCTION("TRIM(REGEXREPLACE(D398, ""[0-9]+[a-f]?\."", """"))"),"Nous aimerions maintenant vous poser des questions sur l'historique de migration de ${hoh_roster_name}.")</f>
        <v>Nous aimerions maintenant vous poser des questions sur l'historique de migration de ${hoh_roster_name}.</v>
      </c>
      <c r="I398" s="79" t="str">
        <f>IFERROR(__xludf.DUMMYFUNCTION("TRIM(REGEXREPLACE(E398, ""[0-9]+[a-f]?\."", """"))"),"Yanzu muna so mu tambaye ka tarihin zuwa biɗa na ${hoh_roster_name}.")</f>
        <v>Yanzu muna so mu tambaye ka tarihin zuwa biɗa na ${hoh_roster_name}.</v>
      </c>
      <c r="J398" s="79" t="s">
        <v>2300</v>
      </c>
      <c r="K398" s="79" t="s">
        <v>2301</v>
      </c>
      <c r="L398" s="79" t="s">
        <v>2302</v>
      </c>
    </row>
    <row r="399">
      <c r="A399" s="79" t="s">
        <v>277</v>
      </c>
      <c r="B399" s="80" t="s">
        <v>2303</v>
      </c>
      <c r="C399" s="80" t="s">
        <v>2304</v>
      </c>
      <c r="D399" s="80" t="s">
        <v>2305</v>
      </c>
      <c r="E399" s="80" t="s">
        <v>2306</v>
      </c>
      <c r="F399" s="82">
        <v>237.0</v>
      </c>
      <c r="G399" s="79" t="str">
        <f>IFERROR(__xludf.DUMMYFUNCTION("TRIM(REGEXREPLACE(C399, ""[0-9]+[a-f]?\."", """"))"),"Since ${period}, has ${hoh_roster_name} spent more than a week (7 days) away from home?")</f>
        <v>Since ${period}, has ${hoh_roster_name} spent more than a week (7 days) away from home?</v>
      </c>
      <c r="H399" s="79" t="str">
        <f>IFERROR(__xludf.DUMMYFUNCTION("TRIM(REGEXREPLACE(D399, ""[0-9]+[a-f]?\."", """"))"),"Depuis cette ${period_french}, ${hoh_roster_name} a-t-il passé plus d'une semaine (7 jours) loin de chez lui ?")</f>
        <v>Depuis cette ${period_french}, ${hoh_roster_name} a-t-il passé plus d'une semaine (7 jours) loin de chez lui ?</v>
      </c>
      <c r="I399" s="79" t="str">
        <f>IFERROR(__xludf.DUMMYFUNCTION("TRIM(REGEXREPLACE(E399, ""[0-9]+[a-f]?\."", """"))"),"Tun wancan ${period_hausa}, ${hoh_roster_name} ya shafe fiye da mako guda (kwana 7) baya gida?")</f>
        <v>Tun wancan ${period_hausa}, ${hoh_roster_name} ya shafe fiye da mako guda (kwana 7) baya gida?</v>
      </c>
      <c r="J399" s="79" t="s">
        <v>2307</v>
      </c>
      <c r="K399" s="79" t="s">
        <v>2308</v>
      </c>
      <c r="L399" s="79" t="s">
        <v>2309</v>
      </c>
    </row>
    <row r="400">
      <c r="A400" s="79" t="s">
        <v>2310</v>
      </c>
      <c r="B400" s="80" t="s">
        <v>2311</v>
      </c>
      <c r="C400" s="80" t="s">
        <v>2312</v>
      </c>
      <c r="D400" s="80" t="s">
        <v>2313</v>
      </c>
      <c r="E400" s="80" t="s">
        <v>2314</v>
      </c>
      <c r="F400" s="82">
        <v>238.0</v>
      </c>
      <c r="G400" s="79" t="str">
        <f>IFERROR(__xludf.DUMMYFUNCTION("TRIM(REGEXREPLACE(C400, ""[0-9]+[a-f]?\."", """"))"),"Since ${period}, in which of the following countries has ${hoh_roster_name} spent more than one week? Select all that apply")</f>
        <v>Since ${period}, in which of the following countries has ${hoh_roster_name} spent more than one week? Select all that apply</v>
      </c>
      <c r="H400" s="79" t="str">
        <f>IFERROR(__xludf.DUMMYFUNCTION("TRIM(REGEXREPLACE(D400,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400" s="79" t="str">
        <f>IFERROR(__xludf.DUMMYFUNCTION("TRIM(REGEXREPLACE(E400, ""[0-9]+[a-f]?\."", """"))"),"Tun daga wancan ${period_hausa}, a cikin waɗanne ƙasashe ne ${hoh_roster_name} ya shafe fiye da mako ɗaya? Zaɓi duk abin da ya dace")</f>
        <v>Tun daga wancan ${period_hausa}, a cikin waɗanne ƙasashe ne ${hoh_roster_name} ya shafe fiye da mako ɗaya? Zaɓi duk abin da ya dace</v>
      </c>
      <c r="J400" s="79" t="s">
        <v>2317</v>
      </c>
      <c r="K400" s="79" t="s">
        <v>2319</v>
      </c>
      <c r="L400" s="79" t="s">
        <v>2320</v>
      </c>
    </row>
    <row r="401">
      <c r="A401" s="79" t="s">
        <v>299</v>
      </c>
      <c r="B401" s="80" t="s">
        <v>2321</v>
      </c>
      <c r="C401" s="80" t="s">
        <v>2322</v>
      </c>
      <c r="D401" s="80" t="s">
        <v>2323</v>
      </c>
      <c r="E401" s="80" t="s">
        <v>2324</v>
      </c>
      <c r="F401" s="82">
        <v>239.0</v>
      </c>
      <c r="G401" s="79" t="str">
        <f>IFERROR(__xludf.DUMMYFUNCTION("TRIM(REGEXREPLACE(C401, ""[0-9]+[a-f]?\."", """"))"),"Specify other")</f>
        <v>Specify other</v>
      </c>
      <c r="H401" s="79" t="str">
        <f>IFERROR(__xludf.DUMMYFUNCTION("TRIM(REGEXREPLACE(D401, ""[0-9]+[a-f]?\."", """"))"),"Autre à préciser")</f>
        <v>Autre à préciser</v>
      </c>
      <c r="I401" s="79" t="str">
        <f>IFERROR(__xludf.DUMMYFUNCTION("TRIM(REGEXREPLACE(E401, ""[0-9]+[a-f]?\."", """"))"),"Wani daban a Bayyana")</f>
        <v>Wani daban a Bayyana</v>
      </c>
      <c r="J401" s="79" t="s">
        <v>2325</v>
      </c>
      <c r="K401" s="79" t="s">
        <v>2326</v>
      </c>
      <c r="L401" s="79" t="s">
        <v>2327</v>
      </c>
    </row>
    <row r="402" hidden="1">
      <c r="C402" s="80"/>
      <c r="D402" s="80"/>
      <c r="E402" s="80"/>
      <c r="F402" s="82">
        <v>239.0</v>
      </c>
      <c r="G402" s="79" t="str">
        <f>IFERROR(__xludf.DUMMYFUNCTION("TRIM(REGEXREPLACE(C402, ""[0-9]+[a-f]?\."", """"))"),"")</f>
        <v/>
      </c>
      <c r="H402" s="79" t="str">
        <f>IFERROR(__xludf.DUMMYFUNCTION("TRIM(REGEXREPLACE(D402, ""[0-9]+[a-f]?\."", """"))"),"")</f>
        <v/>
      </c>
      <c r="I402" s="79" t="str">
        <f>IFERROR(__xludf.DUMMYFUNCTION("TRIM(REGEXREPLACE(E402, ""[0-9]+[a-f]?\."", """"))"),"")</f>
        <v/>
      </c>
    </row>
    <row r="403" hidden="1">
      <c r="B403" s="80"/>
      <c r="C403" s="80"/>
      <c r="D403" s="80"/>
      <c r="E403" s="80"/>
      <c r="F403" s="82">
        <v>238.0</v>
      </c>
      <c r="G403" s="79" t="str">
        <f>IFERROR(__xludf.DUMMYFUNCTION("TRIM(REGEXREPLACE(C403, ""[0-9]+[a-f]?\."", """"))"),"")</f>
        <v/>
      </c>
      <c r="H403" s="79" t="str">
        <f>IFERROR(__xludf.DUMMYFUNCTION("TRIM(REGEXREPLACE(D403, ""[0-9]+[a-f]?\."", """"))"),"")</f>
        <v/>
      </c>
      <c r="I403" s="79" t="str">
        <f>IFERROR(__xludf.DUMMYFUNCTION("TRIM(REGEXREPLACE(E403, ""[0-9]+[a-f]?\."", """"))"),"")</f>
        <v/>
      </c>
      <c r="J403" s="79" t="s">
        <v>2329</v>
      </c>
      <c r="K403" s="79" t="s">
        <v>2330</v>
      </c>
      <c r="L403" s="79" t="s">
        <v>2332</v>
      </c>
    </row>
    <row r="404" hidden="1">
      <c r="B404" s="80"/>
      <c r="C404" s="80"/>
      <c r="D404" s="80"/>
      <c r="E404" s="80"/>
      <c r="F404" s="82">
        <v>239.0</v>
      </c>
      <c r="G404" s="79" t="str">
        <f>IFERROR(__xludf.DUMMYFUNCTION("TRIM(REGEXREPLACE(C404, ""[0-9]+[a-f]?\."", """"))"),"")</f>
        <v/>
      </c>
      <c r="H404" s="79" t="str">
        <f>IFERROR(__xludf.DUMMYFUNCTION("TRIM(REGEXREPLACE(D404, ""[0-9]+[a-f]?\."", """"))"),"")</f>
        <v/>
      </c>
      <c r="I404" s="79" t="str">
        <f>IFERROR(__xludf.DUMMYFUNCTION("TRIM(REGEXREPLACE(E404, ""[0-9]+[a-f]?\."", """"))"),"")</f>
        <v/>
      </c>
      <c r="J404" s="79" t="s">
        <v>2325</v>
      </c>
      <c r="K404" s="79" t="s">
        <v>2326</v>
      </c>
      <c r="L404" s="79" t="s">
        <v>2327</v>
      </c>
    </row>
    <row r="405" hidden="1">
      <c r="B405" s="80"/>
      <c r="C405" s="80"/>
      <c r="D405" s="80"/>
      <c r="E405" s="80"/>
      <c r="F405" s="82">
        <v>240.0</v>
      </c>
      <c r="G405" s="79" t="str">
        <f>IFERROR(__xludf.DUMMYFUNCTION("TRIM(REGEXREPLACE(C405, ""[0-9]+[a-f]?\."", """"))"),"")</f>
        <v/>
      </c>
      <c r="H405" s="79" t="str">
        <f>IFERROR(__xludf.DUMMYFUNCTION("TRIM(REGEXREPLACE(D405, ""[0-9]+[a-f]?\."", """"))"),"")</f>
        <v/>
      </c>
      <c r="I405" s="79" t="str">
        <f>IFERROR(__xludf.DUMMYFUNCTION("TRIM(REGEXREPLACE(E405, ""[0-9]+[a-f]?\."", """"))"),"")</f>
        <v/>
      </c>
      <c r="J405" s="79" t="s">
        <v>2334</v>
      </c>
      <c r="K405" s="79" t="s">
        <v>2335</v>
      </c>
      <c r="L405" s="79" t="s">
        <v>2335</v>
      </c>
    </row>
    <row r="406" hidden="1">
      <c r="B406" s="80"/>
      <c r="C406" s="80"/>
      <c r="D406" s="80"/>
      <c r="E406" s="80"/>
      <c r="F406" s="82">
        <v>241.0</v>
      </c>
      <c r="G406" s="79" t="str">
        <f>IFERROR(__xludf.DUMMYFUNCTION("TRIM(REGEXREPLACE(C406, ""[0-9]+[a-f]?\."", """"))"),"")</f>
        <v/>
      </c>
      <c r="H406" s="79" t="str">
        <f>IFERROR(__xludf.DUMMYFUNCTION("TRIM(REGEXREPLACE(D406, ""[0-9]+[a-f]?\."", """"))"),"")</f>
        <v/>
      </c>
      <c r="I406" s="79" t="str">
        <f>IFERROR(__xludf.DUMMYFUNCTION("TRIM(REGEXREPLACE(E406, ""[0-9]+[a-f]?\."", """"))"),"")</f>
        <v/>
      </c>
      <c r="J406" s="79" t="s">
        <v>2337</v>
      </c>
      <c r="K406" s="79" t="s">
        <v>2338</v>
      </c>
      <c r="L406" s="79" t="s">
        <v>2339</v>
      </c>
    </row>
    <row r="407" hidden="1">
      <c r="B407" s="80"/>
      <c r="C407" s="80"/>
      <c r="D407" s="80"/>
      <c r="E407" s="80"/>
      <c r="F407" s="82">
        <v>242.0</v>
      </c>
      <c r="G407" s="79" t="str">
        <f>IFERROR(__xludf.DUMMYFUNCTION("TRIM(REGEXREPLACE(C407, ""[0-9]+[a-f]?\."", """"))"),"")</f>
        <v/>
      </c>
      <c r="H407" s="79" t="str">
        <f>IFERROR(__xludf.DUMMYFUNCTION("TRIM(REGEXREPLACE(D407, ""[0-9]+[a-f]?\."", """"))"),"")</f>
        <v/>
      </c>
      <c r="I407" s="79" t="str">
        <f>IFERROR(__xludf.DUMMYFUNCTION("TRIM(REGEXREPLACE(E407, ""[0-9]+[a-f]?\."", """"))"),"")</f>
        <v/>
      </c>
      <c r="J407" s="79" t="s">
        <v>2340</v>
      </c>
      <c r="K407" s="79" t="s">
        <v>2341</v>
      </c>
      <c r="L407" s="79" t="s">
        <v>2341</v>
      </c>
    </row>
    <row r="408" hidden="1">
      <c r="B408" s="80"/>
      <c r="C408" s="80"/>
      <c r="D408" s="80"/>
      <c r="E408" s="80"/>
      <c r="F408" s="82">
        <v>242.0</v>
      </c>
      <c r="G408" s="79" t="str">
        <f>IFERROR(__xludf.DUMMYFUNCTION("TRIM(REGEXREPLACE(C408, ""[0-9]+[a-f]?\."", """"))"),"")</f>
        <v/>
      </c>
      <c r="H408" s="79" t="str">
        <f>IFERROR(__xludf.DUMMYFUNCTION("TRIM(REGEXREPLACE(D408, ""[0-9]+[a-f]?\."", """"))"),"")</f>
        <v/>
      </c>
      <c r="I408" s="79" t="str">
        <f>IFERROR(__xludf.DUMMYFUNCTION("TRIM(REGEXREPLACE(E408, ""[0-9]+[a-f]?\."", """"))"),"")</f>
        <v/>
      </c>
    </row>
    <row r="409" hidden="1">
      <c r="B409" s="80"/>
      <c r="C409" s="80"/>
      <c r="D409" s="80"/>
      <c r="E409" s="80"/>
      <c r="F409" s="82">
        <v>243.0</v>
      </c>
      <c r="G409" s="79" t="str">
        <f>IFERROR(__xludf.DUMMYFUNCTION("TRIM(REGEXREPLACE(C409, ""[0-9]+[a-f]?\."", """"))"),"")</f>
        <v/>
      </c>
      <c r="H409" s="79" t="str">
        <f>IFERROR(__xludf.DUMMYFUNCTION("TRIM(REGEXREPLACE(D409, ""[0-9]+[a-f]?\."", """"))"),"")</f>
        <v/>
      </c>
      <c r="I409" s="79" t="str">
        <f>IFERROR(__xludf.DUMMYFUNCTION("TRIM(REGEXREPLACE(E409, ""[0-9]+[a-f]?\."", """"))"),"")</f>
        <v/>
      </c>
    </row>
    <row r="410" hidden="1">
      <c r="B410" s="80"/>
      <c r="C410" s="80"/>
      <c r="D410" s="80"/>
      <c r="E410" s="80"/>
      <c r="F410" s="82">
        <v>244.0</v>
      </c>
      <c r="G410" s="79" t="str">
        <f>IFERROR(__xludf.DUMMYFUNCTION("TRIM(REGEXREPLACE(C410, ""[0-9]+[a-f]?\."", """"))"),"")</f>
        <v/>
      </c>
      <c r="H410" s="79" t="str">
        <f>IFERROR(__xludf.DUMMYFUNCTION("TRIM(REGEXREPLACE(D410, ""[0-9]+[a-f]?\."", """"))"),"")</f>
        <v/>
      </c>
      <c r="I410" s="79" t="str">
        <f>IFERROR(__xludf.DUMMYFUNCTION("TRIM(REGEXREPLACE(E410, ""[0-9]+[a-f]?\."", """"))"),"")</f>
        <v/>
      </c>
    </row>
    <row r="411">
      <c r="A411" s="79" t="s">
        <v>2345</v>
      </c>
      <c r="B411" s="80" t="s">
        <v>2346</v>
      </c>
      <c r="C411" s="80" t="s">
        <v>2329</v>
      </c>
      <c r="D411" s="80" t="s">
        <v>2330</v>
      </c>
      <c r="E411" s="80" t="s">
        <v>2332</v>
      </c>
      <c r="F411" s="82">
        <v>240.0</v>
      </c>
      <c r="G411" s="79" t="str">
        <f>IFERROR(__xludf.DUMMYFUNCTION("TRIM(REGEXREPLACE(C411, ""[0-9]+[a-f]?\."", """"))"),"In ${hoh_destination}, what was the name of the city or town that ${hoh_roster_name} moved to?")</f>
        <v>In ${hoh_destination}, what was the name of the city or town that ${hoh_roster_name} moved to?</v>
      </c>
      <c r="H411" s="79" t="str">
        <f>IFERROR(__xludf.DUMMYFUNCTION("TRIM(REGEXREPLACE(D411, ""[0-9]+[a-f]?\."", """"))"),"À ${hoh_destination}, quel était le nom de la ville dans laquelle ${hoh_roster_name} il a séjourné ?")</f>
        <v>À ${hoh_destination}, quel était le nom de la ville dans laquelle ${hoh_roster_name} il a séjourné ?</v>
      </c>
      <c r="I411" s="79" t="str">
        <f>IFERROR(__xludf.DUMMYFUNCTION("TRIM(REGEXREPLACE(E411, ""[0-9]+[a-f]?\."", """"))"),"A ${hoh_destination}, menene sunan birnin da ${hoh_roster_name} ya zauna?")</f>
        <v>A ${hoh_destination}, menene sunan birnin da ${hoh_roster_name} ya zauna?</v>
      </c>
      <c r="J411" s="79" t="s">
        <v>2347</v>
      </c>
      <c r="K411" s="79" t="s">
        <v>2348</v>
      </c>
      <c r="L411" s="79" t="s">
        <v>2349</v>
      </c>
    </row>
    <row r="412">
      <c r="A412" s="79" t="s">
        <v>299</v>
      </c>
      <c r="B412" s="80" t="s">
        <v>2351</v>
      </c>
      <c r="C412" s="80" t="s">
        <v>2325</v>
      </c>
      <c r="D412" s="80" t="s">
        <v>2326</v>
      </c>
      <c r="E412" s="80" t="s">
        <v>2327</v>
      </c>
      <c r="F412" s="82">
        <v>241.0</v>
      </c>
      <c r="G412" s="79" t="str">
        <f>IFERROR(__xludf.DUMMYFUNCTION("TRIM(REGEXREPLACE(C412, ""[0-9]+[a-f]?\."", """"))"),"Specify other")</f>
        <v>Specify other</v>
      </c>
      <c r="H412" s="79" t="str">
        <f>IFERROR(__xludf.DUMMYFUNCTION("TRIM(REGEXREPLACE(D412, ""[0-9]+[a-f]?\."", """"))"),"Autre à préciser")</f>
        <v>Autre à préciser</v>
      </c>
      <c r="I412" s="79" t="str">
        <f>IFERROR(__xludf.DUMMYFUNCTION("TRIM(REGEXREPLACE(E412, ""[0-9]+[a-f]?\."", """"))"),"Wani daban a Bayyana")</f>
        <v>Wani daban a Bayyana</v>
      </c>
      <c r="J412" s="79" t="s">
        <v>2337</v>
      </c>
      <c r="K412" s="79" t="s">
        <v>2338</v>
      </c>
      <c r="L412" s="79" t="s">
        <v>2339</v>
      </c>
    </row>
    <row r="413">
      <c r="A413" s="79" t="s">
        <v>2353</v>
      </c>
      <c r="B413" s="80" t="s">
        <v>2354</v>
      </c>
      <c r="C413" s="80" t="s">
        <v>2334</v>
      </c>
      <c r="D413" s="80" t="s">
        <v>2355</v>
      </c>
      <c r="E413" s="80" t="s">
        <v>2356</v>
      </c>
      <c r="F413" s="82">
        <v>242.0</v>
      </c>
      <c r="G413" s="79" t="str">
        <f>IFERROR(__xludf.DUMMYFUNCTION("TRIM(REGEXREPLACE(C413, ""[0-9]+[a-f]?\."", """"))"),"In ${hoh_destination}, what was the name of the region that ${hoh_roster_name} moved to?")</f>
        <v>In ${hoh_destination}, what was the name of the region that ${hoh_roster_name} moved to?</v>
      </c>
      <c r="H413" s="79" t="str">
        <f>IFERROR(__xludf.DUMMYFUNCTION("TRIM(REGEXREPLACE(D413, ""[0-9]+[a-f]?\."", """"))"),"Dans ${hoh_destination}, quel était le nom de la région vers laquelle ${hoh_roster_name} est allé ?")</f>
        <v>Dans ${hoh_destination}, quel était le nom de la région vers laquelle ${hoh_roster_name} est allé ?</v>
      </c>
      <c r="I413" s="79" t="str">
        <f>IFERROR(__xludf.DUMMYFUNCTION("TRIM(REGEXREPLACE(E413, ""[0-9]+[a-f]?\."", """"))"),"A ${hoh_destination}, menene sunan yankin da ${hoh_roster_name} ya je?")</f>
        <v>A ${hoh_destination}, menene sunan yankin da ${hoh_roster_name} ya je?</v>
      </c>
      <c r="J413" s="79" t="s">
        <v>2358</v>
      </c>
      <c r="K413" s="79" t="s">
        <v>2359</v>
      </c>
      <c r="L413" s="79" t="s">
        <v>2360</v>
      </c>
    </row>
    <row r="414">
      <c r="A414" s="79" t="s">
        <v>299</v>
      </c>
      <c r="B414" s="80" t="s">
        <v>2362</v>
      </c>
      <c r="C414" s="80" t="s">
        <v>2337</v>
      </c>
      <c r="D414" s="80" t="s">
        <v>2338</v>
      </c>
      <c r="E414" s="80" t="s">
        <v>2339</v>
      </c>
      <c r="F414" s="82">
        <v>243.0</v>
      </c>
      <c r="G414" s="79" t="str">
        <f>IFERROR(__xludf.DUMMYFUNCTION("TRIM(REGEXREPLACE(C414, ""[0-9]+[a-f]?\."", """"))"),"Specify other")</f>
        <v>Specify other</v>
      </c>
      <c r="H414" s="79" t="str">
        <f>IFERROR(__xludf.DUMMYFUNCTION("TRIM(REGEXREPLACE(D414, ""[0-9]+[a-f]?\."", """"))"),"Autre à préciser")</f>
        <v>Autre à préciser</v>
      </c>
      <c r="I414" s="79" t="str">
        <f>IFERROR(__xludf.DUMMYFUNCTION("TRIM(REGEXREPLACE(E414, ""[0-9]+[a-f]?\."", """"))"),"Wani daban a Bayyana")</f>
        <v>Wani daban a Bayyana</v>
      </c>
      <c r="J414" s="79" t="s">
        <v>2365</v>
      </c>
      <c r="K414" s="79" t="s">
        <v>2366</v>
      </c>
      <c r="L414" s="79" t="s">
        <v>2367</v>
      </c>
    </row>
    <row r="415">
      <c r="A415" s="79" t="s">
        <v>396</v>
      </c>
      <c r="B415" s="80" t="s">
        <v>2368</v>
      </c>
      <c r="C415" s="80" t="s">
        <v>2340</v>
      </c>
      <c r="D415" s="80" t="s">
        <v>2369</v>
      </c>
      <c r="E415" s="80" t="s">
        <v>2370</v>
      </c>
      <c r="F415" s="82">
        <v>244.0</v>
      </c>
      <c r="G415" s="79" t="str">
        <f>IFERROR(__xludf.DUMMYFUNCTION("TRIM(REGEXREPLACE(C415, ""[0-9]+[a-f]?\."", """"))"),"How many times did ${hoh_roster_name} travel to ${hoh_destination} since ${period}?")</f>
        <v>How many times did ${hoh_roster_name} travel to ${hoh_destination} since ${period}?</v>
      </c>
      <c r="H415" s="79" t="str">
        <f>IFERROR(__xludf.DUMMYFUNCTION("TRIM(REGEXREPLACE(D415, ""[0-9]+[a-f]?\."", """"))"),"Combien de fois ${hoh_roster_name} s'est-il rendu à ${hoh_destination} depuis la ${period_french}?")</f>
        <v>Combien de fois ${hoh_roster_name} s'est-il rendu à ${hoh_destination} depuis la ${period_french}?</v>
      </c>
      <c r="I415" s="79" t="str">
        <f>IFERROR(__xludf.DUMMYFUNCTION("TRIM(REGEXREPLACE(E415, ""[0-9]+[a-f]?\."", """"))"),"Sau nawa ${hoh_roster_name} yayi tafiya zuwa ${hoh_destination} tun daga wancan ${period_hausa}?")</f>
        <v>Sau nawa ${hoh_roster_name} yayi tafiya zuwa ${hoh_destination} tun daga wancan ${period_hausa}?</v>
      </c>
      <c r="J415" s="79" t="s">
        <v>2371</v>
      </c>
      <c r="K415" s="79" t="s">
        <v>2372</v>
      </c>
      <c r="L415" s="79" t="s">
        <v>2373</v>
      </c>
    </row>
    <row r="416" hidden="1">
      <c r="B416" s="80"/>
      <c r="C416" s="80"/>
      <c r="D416" s="80"/>
      <c r="E416" s="80"/>
      <c r="F416" s="82">
        <v>246.0</v>
      </c>
      <c r="G416" s="79" t="str">
        <f>IFERROR(__xludf.DUMMYFUNCTION("TRIM(REGEXREPLACE(C416, ""[0-9]+[a-f]?\."", """"))"),"")</f>
        <v/>
      </c>
      <c r="H416" s="79" t="str">
        <f>IFERROR(__xludf.DUMMYFUNCTION("TRIM(REGEXREPLACE(D416, ""[0-9]+[a-f]?\."", """"))"),"")</f>
        <v/>
      </c>
      <c r="I416" s="79" t="str">
        <f>IFERROR(__xludf.DUMMYFUNCTION("TRIM(REGEXREPLACE(E416, ""[0-9]+[a-f]?\."", """"))"),"")</f>
        <v/>
      </c>
    </row>
    <row r="417" hidden="1">
      <c r="B417" s="80"/>
      <c r="C417" s="80"/>
      <c r="D417" s="80"/>
      <c r="E417" s="80"/>
      <c r="F417" s="82">
        <v>247.0</v>
      </c>
      <c r="G417" s="79" t="str">
        <f>IFERROR(__xludf.DUMMYFUNCTION("TRIM(REGEXREPLACE(C417, ""[0-9]+[a-f]?\."", """"))"),"")</f>
        <v/>
      </c>
      <c r="H417" s="79" t="str">
        <f>IFERROR(__xludf.DUMMYFUNCTION("TRIM(REGEXREPLACE(D417, ""[0-9]+[a-f]?\."", """"))"),"")</f>
        <v/>
      </c>
      <c r="I417" s="79" t="str">
        <f>IFERROR(__xludf.DUMMYFUNCTION("TRIM(REGEXREPLACE(E417, ""[0-9]+[a-f]?\."", """"))"),"")</f>
        <v/>
      </c>
    </row>
    <row r="418" hidden="1">
      <c r="B418" s="80"/>
      <c r="C418" s="80"/>
      <c r="D418" s="80"/>
      <c r="E418" s="80"/>
      <c r="F418" s="82">
        <v>246.0</v>
      </c>
      <c r="G418" s="79" t="str">
        <f>IFERROR(__xludf.DUMMYFUNCTION("TRIM(REGEXREPLACE(C418, ""[0-9]+[a-f]?\."", """"))"),"")</f>
        <v/>
      </c>
      <c r="H418" s="79" t="str">
        <f>IFERROR(__xludf.DUMMYFUNCTION("TRIM(REGEXREPLACE(D418, ""[0-9]+[a-f]?\."", """"))"),"")</f>
        <v/>
      </c>
      <c r="I418" s="79" t="str">
        <f>IFERROR(__xludf.DUMMYFUNCTION("TRIM(REGEXREPLACE(E418, ""[0-9]+[a-f]?\."", """"))"),"")</f>
        <v/>
      </c>
      <c r="J418" s="79" t="s">
        <v>2378</v>
      </c>
      <c r="K418" s="79" t="s">
        <v>2379</v>
      </c>
      <c r="L418" s="79" t="s">
        <v>2379</v>
      </c>
    </row>
    <row r="419">
      <c r="A419" s="79" t="s">
        <v>277</v>
      </c>
      <c r="B419" s="80" t="s">
        <v>2380</v>
      </c>
      <c r="C419" s="80" t="s">
        <v>2381</v>
      </c>
      <c r="D419" s="80" t="s">
        <v>2382</v>
      </c>
      <c r="E419" s="80" t="s">
        <v>2383</v>
      </c>
      <c r="F419" s="82">
        <v>245.0</v>
      </c>
      <c r="G419" s="79" t="str">
        <f>IFERROR(__xludf.DUMMYFUNCTION("TRIM(REGEXREPLACE(C419, ""[0-9]+[a-f]?\."", """"))"),"Since ${period}, was there ever a time when ${hoh_roster_name} planned to migrate but then had to cancel their plans?")</f>
        <v>Since ${period}, was there ever a time when ${hoh_roster_name} planned to migrate but then had to cancel their plans?</v>
      </c>
      <c r="H419" s="79" t="str">
        <f>IFERROR(__xludf.DUMMYFUNCTION("TRIM(REGEXREPLACE(D419,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419" s="79" t="str">
        <f>IFERROR(__xludf.DUMMYFUNCTION("TRIM(REGEXREPLACE(E419, ""[0-9]+[a-f]?\."", """"))"),"Tun daga ${period_hausa}, ko akwai lokacin da ${hoh_roster_name} ya shirya zuwa biɗa amma sai ya soke shirinshi?")</f>
        <v>Tun daga ${period_hausa}, ko akwai lokacin da ${hoh_roster_name} ya shirya zuwa biɗa amma sai ya soke shirinshi?</v>
      </c>
      <c r="J419" s="79" t="s">
        <v>2384</v>
      </c>
      <c r="K419" s="79" t="s">
        <v>2385</v>
      </c>
      <c r="L419" s="79" t="s">
        <v>2386</v>
      </c>
    </row>
    <row r="420">
      <c r="A420" s="79" t="s">
        <v>2310</v>
      </c>
      <c r="B420" s="80" t="s">
        <v>2387</v>
      </c>
      <c r="C420" s="80" t="s">
        <v>2388</v>
      </c>
      <c r="D420" s="80" t="s">
        <v>2389</v>
      </c>
      <c r="E420" s="80" t="s">
        <v>2390</v>
      </c>
      <c r="F420" s="82">
        <v>246.0</v>
      </c>
      <c r="G420" s="79" t="str">
        <f>IFERROR(__xludf.DUMMYFUNCTION("TRIM(REGEXREPLACE(C420, ""[0-9]+[a-f]?\."", """"))"),"Where did they plan to migrate?")</f>
        <v>Where did they plan to migrate?</v>
      </c>
      <c r="H420" s="79" t="str">
        <f>IFERROR(__xludf.DUMMYFUNCTION("TRIM(REGEXREPLACE(D420, ""[0-9]+[a-f]?\."", """"))"),"Où envisageait-il de migrer ?")</f>
        <v>Où envisageait-il de migrer ?</v>
      </c>
      <c r="I420" s="79" t="str">
        <f>IFERROR(__xludf.DUMMYFUNCTION("TRIM(REGEXREPLACE(E420, ""[0-9]+[a-f]?\."", """"))"),"Zuwa ina ya shirya zuwa biɗar?")</f>
        <v>Zuwa ina ya shirya zuwa biɗar?</v>
      </c>
      <c r="J420" s="79" t="s">
        <v>2391</v>
      </c>
      <c r="K420" s="79" t="s">
        <v>2392</v>
      </c>
      <c r="L420" s="79" t="s">
        <v>2394</v>
      </c>
    </row>
    <row r="421">
      <c r="A421" s="79" t="s">
        <v>299</v>
      </c>
      <c r="B421" s="80" t="s">
        <v>2396</v>
      </c>
      <c r="C421" s="80" t="s">
        <v>2397</v>
      </c>
      <c r="D421" s="80" t="s">
        <v>2399</v>
      </c>
      <c r="E421" s="80" t="s">
        <v>2400</v>
      </c>
      <c r="F421" s="82">
        <v>247.0</v>
      </c>
      <c r="G421" s="79" t="str">
        <f>IFERROR(__xludf.DUMMYFUNCTION("TRIM(REGEXREPLACE(C421, ""[0-9]+[a-f]?\."", """"))"),"Specify other")</f>
        <v>Specify other</v>
      </c>
      <c r="H421" s="79" t="str">
        <f>IFERROR(__xludf.DUMMYFUNCTION("TRIM(REGEXREPLACE(D421, ""[0-9]+[a-f]?\."", """"))"),"Autre à préciser")</f>
        <v>Autre à préciser</v>
      </c>
      <c r="I421" s="79" t="str">
        <f>IFERROR(__xludf.DUMMYFUNCTION("TRIM(REGEXREPLACE(E421, ""[0-9]+[a-f]?\."", """"))"),"Wani daban a Bayyana")</f>
        <v>Wani daban a Bayyana</v>
      </c>
      <c r="J421" s="79" t="s">
        <v>2401</v>
      </c>
      <c r="K421" s="79" t="s">
        <v>2402</v>
      </c>
      <c r="L421" s="79" t="s">
        <v>2403</v>
      </c>
    </row>
    <row r="422" hidden="1">
      <c r="B422" s="80"/>
      <c r="C422" s="80"/>
      <c r="D422" s="80"/>
      <c r="E422" s="80"/>
      <c r="F422" s="82">
        <v>250.0</v>
      </c>
      <c r="G422" s="79" t="str">
        <f>IFERROR(__xludf.DUMMYFUNCTION("TRIM(REGEXREPLACE(C422, ""[0-9]+[a-f]?\."", """"))"),"")</f>
        <v/>
      </c>
      <c r="H422" s="79" t="str">
        <f>IFERROR(__xludf.DUMMYFUNCTION("TRIM(REGEXREPLACE(D422, ""[0-9]+[a-f]?\."", """"))"),"")</f>
        <v/>
      </c>
      <c r="I422" s="79" t="str">
        <f>IFERROR(__xludf.DUMMYFUNCTION("TRIM(REGEXREPLACE(E422, ""[0-9]+[a-f]?\."", """"))"),"")</f>
        <v/>
      </c>
      <c r="J422" s="79" t="s">
        <v>2405</v>
      </c>
      <c r="K422" s="79" t="s">
        <v>2406</v>
      </c>
      <c r="L422" s="79" t="s">
        <v>2406</v>
      </c>
    </row>
    <row r="423" hidden="1">
      <c r="B423" s="80"/>
      <c r="C423" s="80"/>
      <c r="D423" s="80"/>
      <c r="E423" s="80"/>
      <c r="F423" s="82">
        <v>251.0</v>
      </c>
      <c r="G423" s="79" t="str">
        <f>IFERROR(__xludf.DUMMYFUNCTION("TRIM(REGEXREPLACE(C423, ""[0-9]+[a-f]?\."", """"))"),"")</f>
        <v/>
      </c>
      <c r="H423" s="79" t="str">
        <f>IFERROR(__xludf.DUMMYFUNCTION("TRIM(REGEXREPLACE(D423, ""[0-9]+[a-f]?\."", """"))"),"")</f>
        <v/>
      </c>
      <c r="I423" s="79" t="str">
        <f>IFERROR(__xludf.DUMMYFUNCTION("TRIM(REGEXREPLACE(E423, ""[0-9]+[a-f]?\."", """"))"),"")</f>
        <v/>
      </c>
      <c r="J423" s="79" t="s">
        <v>2410</v>
      </c>
      <c r="K423" s="79" t="s">
        <v>2411</v>
      </c>
      <c r="L423" s="79" t="s">
        <v>2412</v>
      </c>
    </row>
    <row r="424" hidden="1">
      <c r="B424" s="80"/>
      <c r="C424" s="80"/>
      <c r="D424" s="80"/>
      <c r="E424" s="80"/>
      <c r="F424" s="82">
        <v>252.0</v>
      </c>
      <c r="G424" s="79" t="str">
        <f>IFERROR(__xludf.DUMMYFUNCTION("TRIM(REGEXREPLACE(C424, ""[0-9]+[a-f]?\."", """"))"),"")</f>
        <v/>
      </c>
      <c r="H424" s="79" t="str">
        <f>IFERROR(__xludf.DUMMYFUNCTION("TRIM(REGEXREPLACE(D424, ""[0-9]+[a-f]?\."", """"))"),"")</f>
        <v/>
      </c>
      <c r="I424" s="79" t="str">
        <f>IFERROR(__xludf.DUMMYFUNCTION("TRIM(REGEXREPLACE(E424, ""[0-9]+[a-f]?\."", """"))"),"")</f>
        <v/>
      </c>
      <c r="J424" s="79" t="s">
        <v>2413</v>
      </c>
      <c r="K424" s="79" t="s">
        <v>2414</v>
      </c>
      <c r="L424" s="79" t="s">
        <v>2415</v>
      </c>
    </row>
    <row r="425" hidden="1"/>
    <row r="426">
      <c r="A426" s="79" t="s">
        <v>2345</v>
      </c>
      <c r="B426" s="80" t="s">
        <v>2416</v>
      </c>
      <c r="C426" s="80" t="s">
        <v>2378</v>
      </c>
      <c r="D426" s="80" t="s">
        <v>2417</v>
      </c>
      <c r="E426" s="80" t="s">
        <v>2418</v>
      </c>
      <c r="F426" s="82">
        <v>248.0</v>
      </c>
      <c r="G426" s="79" t="str">
        <f>IFERROR(__xludf.DUMMYFUNCTION("TRIM(REGEXREPLACE(C426, ""[0-9]+[a-f]?\."", """"))"),"In ${hoh_failed_country}, what was the name of the city or town that ${hoh_roster_name} planned to move to?")</f>
        <v>In ${hoh_failed_country}, what was the name of the city or town that ${hoh_roster_name} planned to move to?</v>
      </c>
      <c r="H426" s="79" t="str">
        <f>IFERROR(__xludf.DUMMYFUNCTION("TRIM(REGEXREPLACE(D426, ""[0-9]+[a-f]?\."", """"))"),"Dans ${hoh_failed_country}, quel était le nom de la ville ou du village vers lequel ${hoh_roster_name} prévoyait de voyager ?")</f>
        <v>Dans ${hoh_failed_country}, quel était le nom de la ville ou du village vers lequel ${hoh_roster_name} prévoyait de voyager ?</v>
      </c>
      <c r="I426" s="79" t="str">
        <f>IFERROR(__xludf.DUMMYFUNCTION("TRIM(REGEXREPLACE(E426, ""[0-9]+[a-f]?\."", """"))"),"A ƙasar ${hoh_failed_country}, menene sunan birni ko garin da sunan ${hoh_roster_name} yayi shirin zuwa?")</f>
        <v>A ƙasar ${hoh_failed_country}, menene sunan birni ko garin da sunan ${hoh_roster_name} yayi shirin zuwa?</v>
      </c>
      <c r="J426" s="79" t="s">
        <v>2420</v>
      </c>
      <c r="K426" s="79" t="s">
        <v>2421</v>
      </c>
      <c r="L426" s="79" t="s">
        <v>2423</v>
      </c>
    </row>
    <row r="427">
      <c r="A427" s="79" t="s">
        <v>299</v>
      </c>
      <c r="B427" s="80" t="s">
        <v>2426</v>
      </c>
      <c r="C427" s="80" t="s">
        <v>2401</v>
      </c>
      <c r="D427" s="80" t="s">
        <v>2402</v>
      </c>
      <c r="E427" s="80" t="s">
        <v>2403</v>
      </c>
      <c r="F427" s="82">
        <v>249.0</v>
      </c>
      <c r="G427" s="79" t="str">
        <f>IFERROR(__xludf.DUMMYFUNCTION("TRIM(REGEXREPLACE(C427, ""[0-9]+[a-f]?\."", """"))"),"Specify other")</f>
        <v>Specify other</v>
      </c>
      <c r="H427" s="79" t="str">
        <f>IFERROR(__xludf.DUMMYFUNCTION("TRIM(REGEXREPLACE(D427, ""[0-9]+[a-f]?\."", """"))"),"Autre à préciser")</f>
        <v>Autre à préciser</v>
      </c>
      <c r="I427" s="79" t="str">
        <f>IFERROR(__xludf.DUMMYFUNCTION("TRIM(REGEXREPLACE(E427, ""[0-9]+[a-f]?\."", """"))"),"Wani daban a Bayyana")</f>
        <v>Wani daban a Bayyana</v>
      </c>
      <c r="J427" s="79" t="s">
        <v>2428</v>
      </c>
      <c r="K427" s="79" t="s">
        <v>2429</v>
      </c>
      <c r="L427" s="79" t="s">
        <v>2430</v>
      </c>
    </row>
    <row r="428">
      <c r="A428" s="79" t="s">
        <v>2353</v>
      </c>
      <c r="B428" s="80" t="s">
        <v>2431</v>
      </c>
      <c r="C428" s="80" t="s">
        <v>2432</v>
      </c>
      <c r="D428" s="80" t="s">
        <v>2433</v>
      </c>
      <c r="E428" s="80" t="s">
        <v>2434</v>
      </c>
      <c r="F428" s="82">
        <v>250.0</v>
      </c>
      <c r="G428" s="79" t="str">
        <f>IFERROR(__xludf.DUMMYFUNCTION("TRIM(REGEXREPLACE(C428, ""[0-9]+[a-f]?\."", """"))"),"In ${hoh_failed_country}, what was the name of the region that ${hoh_roster_name} planned to move to?")</f>
        <v>In ${hoh_failed_country}, what was the name of the region that ${hoh_roster_name} planned to move to?</v>
      </c>
      <c r="H428" s="79" t="str">
        <f>IFERROR(__xludf.DUMMYFUNCTION("TRIM(REGEXREPLACE(D428, ""[0-9]+[a-f]?\."", """"))"),"Dans ${hoh_failed_country}, quel était le nom de la région dans laquelle ${hoh_roster_name} prévoyait de voyager ?")</f>
        <v>Dans ${hoh_failed_country}, quel était le nom de la région dans laquelle ${hoh_roster_name} prévoyait de voyager ?</v>
      </c>
      <c r="I428" s="79" t="str">
        <f>IFERROR(__xludf.DUMMYFUNCTION("TRIM(REGEXREPLACE(E428, ""[0-9]+[a-f]?\."", """"))"),"A kasar ${hoh_failed_country}, menene sunan yankin da sunan ${hoh_roster_name} ya shirya zuwa?")</f>
        <v>A kasar ${hoh_failed_country}, menene sunan yankin da sunan ${hoh_roster_name} ya shirya zuwa?</v>
      </c>
      <c r="J428" s="79" t="s">
        <v>2435</v>
      </c>
      <c r="K428" s="79" t="s">
        <v>2437</v>
      </c>
      <c r="L428" s="79" t="s">
        <v>2438</v>
      </c>
    </row>
    <row r="429">
      <c r="A429" s="79" t="s">
        <v>299</v>
      </c>
      <c r="B429" s="80" t="s">
        <v>2440</v>
      </c>
      <c r="C429" s="80" t="s">
        <v>2428</v>
      </c>
      <c r="D429" s="80" t="s">
        <v>2429</v>
      </c>
      <c r="E429" s="80" t="s">
        <v>2430</v>
      </c>
      <c r="F429" s="82">
        <v>251.0</v>
      </c>
      <c r="G429" s="79" t="str">
        <f>IFERROR(__xludf.DUMMYFUNCTION("TRIM(REGEXREPLACE(C429, ""[0-9]+[a-f]?\."", """"))"),"Specify other")</f>
        <v>Specify other</v>
      </c>
      <c r="H429" s="79" t="str">
        <f>IFERROR(__xludf.DUMMYFUNCTION("TRIM(REGEXREPLACE(D429, ""[0-9]+[a-f]?\."", """"))"),"Autre à préciser")</f>
        <v>Autre à préciser</v>
      </c>
      <c r="I429" s="79" t="str">
        <f>IFERROR(__xludf.DUMMYFUNCTION("TRIM(REGEXREPLACE(E429, ""[0-9]+[a-f]?\."", """"))"),"Wani daban a Bayyana")</f>
        <v>Wani daban a Bayyana</v>
      </c>
      <c r="J429" s="79" t="s">
        <v>2442</v>
      </c>
      <c r="K429" s="79" t="s">
        <v>2443</v>
      </c>
      <c r="L429" s="79" t="s">
        <v>2444</v>
      </c>
    </row>
    <row r="430">
      <c r="A430" s="79" t="s">
        <v>396</v>
      </c>
      <c r="B430" s="80" t="s">
        <v>2445</v>
      </c>
      <c r="C430" s="80" t="s">
        <v>2405</v>
      </c>
      <c r="D430" s="80" t="s">
        <v>2446</v>
      </c>
      <c r="E430" s="80" t="s">
        <v>2447</v>
      </c>
      <c r="F430" s="82">
        <v>252.0</v>
      </c>
      <c r="G430" s="79" t="str">
        <f>IFERROR(__xludf.DUMMYFUNCTION("TRIM(REGEXREPLACE(C430, ""[0-9]+[a-f]?\."", """"))"),"How many times did they plan to migrate to ${hoh_failed_country} and fail?")</f>
        <v>How many times did they plan to migrate to ${hoh_failed_country} and fail?</v>
      </c>
      <c r="H430" s="79" t="str">
        <f>IFERROR(__xludf.DUMMYFUNCTION("TRIM(REGEXREPLACE(D430, ""[0-9]+[a-f]?\."", """"))"),"Combien de fois ont-ils prévu de migrer vers ${hoh_failed_country} et ont-ils échoué ?")</f>
        <v>Combien de fois ont-ils prévu de migrer vers ${hoh_failed_country} et ont-ils échoué ?</v>
      </c>
      <c r="I430" s="79" t="str">
        <f>IFERROR(__xludf.DUMMYFUNCTION("TRIM(REGEXREPLACE(E430, ""[0-9]+[a-f]?\."", """"))"),"Sau nawa ya shirya zuwa ƙasar ${hoh_failed_country} kuma ya kasa?")</f>
        <v>Sau nawa ya shirya zuwa ƙasar ${hoh_failed_country} kuma ya kasa?</v>
      </c>
      <c r="J430" s="79" t="s">
        <v>2448</v>
      </c>
      <c r="K430" s="79" t="s">
        <v>2449</v>
      </c>
      <c r="L430" s="79" t="s">
        <v>2450</v>
      </c>
    </row>
    <row r="431">
      <c r="A431" s="79" t="s">
        <v>2451</v>
      </c>
      <c r="B431" s="80" t="s">
        <v>2452</v>
      </c>
      <c r="C431" s="80" t="s">
        <v>2410</v>
      </c>
      <c r="D431" s="80" t="s">
        <v>2411</v>
      </c>
      <c r="E431" s="80" t="s">
        <v>2412</v>
      </c>
      <c r="F431" s="82">
        <v>253.0</v>
      </c>
      <c r="G431" s="79" t="str">
        <f>IFERROR(__xludf.DUMMYFUNCTION("TRIM(REGEXREPLACE(C431, ""[0-9]+[a-f]?\."", """"))"),"Why did they change their plans?")</f>
        <v>Why did they change their plans?</v>
      </c>
      <c r="H431" s="79" t="str">
        <f>IFERROR(__xludf.DUMMYFUNCTION("TRIM(REGEXREPLACE(D431, ""[0-9]+[a-f]?\."", """"))"),"Pourquoi a-t-il changé son plan?")</f>
        <v>Pourquoi a-t-il changé son plan?</v>
      </c>
      <c r="I431" s="79" t="str">
        <f>IFERROR(__xludf.DUMMYFUNCTION("TRIM(REGEXREPLACE(E431, ""[0-9]+[a-f]?\."", """"))"),"Me yasa ya fasa tafiyar?")</f>
        <v>Me yasa ya fasa tafiyar?</v>
      </c>
      <c r="J431" s="79" t="s">
        <v>2458</v>
      </c>
      <c r="K431" s="79" t="s">
        <v>2460</v>
      </c>
      <c r="L431" s="79" t="s">
        <v>2461</v>
      </c>
    </row>
    <row r="432">
      <c r="A432" s="79" t="s">
        <v>299</v>
      </c>
      <c r="B432" s="80" t="s">
        <v>2462</v>
      </c>
      <c r="C432" s="80" t="s">
        <v>2413</v>
      </c>
      <c r="D432" s="80" t="s">
        <v>2414</v>
      </c>
      <c r="E432" s="80" t="s">
        <v>2415</v>
      </c>
      <c r="F432" s="82">
        <v>254.0</v>
      </c>
      <c r="G432" s="79" t="str">
        <f>IFERROR(__xludf.DUMMYFUNCTION("TRIM(REGEXREPLACE(C432, ""[0-9]+[a-f]?\."", """"))"),"Specify other reason")</f>
        <v>Specify other reason</v>
      </c>
      <c r="H432" s="79" t="str">
        <f>IFERROR(__xludf.DUMMYFUNCTION("TRIM(REGEXREPLACE(D432, ""[0-9]+[a-f]?\."", """"))"),"Précisez une autre raison")</f>
        <v>Précisez une autre raison</v>
      </c>
      <c r="I432" s="79" t="str">
        <f>IFERROR(__xludf.DUMMYFUNCTION("TRIM(REGEXREPLACE(E432, ""[0-9]+[a-f]?\."", """"))"),"Baiyana wani dalili daban")</f>
        <v>Baiyana wani dalili daban</v>
      </c>
      <c r="J432" s="79" t="s">
        <v>2463</v>
      </c>
      <c r="K432" s="79" t="s">
        <v>2464</v>
      </c>
      <c r="L432" s="79" t="s">
        <v>2465</v>
      </c>
    </row>
    <row r="433" hidden="1">
      <c r="B433" s="80"/>
      <c r="C433" s="80"/>
      <c r="D433" s="80"/>
      <c r="E433" s="80"/>
      <c r="F433" s="82">
        <v>245.0</v>
      </c>
      <c r="G433" s="79" t="str">
        <f>IFERROR(__xludf.DUMMYFUNCTION("TRIM(REGEXREPLACE(C433, ""[0-9]+[a-f]?\."", """"))"),"")</f>
        <v/>
      </c>
      <c r="H433" s="79" t="str">
        <f>IFERROR(__xludf.DUMMYFUNCTION("TRIM(REGEXREPLACE(D433, ""[0-9]+[a-f]?\."", """"))"),"")</f>
        <v/>
      </c>
      <c r="I433" s="79" t="str">
        <f>IFERROR(__xludf.DUMMYFUNCTION("TRIM(REGEXREPLACE(E433, ""[0-9]+[a-f]?\."", """"))"),"")</f>
        <v/>
      </c>
      <c r="J433" s="79" t="s">
        <v>2466</v>
      </c>
      <c r="K433" s="79" t="s">
        <v>2467</v>
      </c>
      <c r="L433" s="79" t="s">
        <v>2468</v>
      </c>
    </row>
    <row r="434" hidden="1">
      <c r="B434" s="80"/>
      <c r="C434" s="80"/>
      <c r="D434" s="80"/>
      <c r="E434" s="80"/>
      <c r="F434" s="82">
        <v>246.0</v>
      </c>
      <c r="G434" s="79" t="str">
        <f>IFERROR(__xludf.DUMMYFUNCTION("TRIM(REGEXREPLACE(C434, ""[0-9]+[a-f]?\."", """"))"),"")</f>
        <v/>
      </c>
      <c r="H434" s="79" t="str">
        <f>IFERROR(__xludf.DUMMYFUNCTION("TRIM(REGEXREPLACE(D434, ""[0-9]+[a-f]?\."", """"))"),"")</f>
        <v/>
      </c>
      <c r="I434" s="79" t="str">
        <f>IFERROR(__xludf.DUMMYFUNCTION("TRIM(REGEXREPLACE(E434, ""[0-9]+[a-f]?\."", """"))"),"")</f>
        <v/>
      </c>
      <c r="J434" s="79" t="s">
        <v>2472</v>
      </c>
      <c r="K434" s="79" t="s">
        <v>2473</v>
      </c>
      <c r="L434" s="79" t="s">
        <v>2474</v>
      </c>
    </row>
    <row r="435" hidden="1">
      <c r="B435" s="80"/>
      <c r="C435" s="80"/>
      <c r="D435" s="80"/>
      <c r="E435" s="80"/>
      <c r="F435" s="82">
        <v>247.0</v>
      </c>
      <c r="G435" s="79" t="str">
        <f>IFERROR(__xludf.DUMMYFUNCTION("TRIM(REGEXREPLACE(C435, ""[0-9]+[a-f]?\."", """"))"),"")</f>
        <v/>
      </c>
      <c r="H435" s="79" t="str">
        <f>IFERROR(__xludf.DUMMYFUNCTION("TRIM(REGEXREPLACE(D435, ""[0-9]+[a-f]?\."", """"))"),"")</f>
        <v/>
      </c>
      <c r="I435" s="79" t="str">
        <f>IFERROR(__xludf.DUMMYFUNCTION("TRIM(REGEXREPLACE(E435, ""[0-9]+[a-f]?\."", """"))"),"")</f>
        <v/>
      </c>
      <c r="J435" s="79" t="s">
        <v>2476</v>
      </c>
      <c r="K435" s="79" t="s">
        <v>2478</v>
      </c>
      <c r="L435" s="79" t="s">
        <v>2479</v>
      </c>
    </row>
    <row r="436" hidden="1">
      <c r="B436" s="80"/>
      <c r="C436" s="80"/>
      <c r="D436" s="80"/>
      <c r="E436" s="80"/>
      <c r="F436" s="82">
        <v>248.0</v>
      </c>
      <c r="G436" s="79" t="str">
        <f>IFERROR(__xludf.DUMMYFUNCTION("TRIM(REGEXREPLACE(C436, ""[0-9]+[a-f]?\."", """"))"),"")</f>
        <v/>
      </c>
      <c r="H436" s="79" t="str">
        <f>IFERROR(__xludf.DUMMYFUNCTION("TRIM(REGEXREPLACE(D436, ""[0-9]+[a-f]?\."", """"))"),"")</f>
        <v/>
      </c>
      <c r="I436" s="79" t="str">
        <f>IFERROR(__xludf.DUMMYFUNCTION("TRIM(REGEXREPLACE(E436, ""[0-9]+[a-f]?\."", """"))"),"")</f>
        <v/>
      </c>
      <c r="J436" s="79" t="s">
        <v>2481</v>
      </c>
      <c r="K436" s="79" t="s">
        <v>2482</v>
      </c>
      <c r="L436" s="79" t="s">
        <v>2483</v>
      </c>
    </row>
    <row r="437" hidden="1"/>
    <row r="438" hidden="1">
      <c r="B438" s="80"/>
      <c r="C438" s="80"/>
      <c r="D438" s="80"/>
      <c r="E438" s="80"/>
      <c r="F438" s="82">
        <v>253.0</v>
      </c>
      <c r="G438" s="79" t="str">
        <f>IFERROR(__xludf.DUMMYFUNCTION("TRIM(REGEXREPLACE(C438, ""[0-9]+[a-f]?\."", """"))"),"")</f>
        <v/>
      </c>
      <c r="H438" s="79" t="str">
        <f>IFERROR(__xludf.DUMMYFUNCTION("TRIM(REGEXREPLACE(D438, ""[0-9]+[a-f]?\."", """"))"),"")</f>
        <v/>
      </c>
      <c r="I438" s="79" t="str">
        <f>IFERROR(__xludf.DUMMYFUNCTION("TRIM(REGEXREPLACE(E438, ""[0-9]+[a-f]?\."", """"))"),"")</f>
        <v/>
      </c>
    </row>
    <row r="439" hidden="1">
      <c r="B439" s="80"/>
      <c r="C439" s="80"/>
      <c r="D439" s="80"/>
      <c r="E439" s="80"/>
      <c r="F439" s="82">
        <v>254.0</v>
      </c>
      <c r="G439" s="79" t="str">
        <f>IFERROR(__xludf.DUMMYFUNCTION("TRIM(REGEXREPLACE(C439, ""[0-9]+[a-f]?\."", """"))"),"")</f>
        <v/>
      </c>
      <c r="H439" s="79" t="str">
        <f>IFERROR(__xludf.DUMMYFUNCTION("TRIM(REGEXREPLACE(D439, ""[0-9]+[a-f]?\."", """"))"),"")</f>
        <v/>
      </c>
      <c r="I439" s="79" t="str">
        <f>IFERROR(__xludf.DUMMYFUNCTION("TRIM(REGEXREPLACE(E439, ""[0-9]+[a-f]?\."", """"))"),"")</f>
        <v/>
      </c>
    </row>
    <row r="440" hidden="1">
      <c r="B440" s="80"/>
      <c r="C440" s="80"/>
      <c r="D440" s="80"/>
      <c r="E440" s="80"/>
      <c r="F440" s="82">
        <v>253.0</v>
      </c>
      <c r="G440" s="79" t="str">
        <f>IFERROR(__xludf.DUMMYFUNCTION("TRIM(REGEXREPLACE(C440, ""[0-9]+[a-f]?\."", """"))"),"")</f>
        <v/>
      </c>
      <c r="H440" s="79" t="str">
        <f>IFERROR(__xludf.DUMMYFUNCTION("TRIM(REGEXREPLACE(D440, ""[0-9]+[a-f]?\."", """"))"),"")</f>
        <v/>
      </c>
      <c r="I440" s="79" t="str">
        <f>IFERROR(__xludf.DUMMYFUNCTION("TRIM(REGEXREPLACE(E440, ""[0-9]+[a-f]?\."", """"))"),"")</f>
        <v/>
      </c>
      <c r="J440" s="79" t="s">
        <v>2491</v>
      </c>
      <c r="K440" s="79" t="s">
        <v>2492</v>
      </c>
      <c r="L440" s="79" t="s">
        <v>2493</v>
      </c>
    </row>
    <row r="441" hidden="1">
      <c r="B441" s="80"/>
      <c r="C441" s="80"/>
      <c r="D441" s="80"/>
      <c r="E441" s="80"/>
      <c r="F441" s="82">
        <v>254.0</v>
      </c>
      <c r="G441" s="79" t="str">
        <f>IFERROR(__xludf.DUMMYFUNCTION("TRIM(REGEXREPLACE(C441, ""[0-9]+[a-f]?\."", """"))"),"")</f>
        <v/>
      </c>
      <c r="H441" s="79" t="str">
        <f>IFERROR(__xludf.DUMMYFUNCTION("TRIM(REGEXREPLACE(D441, ""[0-9]+[a-f]?\."", """"))"),"")</f>
        <v/>
      </c>
      <c r="I441" s="79" t="str">
        <f>IFERROR(__xludf.DUMMYFUNCTION("TRIM(REGEXREPLACE(E441, ""[0-9]+[a-f]?\."", """"))"),"")</f>
        <v/>
      </c>
      <c r="J441" s="79" t="s">
        <v>2495</v>
      </c>
      <c r="K441" s="79" t="s">
        <v>2496</v>
      </c>
      <c r="L441" s="79" t="s">
        <v>2497</v>
      </c>
    </row>
    <row r="442" hidden="1">
      <c r="B442" s="80"/>
      <c r="C442" s="80"/>
      <c r="D442" s="80"/>
      <c r="E442" s="80"/>
      <c r="F442" s="82">
        <v>255.0</v>
      </c>
      <c r="G442" s="79" t="str">
        <f>IFERROR(__xludf.DUMMYFUNCTION("TRIM(REGEXREPLACE(C442, ""[0-9]+[a-f]?\."", """"))"),"")</f>
        <v/>
      </c>
      <c r="H442" s="79" t="str">
        <f>IFERROR(__xludf.DUMMYFUNCTION("TRIM(REGEXREPLACE(D442, ""[0-9]+[a-f]?\."", """"))"),"")</f>
        <v/>
      </c>
      <c r="I442" s="79" t="str">
        <f>IFERROR(__xludf.DUMMYFUNCTION("TRIM(REGEXREPLACE(E442, ""[0-9]+[a-f]?\."", """"))"),"")</f>
        <v/>
      </c>
      <c r="J442" s="79" t="s">
        <v>2499</v>
      </c>
      <c r="K442" s="79" t="s">
        <v>2500</v>
      </c>
      <c r="L442" s="79" t="s">
        <v>2501</v>
      </c>
    </row>
    <row r="443" hidden="1">
      <c r="B443" s="80"/>
      <c r="C443" s="80"/>
      <c r="D443" s="80"/>
      <c r="E443" s="80"/>
      <c r="F443" s="82">
        <v>256.0</v>
      </c>
      <c r="G443" s="79" t="str">
        <f>IFERROR(__xludf.DUMMYFUNCTION("TRIM(REGEXREPLACE(C443, ""[0-9]+[a-f]?\."", """"))"),"")</f>
        <v/>
      </c>
      <c r="H443" s="79" t="str">
        <f>IFERROR(__xludf.DUMMYFUNCTION("TRIM(REGEXREPLACE(D443, ""[0-9]+[a-f]?\."", """"))"),"")</f>
        <v/>
      </c>
      <c r="I443" s="79" t="str">
        <f>IFERROR(__xludf.DUMMYFUNCTION("TRIM(REGEXREPLACE(E443, ""[0-9]+[a-f]?\."", """"))"),"")</f>
        <v/>
      </c>
      <c r="J443" s="79" t="s">
        <v>2502</v>
      </c>
      <c r="K443" s="79" t="s">
        <v>2503</v>
      </c>
      <c r="L443" s="79" t="s">
        <v>2504</v>
      </c>
    </row>
    <row r="444" hidden="1">
      <c r="B444" s="80"/>
      <c r="C444" s="80"/>
      <c r="D444" s="80"/>
      <c r="E444" s="80"/>
      <c r="F444" s="82">
        <v>257.0</v>
      </c>
      <c r="G444" s="79" t="str">
        <f>IFERROR(__xludf.DUMMYFUNCTION("TRIM(REGEXREPLACE(C444, ""[0-9]+[a-f]?\."", """"))"),"")</f>
        <v/>
      </c>
      <c r="H444" s="79" t="str">
        <f>IFERROR(__xludf.DUMMYFUNCTION("TRIM(REGEXREPLACE(D444, ""[0-9]+[a-f]?\."", """"))"),"")</f>
        <v/>
      </c>
      <c r="I444" s="79" t="str">
        <f>IFERROR(__xludf.DUMMYFUNCTION("TRIM(REGEXREPLACE(E444, ""[0-9]+[a-f]?\."", """"))"),"")</f>
        <v/>
      </c>
      <c r="J444" s="79" t="s">
        <v>2505</v>
      </c>
      <c r="K444" s="79" t="s">
        <v>2506</v>
      </c>
      <c r="L444" s="79" t="s">
        <v>2507</v>
      </c>
    </row>
    <row r="445" hidden="1">
      <c r="B445" s="80"/>
      <c r="C445" s="80"/>
      <c r="D445" s="80"/>
      <c r="E445" s="80"/>
      <c r="F445" s="82">
        <v>254.0</v>
      </c>
      <c r="G445" s="79" t="str">
        <f>IFERROR(__xludf.DUMMYFUNCTION("TRIM(REGEXREPLACE(C445, ""[0-9]+[a-f]?\."", """"))"),"")</f>
        <v/>
      </c>
      <c r="H445" s="79" t="str">
        <f>IFERROR(__xludf.DUMMYFUNCTION("TRIM(REGEXREPLACE(D445, ""[0-9]+[a-f]?\."", """"))"),"")</f>
        <v/>
      </c>
      <c r="I445" s="79" t="str">
        <f>IFERROR(__xludf.DUMMYFUNCTION("TRIM(REGEXREPLACE(E445, ""[0-9]+[a-f]?\."", """"))"),"")</f>
        <v/>
      </c>
      <c r="J445" s="79" t="s">
        <v>2509</v>
      </c>
      <c r="K445" s="79" t="s">
        <v>2510</v>
      </c>
      <c r="L445" s="79" t="s">
        <v>2511</v>
      </c>
    </row>
    <row r="446" hidden="1">
      <c r="B446" s="80"/>
      <c r="C446" s="80"/>
      <c r="D446" s="80"/>
      <c r="E446" s="80"/>
      <c r="F446" s="82">
        <v>258.0</v>
      </c>
      <c r="G446" s="79" t="str">
        <f>IFERROR(__xludf.DUMMYFUNCTION("TRIM(REGEXREPLACE(C446, ""[0-9]+[a-f]?\."", """"))"),"")</f>
        <v/>
      </c>
      <c r="H446" s="79" t="str">
        <f>IFERROR(__xludf.DUMMYFUNCTION("TRIM(REGEXREPLACE(D446, ""[0-9]+[a-f]?\."", """"))"),"")</f>
        <v/>
      </c>
      <c r="I446" s="79" t="str">
        <f>IFERROR(__xludf.DUMMYFUNCTION("TRIM(REGEXREPLACE(E446, ""[0-9]+[a-f]?\."", """"))"),"")</f>
        <v/>
      </c>
    </row>
    <row r="447" hidden="1">
      <c r="B447" s="80"/>
      <c r="C447" s="80"/>
      <c r="D447" s="80"/>
      <c r="E447" s="80"/>
      <c r="F447" s="82">
        <v>259.0</v>
      </c>
      <c r="G447" s="79" t="str">
        <f>IFERROR(__xludf.DUMMYFUNCTION("TRIM(REGEXREPLACE(C447, ""[0-9]+[a-f]?\."", """"))"),"")</f>
        <v/>
      </c>
      <c r="H447" s="79" t="str">
        <f>IFERROR(__xludf.DUMMYFUNCTION("TRIM(REGEXREPLACE(D447, ""[0-9]+[a-f]?\."", """"))"),"")</f>
        <v/>
      </c>
      <c r="I447" s="79" t="str">
        <f>IFERROR(__xludf.DUMMYFUNCTION("TRIM(REGEXREPLACE(E447, ""[0-9]+[a-f]?\."", """"))"),"")</f>
        <v/>
      </c>
    </row>
    <row r="448">
      <c r="A448" s="79" t="s">
        <v>42</v>
      </c>
      <c r="B448" s="80" t="s">
        <v>2512</v>
      </c>
      <c r="C448" s="80" t="s">
        <v>2491</v>
      </c>
      <c r="D448" s="80" t="s">
        <v>2492</v>
      </c>
      <c r="E448" s="80" t="s">
        <v>2493</v>
      </c>
      <c r="F448" s="82">
        <v>255.0</v>
      </c>
      <c r="G448" s="79" t="str">
        <f>IFERROR(__xludf.DUMMYFUNCTION("TRIM(REGEXREPLACE(C448, ""[0-9]+[a-f]?\."", """"))"),"Now I will ask you about how your household manages its resources.")</f>
        <v>Now I will ask you about how your household manages its resources.</v>
      </c>
      <c r="H448" s="79" t="str">
        <f>IFERROR(__xludf.DUMMYFUNCTION("TRIM(REGEXREPLACE(D448, ""[0-9]+[a-f]?\."", """"))"),"Je vais maintenant vous demander comment votre ménage gère ses ressources.")</f>
        <v>Je vais maintenant vous demander comment votre ménage gère ses ressources.</v>
      </c>
      <c r="I448" s="79" t="str">
        <f>IFERROR(__xludf.DUMMYFUNCTION("TRIM(REGEXREPLACE(E448, ""[0-9]+[a-f]?\."", """"))"),"Yanzu zan tambaye ku yadda gidanku yake sarrafa dukiyoyinshi.")</f>
        <v>Yanzu zan tambaye ku yadda gidanku yake sarrafa dukiyoyinshi.</v>
      </c>
      <c r="J448" s="79" t="s">
        <v>2515</v>
      </c>
      <c r="K448" s="79" t="s">
        <v>2517</v>
      </c>
      <c r="L448" s="79" t="s">
        <v>2518</v>
      </c>
    </row>
    <row r="449">
      <c r="A449" s="79" t="s">
        <v>277</v>
      </c>
      <c r="B449" s="80" t="s">
        <v>2519</v>
      </c>
      <c r="C449" s="80" t="s">
        <v>2495</v>
      </c>
      <c r="D449" s="80" t="s">
        <v>2496</v>
      </c>
      <c r="E449" s="80" t="s">
        <v>2497</v>
      </c>
      <c r="F449" s="82">
        <v>256.0</v>
      </c>
      <c r="G449" s="79" t="str">
        <f>IFERROR(__xludf.DUMMYFUNCTION("TRIM(REGEXREPLACE(C449, ""[0-9]+[a-f]?\."", """"))"),"Do you or another member of the household own this house?")</f>
        <v>Do you or another member of the household own this house?</v>
      </c>
      <c r="H449" s="79" t="str">
        <f>IFERROR(__xludf.DUMMYFUNCTION("TRIM(REGEXREPLACE(D449, ""[0-9]+[a-f]?\."", """"))"),"Est-ce que vous ou un autre membre du ménage êtes propriétaire de cette maison ?")</f>
        <v>Est-ce que vous ou un autre membre du ménage êtes propriétaire de cette maison ?</v>
      </c>
      <c r="I449" s="79" t="str">
        <f>IFERROR(__xludf.DUMMYFUNCTION("TRIM(REGEXREPLACE(E449, ""[0-9]+[a-f]?\."", """"))"),"Shin wannan gidan mallakarku ne kai ko wani dan cikin gidan ?")</f>
        <v>Shin wannan gidan mallakarku ne kai ko wani dan cikin gidan ?</v>
      </c>
      <c r="J449" s="79" t="s">
        <v>2523</v>
      </c>
      <c r="K449" s="79" t="s">
        <v>2524</v>
      </c>
      <c r="L449" s="79" t="s">
        <v>2525</v>
      </c>
    </row>
    <row r="450">
      <c r="A450" s="79" t="s">
        <v>396</v>
      </c>
      <c r="B450" s="80" t="s">
        <v>2526</v>
      </c>
      <c r="C450" s="80" t="s">
        <v>2499</v>
      </c>
      <c r="D450" s="80" t="s">
        <v>2500</v>
      </c>
      <c r="E450" s="80" t="s">
        <v>2501</v>
      </c>
      <c r="F450" s="82">
        <v>257.0</v>
      </c>
      <c r="G450" s="79" t="str">
        <f>IFERROR(__xludf.DUMMYFUNCTION("TRIM(REGEXREPLACE(C450, ""[0-9]+[a-f]?\."", """"))"),"What is your best estimate of the value of your home in CFA?")</f>
        <v>What is your best estimate of the value of your home in CFA?</v>
      </c>
      <c r="H450" s="79" t="str">
        <f>IFERROR(__xludf.DUMMYFUNCTION("TRIM(REGEXREPLACE(D450, ""[0-9]+[a-f]?\."", """"))"),"Quelle est votre meilleure estimation de la valeur de votre maison en CFA ?")</f>
        <v>Quelle est votre meilleure estimation de la valeur de votre maison en CFA ?</v>
      </c>
      <c r="I450" s="79" t="str">
        <f>IFERROR(__xludf.DUMMYFUNCTION("TRIM(REGEXREPLACE(E450, ""[0-9]+[a-f]?\."", """"))"),"A ganinka wannan gidan aƙalla ya yi nawa a kudin CFA ?")</f>
        <v>A ganinka wannan gidan aƙalla ya yi nawa a kudin CFA ?</v>
      </c>
      <c r="J450" s="79" t="s">
        <v>2528</v>
      </c>
      <c r="K450" s="79" t="s">
        <v>2529</v>
      </c>
      <c r="L450" s="79" t="s">
        <v>2530</v>
      </c>
    </row>
    <row r="451">
      <c r="A451" s="79" t="s">
        <v>2531</v>
      </c>
      <c r="B451" s="80" t="s">
        <v>2532</v>
      </c>
      <c r="C451" s="80" t="s">
        <v>2502</v>
      </c>
      <c r="D451" s="80" t="s">
        <v>2503</v>
      </c>
      <c r="E451" s="80" t="s">
        <v>2504</v>
      </c>
      <c r="F451" s="82">
        <v>258.0</v>
      </c>
      <c r="G451" s="79" t="str">
        <f>IFERROR(__xludf.DUMMYFUNCTION("TRIM(REGEXREPLACE(C451, ""[0-9]+[a-f]?\."", """"))"),"Does your household own the following goods?")</f>
        <v>Does your household own the following goods?</v>
      </c>
      <c r="H451" s="79" t="str">
        <f>IFERROR(__xludf.DUMMYFUNCTION("TRIM(REGEXREPLACE(D451, ""[0-9]+[a-f]?\."", """"))"),"Votre ménage possède-t-il les biens suivants ?")</f>
        <v>Votre ménage possède-t-il les biens suivants ?</v>
      </c>
      <c r="I451" s="79" t="str">
        <f>IFERROR(__xludf.DUMMYFUNCTION("TRIM(REGEXREPLACE(E451, ""[0-9]+[a-f]?\."", """"))"),"Ko gidanku na da kadarori masu zuwa?")</f>
        <v>Ko gidanku na da kadarori masu zuwa?</v>
      </c>
      <c r="J451" s="79" t="s">
        <v>2533</v>
      </c>
      <c r="K451" s="79" t="s">
        <v>2534</v>
      </c>
      <c r="L451" s="79" t="s">
        <v>2535</v>
      </c>
    </row>
    <row r="452">
      <c r="A452" s="79" t="s">
        <v>2536</v>
      </c>
      <c r="B452" s="80" t="s">
        <v>2537</v>
      </c>
      <c r="C452" s="80" t="s">
        <v>2505</v>
      </c>
      <c r="D452" s="80" t="s">
        <v>2506</v>
      </c>
      <c r="E452" s="80" t="s">
        <v>2507</v>
      </c>
      <c r="F452" s="82">
        <v>259.0</v>
      </c>
      <c r="G452" s="79" t="str">
        <f>IFERROR(__xludf.DUMMYFUNCTION("TRIM(REGEXREPLACE(C452, ""[0-9]+[a-f]?\."", """"))"),"Does your household own any of the following types of livestock?")</f>
        <v>Does your household own any of the following types of livestock?</v>
      </c>
      <c r="H452" s="79" t="str">
        <f>IFERROR(__xludf.DUMMYFUNCTION("TRIM(REGEXREPLACE(D452, ""[0-9]+[a-f]?\."", """"))"),"Votre ménage possède-t-il l'un des types de bétail suivants ?")</f>
        <v>Votre ménage possède-t-il l'un des types de bétail suivants ?</v>
      </c>
      <c r="I452" s="79" t="str">
        <f>IFERROR(__xludf.DUMMYFUNCTION("TRIM(REGEXREPLACE(E452, ""[0-9]+[a-f]?\."", """"))"),"ko gidanku yana da ɗaya daga cikin irin wadannan dabbobi?")</f>
        <v>ko gidanku yana da ɗaya daga cikin irin wadannan dabbobi?</v>
      </c>
      <c r="J452" s="79" t="s">
        <v>2542</v>
      </c>
      <c r="K452" s="79" t="s">
        <v>2543</v>
      </c>
      <c r="L452" s="79" t="s">
        <v>2544</v>
      </c>
    </row>
    <row r="453" hidden="1">
      <c r="B453" s="80"/>
      <c r="C453" s="80"/>
      <c r="D453" s="80"/>
      <c r="E453" s="80"/>
      <c r="F453" s="82">
        <v>260.0</v>
      </c>
      <c r="G453" s="79" t="str">
        <f>IFERROR(__xludf.DUMMYFUNCTION("TRIM(REGEXREPLACE(C453, ""[0-9]+[a-f]?\."", """"))"),"")</f>
        <v/>
      </c>
      <c r="H453" s="79" t="str">
        <f>IFERROR(__xludf.DUMMYFUNCTION("TRIM(REGEXREPLACE(D453, ""[0-9]+[a-f]?\."", """"))"),"")</f>
        <v/>
      </c>
      <c r="I453" s="79" t="str">
        <f>IFERROR(__xludf.DUMMYFUNCTION("TRIM(REGEXREPLACE(E453, ""[0-9]+[a-f]?\."", """"))"),"")</f>
        <v/>
      </c>
      <c r="J453" s="79" t="s">
        <v>2546</v>
      </c>
      <c r="K453" s="79" t="s">
        <v>2547</v>
      </c>
      <c r="L453" s="79" t="s">
        <v>2548</v>
      </c>
    </row>
    <row r="454" hidden="1">
      <c r="B454" s="80"/>
      <c r="C454" s="80"/>
      <c r="D454" s="80"/>
      <c r="E454" s="80"/>
      <c r="F454" s="82">
        <v>261.0</v>
      </c>
      <c r="G454" s="79" t="str">
        <f>IFERROR(__xludf.DUMMYFUNCTION("TRIM(REGEXREPLACE(C454, ""[0-9]+[a-f]?\."", """"))"),"")</f>
        <v/>
      </c>
      <c r="H454" s="79" t="str">
        <f>IFERROR(__xludf.DUMMYFUNCTION("TRIM(REGEXREPLACE(D454, ""[0-9]+[a-f]?\."", """"))"),"")</f>
        <v/>
      </c>
      <c r="I454" s="79" t="str">
        <f>IFERROR(__xludf.DUMMYFUNCTION("TRIM(REGEXREPLACE(E454, ""[0-9]+[a-f]?\."", """"))"),"")</f>
        <v/>
      </c>
      <c r="J454" s="79" t="s">
        <v>2549</v>
      </c>
      <c r="K454" s="79" t="s">
        <v>2550</v>
      </c>
      <c r="L454" s="79" t="s">
        <v>2552</v>
      </c>
    </row>
    <row r="455" hidden="1">
      <c r="B455" s="80"/>
      <c r="C455" s="80"/>
      <c r="D455" s="80"/>
      <c r="E455" s="80"/>
      <c r="F455" s="82">
        <v>262.0</v>
      </c>
      <c r="G455" s="79" t="str">
        <f>IFERROR(__xludf.DUMMYFUNCTION("TRIM(REGEXREPLACE(C455, ""[0-9]+[a-f]?\."", """"))"),"")</f>
        <v/>
      </c>
      <c r="H455" s="79" t="str">
        <f>IFERROR(__xludf.DUMMYFUNCTION("TRIM(REGEXREPLACE(D455, ""[0-9]+[a-f]?\."", """"))"),"")</f>
        <v/>
      </c>
      <c r="I455" s="79" t="str">
        <f>IFERROR(__xludf.DUMMYFUNCTION("TRIM(REGEXREPLACE(E455, ""[0-9]+[a-f]?\."", """"))"),"")</f>
        <v/>
      </c>
      <c r="J455" s="79" t="s">
        <v>2555</v>
      </c>
      <c r="K455" s="79" t="s">
        <v>2556</v>
      </c>
      <c r="L455" s="79" t="s">
        <v>2557</v>
      </c>
    </row>
    <row r="456">
      <c r="A456" s="79" t="s">
        <v>396</v>
      </c>
      <c r="B456" s="80" t="s">
        <v>2558</v>
      </c>
      <c r="C456" s="80" t="s">
        <v>2559</v>
      </c>
      <c r="D456" s="80" t="s">
        <v>2560</v>
      </c>
      <c r="E456" s="80" t="s">
        <v>2561</v>
      </c>
      <c r="F456" s="82">
        <v>260.0</v>
      </c>
      <c r="G456" s="79" t="str">
        <f>IFERROR(__xludf.DUMMYFUNCTION("TRIM(REGEXREPLACE(C456, ""[0-9]+[a-f]?\."", """"))"),"How many ${hoh_livestock_name} does your household own?")</f>
        <v>How many ${hoh_livestock_name} does your household own?</v>
      </c>
      <c r="H456" s="79" t="str">
        <f>IFERROR(__xludf.DUMMYFUNCTION("TRIM(REGEXREPLACE(D456, ""[0-9]+[a-f]?\."", """"))"),"Combien de ${hoh_livestock_name} votre ménage possède-t-il ?")</f>
        <v>Combien de ${hoh_livestock_name} votre ménage possède-t-il ?</v>
      </c>
      <c r="I456" s="79" t="str">
        <f>IFERROR(__xludf.DUMMYFUNCTION("TRIM(REGEXREPLACE(E456, ""[0-9]+[a-f]?\."", """"))"),"${hoh_livestock_name} Nawa gidan ku ya mallaka ?")</f>
        <v>${hoh_livestock_name} Nawa gidan ku ya mallaka ?</v>
      </c>
      <c r="J456" s="79" t="s">
        <v>2563</v>
      </c>
      <c r="K456" s="79" t="s">
        <v>2564</v>
      </c>
      <c r="L456" s="79" t="s">
        <v>2565</v>
      </c>
    </row>
    <row r="457">
      <c r="A457" s="79" t="s">
        <v>396</v>
      </c>
      <c r="B457" s="80" t="s">
        <v>2566</v>
      </c>
      <c r="C457" s="80" t="s">
        <v>2567</v>
      </c>
      <c r="D457" s="80" t="s">
        <v>2568</v>
      </c>
      <c r="E457" s="80" t="s">
        <v>2569</v>
      </c>
      <c r="F457" s="82">
        <v>261.0</v>
      </c>
      <c r="G457" s="79" t="str">
        <f>IFERROR(__xludf.DUMMYFUNCTION("TRIM(REGEXREPLACE(C457, ""[0-9]+[a-f]?\."", """"))"),"How much is ${hoh_livestock_name} worth in CFA?")</f>
        <v>How much is ${hoh_livestock_name} worth in CFA?</v>
      </c>
      <c r="H457" s="79" t="str">
        <f>IFERROR(__xludf.DUMMYFUNCTION("TRIM(REGEXREPLACE(D457, ""[0-9]+[a-f]?\."", """"))"),"Combien vaut ${hoh_livestock_name} en CFA ?")</f>
        <v>Combien vaut ${hoh_livestock_name} en CFA ?</v>
      </c>
      <c r="I457" s="79" t="str">
        <f>IFERROR(__xludf.DUMMYFUNCTION("TRIM(REGEXREPLACE(E457, ""[0-9]+[a-f]?\."", """"))"),"Nawa ne kuɗin ${hoh_livestock_name} a sefa?")</f>
        <v>Nawa ne kuɗin ${hoh_livestock_name} a sefa?</v>
      </c>
      <c r="J457" s="79" t="s">
        <v>2573</v>
      </c>
      <c r="K457" s="79" t="s">
        <v>2575</v>
      </c>
      <c r="L457" s="79" t="s">
        <v>2576</v>
      </c>
    </row>
    <row r="458" hidden="1">
      <c r="B458" s="80"/>
      <c r="C458" s="80"/>
      <c r="D458" s="80"/>
      <c r="E458" s="80"/>
      <c r="F458" s="82">
        <v>265.0</v>
      </c>
      <c r="G458" s="79" t="str">
        <f>IFERROR(__xludf.DUMMYFUNCTION("TRIM(REGEXREPLACE(C458, ""[0-9]+[a-f]?\."", """"))"),"")</f>
        <v/>
      </c>
      <c r="H458" s="79" t="str">
        <f>IFERROR(__xludf.DUMMYFUNCTION("TRIM(REGEXREPLACE(D458, ""[0-9]+[a-f]?\."", """"))"),"")</f>
        <v/>
      </c>
      <c r="I458" s="79" t="str">
        <f>IFERROR(__xludf.DUMMYFUNCTION("TRIM(REGEXREPLACE(E458, ""[0-9]+[a-f]?\."", """"))"),"")</f>
        <v/>
      </c>
      <c r="J458" s="79" t="s">
        <v>2577</v>
      </c>
      <c r="K458" s="79" t="s">
        <v>2578</v>
      </c>
      <c r="L458" s="79" t="s">
        <v>2579</v>
      </c>
    </row>
    <row r="459" hidden="1">
      <c r="B459" s="80"/>
      <c r="C459" s="80"/>
      <c r="D459" s="80"/>
      <c r="E459" s="80"/>
      <c r="F459" s="82">
        <v>266.0</v>
      </c>
      <c r="G459" s="79" t="str">
        <f>IFERROR(__xludf.DUMMYFUNCTION("TRIM(REGEXREPLACE(C459, ""[0-9]+[a-f]?\."", """"))"),"")</f>
        <v/>
      </c>
      <c r="H459" s="79" t="str">
        <f>IFERROR(__xludf.DUMMYFUNCTION("TRIM(REGEXREPLACE(D459, ""[0-9]+[a-f]?\."", """"))"),"")</f>
        <v/>
      </c>
      <c r="I459" s="79" t="str">
        <f>IFERROR(__xludf.DUMMYFUNCTION("TRIM(REGEXREPLACE(E459, ""[0-9]+[a-f]?\."", """"))"),"")</f>
        <v/>
      </c>
      <c r="J459" s="79" t="s">
        <v>2580</v>
      </c>
      <c r="K459" s="79" t="s">
        <v>2581</v>
      </c>
      <c r="L459" s="79" t="s">
        <v>2582</v>
      </c>
    </row>
    <row r="460" hidden="1">
      <c r="B460" s="80"/>
      <c r="C460" s="80"/>
      <c r="D460" s="80"/>
      <c r="E460" s="80"/>
      <c r="F460" s="82">
        <v>267.0</v>
      </c>
      <c r="G460" s="79" t="str">
        <f>IFERROR(__xludf.DUMMYFUNCTION("TRIM(REGEXREPLACE(C460, ""[0-9]+[a-f]?\."", """"))"),"")</f>
        <v/>
      </c>
      <c r="H460" s="79" t="str">
        <f>IFERROR(__xludf.DUMMYFUNCTION("TRIM(REGEXREPLACE(D460, ""[0-9]+[a-f]?\."", """"))"),"")</f>
        <v/>
      </c>
      <c r="I460" s="79" t="str">
        <f>IFERROR(__xludf.DUMMYFUNCTION("TRIM(REGEXREPLACE(E460, ""[0-9]+[a-f]?\."", """"))"),"")</f>
        <v/>
      </c>
      <c r="J460" s="79" t="s">
        <v>2583</v>
      </c>
      <c r="K460" s="79" t="s">
        <v>2585</v>
      </c>
      <c r="L460" s="79" t="s">
        <v>2586</v>
      </c>
    </row>
    <row r="461" hidden="1">
      <c r="B461" s="80"/>
      <c r="C461" s="80"/>
      <c r="D461" s="80"/>
      <c r="E461" s="80"/>
      <c r="F461" s="82">
        <v>268.0</v>
      </c>
      <c r="G461" s="79" t="str">
        <f>IFERROR(__xludf.DUMMYFUNCTION("TRIM(REGEXREPLACE(C461, ""[0-9]+[a-f]?\."", """"))"),"")</f>
        <v/>
      </c>
      <c r="H461" s="79" t="str">
        <f>IFERROR(__xludf.DUMMYFUNCTION("TRIM(REGEXREPLACE(D461, ""[0-9]+[a-f]?\."", """"))"),"")</f>
        <v/>
      </c>
      <c r="I461" s="79" t="str">
        <f>IFERROR(__xludf.DUMMYFUNCTION("TRIM(REGEXREPLACE(E461, ""[0-9]+[a-f]?\."", """"))"),"")</f>
        <v/>
      </c>
      <c r="J461" s="79" t="s">
        <v>2590</v>
      </c>
      <c r="K461" s="79" t="s">
        <v>2591</v>
      </c>
      <c r="L461" s="79" t="s">
        <v>2592</v>
      </c>
    </row>
    <row r="462">
      <c r="A462" s="79" t="s">
        <v>42</v>
      </c>
      <c r="B462" s="80" t="s">
        <v>2593</v>
      </c>
      <c r="C462" s="80" t="s">
        <v>2546</v>
      </c>
      <c r="D462" s="80" t="s">
        <v>2547</v>
      </c>
      <c r="E462" s="80" t="s">
        <v>2548</v>
      </c>
      <c r="F462" s="82">
        <v>262.0</v>
      </c>
      <c r="G462" s="79" t="str">
        <f>IFERROR(__xludf.DUMMYFUNCTION("TRIM(REGEXREPLACE(C462,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462" s="79" t="str">
        <f>IFERROR(__xludf.DUMMYFUNCTION("TRIM(REGEXREPLACE(D462, ""[0-9]+[a-f]?\."", """"))"),"Maintenant, nous allons parler des activités agricoles et d'élevage de votre ménage.
Commençons par la dernière saison agricole")</f>
        <v>Maintenant, nous allons parler des activités agricoles et d'élevage de votre ménage.
Commençons par la dernière saison agricole</v>
      </c>
      <c r="I462" s="79" t="str">
        <f>IFERROR(__xludf.DUMMYFUNCTION("TRIM(REGEXREPLACE(E462, ""[0-9]+[a-f]?\."", """"))"),"Yanzu za mu yi hira bisa aikin noma da kiwo na gidanku.")</f>
        <v>Yanzu za mu yi hira bisa aikin noma da kiwo na gidanku.</v>
      </c>
      <c r="J462" s="79" t="s">
        <v>2597</v>
      </c>
      <c r="K462" s="79" t="s">
        <v>2598</v>
      </c>
      <c r="L462" s="79" t="s">
        <v>2599</v>
      </c>
    </row>
    <row r="463">
      <c r="A463" s="79" t="s">
        <v>446</v>
      </c>
      <c r="B463" s="80" t="s">
        <v>2601</v>
      </c>
      <c r="C463" s="80" t="s">
        <v>2549</v>
      </c>
      <c r="D463" s="80" t="s">
        <v>2550</v>
      </c>
      <c r="E463" s="80" t="s">
        <v>2552</v>
      </c>
      <c r="F463" s="82">
        <v>263.0</v>
      </c>
      <c r="G463" s="79" t="str">
        <f>IFERROR(__xludf.DUMMYFUNCTION("TRIM(REGEXREPLACE(C463,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463" s="79" t="str">
        <f>IFERROR(__xludf.DUMMYFUNCTION("TRIM(REGEXREPLACE(D463,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463" s="79" t="str">
        <f>IFERROR(__xludf.DUMMYFUNCTION("TRIM(REGEXREPLACE(E463, ""[0-9]+[a-f]?\."", """"))"),"A ganinka da gonakan da kuka mallaka da na haya da na aro wanda kuka noma a bana sun kai eka nawa?")</f>
        <v>A ganinka da gonakan da kuka mallaka da na haya da na aro wanda kuka noma a bana sun kai eka nawa?</v>
      </c>
      <c r="J463" s="79" t="s">
        <v>2606</v>
      </c>
      <c r="K463" s="79" t="s">
        <v>2607</v>
      </c>
      <c r="L463" s="79" t="s">
        <v>2608</v>
      </c>
    </row>
    <row r="464">
      <c r="A464" s="79" t="s">
        <v>446</v>
      </c>
      <c r="B464" s="80" t="s">
        <v>2609</v>
      </c>
      <c r="C464" s="80" t="s">
        <v>2555</v>
      </c>
      <c r="D464" s="80" t="s">
        <v>2556</v>
      </c>
      <c r="E464" s="80" t="s">
        <v>2557</v>
      </c>
      <c r="F464" s="82">
        <v>264.0</v>
      </c>
      <c r="G464" s="79" t="str">
        <f>IFERROR(__xludf.DUMMYFUNCTION("TRIM(REGEXREPLACE(C464, ""[0-9]+[a-f]?\."", """"))"),"How much of this land (in hectares) do you or another member of your household own?")</f>
        <v>How much of this land (in hectares) do you or another member of your household own?</v>
      </c>
      <c r="H464" s="79" t="str">
        <f>IFERROR(__xludf.DUMMYFUNCTION("TRIM(REGEXREPLACE(D464, ""[0-9]+[a-f]?\."", """"))"),"Quelle superficie de cette terre (en hectares) vous ou un autre membre de votre ménage possédez?")</f>
        <v>Quelle superficie de cette terre (en hectares) vous ou un autre membre de votre ménage possédez?</v>
      </c>
      <c r="I464" s="79" t="str">
        <f>IFERROR(__xludf.DUMMYFUNCTION("TRIM(REGEXREPLACE(E464, ""[0-9]+[a-f]?\."", """"))"),"Eka nawa ne mallakinku cikin wadannan gonakin, ku ko wani ɗan gidanku?")</f>
        <v>Eka nawa ne mallakinku cikin wadannan gonakin, ku ko wani ɗan gidanku?</v>
      </c>
      <c r="J464" s="79" t="s">
        <v>2613</v>
      </c>
      <c r="K464" s="79" t="s">
        <v>2614</v>
      </c>
      <c r="L464" s="79" t="s">
        <v>2615</v>
      </c>
    </row>
    <row r="465">
      <c r="A465" s="79" t="s">
        <v>446</v>
      </c>
      <c r="B465" s="80" t="s">
        <v>2617</v>
      </c>
      <c r="C465" s="80" t="s">
        <v>2619</v>
      </c>
      <c r="D465" s="80" t="s">
        <v>2621</v>
      </c>
      <c r="E465" s="80" t="s">
        <v>2622</v>
      </c>
      <c r="F465" s="82">
        <v>265.0</v>
      </c>
      <c r="G465" s="79" t="str">
        <f>IFERROR(__xludf.DUMMYFUNCTION("TRIM(REGEXREPLACE(C465, ""[0-9]+[a-f]?\."", """"))"),"How much of this land, if any have you sold in the past year?")</f>
        <v>How much of this land, if any have you sold in the past year?</v>
      </c>
      <c r="H465" s="79" t="str">
        <f>IFERROR(__xludf.DUMMYFUNCTION("TRIM(REGEXREPLACE(D465, ""[0-9]+[a-f]?\."", """"))"),"Quelle superficie de ce terrain, si c'est déjà arrivé, avez-vous vendu au cours de l'année écoulée ?")</f>
        <v>Quelle superficie de ce terrain, si c'est déjà arrivé, avez-vous vendu au cours de l'année écoulée ?</v>
      </c>
      <c r="I465" s="79" t="str">
        <f>IFERROR(__xludf.DUMMYFUNCTION("TRIM(REGEXREPLACE(E465, ""[0-9]+[a-f]?\."", """"))"),"Eka nawa ne kuka saida, idan ya taɓa faruwa, a cikin shekarar da ta gabata?")</f>
        <v>Eka nawa ne kuka saida, idan ya taɓa faruwa, a cikin shekarar da ta gabata?</v>
      </c>
      <c r="J465" s="79" t="s">
        <v>2625</v>
      </c>
      <c r="K465" s="79" t="s">
        <v>2626</v>
      </c>
      <c r="L465" s="79" t="s">
        <v>2628</v>
      </c>
    </row>
    <row r="466">
      <c r="A466" s="79" t="s">
        <v>446</v>
      </c>
      <c r="B466" s="80" t="s">
        <v>2629</v>
      </c>
      <c r="C466" s="80" t="s">
        <v>2630</v>
      </c>
      <c r="D466" s="80" t="s">
        <v>2631</v>
      </c>
      <c r="E466" s="80" t="s">
        <v>2632</v>
      </c>
      <c r="F466" s="82">
        <v>266.0</v>
      </c>
      <c r="G466" s="79" t="str">
        <f>IFERROR(__xludf.DUMMYFUNCTION("TRIM(REGEXREPLACE(C466, ""[0-9]+[a-f]?\."", """"))"),"How much of this land, if any have you purchased in the past year?")</f>
        <v>How much of this land, if any have you purchased in the past year?</v>
      </c>
      <c r="H466" s="79" t="str">
        <f>IFERROR(__xludf.DUMMYFUNCTION("TRIM(REGEXREPLACE(D466, ""[0-9]+[a-f]?\."", """"))"),"Quelle superficie de ce terrain, si c'est déjà arrivé, avez-vous acheté au cours de la dernière année ?")</f>
        <v>Quelle superficie de ce terrain, si c'est déjà arrivé, avez-vous acheté au cours de la dernière année ?</v>
      </c>
      <c r="I466" s="79" t="str">
        <f>IFERROR(__xludf.DUMMYFUNCTION("TRIM(REGEXREPLACE(E466, ""[0-9]+[a-f]?\."", """"))"),"Eka nawa ne kuka saye, idan ya faru, a cikin shekarar da ta gabata?")</f>
        <v>Eka nawa ne kuka saye, idan ya faru, a cikin shekarar da ta gabata?</v>
      </c>
      <c r="J466" s="79" t="s">
        <v>2640</v>
      </c>
      <c r="K466" s="79" t="s">
        <v>2641</v>
      </c>
      <c r="L466" s="79" t="s">
        <v>2642</v>
      </c>
    </row>
    <row r="467">
      <c r="A467" s="79" t="s">
        <v>446</v>
      </c>
      <c r="B467" s="80" t="s">
        <v>2644</v>
      </c>
      <c r="C467" s="80" t="s">
        <v>2577</v>
      </c>
      <c r="D467" s="80" t="s">
        <v>2578</v>
      </c>
      <c r="E467" s="80" t="s">
        <v>2579</v>
      </c>
      <c r="F467" s="82">
        <v>267.0</v>
      </c>
      <c r="G467" s="79" t="str">
        <f>IFERROR(__xludf.DUMMYFUNCTION("TRIM(REGEXREPLACE(C467, ""[0-9]+[a-f]?\."", """"))"),"How much of this land (in hectares) did you rent during the last agricultural season?")</f>
        <v>How much of this land (in hectares) did you rent during the last agricultural season?</v>
      </c>
      <c r="H467" s="79" t="str">
        <f>IFERROR(__xludf.DUMMYFUNCTION("TRIM(REGEXREPLACE(D467, ""[0-9]+[a-f]?\."", """"))"),"Quelle superficie de cette terre (en hectares) avez-vous louée au cours de la dernière saison agricole ?")</f>
        <v>Quelle superficie de cette terre (en hectares) avez-vous louée au cours de la dernière saison agricole ?</v>
      </c>
      <c r="I467" s="79" t="str">
        <f>IFERROR(__xludf.DUMMYFUNCTION("TRIM(REGEXREPLACE(E467, ""[0-9]+[a-f]?\."", """"))"),"Eka nawa ne kuka yi haya a lokacin noman da ta wuce?")</f>
        <v>Eka nawa ne kuka yi haya a lokacin noman da ta wuce?</v>
      </c>
      <c r="J467" s="79" t="s">
        <v>2649</v>
      </c>
      <c r="K467" s="79" t="s">
        <v>2650</v>
      </c>
      <c r="L467" s="79" t="s">
        <v>2651</v>
      </c>
    </row>
    <row r="468">
      <c r="A468" s="79" t="s">
        <v>396</v>
      </c>
      <c r="B468" s="80" t="s">
        <v>2654</v>
      </c>
      <c r="C468" s="80" t="s">
        <v>2580</v>
      </c>
      <c r="D468" s="80" t="s">
        <v>2581</v>
      </c>
      <c r="E468" s="80" t="s">
        <v>2582</v>
      </c>
      <c r="F468" s="82">
        <v>268.0</v>
      </c>
      <c r="G468" s="79" t="str">
        <f>IFERROR(__xludf.DUMMYFUNCTION("TRIM(REGEXREPLACE(C468, ""[0-9]+[a-f]?\."", """"))"),"How much did you pay to rent this land during the last agricultural season (in CFA)?")</f>
        <v>How much did you pay to rent this land during the last agricultural season (in CFA)?</v>
      </c>
      <c r="H468" s="79" t="str">
        <f>IFERROR(__xludf.DUMMYFUNCTION("TRIM(REGEXREPLACE(D468, ""[0-9]+[a-f]?\."", """"))"),"A combien avez-vous loué ce terrain (en CFA) au cours de la dernière saison agricole ?")</f>
        <v>A combien avez-vous loué ce terrain (en CFA) au cours de la dernière saison agricole ?</v>
      </c>
      <c r="I468" s="79" t="str">
        <f>IFERROR(__xludf.DUMMYFUNCTION("TRIM(REGEXREPLACE(E468, ""[0-9]+[a-f]?\."", """"))"),"A nawa kuka yi hayar wannan gonar a lokacin noman da ta wuce (a sefa)?")</f>
        <v>A nawa kuka yi hayar wannan gonar a lokacin noman da ta wuce (a sefa)?</v>
      </c>
      <c r="J468" s="79" t="s">
        <v>2659</v>
      </c>
      <c r="K468" s="79" t="s">
        <v>2660</v>
      </c>
      <c r="L468" s="79" t="s">
        <v>2661</v>
      </c>
    </row>
    <row r="469" hidden="1">
      <c r="B469" s="80"/>
      <c r="C469" s="80"/>
      <c r="D469" s="80"/>
      <c r="E469" s="80"/>
      <c r="F469" s="82">
        <v>269.0</v>
      </c>
      <c r="G469" s="79" t="str">
        <f>IFERROR(__xludf.DUMMYFUNCTION("TRIM(REGEXREPLACE(C469, ""[0-9]+[a-f]?\."", """"))"),"")</f>
        <v/>
      </c>
      <c r="H469" s="79" t="str">
        <f>IFERROR(__xludf.DUMMYFUNCTION("TRIM(REGEXREPLACE(D469, ""[0-9]+[a-f]?\."", """"))"),"")</f>
        <v/>
      </c>
      <c r="I469" s="79" t="str">
        <f>IFERROR(__xludf.DUMMYFUNCTION("TRIM(REGEXREPLACE(E469, ""[0-9]+[a-f]?\."", """"))"),"")</f>
        <v/>
      </c>
      <c r="J469" s="79" t="s">
        <v>2667</v>
      </c>
      <c r="K469" s="79" t="s">
        <v>2668</v>
      </c>
      <c r="L469" s="79" t="s">
        <v>2670</v>
      </c>
    </row>
    <row r="470" hidden="1">
      <c r="B470" s="80"/>
      <c r="C470" s="80"/>
      <c r="D470" s="80"/>
      <c r="E470" s="80"/>
      <c r="F470" s="82">
        <v>272.0</v>
      </c>
      <c r="G470" s="79" t="str">
        <f>IFERROR(__xludf.DUMMYFUNCTION("TRIM(REGEXREPLACE(C470, ""[0-9]+[a-f]?\."", """"))"),"")</f>
        <v/>
      </c>
      <c r="H470" s="79" t="str">
        <f>IFERROR(__xludf.DUMMYFUNCTION("TRIM(REGEXREPLACE(D470, ""[0-9]+[a-f]?\."", """"))"),"")</f>
        <v/>
      </c>
      <c r="I470" s="79" t="str">
        <f>IFERROR(__xludf.DUMMYFUNCTION("TRIM(REGEXREPLACE(E470, ""[0-9]+[a-f]?\."", """"))"),"")</f>
        <v/>
      </c>
      <c r="J470" s="79" t="s">
        <v>2674</v>
      </c>
      <c r="K470" s="79" t="s">
        <v>2676</v>
      </c>
      <c r="L470" s="79" t="s">
        <v>2677</v>
      </c>
    </row>
    <row r="471">
      <c r="A471" s="79" t="s">
        <v>42</v>
      </c>
      <c r="B471" s="80" t="s">
        <v>2679</v>
      </c>
      <c r="C471" s="80" t="s">
        <v>2583</v>
      </c>
      <c r="D471" s="80" t="s">
        <v>2585</v>
      </c>
      <c r="E471" s="80" t="s">
        <v>2586</v>
      </c>
      <c r="F471" s="82">
        <v>269.0</v>
      </c>
      <c r="G471" s="79" t="str">
        <f>IFERROR(__xludf.DUMMYFUNCTION("TRIM(REGEXREPLACE(C471, ""[0-9]+[a-f]?\."", """"))"),"Now we will focus on agricultural activities during last agricultural season")</f>
        <v>Now we will focus on agricultural activities during last agricultural season</v>
      </c>
      <c r="H471" s="79" t="str">
        <f>IFERROR(__xludf.DUMMYFUNCTION("TRIM(REGEXREPLACE(D471, ""[0-9]+[a-f]?\."", """"))"),"Maintenant, nous allons nous concentrer sur les activités agricoles au cours de la dernière saison agricole")</f>
        <v>Maintenant, nous allons nous concentrer sur les activités agricoles au cours de la dernière saison agricole</v>
      </c>
      <c r="I471" s="79" t="str">
        <f>IFERROR(__xludf.DUMMYFUNCTION("TRIM(REGEXREPLACE(E471, ""[0-9]+[a-f]?\."", """"))"),"Yanzu za mu maida hankali kan ayyukan noma a lokacin damanar da ta wuce")</f>
        <v>Yanzu za mu maida hankali kan ayyukan noma a lokacin damanar da ta wuce</v>
      </c>
      <c r="J471" s="79" t="s">
        <v>2686</v>
      </c>
      <c r="K471" s="79" t="s">
        <v>2687</v>
      </c>
      <c r="L471" s="79" t="s">
        <v>2689</v>
      </c>
    </row>
    <row r="472">
      <c r="A472" s="79" t="s">
        <v>2691</v>
      </c>
      <c r="B472" s="80" t="s">
        <v>2692</v>
      </c>
      <c r="C472" s="80" t="s">
        <v>2590</v>
      </c>
      <c r="D472" s="80" t="s">
        <v>2591</v>
      </c>
      <c r="E472" s="80" t="s">
        <v>2592</v>
      </c>
      <c r="F472" s="82">
        <v>270.0</v>
      </c>
      <c r="G472" s="79" t="str">
        <f>IFERROR(__xludf.DUMMYFUNCTION("TRIM(REGEXREPLACE(C472, ""[0-9]+[a-f]?\."", """"))"),"Which of the following crops did your household grow during the last agricultural season?")</f>
        <v>Which of the following crops did your household grow during the last agricultural season?</v>
      </c>
      <c r="H472" s="79" t="str">
        <f>IFERROR(__xludf.DUMMYFUNCTION("TRIM(REGEXREPLACE(D472, ""[0-9]+[a-f]?\."", """"))"),"Laquelle des cultures suivantes votre ménage a-t-il cultivées au cours de la dernière saison agricole ?")</f>
        <v>Laquelle des cultures suivantes votre ménage a-t-il cultivées au cours de la dernière saison agricole ?</v>
      </c>
      <c r="I472" s="79" t="str">
        <f>IFERROR(__xludf.DUMMYFUNCTION("TRIM(REGEXREPLACE(E472, ""[0-9]+[a-f]?\."", """"))"),"Wanne daga cikin waɗannan amfanin gidanku ya noma a damanar da ta gabata?")</f>
        <v>Wanne daga cikin waɗannan amfanin gidanku ya noma a damanar da ta gabata?</v>
      </c>
      <c r="J472" s="79" t="s">
        <v>2695</v>
      </c>
      <c r="K472" s="79" t="s">
        <v>2696</v>
      </c>
      <c r="L472" s="79" t="s">
        <v>2697</v>
      </c>
    </row>
    <row r="473">
      <c r="A473" s="79" t="s">
        <v>299</v>
      </c>
      <c r="B473" s="80" t="s">
        <v>2698</v>
      </c>
      <c r="C473" s="80" t="s">
        <v>2699</v>
      </c>
      <c r="D473" s="80" t="s">
        <v>2700</v>
      </c>
      <c r="E473" s="80" t="s">
        <v>2701</v>
      </c>
      <c r="F473" s="82">
        <v>271.0</v>
      </c>
      <c r="G473" s="79" t="str">
        <f>IFERROR(__xludf.DUMMYFUNCTION("TRIM(REGEXREPLACE(C473, ""[0-9]+[a-f]?\."", """"))"),"Specify other:")</f>
        <v>Specify other:</v>
      </c>
      <c r="H473" s="79" t="str">
        <f>IFERROR(__xludf.DUMMYFUNCTION("TRIM(REGEXREPLACE(D473, ""[0-9]+[a-f]?\."", """"))"),"Précisez la culture")</f>
        <v>Précisez la culture</v>
      </c>
      <c r="I473" s="79" t="str">
        <f>IFERROR(__xludf.DUMMYFUNCTION("TRIM(REGEXREPLACE(E473, ""[0-9]+[a-f]?\."", """"))"),"Baiyana wani abu daban:")</f>
        <v>Baiyana wani abu daban:</v>
      </c>
      <c r="J473" s="79" t="s">
        <v>2703</v>
      </c>
      <c r="K473" s="79" t="s">
        <v>2704</v>
      </c>
      <c r="L473" s="79" t="s">
        <v>2705</v>
      </c>
    </row>
    <row r="474" hidden="1">
      <c r="B474" s="80"/>
      <c r="C474" s="80"/>
      <c r="D474" s="80"/>
      <c r="E474" s="80"/>
      <c r="F474" s="82">
        <v>275.0</v>
      </c>
      <c r="G474" s="79" t="str">
        <f>IFERROR(__xludf.DUMMYFUNCTION("TRIM(REGEXREPLACE(C474, ""[0-9]+[a-f]?\."", """"))"),"")</f>
        <v/>
      </c>
      <c r="H474" s="79" t="str">
        <f>IFERROR(__xludf.DUMMYFUNCTION("TRIM(REGEXREPLACE(D474, ""[0-9]+[a-f]?\."", """"))"),"")</f>
        <v/>
      </c>
      <c r="I474" s="79" t="str">
        <f>IFERROR(__xludf.DUMMYFUNCTION("TRIM(REGEXREPLACE(E474, ""[0-9]+[a-f]?\."", """"))"),"")</f>
        <v/>
      </c>
      <c r="J474" s="79" t="s">
        <v>2713</v>
      </c>
      <c r="K474" s="79" t="s">
        <v>2715</v>
      </c>
      <c r="L474" s="79" t="s">
        <v>2716</v>
      </c>
    </row>
    <row r="475" hidden="1">
      <c r="B475" s="80"/>
      <c r="C475" s="80"/>
      <c r="D475" s="80"/>
      <c r="E475" s="80"/>
      <c r="F475" s="82">
        <v>277.0</v>
      </c>
      <c r="G475" s="79" t="str">
        <f>IFERROR(__xludf.DUMMYFUNCTION("TRIM(REGEXREPLACE(C475, ""[0-9]+[a-f]?\."", """"))"),"")</f>
        <v/>
      </c>
      <c r="H475" s="79" t="str">
        <f>IFERROR(__xludf.DUMMYFUNCTION("TRIM(REGEXREPLACE(D475, ""[0-9]+[a-f]?\."", """"))"),"")</f>
        <v/>
      </c>
      <c r="I475" s="79" t="str">
        <f>IFERROR(__xludf.DUMMYFUNCTION("TRIM(REGEXREPLACE(E475, ""[0-9]+[a-f]?\."", """"))"),"")</f>
        <v/>
      </c>
    </row>
    <row r="476" hidden="1">
      <c r="B476" s="80"/>
      <c r="C476" s="80"/>
      <c r="D476" s="80"/>
      <c r="E476" s="80"/>
      <c r="F476" s="82">
        <v>276.0</v>
      </c>
      <c r="G476" s="79" t="str">
        <f>IFERROR(__xludf.DUMMYFUNCTION("TRIM(REGEXREPLACE(C476, ""[0-9]+[a-f]?\."", """"))"),"")</f>
        <v/>
      </c>
      <c r="H476" s="79" t="str">
        <f>IFERROR(__xludf.DUMMYFUNCTION("TRIM(REGEXREPLACE(D476, ""[0-9]+[a-f]?\."", """"))"),"")</f>
        <v/>
      </c>
      <c r="I476" s="79" t="str">
        <f>IFERROR(__xludf.DUMMYFUNCTION("TRIM(REGEXREPLACE(E476, ""[0-9]+[a-f]?\."", """"))"),"")</f>
        <v/>
      </c>
      <c r="J476" s="79" t="s">
        <v>2724</v>
      </c>
      <c r="K476" s="79" t="s">
        <v>2725</v>
      </c>
      <c r="L476" s="79" t="s">
        <v>2725</v>
      </c>
    </row>
    <row r="477" hidden="1">
      <c r="B477" s="80"/>
      <c r="C477" s="80"/>
      <c r="D477" s="80"/>
      <c r="E477" s="80"/>
      <c r="F477" s="82">
        <v>277.0</v>
      </c>
      <c r="G477" s="79" t="str">
        <f>IFERROR(__xludf.DUMMYFUNCTION("TRIM(REGEXREPLACE(C477, ""[0-9]+[a-f]?\."", """"))"),"")</f>
        <v/>
      </c>
      <c r="H477" s="79" t="str">
        <f>IFERROR(__xludf.DUMMYFUNCTION("TRIM(REGEXREPLACE(D477, ""[0-9]+[a-f]?\."", """"))"),"")</f>
        <v/>
      </c>
      <c r="I477" s="79" t="str">
        <f>IFERROR(__xludf.DUMMYFUNCTION("TRIM(REGEXREPLACE(E477, ""[0-9]+[a-f]?\."", """"))"),"")</f>
        <v/>
      </c>
      <c r="J477" s="79" t="s">
        <v>2728</v>
      </c>
      <c r="K477" s="79" t="s">
        <v>2729</v>
      </c>
      <c r="L477" s="79" t="s">
        <v>2729</v>
      </c>
    </row>
    <row r="478">
      <c r="A478" s="79" t="s">
        <v>446</v>
      </c>
      <c r="B478" s="80" t="s">
        <v>2731</v>
      </c>
      <c r="C478" s="80" t="s">
        <v>2733</v>
      </c>
      <c r="D478" s="80" t="s">
        <v>2734</v>
      </c>
      <c r="E478" s="80" t="s">
        <v>2735</v>
      </c>
      <c r="F478" s="82">
        <v>272.0</v>
      </c>
      <c r="G478" s="79" t="str">
        <f>IFERROR(__xludf.DUMMYFUNCTION("TRIM(REGEXREPLACE(C478, ""[0-9]+[a-f]?\."", """"))"),"How much of ${hoh_crop_name} did your household produce?")</f>
        <v>How much of ${hoh_crop_name} did your household produce?</v>
      </c>
      <c r="H478" s="79" t="str">
        <f>IFERROR(__xludf.DUMMYFUNCTION("TRIM(REGEXREPLACE(D478, ""[0-9]+[a-f]?\."", """"))"),"Quelle quantité de ${hoh_crop_name} votre ménage a-t-il produit ?")</f>
        <v>Quelle quantité de ${hoh_crop_name} votre ménage a-t-il produit ?</v>
      </c>
      <c r="I478" s="79" t="str">
        <f>IFERROR(__xludf.DUMMYFUNCTION("TRIM(REGEXREPLACE(E478, ""[0-9]+[a-f]?\."", """"))"),"${hoh_crop_name} Nawa gidanku ya samu?")</f>
        <v>${hoh_crop_name} Nawa gidanku ya samu?</v>
      </c>
      <c r="J478" s="79" t="s">
        <v>2740</v>
      </c>
      <c r="K478" s="79" t="s">
        <v>2741</v>
      </c>
      <c r="L478" s="79" t="s">
        <v>2744</v>
      </c>
    </row>
    <row r="479">
      <c r="A479" s="79" t="s">
        <v>2746</v>
      </c>
      <c r="B479" s="80" t="s">
        <v>2747</v>
      </c>
      <c r="C479" s="80" t="s">
        <v>2748</v>
      </c>
      <c r="D479" s="80" t="s">
        <v>2749</v>
      </c>
      <c r="E479" s="80" t="s">
        <v>2750</v>
      </c>
      <c r="F479" s="82">
        <v>273.0</v>
      </c>
      <c r="G479" s="79" t="str">
        <f>IFERROR(__xludf.DUMMYFUNCTION("TRIM(REGEXREPLACE(C479, ""[0-9]+[a-f]?\."", """"))"),"Select crop unit for ${hoh_crop_name}")</f>
        <v>Select crop unit for ${hoh_crop_name}</v>
      </c>
      <c r="H479" s="79" t="str">
        <f>IFERROR(__xludf.DUMMYFUNCTION("TRIM(REGEXREPLACE(D479, ""[0-9]+[a-f]?\."", """"))"),"Sélectionnez l'unité de culture pour ${hoh_crop_name}")</f>
        <v>Sélectionnez l'unité de culture pour ${hoh_crop_name}</v>
      </c>
      <c r="I479" s="79" t="str">
        <f>IFERROR(__xludf.DUMMYFUNCTION("TRIM(REGEXREPLACE(E479, ""[0-9]+[a-f]?\."", """"))"),"Zaɓi amfanin gonar don ${hoh_crop_name}")</f>
        <v>Zaɓi amfanin gonar don ${hoh_crop_name}</v>
      </c>
      <c r="J479" s="79" t="s">
        <v>2753</v>
      </c>
      <c r="K479" s="79" t="s">
        <v>2754</v>
      </c>
      <c r="L479" s="79" t="s">
        <v>2755</v>
      </c>
    </row>
    <row r="480" hidden="1">
      <c r="C480" s="80"/>
      <c r="D480" s="80"/>
      <c r="E480" s="80"/>
      <c r="F480" s="82">
        <v>283.0</v>
      </c>
      <c r="G480" s="79" t="str">
        <f>IFERROR(__xludf.DUMMYFUNCTION("TRIM(REGEXREPLACE(C480, ""[0-9]+[a-f]?\."", """"))"),"")</f>
        <v/>
      </c>
      <c r="H480" s="79" t="str">
        <f>IFERROR(__xludf.DUMMYFUNCTION("TRIM(REGEXREPLACE(D480, ""[0-9]+[a-f]?\."", """"))"),"")</f>
        <v/>
      </c>
      <c r="I480" s="79" t="str">
        <f>IFERROR(__xludf.DUMMYFUNCTION("TRIM(REGEXREPLACE(E480, ""[0-9]+[a-f]?\."", """"))"),"")</f>
        <v/>
      </c>
      <c r="J480" s="79" t="s">
        <v>2760</v>
      </c>
      <c r="K480" s="79" t="s">
        <v>2762</v>
      </c>
      <c r="L480" s="79" t="s">
        <v>2763</v>
      </c>
    </row>
    <row r="481">
      <c r="A481" s="79" t="s">
        <v>299</v>
      </c>
      <c r="B481" s="80" t="s">
        <v>2765</v>
      </c>
      <c r="C481" s="80" t="s">
        <v>2674</v>
      </c>
      <c r="D481" s="80" t="s">
        <v>2676</v>
      </c>
      <c r="E481" s="80" t="s">
        <v>2677</v>
      </c>
      <c r="F481" s="82">
        <v>274.0</v>
      </c>
      <c r="G481" s="79" t="str">
        <f>IFERROR(__xludf.DUMMYFUNCTION("TRIM(REGEXREPLACE(C481, ""[0-9]+[a-f]?\."", """"))"),"Specify other unit:")</f>
        <v>Specify other unit:</v>
      </c>
      <c r="H481" s="79" t="str">
        <f>IFERROR(__xludf.DUMMYFUNCTION("TRIM(REGEXREPLACE(D481, ""[0-9]+[a-f]?\."", """"))"),"Spécifiez une autre unité :")</f>
        <v>Spécifiez une autre unité :</v>
      </c>
      <c r="I481" s="79" t="str">
        <f>IFERROR(__xludf.DUMMYFUNCTION("TRIM(REGEXREPLACE(E481, ""[0-9]+[a-f]?\."", """"))"),"Baiyana wani amfanin gonar daban:")</f>
        <v>Baiyana wani amfanin gonar daban:</v>
      </c>
      <c r="J481" s="79" t="s">
        <v>2768</v>
      </c>
      <c r="K481" s="79" t="s">
        <v>2769</v>
      </c>
      <c r="L481" s="79" t="s">
        <v>2770</v>
      </c>
    </row>
    <row r="482" hidden="1">
      <c r="C482" s="80"/>
      <c r="D482" s="80"/>
      <c r="E482" s="80"/>
      <c r="F482" s="82">
        <v>278.0</v>
      </c>
      <c r="G482" s="79" t="str">
        <f>IFERROR(__xludf.DUMMYFUNCTION("TRIM(REGEXREPLACE(C482, ""[0-9]+[a-f]?\."", """"))"),"")</f>
        <v/>
      </c>
      <c r="H482" s="79" t="str">
        <f>IFERROR(__xludf.DUMMYFUNCTION("TRIM(REGEXREPLACE(D482, ""[0-9]+[a-f]?\."", """"))"),"")</f>
        <v/>
      </c>
      <c r="I482" s="79" t="str">
        <f>IFERROR(__xludf.DUMMYFUNCTION("TRIM(REGEXREPLACE(E482, ""[0-9]+[a-f]?\."", """"))"),"")</f>
        <v/>
      </c>
    </row>
    <row r="483">
      <c r="A483" s="79" t="s">
        <v>446</v>
      </c>
      <c r="B483" s="80" t="s">
        <v>2774</v>
      </c>
      <c r="C483" s="80" t="s">
        <v>2775</v>
      </c>
      <c r="D483" s="80" t="s">
        <v>2776</v>
      </c>
      <c r="E483" s="80" t="s">
        <v>2777</v>
      </c>
      <c r="F483" s="82">
        <v>275.0</v>
      </c>
      <c r="G483" s="79" t="str">
        <f>IFERROR(__xludf.DUMMYFUNCTION("TRIM(REGEXREPLACE(C483, ""[0-9]+[a-f]?\."", """"))"),"What quantity (${hoh_crop_unit_name}) of ${hoh_crop_name} did your household sell since the last harvest?")</f>
        <v>What quantity (${hoh_crop_unit_name}) of ${hoh_crop_name} did your household sell since the last harvest?</v>
      </c>
      <c r="H483" s="79" t="str">
        <f>IFERROR(__xludf.DUMMYFUNCTION("TRIM(REGEXREPLACE(D483, ""[0-9]+[a-f]?\."", """"))"),"Quelle quantité (${hoh_crop_unit_name}) de ${hoh_crop_name} votre ménage a-t-il vendu depuis la dernière récolte ?")</f>
        <v>Quelle quantité (${hoh_crop_unit_name}) de ${hoh_crop_name} votre ménage a-t-il vendu depuis la dernière récolte ?</v>
      </c>
      <c r="I483" s="79" t="str">
        <f>IFERROR(__xludf.DUMMYFUNCTION("TRIM(REGEXREPLACE(E483, ""[0-9]+[a-f]?\."", """"))"),"Nawa ne yawan (${hoh_crop_unit_name}) na ${hoh_crop_name} gidanku ya saida tun daga kaka na ƙarshe?")</f>
        <v>Nawa ne yawan (${hoh_crop_unit_name}) na ${hoh_crop_name} gidanku ya saida tun daga kaka na ƙarshe?</v>
      </c>
      <c r="J483" s="79" t="s">
        <v>2780</v>
      </c>
      <c r="K483" s="79" t="s">
        <v>2781</v>
      </c>
      <c r="L483" s="79" t="s">
        <v>2783</v>
      </c>
    </row>
    <row r="484">
      <c r="A484" s="79" t="s">
        <v>396</v>
      </c>
      <c r="B484" s="80" t="s">
        <v>2788</v>
      </c>
      <c r="C484" s="80" t="s">
        <v>2789</v>
      </c>
      <c r="D484" s="80" t="s">
        <v>2791</v>
      </c>
      <c r="E484" s="80" t="s">
        <v>2792</v>
      </c>
      <c r="F484" s="82">
        <v>276.0</v>
      </c>
      <c r="G484" s="79" t="str">
        <f>IFERROR(__xludf.DUMMYFUNCTION("TRIM(REGEXREPLACE(C484, ""[0-9]+[a-f]?\."", """"))"),"What was the price per ${hoh_crop_unit_name} of ${hoh_crop_name} you sold in CFA?")</f>
        <v>What was the price per ${hoh_crop_unit_name} of ${hoh_crop_name} you sold in CFA?</v>
      </c>
      <c r="H484" s="79" t="str">
        <f>IFERROR(__xludf.DUMMYFUNCTION("TRIM(REGEXREPLACE(D484, ""[0-9]+[a-f]?\."", """"))"),"Quel était le prix unitaire (${hoh_crop_unit_name}) de ${hoh_crop_name} que vous avez vendu en CFA ?")</f>
        <v>Quel était le prix unitaire (${hoh_crop_unit_name}) de ${hoh_crop_name} que vous avez vendu en CFA ?</v>
      </c>
      <c r="I484" s="79" t="str">
        <f>IFERROR(__xludf.DUMMYFUNCTION("TRIM(REGEXREPLACE(E484, ""[0-9]+[a-f]?\."", """"))"),"Nawa farashin kowane ${hoh_crop_unit_name} na ${hoh_crop_name} da kuka saida a CFA?")</f>
        <v>Nawa farashin kowane ${hoh_crop_unit_name} na ${hoh_crop_name} da kuka saida a CFA?</v>
      </c>
      <c r="J484" s="79" t="s">
        <v>2795</v>
      </c>
      <c r="K484" s="79" t="s">
        <v>2796</v>
      </c>
      <c r="L484" s="79" t="s">
        <v>2797</v>
      </c>
    </row>
    <row r="485">
      <c r="A485" s="79" t="s">
        <v>446</v>
      </c>
      <c r="B485" s="80" t="s">
        <v>2799</v>
      </c>
      <c r="C485" s="80" t="s">
        <v>2713</v>
      </c>
      <c r="D485" s="80" t="s">
        <v>2715</v>
      </c>
      <c r="E485" s="80" t="s">
        <v>2716</v>
      </c>
      <c r="F485" s="82">
        <v>277.0</v>
      </c>
      <c r="G485" s="79" t="str">
        <f>IFERROR(__xludf.DUMMYFUNCTION("TRIM(REGEXREPLACE(C485, ""[0-9]+[a-f]?\."", """"))"),"How many ${hoh_crop_unit_name}s of ${hoh_crop_name} did your household consume?")</f>
        <v>How many ${hoh_crop_unit_name}s of ${hoh_crop_name} did your household consume?</v>
      </c>
      <c r="H485" s="79" t="str">
        <f>IFERROR(__xludf.DUMMYFUNCTION("TRIM(REGEXREPLACE(D485, ""[0-9]+[a-f]?\."", """"))"),"Quelle quantité (${hoh_crop_unit_name}) de ${hoh_crop_name} votre ménage a-t-il consommé ?")</f>
        <v>Quelle quantité (${hoh_crop_unit_name}) de ${hoh_crop_name} votre ménage a-t-il consommé ?</v>
      </c>
      <c r="I485" s="79" t="str">
        <f>IFERROR(__xludf.DUMMYFUNCTION("TRIM(REGEXREPLACE(E485, ""[0-9]+[a-f]?\."", """"))"),"Nawa yawan ${hoh_crop_unit_name} na ${hoh_crop_name} gidanku ya cinye?")</f>
        <v>Nawa yawan ${hoh_crop_unit_name} na ${hoh_crop_name} gidanku ya cinye?</v>
      </c>
      <c r="J485" s="79" t="s">
        <v>2804</v>
      </c>
      <c r="K485" s="79" t="s">
        <v>2806</v>
      </c>
      <c r="L485" s="79" t="s">
        <v>2807</v>
      </c>
    </row>
    <row r="486" hidden="1">
      <c r="C486" s="80"/>
      <c r="D486" s="80"/>
      <c r="E486" s="80"/>
      <c r="F486" s="82">
        <v>280.0</v>
      </c>
      <c r="G486" s="79" t="str">
        <f>IFERROR(__xludf.DUMMYFUNCTION("TRIM(REGEXREPLACE(C486, ""[0-9]+[a-f]?\."", """"))"),"")</f>
        <v/>
      </c>
      <c r="H486" s="79" t="str">
        <f>IFERROR(__xludf.DUMMYFUNCTION("TRIM(REGEXREPLACE(D486, ""[0-9]+[a-f]?\."", """"))"),"")</f>
        <v/>
      </c>
      <c r="I486" s="79" t="str">
        <f>IFERROR(__xludf.DUMMYFUNCTION("TRIM(REGEXREPLACE(E486, ""[0-9]+[a-f]?\."", """"))"),"")</f>
        <v/>
      </c>
      <c r="J486" s="79" t="s">
        <v>2811</v>
      </c>
      <c r="K486" s="79" t="s">
        <v>2812</v>
      </c>
      <c r="L486" s="79" t="s">
        <v>2813</v>
      </c>
    </row>
    <row r="487">
      <c r="A487" s="79" t="s">
        <v>42</v>
      </c>
      <c r="B487" s="80" t="s">
        <v>2814</v>
      </c>
      <c r="C487" s="80" t="s">
        <v>2724</v>
      </c>
      <c r="D487" s="80" t="s">
        <v>2815</v>
      </c>
      <c r="E487" s="80" t="s">
        <v>2816</v>
      </c>
      <c r="F487" s="82">
        <v>278.0</v>
      </c>
      <c r="G487" s="79" t="str">
        <f>IFERROR(__xludf.DUMMYFUNCTION("TRIM(REGEXREPLACE(C487, ""[0-9]+[a-f]?\."", """"))"),"The amount you have left (${hoh_qty_left}) is negative. Please return and revise your responses.")</f>
        <v>The amount you have left (${hoh_qty_left}) is negative. Please return and revise your responses.</v>
      </c>
      <c r="H487" s="79" t="str">
        <f>IFERROR(__xludf.DUMMYFUNCTION("TRIM(REGEXREPLACE(D487, ""[0-9]+[a-f]?\."", """"))"),"Le montant qu'il vous reste (${hoh_qty_left}) est négatif. Veuillez revenir et réviser vos réponses.")</f>
        <v>Le montant qu'il vous reste (${hoh_qty_left}) est négatif. Veuillez revenir et réviser vos réponses.</v>
      </c>
      <c r="I487" s="79" t="str">
        <f>IFERROR(__xludf.DUMMYFUNCTION("TRIM(REGEXREPLACE(E487, ""[0-9]+[a-f]?\."", """"))"),"jimillar kuɗin da suka saura (${hoh_qty_left}) maras kyau ne. Da fatan za a dawo a sake duba amsoshin.")</f>
        <v>jimillar kuɗin da suka saura (${hoh_qty_left}) maras kyau ne. Da fatan za a dawo a sake duba amsoshin.</v>
      </c>
      <c r="J487" s="79" t="s">
        <v>2819</v>
      </c>
      <c r="K487" s="79" t="s">
        <v>2820</v>
      </c>
      <c r="L487" s="79" t="s">
        <v>2821</v>
      </c>
    </row>
    <row r="488">
      <c r="A488" s="79" t="s">
        <v>277</v>
      </c>
      <c r="B488" s="80" t="s">
        <v>2823</v>
      </c>
      <c r="C488" s="80" t="s">
        <v>2728</v>
      </c>
      <c r="D488" s="80" t="s">
        <v>2825</v>
      </c>
      <c r="E488" s="80" t="s">
        <v>2826</v>
      </c>
      <c r="F488" s="82">
        <v>279.0</v>
      </c>
      <c r="G488" s="79" t="str">
        <f>IFERROR(__xludf.DUMMYFUNCTION("TRIM(REGEXREPLACE(C488, ""[0-9]+[a-f]?\."", """"))"),"Based on your responses, you had ${hoh_qty_left} ${hoh_crop_unit_name} left over. Does this sound correct?")</f>
        <v>Based on your responses, you had ${hoh_qty_left} ${hoh_crop_unit_name} left over. Does this sound correct?</v>
      </c>
      <c r="H488" s="79" t="str">
        <f>IFERROR(__xludf.DUMMYFUNCTION("TRIM(REGEXREPLACE(D488, ""[0-9]+[a-f]?\."", """"))"),"D'après vos réponses, il vous restait ${hoh_qty_left} ${hoh_crop_unit_name}. Est-ce que cela semble correct ?")</f>
        <v>D'après vos réponses, il vous restait ${hoh_qty_left} ${hoh_crop_unit_name}. Est-ce que cela semble correct ?</v>
      </c>
      <c r="I488" s="79" t="str">
        <f>IFERROR(__xludf.DUMMYFUNCTION("TRIM(REGEXREPLACE(E488, ""[0-9]+[a-f]?\."", """"))"),"Dangane da amsoshinku, kuna da sauran ${hoh_qty_left} ${hoh_crop_unit_name}. Ko wannan yayi daidai?")</f>
        <v>Dangane da amsoshinku, kuna da sauran ${hoh_qty_left} ${hoh_crop_unit_name}. Ko wannan yayi daidai?</v>
      </c>
      <c r="J488" s="79" t="s">
        <v>2829</v>
      </c>
      <c r="K488" s="79" t="s">
        <v>2830</v>
      </c>
      <c r="L488" s="79" t="s">
        <v>2832</v>
      </c>
    </row>
    <row r="489" hidden="1">
      <c r="C489" s="80"/>
      <c r="D489" s="80"/>
      <c r="E489" s="80"/>
      <c r="F489" s="82">
        <v>283.0</v>
      </c>
      <c r="G489" s="79" t="str">
        <f>IFERROR(__xludf.DUMMYFUNCTION("TRIM(REGEXREPLACE(C489, ""[0-9]+[a-f]?\."", """"))"),"")</f>
        <v/>
      </c>
      <c r="H489" s="79" t="str">
        <f>IFERROR(__xludf.DUMMYFUNCTION("TRIM(REGEXREPLACE(D489, ""[0-9]+[a-f]?\."", """"))"),"")</f>
        <v/>
      </c>
      <c r="I489" s="79" t="str">
        <f>IFERROR(__xludf.DUMMYFUNCTION("TRIM(REGEXREPLACE(E489, ""[0-9]+[a-f]?\."", """"))"),"")</f>
        <v/>
      </c>
    </row>
    <row r="490" hidden="1">
      <c r="C490" s="80"/>
      <c r="D490" s="80"/>
      <c r="E490" s="80"/>
      <c r="F490" s="82">
        <v>284.0</v>
      </c>
      <c r="G490" s="79" t="str">
        <f>IFERROR(__xludf.DUMMYFUNCTION("TRIM(REGEXREPLACE(C490, ""[0-9]+[a-f]?\."", """"))"),"")</f>
        <v/>
      </c>
      <c r="H490" s="79" t="str">
        <f>IFERROR(__xludf.DUMMYFUNCTION("TRIM(REGEXREPLACE(D490, ""[0-9]+[a-f]?\."", """"))"),"")</f>
        <v/>
      </c>
      <c r="I490" s="79" t="str">
        <f>IFERROR(__xludf.DUMMYFUNCTION("TRIM(REGEXREPLACE(E490, ""[0-9]+[a-f]?\."", """"))"),"")</f>
        <v/>
      </c>
    </row>
    <row r="491" hidden="1">
      <c r="C491" s="80"/>
      <c r="D491" s="80"/>
      <c r="E491" s="80"/>
      <c r="F491" s="82">
        <v>283.0</v>
      </c>
      <c r="G491" s="79" t="str">
        <f>IFERROR(__xludf.DUMMYFUNCTION("TRIM(REGEXREPLACE(C491, ""[0-9]+[a-f]?\."", """"))"),"")</f>
        <v/>
      </c>
      <c r="H491" s="79" t="str">
        <f>IFERROR(__xludf.DUMMYFUNCTION("TRIM(REGEXREPLACE(D491, ""[0-9]+[a-f]?\."", """"))"),"")</f>
        <v/>
      </c>
      <c r="I491" s="79" t="str">
        <f>IFERROR(__xludf.DUMMYFUNCTION("TRIM(REGEXREPLACE(E491, ""[0-9]+[a-f]?\."", """"))"),"")</f>
        <v/>
      </c>
      <c r="J491" s="79" t="s">
        <v>2842</v>
      </c>
      <c r="K491" s="79" t="s">
        <v>2843</v>
      </c>
      <c r="L491" s="79" t="s">
        <v>2844</v>
      </c>
    </row>
    <row r="492" hidden="1">
      <c r="C492" s="80"/>
      <c r="D492" s="80"/>
      <c r="E492" s="80"/>
      <c r="F492" s="82">
        <v>284.0</v>
      </c>
      <c r="G492" s="79" t="str">
        <f>IFERROR(__xludf.DUMMYFUNCTION("TRIM(REGEXREPLACE(C492, ""[0-9]+[a-f]?\."", """"))"),"")</f>
        <v/>
      </c>
      <c r="H492" s="79" t="str">
        <f>IFERROR(__xludf.DUMMYFUNCTION("TRIM(REGEXREPLACE(D492, ""[0-9]+[a-f]?\."", """"))"),"")</f>
        <v/>
      </c>
      <c r="I492" s="79" t="str">
        <f>IFERROR(__xludf.DUMMYFUNCTION("TRIM(REGEXREPLACE(E492, ""[0-9]+[a-f]?\."", """"))"),"")</f>
        <v/>
      </c>
      <c r="J492" s="79" t="s">
        <v>2846</v>
      </c>
      <c r="K492" s="79" t="s">
        <v>2847</v>
      </c>
      <c r="L492" s="79" t="s">
        <v>2848</v>
      </c>
    </row>
    <row r="493">
      <c r="A493" s="79" t="s">
        <v>42</v>
      </c>
      <c r="B493" s="79" t="s">
        <v>2850</v>
      </c>
      <c r="C493" s="80" t="s">
        <v>2851</v>
      </c>
      <c r="D493" s="80" t="s">
        <v>2853</v>
      </c>
      <c r="E493" s="80" t="s">
        <v>2854</v>
      </c>
      <c r="F493" s="82">
        <v>280.0</v>
      </c>
      <c r="G493" s="79" t="str">
        <f>IFERROR(__xludf.DUMMYFUNCTION("TRIM(REGEXREPLACE(C493, ""[0-9]+[a-f]?\."", """"))"),"How much did your household spend on the following types of expenses during the last agricultural season in CFA?")</f>
        <v>How much did your household spend on the following types of expenses during the last agricultural season in CFA?</v>
      </c>
      <c r="H493" s="79" t="str">
        <f>IFERROR(__xludf.DUMMYFUNCTION("TRIM(REGEXREPLACE(D493, ""[0-9]+[a-f]?\."", """"))"),"Combien votre ménage a-t-il dépensé pour les types de dépenses suivantes au cours de la dernière saison agricole (en CFA) ?")</f>
        <v>Combien votre ménage a-t-il dépensé pour les types de dépenses suivantes au cours de la dernière saison agricole (en CFA) ?</v>
      </c>
      <c r="I493" s="79" t="str">
        <f>IFERROR(__xludf.DUMMYFUNCTION("TRIM(REGEXREPLACE(E493, ""[0-9]+[a-f]?\."", """"))"),"Nawa ne gidanku ya kashe akan waɗannan abubuwan a lokacin noman da ya wuce (a sefa)?")</f>
        <v>Nawa ne gidanku ya kashe akan waɗannan abubuwan a lokacin noman da ya wuce (a sefa)?</v>
      </c>
      <c r="J493" s="79" t="s">
        <v>2858</v>
      </c>
      <c r="K493" s="79" t="s">
        <v>2860</v>
      </c>
      <c r="L493" s="79" t="s">
        <v>2861</v>
      </c>
    </row>
    <row r="494">
      <c r="A494" s="79" t="s">
        <v>396</v>
      </c>
      <c r="B494" s="79" t="s">
        <v>2863</v>
      </c>
      <c r="C494" s="80" t="s">
        <v>2864</v>
      </c>
      <c r="D494" s="80" t="s">
        <v>2865</v>
      </c>
      <c r="E494" s="80" t="s">
        <v>2866</v>
      </c>
      <c r="F494" s="82">
        <v>281.0</v>
      </c>
      <c r="G494" s="79" t="str">
        <f>IFERROR(__xludf.DUMMYFUNCTION("TRIM(REGEXREPLACE(C494, ""[0-9]+[a-f]?\."", """"))"),"Seeds")</f>
        <v>Seeds</v>
      </c>
      <c r="H494" s="79" t="str">
        <f>IFERROR(__xludf.DUMMYFUNCTION("TRIM(REGEXREPLACE(D494, ""[0-9]+[a-f]?\."", """"))"),"Semences")</f>
        <v>Semences</v>
      </c>
      <c r="I494" s="79" t="str">
        <f>IFERROR(__xludf.DUMMYFUNCTION("TRIM(REGEXREPLACE(E494, ""[0-9]+[a-f]?\."", """"))"),"Iri")</f>
        <v>Iri</v>
      </c>
      <c r="J494" s="79" t="s">
        <v>2870</v>
      </c>
      <c r="K494" s="79" t="s">
        <v>2871</v>
      </c>
      <c r="L494" s="79" t="s">
        <v>2872</v>
      </c>
    </row>
    <row r="495">
      <c r="A495" s="79" t="s">
        <v>396</v>
      </c>
      <c r="B495" s="79" t="s">
        <v>2874</v>
      </c>
      <c r="C495" s="80" t="s">
        <v>2811</v>
      </c>
      <c r="D495" s="80" t="s">
        <v>2812</v>
      </c>
      <c r="E495" s="80" t="s">
        <v>2813</v>
      </c>
      <c r="F495" s="82">
        <v>282.0</v>
      </c>
      <c r="G495" s="79" t="str">
        <f>IFERROR(__xludf.DUMMYFUNCTION("TRIM(REGEXREPLACE(C495, ""[0-9]+[a-f]?\."", """"))"),"Fertilizer")</f>
        <v>Fertilizer</v>
      </c>
      <c r="H495" s="79" t="str">
        <f>IFERROR(__xludf.DUMMYFUNCTION("TRIM(REGEXREPLACE(D495, ""[0-9]+[a-f]?\."", """"))"),"Engrais")</f>
        <v>Engrais</v>
      </c>
      <c r="I495" s="79" t="str">
        <f>IFERROR(__xludf.DUMMYFUNCTION("TRIM(REGEXREPLACE(E495, ""[0-9]+[a-f]?\."", """"))"),"Takin zamani")</f>
        <v>Takin zamani</v>
      </c>
      <c r="J495" s="79" t="s">
        <v>2876</v>
      </c>
      <c r="K495" s="79" t="s">
        <v>2877</v>
      </c>
      <c r="L495" s="79" t="s">
        <v>2880</v>
      </c>
    </row>
    <row r="496">
      <c r="A496" s="79" t="s">
        <v>396</v>
      </c>
      <c r="B496" s="79" t="s">
        <v>2881</v>
      </c>
      <c r="C496" s="80" t="s">
        <v>2882</v>
      </c>
      <c r="D496" s="80" t="s">
        <v>2883</v>
      </c>
      <c r="E496" s="80" t="s">
        <v>2884</v>
      </c>
      <c r="F496" s="82">
        <v>283.0</v>
      </c>
      <c r="G496" s="79" t="str">
        <f>IFERROR(__xludf.DUMMYFUNCTION("TRIM(REGEXREPLACE(C496, ""[0-9]+[a-f]?\."", """"))"),"Renting machines and tools (i.e. for plowing or spraying)")</f>
        <v>Renting machines and tools (i.e. for plowing or spraying)</v>
      </c>
      <c r="H496" s="79" t="str">
        <f>IFERROR(__xludf.DUMMYFUNCTION("TRIM(REGEXREPLACE(D496, ""[0-9]+[a-f]?\."", """"))"),"Location de machines et d'outils (c'est-à-dire pour labourer ou pulvériser)")</f>
        <v>Location de machines et d'outils (c'est-à-dire pour labourer ou pulvériser)</v>
      </c>
      <c r="I496" s="79" t="str">
        <f>IFERROR(__xludf.DUMMYFUNCTION("TRIM(REGEXREPLACE(E496, ""[0-9]+[a-f]?\."", """"))"),"Hayar injina da kayan aiki ( don noma ko feshi)")</f>
        <v>Hayar injina da kayan aiki ( don noma ko feshi)</v>
      </c>
      <c r="J496" s="79" t="s">
        <v>2886</v>
      </c>
      <c r="K496" s="79" t="s">
        <v>2887</v>
      </c>
      <c r="L496" s="79" t="s">
        <v>2888</v>
      </c>
    </row>
    <row r="497">
      <c r="A497" s="79" t="s">
        <v>396</v>
      </c>
      <c r="B497" s="80" t="s">
        <v>2889</v>
      </c>
      <c r="C497" s="80" t="s">
        <v>2890</v>
      </c>
      <c r="D497" s="80" t="s">
        <v>2891</v>
      </c>
      <c r="E497" s="80" t="s">
        <v>2892</v>
      </c>
      <c r="F497" s="82">
        <v>284.0</v>
      </c>
      <c r="G497" s="79" t="str">
        <f>IFERROR(__xludf.DUMMYFUNCTION("TRIM(REGEXREPLACE(C497, ""[0-9]+[a-f]?\."", """"))"),"Water")</f>
        <v>Water</v>
      </c>
      <c r="H497" s="79" t="str">
        <f>IFERROR(__xludf.DUMMYFUNCTION("TRIM(REGEXREPLACE(D497, ""[0-9]+[a-f]?\."", """"))"),"Eau")</f>
        <v>Eau</v>
      </c>
      <c r="I497" s="79" t="str">
        <f>IFERROR(__xludf.DUMMYFUNCTION("TRIM(REGEXREPLACE(E497, ""[0-9]+[a-f]?\."", """"))"),"Ruwa")</f>
        <v>Ruwa</v>
      </c>
      <c r="J497" s="79" t="s">
        <v>2895</v>
      </c>
      <c r="K497" s="79" t="s">
        <v>2896</v>
      </c>
      <c r="L497" s="79" t="s">
        <v>2897</v>
      </c>
    </row>
    <row r="498" hidden="1">
      <c r="C498" s="80"/>
      <c r="D498" s="80"/>
      <c r="E498" s="80"/>
      <c r="F498" s="82">
        <v>287.0</v>
      </c>
      <c r="G498" s="79" t="str">
        <f>IFERROR(__xludf.DUMMYFUNCTION("TRIM(REGEXREPLACE(C498, ""[0-9]+[a-f]?\."", """"))"),"")</f>
        <v/>
      </c>
      <c r="H498" s="79" t="str">
        <f>IFERROR(__xludf.DUMMYFUNCTION("TRIM(REGEXREPLACE(D498, ""[0-9]+[a-f]?\."", """"))"),"")</f>
        <v/>
      </c>
      <c r="I498" s="79" t="str">
        <f>IFERROR(__xludf.DUMMYFUNCTION("TRIM(REGEXREPLACE(E498, ""[0-9]+[a-f]?\."", """"))"),"")</f>
        <v/>
      </c>
      <c r="J498" s="79" t="s">
        <v>2900</v>
      </c>
      <c r="K498" s="79" t="s">
        <v>2901</v>
      </c>
      <c r="L498" s="79" t="s">
        <v>2902</v>
      </c>
    </row>
    <row r="499" hidden="1">
      <c r="B499" s="80"/>
      <c r="C499" s="80"/>
      <c r="D499" s="80"/>
      <c r="E499" s="80"/>
      <c r="F499" s="82">
        <v>286.0</v>
      </c>
      <c r="G499" s="79" t="str">
        <f>IFERROR(__xludf.DUMMYFUNCTION("TRIM(REGEXREPLACE(C499, ""[0-9]+[a-f]?\."", """"))"),"")</f>
        <v/>
      </c>
      <c r="H499" s="79" t="str">
        <f>IFERROR(__xludf.DUMMYFUNCTION("TRIM(REGEXREPLACE(D499, ""[0-9]+[a-f]?\."", """"))"),"")</f>
        <v/>
      </c>
      <c r="I499" s="79" t="str">
        <f>IFERROR(__xludf.DUMMYFUNCTION("TRIM(REGEXREPLACE(E499, ""[0-9]+[a-f]?\."", """"))"),"")</f>
        <v/>
      </c>
      <c r="J499" s="79" t="s">
        <v>2903</v>
      </c>
      <c r="K499" s="79" t="s">
        <v>2904</v>
      </c>
      <c r="L499" s="79" t="s">
        <v>2904</v>
      </c>
    </row>
    <row r="500" hidden="1">
      <c r="C500" s="80"/>
      <c r="D500" s="80"/>
      <c r="E500" s="80"/>
      <c r="F500" s="82">
        <v>288.0</v>
      </c>
      <c r="G500" s="79" t="str">
        <f>IFERROR(__xludf.DUMMYFUNCTION("TRIM(REGEXREPLACE(C500, ""[0-9]+[a-f]?\."", """"))"),"")</f>
        <v/>
      </c>
      <c r="H500" s="79" t="str">
        <f>IFERROR(__xludf.DUMMYFUNCTION("TRIM(REGEXREPLACE(D500, ""[0-9]+[a-f]?\."", """"))"),"")</f>
        <v/>
      </c>
      <c r="I500" s="79" t="str">
        <f>IFERROR(__xludf.DUMMYFUNCTION("TRIM(REGEXREPLACE(E500, ""[0-9]+[a-f]?\."", """"))"),"")</f>
        <v/>
      </c>
      <c r="J500" s="79" t="s">
        <v>2908</v>
      </c>
      <c r="K500" s="79" t="s">
        <v>2909</v>
      </c>
      <c r="L500" s="79" t="s">
        <v>2910</v>
      </c>
    </row>
    <row r="501" hidden="1">
      <c r="B501" s="80"/>
      <c r="C501" s="80"/>
      <c r="D501" s="80"/>
      <c r="E501" s="80"/>
      <c r="F501" s="82">
        <v>287.0</v>
      </c>
      <c r="G501" s="79" t="str">
        <f>IFERROR(__xludf.DUMMYFUNCTION("TRIM(REGEXREPLACE(C501, ""[0-9]+[a-f]?\."", """"))"),"")</f>
        <v/>
      </c>
      <c r="H501" s="79" t="str">
        <f>IFERROR(__xludf.DUMMYFUNCTION("TRIM(REGEXREPLACE(D501, ""[0-9]+[a-f]?\."", """"))"),"")</f>
        <v/>
      </c>
      <c r="I501" s="79" t="str">
        <f>IFERROR(__xludf.DUMMYFUNCTION("TRIM(REGEXREPLACE(E501, ""[0-9]+[a-f]?\."", """"))"),"")</f>
        <v/>
      </c>
    </row>
    <row r="502" hidden="1">
      <c r="B502" s="80"/>
      <c r="C502" s="80"/>
      <c r="D502" s="80"/>
      <c r="E502" s="80"/>
      <c r="F502" s="82">
        <v>288.0</v>
      </c>
      <c r="G502" s="79" t="str">
        <f>IFERROR(__xludf.DUMMYFUNCTION("TRIM(REGEXREPLACE(C502, ""[0-9]+[a-f]?\."", """"))"),"")</f>
        <v/>
      </c>
      <c r="H502" s="79" t="str">
        <f>IFERROR(__xludf.DUMMYFUNCTION("TRIM(REGEXREPLACE(D502, ""[0-9]+[a-f]?\."", """"))"),"")</f>
        <v/>
      </c>
      <c r="I502" s="79" t="str">
        <f>IFERROR(__xludf.DUMMYFUNCTION("TRIM(REGEXREPLACE(E502, ""[0-9]+[a-f]?\."", """"))"),"")</f>
        <v/>
      </c>
    </row>
    <row r="503">
      <c r="A503" s="79" t="s">
        <v>42</v>
      </c>
      <c r="B503" s="80" t="s">
        <v>2912</v>
      </c>
      <c r="C503" s="80" t="s">
        <v>2842</v>
      </c>
      <c r="D503" s="80" t="s">
        <v>2843</v>
      </c>
      <c r="E503" s="80" t="s">
        <v>2844</v>
      </c>
      <c r="F503" s="82">
        <v>285.0</v>
      </c>
      <c r="G503" s="79" t="str">
        <f>IFERROR(__xludf.DUMMYFUNCTION("TRIM(REGEXREPLACE(C503, ""[0-9]+[a-f]?\."", """"))"),"We want to understand how many days people worked in your fields and who did this work.")</f>
        <v>We want to understand how many days people worked in your fields and who did this work.</v>
      </c>
      <c r="H503" s="79" t="str">
        <f>IFERROR(__xludf.DUMMYFUNCTION("TRIM(REGEXREPLACE(D503, ""[0-9]+[a-f]?\."", """"))"),"Nous voulons comprendre combien de jours des gens ont travaillé dans vos champs et qui a fait ce travail.")</f>
        <v>Nous voulons comprendre combien de jours des gens ont travaillé dans vos champs et qui a fait ce travail.</v>
      </c>
      <c r="I503" s="79" t="str">
        <f>IFERROR(__xludf.DUMMYFUNCTION("TRIM(REGEXREPLACE(E503, ""[0-9]+[a-f]?\."", """"))"),"Muna son mu fahimci kwanaki nawa mutane suka yi aiki a gonakinku da kuma wanda ya yi wannan aikin.")</f>
        <v>Muna son mu fahimci kwanaki nawa mutane suka yi aiki a gonakinku da kuma wanda ya yi wannan aikin.</v>
      </c>
      <c r="J503" s="79" t="s">
        <v>2913</v>
      </c>
      <c r="K503" s="79" t="s">
        <v>2914</v>
      </c>
      <c r="L503" s="79" t="s">
        <v>2915</v>
      </c>
    </row>
    <row r="504">
      <c r="A504" s="79" t="s">
        <v>396</v>
      </c>
      <c r="B504" s="80" t="s">
        <v>2917</v>
      </c>
      <c r="C504" s="80" t="s">
        <v>2846</v>
      </c>
      <c r="D504" s="80" t="s">
        <v>2847</v>
      </c>
      <c r="E504" s="80" t="s">
        <v>2848</v>
      </c>
      <c r="F504" s="82">
        <v>286.0</v>
      </c>
      <c r="G504" s="79" t="str">
        <f>IFERROR(__xludf.DUMMYFUNCTION("TRIM(REGEXREPLACE(C504,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504" s="79" t="str">
        <f>IFERROR(__xludf.DUMMYFUNCTION("TRIM(REGEXREPLACE(D504,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504" s="79" t="str">
        <f>IFERROR(__xludf.DUMMYFUNCTION("TRIM(REGEXREPLACE(E504,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504" s="79" t="s">
        <v>2920</v>
      </c>
      <c r="K504" s="79" t="s">
        <v>2921</v>
      </c>
      <c r="L504" s="79" t="s">
        <v>2922</v>
      </c>
    </row>
    <row r="505">
      <c r="A505" s="79" t="s">
        <v>396</v>
      </c>
      <c r="B505" s="80" t="s">
        <v>2923</v>
      </c>
      <c r="C505" s="80" t="s">
        <v>2924</v>
      </c>
      <c r="D505" s="80" t="s">
        <v>2925</v>
      </c>
      <c r="E505" s="80" t="s">
        <v>2926</v>
      </c>
      <c r="F505" s="82">
        <v>287.0</v>
      </c>
      <c r="G505" s="79" t="str">
        <f>IFERROR(__xludf.DUMMYFUNCTION("TRIM(REGEXREPLACE(C505,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505" s="79" t="str">
        <f>IFERROR(__xludf.DUMMYFUNCTION("TRIM(REGEXREPLACE(D505,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505" s="79" t="str">
        <f>IFERROR(__xludf.DUMMYFUNCTION("TRIM(REGEXREPLACE(E505,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505" s="79" t="s">
        <v>2930</v>
      </c>
      <c r="K505" s="79" t="s">
        <v>2931</v>
      </c>
      <c r="L505" s="79" t="s">
        <v>2932</v>
      </c>
    </row>
    <row r="506" hidden="1">
      <c r="B506" s="80"/>
      <c r="C506" s="80"/>
      <c r="D506" s="80"/>
      <c r="E506" s="80"/>
      <c r="F506" s="82">
        <v>290.0</v>
      </c>
      <c r="G506" s="79" t="str">
        <f>IFERROR(__xludf.DUMMYFUNCTION("TRIM(REGEXREPLACE(C506, ""[0-9]+[a-f]?\."", """"))"),"")</f>
        <v/>
      </c>
      <c r="H506" s="79" t="str">
        <f>IFERROR(__xludf.DUMMYFUNCTION("TRIM(REGEXREPLACE(D506, ""[0-9]+[a-f]?\."", """"))"),"")</f>
        <v/>
      </c>
      <c r="I506" s="79" t="str">
        <f>IFERROR(__xludf.DUMMYFUNCTION("TRIM(REGEXREPLACE(E506, ""[0-9]+[a-f]?\."", """"))"),"")</f>
        <v/>
      </c>
      <c r="J506" s="79" t="s">
        <v>2933</v>
      </c>
      <c r="K506" s="79" t="s">
        <v>2934</v>
      </c>
      <c r="L506" s="79" t="s">
        <v>2935</v>
      </c>
    </row>
    <row r="507" hidden="1">
      <c r="B507" s="80"/>
      <c r="C507" s="80"/>
      <c r="D507" s="80"/>
      <c r="E507" s="80"/>
      <c r="F507" s="82">
        <v>291.0</v>
      </c>
      <c r="G507" s="79" t="str">
        <f>IFERROR(__xludf.DUMMYFUNCTION("TRIM(REGEXREPLACE(C507, ""[0-9]+[a-f]?\."", """"))"),"")</f>
        <v/>
      </c>
      <c r="H507" s="79" t="str">
        <f>IFERROR(__xludf.DUMMYFUNCTION("TRIM(REGEXREPLACE(D507, ""[0-9]+[a-f]?\."", """"))"),"")</f>
        <v/>
      </c>
      <c r="I507" s="79" t="str">
        <f>IFERROR(__xludf.DUMMYFUNCTION("TRIM(REGEXREPLACE(E507, ""[0-9]+[a-f]?\."", """"))"),"")</f>
        <v/>
      </c>
      <c r="J507" s="79" t="s">
        <v>2936</v>
      </c>
      <c r="K507" s="79" t="s">
        <v>2937</v>
      </c>
      <c r="L507" s="79" t="s">
        <v>2938</v>
      </c>
    </row>
    <row r="508" hidden="1">
      <c r="B508" s="80"/>
      <c r="C508" s="80"/>
      <c r="D508" s="80"/>
      <c r="E508" s="80"/>
      <c r="F508" s="82">
        <v>293.0</v>
      </c>
      <c r="G508" s="79" t="str">
        <f>IFERROR(__xludf.DUMMYFUNCTION("TRIM(REGEXREPLACE(C508, ""[0-9]+[a-f]?\."", """"))"),"")</f>
        <v/>
      </c>
      <c r="H508" s="79" t="str">
        <f>IFERROR(__xludf.DUMMYFUNCTION("TRIM(REGEXREPLACE(D508, ""[0-9]+[a-f]?\."", """"))"),"")</f>
        <v/>
      </c>
      <c r="I508" s="79" t="str">
        <f>IFERROR(__xludf.DUMMYFUNCTION("TRIM(REGEXREPLACE(E508, ""[0-9]+[a-f]?\."", """"))"),"")</f>
        <v/>
      </c>
    </row>
    <row r="509" hidden="1">
      <c r="B509" s="80"/>
      <c r="C509" s="80"/>
      <c r="D509" s="80"/>
      <c r="E509" s="80"/>
      <c r="F509" s="82">
        <v>292.0</v>
      </c>
      <c r="G509" s="79" t="str">
        <f>IFERROR(__xludf.DUMMYFUNCTION("TRIM(REGEXREPLACE(C509, ""[0-9]+[a-f]?\."", """"))"),"")</f>
        <v/>
      </c>
      <c r="H509" s="79" t="str">
        <f>IFERROR(__xludf.DUMMYFUNCTION("TRIM(REGEXREPLACE(D509, ""[0-9]+[a-f]?\."", """"))"),"")</f>
        <v/>
      </c>
      <c r="I509" s="79" t="str">
        <f>IFERROR(__xludf.DUMMYFUNCTION("TRIM(REGEXREPLACE(E509, ""[0-9]+[a-f]?\."", """"))"),"")</f>
        <v/>
      </c>
      <c r="J509" s="79" t="s">
        <v>2942</v>
      </c>
      <c r="K509" s="79" t="s">
        <v>2943</v>
      </c>
      <c r="L509" s="79" t="s">
        <v>2944</v>
      </c>
    </row>
    <row r="510">
      <c r="A510" s="79" t="s">
        <v>396</v>
      </c>
      <c r="B510" s="80" t="s">
        <v>2946</v>
      </c>
      <c r="C510" s="80" t="s">
        <v>2903</v>
      </c>
      <c r="D510" s="80" t="s">
        <v>2947</v>
      </c>
      <c r="E510" s="80" t="s">
        <v>2948</v>
      </c>
      <c r="F510" s="82">
        <v>288.0</v>
      </c>
      <c r="G510" s="79" t="str">
        <f>IFERROR(__xludf.DUMMYFUNCTION("TRIM(REGEXREPLACE(C510, ""[0-9]+[a-f]?\."", """"))"),"Can you estimate how many days during the last agricultural season did ${hoh_labor_name} work in field?")</f>
        <v>Can you estimate how many days during the last agricultural season did ${hoh_labor_name} work in field?</v>
      </c>
      <c r="H510" s="79" t="str">
        <f>IFERROR(__xludf.DUMMYFUNCTION("TRIM(REGEXREPLACE(D510, ""[0-9]+[a-f]?\."", """"))"),"Pouvez-vous estimer combien de jours au cours de la dernière saison agricole ${hoh_labor_name} a-t-il travaillé dans les champs ?")</f>
        <v>Pouvez-vous estimer combien de jours au cours de la dernière saison agricole ${hoh_labor_name} a-t-il travaillé dans les champs ?</v>
      </c>
      <c r="I510" s="79" t="str">
        <f>IFERROR(__xludf.DUMMYFUNCTION("TRIM(REGEXREPLACE(E510, ""[0-9]+[a-f]?\."", """"))"),"Za ku iya ƙiyasin kwanaki nawa a lokacin noman da ya gabata ${hoh_labor_name} ya yi aikin a noma?")</f>
        <v>Za ku iya ƙiyasin kwanaki nawa a lokacin noman da ya gabata ${hoh_labor_name} ya yi aikin a noma?</v>
      </c>
      <c r="J510" s="79" t="s">
        <v>2952</v>
      </c>
      <c r="K510" s="79" t="s">
        <v>2953</v>
      </c>
      <c r="L510" s="79" t="s">
        <v>2954</v>
      </c>
    </row>
    <row r="511" hidden="1">
      <c r="B511" s="80"/>
      <c r="C511" s="80"/>
      <c r="D511" s="80"/>
      <c r="E511" s="80"/>
      <c r="F511" s="82">
        <v>294.0</v>
      </c>
      <c r="G511" s="79" t="str">
        <f>IFERROR(__xludf.DUMMYFUNCTION("TRIM(REGEXREPLACE(C511, ""[0-9]+[a-f]?\."", """"))"),"")</f>
        <v/>
      </c>
      <c r="H511" s="79" t="str">
        <f>IFERROR(__xludf.DUMMYFUNCTION("TRIM(REGEXREPLACE(D511, ""[0-9]+[a-f]?\."", """"))"),"")</f>
        <v/>
      </c>
      <c r="I511" s="79" t="str">
        <f>IFERROR(__xludf.DUMMYFUNCTION("TRIM(REGEXREPLACE(E511, ""[0-9]+[a-f]?\."", """"))"),"")</f>
        <v/>
      </c>
      <c r="J511" s="79" t="s">
        <v>2955</v>
      </c>
      <c r="K511" s="79" t="s">
        <v>2957</v>
      </c>
      <c r="L511" s="79" t="s">
        <v>2958</v>
      </c>
    </row>
    <row r="512">
      <c r="A512" s="79" t="s">
        <v>42</v>
      </c>
      <c r="B512" s="80" t="s">
        <v>2961</v>
      </c>
      <c r="C512" s="80" t="s">
        <v>2962</v>
      </c>
      <c r="D512" s="80" t="s">
        <v>2963</v>
      </c>
      <c r="E512" s="80" t="s">
        <v>2963</v>
      </c>
      <c r="F512" s="82">
        <v>289.0</v>
      </c>
      <c r="G512" s="79" t="str">
        <f>IFERROR(__xludf.DUMMYFUNCTION("TRIM(REGEXREPLACE(C512, ""[0-9]+[a-f]?\."", """"))"),"The following questions about agricultural labor are for the last agricultural season (last 180 days).")</f>
        <v>The following questions about agricultural labor are for the last agricultural season (last 180 days).</v>
      </c>
      <c r="H512" s="79" t="str">
        <f>IFERROR(__xludf.DUMMYFUNCTION("TRIM(REGEXREPLACE(D512, ""[0-9]+[a-f]?\."", """"))"),"")</f>
        <v/>
      </c>
      <c r="I512" s="79" t="str">
        <f>IFERROR(__xludf.DUMMYFUNCTION("TRIM(REGEXREPLACE(E512, ""[0-9]+[a-f]?\."", """"))"),"")</f>
        <v/>
      </c>
      <c r="J512" s="79" t="s">
        <v>2964</v>
      </c>
      <c r="K512" s="79" t="s">
        <v>2965</v>
      </c>
      <c r="L512" s="79" t="s">
        <v>2965</v>
      </c>
    </row>
    <row r="513">
      <c r="A513" s="79" t="s">
        <v>194</v>
      </c>
      <c r="B513" s="80" t="s">
        <v>2966</v>
      </c>
      <c r="C513" s="80" t="s">
        <v>2967</v>
      </c>
      <c r="D513" s="80" t="s">
        <v>2968</v>
      </c>
      <c r="E513" s="80" t="s">
        <v>2969</v>
      </c>
      <c r="F513" s="82">
        <v>290.0</v>
      </c>
      <c r="G513" s="79" t="str">
        <f>IFERROR(__xludf.DUMMYFUNCTION("TRIM(REGEXREPLACE(C513, ""[0-9]+[a-f]?\."", """"))"),"Did you hire anyone outside of your household to work in your fields?")</f>
        <v>Did you hire anyone outside of your household to work in your fields?</v>
      </c>
      <c r="H513" s="79" t="str">
        <f>IFERROR(__xludf.DUMMYFUNCTION("TRIM(REGEXREPLACE(D513, ""[0-9]+[a-f]?\."", """"))"),"Avez-vous embauché quelqu'un en dehors de votre ménage pour travailler dans vos champs ?")</f>
        <v>Avez-vous embauché quelqu'un en dehors de votre ménage pour travailler dans vos champs ?</v>
      </c>
      <c r="I513" s="79" t="str">
        <f>IFERROR(__xludf.DUMMYFUNCTION("TRIM(REGEXREPLACE(E513, ""[0-9]+[a-f]?\."", """"))"),"Ko kun ɗauki wani dan barema da ba ɗan gidanku ba don yin aiki a gonakinku?")</f>
        <v>Ko kun ɗauki wani dan barema da ba ɗan gidanku ba don yin aiki a gonakinku?</v>
      </c>
      <c r="J513" s="79" t="s">
        <v>2974</v>
      </c>
      <c r="K513" s="79" t="s">
        <v>2975</v>
      </c>
      <c r="L513" s="79" t="s">
        <v>2976</v>
      </c>
    </row>
    <row r="514">
      <c r="A514" s="79" t="s">
        <v>396</v>
      </c>
      <c r="B514" s="80" t="s">
        <v>2977</v>
      </c>
      <c r="C514" s="80" t="s">
        <v>2978</v>
      </c>
      <c r="D514" s="80" t="s">
        <v>2979</v>
      </c>
      <c r="E514" s="80" t="s">
        <v>2980</v>
      </c>
      <c r="F514" s="82">
        <v>291.0</v>
      </c>
      <c r="G514" s="79" t="str">
        <f>IFERROR(__xludf.DUMMYFUNCTION("TRIM(REGEXREPLACE(C514, ""[0-9]+[a-f]?\."", """"))"),"How many different people did you hire people to work in your fields?")</f>
        <v>How many different people did you hire people to work in your fields?</v>
      </c>
      <c r="H514" s="79" t="str">
        <f>IFERROR(__xludf.DUMMYFUNCTION("TRIM(REGEXREPLACE(D514, ""[0-9]+[a-f]?\."", """"))"),"Combien de personnes avez-vous embauchées pour travailler dans vos champs ?")</f>
        <v>Combien de personnes avez-vous embauchées pour travailler dans vos champs ?</v>
      </c>
      <c r="I514" s="79" t="str">
        <f>IFERROR(__xludf.DUMMYFUNCTION("TRIM(REGEXREPLACE(E514, ""[0-9]+[a-f]?\."", """"))"),"Mutane nawa kuka ɗauka don yin aiki a gonakinku?")</f>
        <v>Mutane nawa kuka ɗauka don yin aiki a gonakinku?</v>
      </c>
      <c r="J514" s="79" t="s">
        <v>2981</v>
      </c>
      <c r="K514" s="79" t="s">
        <v>2982</v>
      </c>
      <c r="L514" s="79" t="s">
        <v>2983</v>
      </c>
    </row>
    <row r="515">
      <c r="A515" s="79" t="s">
        <v>396</v>
      </c>
      <c r="B515" s="80" t="s">
        <v>2984</v>
      </c>
      <c r="C515" s="80" t="s">
        <v>2933</v>
      </c>
      <c r="D515" s="80" t="s">
        <v>2934</v>
      </c>
      <c r="E515" s="80" t="s">
        <v>2935</v>
      </c>
      <c r="F515" s="82">
        <v>292.0</v>
      </c>
      <c r="G515" s="79" t="str">
        <f>IFERROR(__xludf.DUMMYFUNCTION("TRIM(REGEXREPLACE(C515, ""[0-9]+[a-f]?\."", """"))"),"How many days did each laborer work in your fields?")</f>
        <v>How many days did each laborer work in your fields?</v>
      </c>
      <c r="H515" s="79" t="str">
        <f>IFERROR(__xludf.DUMMYFUNCTION("TRIM(REGEXREPLACE(D515, ""[0-9]+[a-f]?\."", """"))"),"Combien de jours chaque ouvrier a-t-il travaillé dans vos champs ?")</f>
        <v>Combien de jours chaque ouvrier a-t-il travaillé dans vos champs ?</v>
      </c>
      <c r="I515" s="79" t="str">
        <f>IFERROR(__xludf.DUMMYFUNCTION("TRIM(REGEXREPLACE(E515, ""[0-9]+[a-f]?\."", """"))"),"Kwanaki nawa kowane ma'aikaci yayi aiki a gonakinku?")</f>
        <v>Kwanaki nawa kowane ma'aikaci yayi aiki a gonakinku?</v>
      </c>
      <c r="J515" s="79" t="s">
        <v>2988</v>
      </c>
      <c r="K515" s="79" t="s">
        <v>2989</v>
      </c>
      <c r="L515" s="79" t="s">
        <v>2990</v>
      </c>
    </row>
    <row r="516">
      <c r="A516" s="79" t="s">
        <v>396</v>
      </c>
      <c r="B516" s="80" t="s">
        <v>2991</v>
      </c>
      <c r="C516" s="80" t="s">
        <v>2936</v>
      </c>
      <c r="D516" s="80" t="s">
        <v>2937</v>
      </c>
      <c r="E516" s="80" t="s">
        <v>2938</v>
      </c>
      <c r="F516" s="82">
        <v>293.0</v>
      </c>
      <c r="G516" s="79" t="str">
        <f>IFERROR(__xludf.DUMMYFUNCTION("TRIM(REGEXREPLACE(C516, ""[0-9]+[a-f]?\."", """"))"),"What was the daily wage you paid for people to work in your fields, or how much would you pay in CFA?")</f>
        <v>What was the daily wage you paid for people to work in your fields, or how much would you pay in CFA?</v>
      </c>
      <c r="H516" s="79" t="str">
        <f>IFERROR(__xludf.DUMMYFUNCTION("TRIM(REGEXREPLACE(D516, ""[0-9]+[a-f]?\."", """"))"),"Quel était le salaire journalier que vous payiez pour que les gens travaillent dans vos champs, ou combien paieriez-vous en CFA ?")</f>
        <v>Quel était le salaire journalier que vous payiez pour que les gens travaillent dans vos champs, ou combien paieriez-vous en CFA ?</v>
      </c>
      <c r="I516" s="79" t="str">
        <f>IFERROR(__xludf.DUMMYFUNCTION("TRIM(REGEXREPLACE(E516, ""[0-9]+[a-f]?\."", """"))"),"Nawa ne kuke biyan waɗanda suka yi aiki a gonakinku a dukkan wuni a sefa ?")</f>
        <v>Nawa ne kuke biyan waɗanda suka yi aiki a gonakinku a dukkan wuni a sefa ?</v>
      </c>
      <c r="J516" s="79" t="s">
        <v>2992</v>
      </c>
      <c r="K516" s="79" t="s">
        <v>2993</v>
      </c>
      <c r="L516" s="79" t="s">
        <v>2994</v>
      </c>
    </row>
    <row r="517" hidden="1">
      <c r="B517" s="80"/>
      <c r="C517" s="80"/>
      <c r="D517" s="80"/>
      <c r="E517" s="80"/>
      <c r="F517" s="82">
        <v>296.0</v>
      </c>
      <c r="G517" s="79" t="str">
        <f>IFERROR(__xludf.DUMMYFUNCTION("TRIM(REGEXREPLACE(C517, ""[0-9]+[a-f]?\."", """"))"),"")</f>
        <v/>
      </c>
      <c r="H517" s="79" t="str">
        <f>IFERROR(__xludf.DUMMYFUNCTION("TRIM(REGEXREPLACE(D517, ""[0-9]+[a-f]?\."", """"))"),"")</f>
        <v/>
      </c>
      <c r="I517" s="79" t="str">
        <f>IFERROR(__xludf.DUMMYFUNCTION("TRIM(REGEXREPLACE(E517, ""[0-9]+[a-f]?\."", """"))"),"")</f>
        <v/>
      </c>
      <c r="J517" s="79" t="s">
        <v>2997</v>
      </c>
      <c r="K517" s="79" t="s">
        <v>2999</v>
      </c>
      <c r="L517" s="79" t="s">
        <v>3000</v>
      </c>
    </row>
    <row r="518">
      <c r="A518" s="79" t="s">
        <v>194</v>
      </c>
      <c r="B518" s="80" t="s">
        <v>3001</v>
      </c>
      <c r="C518" s="80" t="s">
        <v>2942</v>
      </c>
      <c r="D518" s="80" t="s">
        <v>2943</v>
      </c>
      <c r="E518" s="80" t="s">
        <v>2944</v>
      </c>
      <c r="F518" s="82">
        <v>294.0</v>
      </c>
      <c r="G518" s="79" t="str">
        <f>IFERROR(__xludf.DUMMYFUNCTION("TRIM(REGEXREPLACE(C518,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518" s="79" t="str">
        <f>IFERROR(__xludf.DUMMYFUNCTION("TRIM(REGEXREPLACE(D518, ""[0-9]+[a-f]?\."", """"))"),"Pour toutes les dépenses pour vos champs dont nous avons parlé, vous avez payé ${hoh_total_paid} en CFA, est-ce correct ?")</f>
        <v>Pour toutes les dépenses pour vos champs dont nous avons parlé, vous avez payé ${hoh_total_paid} en CFA, est-ce correct ?</v>
      </c>
      <c r="I518" s="79" t="str">
        <f>IFERROR(__xludf.DUMMYFUNCTION("TRIM(REGEXREPLACE(E518,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518" s="79" t="s">
        <v>3002</v>
      </c>
      <c r="K518" s="79" t="s">
        <v>3003</v>
      </c>
      <c r="L518" s="79" t="s">
        <v>3004</v>
      </c>
    </row>
    <row r="519">
      <c r="A519" s="79" t="s">
        <v>42</v>
      </c>
      <c r="B519" s="80" t="s">
        <v>3005</v>
      </c>
      <c r="C519" s="80" t="s">
        <v>3006</v>
      </c>
      <c r="D519" s="80" t="s">
        <v>3007</v>
      </c>
      <c r="E519" s="80" t="s">
        <v>3008</v>
      </c>
      <c r="F519" s="82">
        <v>295.0</v>
      </c>
      <c r="G519" s="79" t="str">
        <f>IFERROR(__xludf.DUMMYFUNCTION("TRIM(REGEXREPLACE(C519, ""[0-9]+[a-f]?\."", """"))"),"Now we'll ask about any work by members of your household in fields owned by other people.")</f>
        <v>Now we'll ask about any work by members of your household in fields owned by other people.</v>
      </c>
      <c r="H519" s="79" t="str">
        <f>IFERROR(__xludf.DUMMYFUNCTION("TRIM(REGEXREPLACE(D519,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519" s="79" t="str">
        <f>IFERROR(__xludf.DUMMYFUNCTION("TRIM(REGEXREPLACE(E519, ""[0-9]+[a-f]?\."", """"))"),"Yanzu za mu yi tambayoyi game da duk wani aiki da ƴan gidanku suka yi a gonakin wasu mutane.")</f>
        <v>Yanzu za mu yi tambayoyi game da duk wani aiki da ƴan gidanku suka yi a gonakin wasu mutane.</v>
      </c>
      <c r="J519" s="79" t="s">
        <v>3010</v>
      </c>
      <c r="K519" s="79" t="s">
        <v>3012</v>
      </c>
      <c r="L519" s="79" t="s">
        <v>3013</v>
      </c>
    </row>
    <row r="520">
      <c r="A520" s="79" t="s">
        <v>194</v>
      </c>
      <c r="B520" s="80" t="s">
        <v>3014</v>
      </c>
      <c r="C520" s="80" t="s">
        <v>2955</v>
      </c>
      <c r="D520" s="80" t="s">
        <v>2957</v>
      </c>
      <c r="E520" s="80" t="s">
        <v>2958</v>
      </c>
      <c r="F520" s="82">
        <v>296.0</v>
      </c>
      <c r="G520" s="79" t="str">
        <f>IFERROR(__xludf.DUMMYFUNCTION("TRIM(REGEXREPLACE(C520, ""[0-9]+[a-f]?\."", """"))"),"Have any family members worked as a day labor in fields for someone else?")</f>
        <v>Have any family members worked as a day labor in fields for someone else?</v>
      </c>
      <c r="H520" s="79" t="str">
        <f>IFERROR(__xludf.DUMMYFUNCTION("TRIM(REGEXREPLACE(D520,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520" s="79" t="str">
        <f>IFERROR(__xludf.DUMMYFUNCTION("TRIM(REGEXREPLACE(E520, ""[0-9]+[a-f]?\."", """"))"),"Ko wani ɗan gidanku ya yi aiki a matsayin ɗan barema a gonar wani?")</f>
        <v>Ko wani ɗan gidanku ya yi aiki a matsayin ɗan barema a gonar wani?</v>
      </c>
      <c r="J520" s="79" t="s">
        <v>3015</v>
      </c>
      <c r="K520" s="79" t="s">
        <v>3016</v>
      </c>
      <c r="L520" s="79" t="s">
        <v>3017</v>
      </c>
    </row>
    <row r="521" hidden="1">
      <c r="B521" s="80"/>
      <c r="C521" s="80"/>
      <c r="D521" s="80"/>
      <c r="E521" s="80"/>
      <c r="F521" s="82">
        <v>298.0</v>
      </c>
      <c r="G521" s="79" t="str">
        <f>IFERROR(__xludf.DUMMYFUNCTION("TRIM(REGEXREPLACE(C521, ""[0-9]+[a-f]?\."", """"))"),"")</f>
        <v/>
      </c>
      <c r="H521" s="79" t="str">
        <f>IFERROR(__xludf.DUMMYFUNCTION("TRIM(REGEXREPLACE(D521, ""[0-9]+[a-f]?\."", """"))"),"")</f>
        <v/>
      </c>
      <c r="I521" s="79" t="str">
        <f>IFERROR(__xludf.DUMMYFUNCTION("TRIM(REGEXREPLACE(E521, ""[0-9]+[a-f]?\."", """"))"),"")</f>
        <v/>
      </c>
    </row>
    <row r="522" hidden="1">
      <c r="B522" s="80"/>
      <c r="C522" s="80"/>
      <c r="D522" s="80"/>
      <c r="E522" s="80"/>
      <c r="F522" s="82">
        <v>297.0</v>
      </c>
      <c r="G522" s="79" t="str">
        <f>IFERROR(__xludf.DUMMYFUNCTION("TRIM(REGEXREPLACE(C522, ""[0-9]+[a-f]?\."", """"))"),"")</f>
        <v/>
      </c>
      <c r="H522" s="79" t="str">
        <f>IFERROR(__xludf.DUMMYFUNCTION("TRIM(REGEXREPLACE(D522, ""[0-9]+[a-f]?\."", """"))"),"")</f>
        <v/>
      </c>
      <c r="I522" s="79" t="str">
        <f>IFERROR(__xludf.DUMMYFUNCTION("TRIM(REGEXREPLACE(E522, ""[0-9]+[a-f]?\."", """"))"),"")</f>
        <v/>
      </c>
      <c r="J522" s="79" t="s">
        <v>3020</v>
      </c>
      <c r="K522" s="79" t="s">
        <v>3021</v>
      </c>
      <c r="L522" s="79" t="s">
        <v>3022</v>
      </c>
    </row>
    <row r="523" hidden="1">
      <c r="B523" s="80"/>
      <c r="C523" s="80"/>
      <c r="D523" s="80"/>
      <c r="E523" s="80"/>
      <c r="F523" s="82">
        <v>298.0</v>
      </c>
      <c r="G523" s="79" t="str">
        <f>IFERROR(__xludf.DUMMYFUNCTION("TRIM(REGEXREPLACE(C523, ""[0-9]+[a-f]?\."", """"))"),"")</f>
        <v/>
      </c>
      <c r="H523" s="79" t="str">
        <f>IFERROR(__xludf.DUMMYFUNCTION("TRIM(REGEXREPLACE(D523, ""[0-9]+[a-f]?\."", """"))"),"")</f>
        <v/>
      </c>
      <c r="I523" s="79" t="str">
        <f>IFERROR(__xludf.DUMMYFUNCTION("TRIM(REGEXREPLACE(E523, ""[0-9]+[a-f]?\."", """"))"),"")</f>
        <v/>
      </c>
      <c r="J523" s="79" t="s">
        <v>3023</v>
      </c>
      <c r="K523" s="79" t="s">
        <v>3024</v>
      </c>
      <c r="L523" s="79" t="s">
        <v>3025</v>
      </c>
    </row>
    <row r="524" hidden="1">
      <c r="B524" s="80"/>
      <c r="C524" s="80"/>
      <c r="D524" s="80"/>
      <c r="E524" s="80"/>
      <c r="F524" s="82">
        <v>299.0</v>
      </c>
      <c r="G524" s="79" t="str">
        <f>IFERROR(__xludf.DUMMYFUNCTION("TRIM(REGEXREPLACE(C524, ""[0-9]+[a-f]?\."", """"))"),"")</f>
        <v/>
      </c>
      <c r="H524" s="79" t="str">
        <f>IFERROR(__xludf.DUMMYFUNCTION("TRIM(REGEXREPLACE(D524, ""[0-9]+[a-f]?\."", """"))"),"")</f>
        <v/>
      </c>
      <c r="I524" s="79" t="str">
        <f>IFERROR(__xludf.DUMMYFUNCTION("TRIM(REGEXREPLACE(E524, ""[0-9]+[a-f]?\."", """"))"),"")</f>
        <v/>
      </c>
      <c r="J524" s="79" t="s">
        <v>3029</v>
      </c>
      <c r="K524" s="79" t="s">
        <v>3030</v>
      </c>
      <c r="L524" s="79" t="s">
        <v>3031</v>
      </c>
    </row>
    <row r="525" hidden="1">
      <c r="C525" s="80"/>
      <c r="D525" s="80"/>
      <c r="E525" s="80"/>
      <c r="F525" s="82">
        <v>305.0</v>
      </c>
      <c r="G525" s="79" t="str">
        <f>IFERROR(__xludf.DUMMYFUNCTION("TRIM(REGEXREPLACE(C525, ""[0-9]+[a-f]?\."", """"))"),"")</f>
        <v/>
      </c>
      <c r="H525" s="79" t="str">
        <f>IFERROR(__xludf.DUMMYFUNCTION("TRIM(REGEXREPLACE(D525, ""[0-9]+[a-f]?\."", """"))"),"")</f>
        <v/>
      </c>
      <c r="I525" s="79" t="str">
        <f>IFERROR(__xludf.DUMMYFUNCTION("TRIM(REGEXREPLACE(E525, ""[0-9]+[a-f]?\."", """"))"),"")</f>
        <v/>
      </c>
      <c r="J525" s="79" t="s">
        <v>3032</v>
      </c>
      <c r="K525" s="79" t="s">
        <v>3033</v>
      </c>
      <c r="L525" s="79" t="s">
        <v>3034</v>
      </c>
    </row>
    <row r="526" hidden="1">
      <c r="C526" s="80"/>
      <c r="D526" s="80"/>
      <c r="E526" s="80"/>
      <c r="F526" s="82">
        <v>306.0</v>
      </c>
      <c r="G526" s="79" t="str">
        <f>IFERROR(__xludf.DUMMYFUNCTION("TRIM(REGEXREPLACE(C526, ""[0-9]+[a-f]?\."", """"))"),"")</f>
        <v/>
      </c>
      <c r="H526" s="79" t="str">
        <f>IFERROR(__xludf.DUMMYFUNCTION("TRIM(REGEXREPLACE(D526, ""[0-9]+[a-f]?\."", """"))"),"")</f>
        <v/>
      </c>
      <c r="I526" s="79" t="str">
        <f>IFERROR(__xludf.DUMMYFUNCTION("TRIM(REGEXREPLACE(E526, ""[0-9]+[a-f]?\."", """"))"),"")</f>
        <v/>
      </c>
      <c r="J526" s="79" t="s">
        <v>3035</v>
      </c>
      <c r="K526" s="79" t="s">
        <v>3036</v>
      </c>
      <c r="L526" s="79" t="s">
        <v>3038</v>
      </c>
    </row>
    <row r="527">
      <c r="A527" s="79" t="s">
        <v>396</v>
      </c>
      <c r="B527" s="80" t="s">
        <v>3040</v>
      </c>
      <c r="C527" s="80" t="s">
        <v>3041</v>
      </c>
      <c r="D527" s="80" t="s">
        <v>3043</v>
      </c>
      <c r="E527" s="80" t="s">
        <v>3044</v>
      </c>
      <c r="F527" s="82">
        <v>297.0</v>
      </c>
      <c r="G527" s="79" t="str">
        <f>IFERROR(__xludf.DUMMYFUNCTION("TRIM(REGEXREPLACE(C527, ""[0-9]+[a-f]?\."", """"))"),"Can you estimate how many days ${hoh_paid_name} worked as a day laborer in the fields for someone else?")</f>
        <v>Can you estimate how many days ${hoh_paid_name} worked as a day laborer in the fields for someone else?</v>
      </c>
      <c r="H527" s="79" t="str">
        <f>IFERROR(__xludf.DUMMYFUNCTION("TRIM(REGEXREPLACE(D527, ""[0-9]+[a-f]?\."", """"))"),"Pouvez-vous estimer combien de jours ${hoh_paid_name} a travaillé comme journalier dans les champs d'autres personnes ?")</f>
        <v>Pouvez-vous estimer combien de jours ${hoh_paid_name} a travaillé comme journalier dans les champs d'autres personnes ?</v>
      </c>
      <c r="I527" s="79" t="str">
        <f>IFERROR(__xludf.DUMMYFUNCTION("TRIM(REGEXREPLACE(E527, ""[0-9]+[a-f]?\."", """"))"),"Za ku iya misalta ko wuni nawa ${hoh_paid_name} yayi aiki a matsayin ma'aikacin barema a gonar wasu mutane?")</f>
        <v>Za ku iya misalta ko wuni nawa ${hoh_paid_name} yayi aiki a matsayin ma'aikacin barema a gonar wasu mutane?</v>
      </c>
      <c r="J527" s="79" t="s">
        <v>3045</v>
      </c>
      <c r="K527" s="79" t="s">
        <v>3046</v>
      </c>
      <c r="L527" s="79" t="s">
        <v>3047</v>
      </c>
    </row>
    <row r="528">
      <c r="A528" s="79" t="s">
        <v>396</v>
      </c>
      <c r="B528" s="80" t="s">
        <v>3048</v>
      </c>
      <c r="C528" s="80" t="s">
        <v>2997</v>
      </c>
      <c r="D528" s="80" t="s">
        <v>2999</v>
      </c>
      <c r="E528" s="80" t="s">
        <v>3000</v>
      </c>
      <c r="F528" s="82">
        <v>298.0</v>
      </c>
      <c r="G528" s="79" t="str">
        <f>IFERROR(__xludf.DUMMYFUNCTION("TRIM(REGEXREPLACE(C528, ""[0-9]+[a-f]?\."", """"))"),"What was the daily wage paid to ${hoh_paid_name} working as a day laborer for someone else in CFA?")</f>
        <v>What was the daily wage paid to ${hoh_paid_name} working as a day laborer for someone else in CFA?</v>
      </c>
      <c r="H528" s="79" t="str">
        <f>IFERROR(__xludf.DUMMYFUNCTION("TRIM(REGEXREPLACE(D528, ""[0-9]+[a-f]?\."", """"))"),"Quel était le salaire journalier payé à ${hoh_paid_name} travaillant comme journalier pour quelqu'un d'autre en CFA ?")</f>
        <v>Quel était le salaire journalier payé à ${hoh_paid_name} travaillant comme journalier pour quelqu'un d'autre en CFA ?</v>
      </c>
      <c r="I528" s="79" t="str">
        <f>IFERROR(__xludf.DUMMYFUNCTION("TRIM(REGEXREPLACE(E528, ""[0-9]+[a-f]?\."", """"))"),"Nawa biyan ${hoh_paid_name} na wuni a lokacin da yake barema a gonar wani a sefa?")</f>
        <v>Nawa biyan ${hoh_paid_name} na wuni a lokacin da yake barema a gonar wani a sefa?</v>
      </c>
      <c r="J528" s="79" t="s">
        <v>3052</v>
      </c>
      <c r="K528" s="79" t="s">
        <v>3053</v>
      </c>
      <c r="L528" s="79" t="s">
        <v>3054</v>
      </c>
    </row>
    <row r="529" hidden="1">
      <c r="C529" s="80"/>
      <c r="D529" s="80"/>
      <c r="E529" s="80"/>
      <c r="F529" s="82">
        <v>309.0</v>
      </c>
      <c r="G529" s="79" t="str">
        <f>IFERROR(__xludf.DUMMYFUNCTION("TRIM(REGEXREPLACE(C529, ""[0-9]+[a-f]?\."", """"))"),"")</f>
        <v/>
      </c>
      <c r="H529" s="79" t="str">
        <f>IFERROR(__xludf.DUMMYFUNCTION("TRIM(REGEXREPLACE(D529, ""[0-9]+[a-f]?\."", """"))"),"")</f>
        <v/>
      </c>
      <c r="I529" s="79" t="str">
        <f>IFERROR(__xludf.DUMMYFUNCTION("TRIM(REGEXREPLACE(E529, ""[0-9]+[a-f]?\."", """"))"),"")</f>
        <v/>
      </c>
      <c r="J529" s="79" t="s">
        <v>3058</v>
      </c>
      <c r="K529" s="79" t="s">
        <v>3059</v>
      </c>
      <c r="L529" s="79" t="s">
        <v>3060</v>
      </c>
    </row>
    <row r="530" hidden="1"/>
    <row r="531" hidden="1"/>
    <row r="532" hidden="1">
      <c r="B532" s="80"/>
      <c r="C532" s="80"/>
      <c r="D532" s="80"/>
      <c r="E532" s="80"/>
      <c r="F532" s="82">
        <v>300.0</v>
      </c>
      <c r="G532" s="79" t="str">
        <f>IFERROR(__xludf.DUMMYFUNCTION("TRIM(REGEXREPLACE(C532, ""[0-9]+[a-f]?\."", """"))"),"")</f>
        <v/>
      </c>
      <c r="H532" s="79" t="str">
        <f>IFERROR(__xludf.DUMMYFUNCTION("TRIM(REGEXREPLACE(D532, ""[0-9]+[a-f]?\."", """"))"),"")</f>
        <v/>
      </c>
      <c r="I532" s="79" t="str">
        <f>IFERROR(__xludf.DUMMYFUNCTION("TRIM(REGEXREPLACE(E532, ""[0-9]+[a-f]?\."", """"))"),"")</f>
        <v/>
      </c>
    </row>
    <row r="533">
      <c r="A533" s="79" t="s">
        <v>194</v>
      </c>
      <c r="B533" s="80" t="s">
        <v>3062</v>
      </c>
      <c r="C533" s="80" t="s">
        <v>3020</v>
      </c>
      <c r="D533" s="80" t="s">
        <v>3021</v>
      </c>
      <c r="E533" s="80" t="s">
        <v>3022</v>
      </c>
      <c r="F533" s="82">
        <v>299.0</v>
      </c>
      <c r="G533" s="79" t="str">
        <f>IFERROR(__xludf.DUMMYFUNCTION("TRIM(REGEXREPLACE(C533, ""[0-9]+[a-f]?\."", """"))"),"Thinking about the last agricultural season, did you need to pay other expenses we did not ask you about?")</f>
        <v>Thinking about the last agricultural season, did you need to pay other expenses we did not ask you about?</v>
      </c>
      <c r="H533" s="79" t="str">
        <f>IFERROR(__xludf.DUMMYFUNCTION("TRIM(REGEXREPLACE(D533, ""[0-9]+[a-f]?\."", """"))"),"En pensant à la dernière saison agricole, avez-vous dû faire d'autres dépenses dont nous n'avons pas parlé ?")</f>
        <v>En pensant à la dernière saison agricole, avez-vous dû faire d'autres dépenses dont nous n'avons pas parlé ?</v>
      </c>
      <c r="I533" s="79" t="str">
        <f>IFERROR(__xludf.DUMMYFUNCTION("TRIM(REGEXREPLACE(E533, ""[0-9]+[a-f]?\."", """"))"),"A tunaninka a lokacin noman da ya gabata, akwai wasu kashe kashen kuɗi da kuka yi wanda ba mu yi zancen su ba?")</f>
        <v>A tunaninka a lokacin noman da ya gabata, akwai wasu kashe kashen kuɗi da kuka yi wanda ba mu yi zancen su ba?</v>
      </c>
      <c r="J533" s="79" t="s">
        <v>3066</v>
      </c>
      <c r="K533" s="79" t="s">
        <v>3067</v>
      </c>
      <c r="L533" s="79" t="s">
        <v>3068</v>
      </c>
    </row>
    <row r="534">
      <c r="A534" s="79" t="s">
        <v>299</v>
      </c>
      <c r="B534" s="80" t="s">
        <v>3069</v>
      </c>
      <c r="C534" s="80" t="s">
        <v>3023</v>
      </c>
      <c r="D534" s="80" t="s">
        <v>3024</v>
      </c>
      <c r="E534" s="80" t="s">
        <v>3025</v>
      </c>
      <c r="F534" s="82">
        <v>300.0</v>
      </c>
      <c r="G534" s="79" t="str">
        <f>IFERROR(__xludf.DUMMYFUNCTION("TRIM(REGEXREPLACE(C534, ""[0-9]+[a-f]?\."", """"))"),"What was the expense?")</f>
        <v>What was the expense?</v>
      </c>
      <c r="H534" s="79" t="str">
        <f>IFERROR(__xludf.DUMMYFUNCTION("TRIM(REGEXREPLACE(D534, ""[0-9]+[a-f]?\."", """"))"),"Quelle était la dépense ?")</f>
        <v>Quelle était la dépense ?</v>
      </c>
      <c r="I534" s="79" t="str">
        <f>IFERROR(__xludf.DUMMYFUNCTION("TRIM(REGEXREPLACE(E534, ""[0-9]+[a-f]?\."", """"))"),"wane kashe kuɗi ne ?")</f>
        <v>wane kashe kuɗi ne ?</v>
      </c>
      <c r="J534" s="79" t="s">
        <v>3073</v>
      </c>
      <c r="K534" s="79" t="s">
        <v>3074</v>
      </c>
      <c r="L534" s="79" t="s">
        <v>3075</v>
      </c>
    </row>
    <row r="535">
      <c r="A535" s="79" t="s">
        <v>396</v>
      </c>
      <c r="B535" s="80" t="s">
        <v>3076</v>
      </c>
      <c r="C535" s="80" t="s">
        <v>3029</v>
      </c>
      <c r="D535" s="80" t="s">
        <v>3030</v>
      </c>
      <c r="E535" s="80" t="s">
        <v>3031</v>
      </c>
      <c r="F535" s="82">
        <v>301.0</v>
      </c>
      <c r="G535" s="79" t="str">
        <f>IFERROR(__xludf.DUMMYFUNCTION("TRIM(REGEXREPLACE(C535, ""[0-9]+[a-f]?\."", """"))"),"What was the approximate value of ${hoh_ag_exp_other_name} in CFA?")</f>
        <v>What was the approximate value of ${hoh_ag_exp_other_name} in CFA?</v>
      </c>
      <c r="H535" s="79" t="str">
        <f>IFERROR(__xludf.DUMMYFUNCTION("TRIM(REGEXREPLACE(D535, ""[0-9]+[a-f]?\."", """"))"),"Quelle était la valeur approximative de ${hoh_ag_exp_other_name} en CFA ?")</f>
        <v>Quelle était la valeur approximative de ${hoh_ag_exp_other_name} en CFA ?</v>
      </c>
      <c r="I535" s="79" t="str">
        <f>IFERROR(__xludf.DUMMYFUNCTION("TRIM(REGEXREPLACE(E535, ""[0-9]+[a-f]?\."", """"))"),"Nawa farashin ${hoh_ag_exp_other_name} a wacan lokacin a sefa?")</f>
        <v>Nawa farashin ${hoh_ag_exp_other_name} a wacan lokacin a sefa?</v>
      </c>
      <c r="J535" s="79" t="s">
        <v>3081</v>
      </c>
      <c r="K535" s="79" t="s">
        <v>3082</v>
      </c>
      <c r="L535" s="79" t="s">
        <v>3083</v>
      </c>
    </row>
    <row r="536" hidden="1"/>
    <row r="537" hidden="1">
      <c r="B537" s="80"/>
      <c r="C537" s="80"/>
      <c r="D537" s="80"/>
      <c r="E537" s="80"/>
      <c r="F537" s="82">
        <v>302.0</v>
      </c>
      <c r="G537" s="79" t="str">
        <f>IFERROR(__xludf.DUMMYFUNCTION("TRIM(REGEXREPLACE(C537, ""[0-9]+[a-f]?\."", """"))"),"")</f>
        <v/>
      </c>
      <c r="H537" s="79" t="str">
        <f>IFERROR(__xludf.DUMMYFUNCTION("TRIM(REGEXREPLACE(D537, ""[0-9]+[a-f]?\."", """"))"),"")</f>
        <v/>
      </c>
      <c r="I537" s="79" t="str">
        <f>IFERROR(__xludf.DUMMYFUNCTION("TRIM(REGEXREPLACE(E537, ""[0-9]+[a-f]?\."", """"))"),"")</f>
        <v/>
      </c>
    </row>
    <row r="538" hidden="1">
      <c r="B538" s="80"/>
      <c r="C538" s="80"/>
      <c r="D538" s="80"/>
      <c r="E538" s="80"/>
      <c r="F538" s="82">
        <v>303.0</v>
      </c>
      <c r="G538" s="79" t="str">
        <f>IFERROR(__xludf.DUMMYFUNCTION("TRIM(REGEXREPLACE(C538, ""[0-9]+[a-f]?\."", """"))"),"")</f>
        <v/>
      </c>
      <c r="H538" s="79" t="str">
        <f>IFERROR(__xludf.DUMMYFUNCTION("TRIM(REGEXREPLACE(D538, ""[0-9]+[a-f]?\."", """"))"),"")</f>
        <v/>
      </c>
      <c r="I538" s="79" t="str">
        <f>IFERROR(__xludf.DUMMYFUNCTION("TRIM(REGEXREPLACE(E538, ""[0-9]+[a-f]?\."", """"))"),"")</f>
        <v/>
      </c>
    </row>
    <row r="539" hidden="1">
      <c r="B539" s="80"/>
      <c r="C539" s="80"/>
      <c r="D539" s="80"/>
      <c r="E539" s="80"/>
      <c r="F539" s="82">
        <v>302.0</v>
      </c>
      <c r="G539" s="79" t="str">
        <f>IFERROR(__xludf.DUMMYFUNCTION("TRIM(REGEXREPLACE(C539, ""[0-9]+[a-f]?\."", """"))"),"")</f>
        <v/>
      </c>
      <c r="H539" s="79" t="str">
        <f>IFERROR(__xludf.DUMMYFUNCTION("TRIM(REGEXREPLACE(D539, ""[0-9]+[a-f]?\."", """"))"),"")</f>
        <v/>
      </c>
      <c r="I539" s="79" t="str">
        <f>IFERROR(__xludf.DUMMYFUNCTION("TRIM(REGEXREPLACE(E539, ""[0-9]+[a-f]?\."", """"))"),"")</f>
        <v/>
      </c>
      <c r="J539" s="79" t="s">
        <v>3087</v>
      </c>
      <c r="K539" s="79" t="s">
        <v>3088</v>
      </c>
      <c r="L539" s="79" t="s">
        <v>3089</v>
      </c>
    </row>
    <row r="540" hidden="1">
      <c r="B540" s="80"/>
      <c r="C540" s="80"/>
      <c r="D540" s="80"/>
      <c r="E540" s="80"/>
      <c r="F540" s="82">
        <v>303.0</v>
      </c>
      <c r="G540" s="79" t="str">
        <f>IFERROR(__xludf.DUMMYFUNCTION("TRIM(REGEXREPLACE(C540, ""[0-9]+[a-f]?\."", """"))"),"")</f>
        <v/>
      </c>
      <c r="H540" s="79" t="str">
        <f>IFERROR(__xludf.DUMMYFUNCTION("TRIM(REGEXREPLACE(D540, ""[0-9]+[a-f]?\."", """"))"),"")</f>
        <v/>
      </c>
      <c r="I540" s="79" t="str">
        <f>IFERROR(__xludf.DUMMYFUNCTION("TRIM(REGEXREPLACE(E540, ""[0-9]+[a-f]?\."", """"))"),"")</f>
        <v/>
      </c>
      <c r="J540" s="79" t="s">
        <v>3093</v>
      </c>
      <c r="K540" s="79" t="s">
        <v>3094</v>
      </c>
      <c r="L540" s="79" t="s">
        <v>3095</v>
      </c>
    </row>
    <row r="541" hidden="1">
      <c r="B541" s="80"/>
      <c r="C541" s="80"/>
      <c r="D541" s="80"/>
      <c r="E541" s="80"/>
      <c r="F541" s="82">
        <v>304.0</v>
      </c>
      <c r="G541" s="79" t="str">
        <f>IFERROR(__xludf.DUMMYFUNCTION("TRIM(REGEXREPLACE(C541, ""[0-9]+[a-f]?\."", """"))"),"")</f>
        <v/>
      </c>
      <c r="H541" s="79" t="str">
        <f>IFERROR(__xludf.DUMMYFUNCTION("TRIM(REGEXREPLACE(D541, ""[0-9]+[a-f]?\."", """"))"),"")</f>
        <v/>
      </c>
      <c r="I541" s="79" t="str">
        <f>IFERROR(__xludf.DUMMYFUNCTION("TRIM(REGEXREPLACE(E541, ""[0-9]+[a-f]?\."", """"))"),"")</f>
        <v/>
      </c>
      <c r="J541" s="79" t="s">
        <v>3096</v>
      </c>
      <c r="K541" s="79" t="s">
        <v>3097</v>
      </c>
      <c r="L541" s="79" t="s">
        <v>3098</v>
      </c>
    </row>
    <row r="542" hidden="1"/>
    <row r="543" hidden="1">
      <c r="B543" s="80"/>
      <c r="C543" s="80"/>
      <c r="D543" s="80"/>
      <c r="E543" s="80"/>
      <c r="F543" s="82">
        <v>305.0</v>
      </c>
      <c r="G543" s="79" t="str">
        <f>IFERROR(__xludf.DUMMYFUNCTION("TRIM(REGEXREPLACE(C543, ""[0-9]+[a-f]?\."", """"))"),"")</f>
        <v/>
      </c>
      <c r="H543" s="79" t="str">
        <f>IFERROR(__xludf.DUMMYFUNCTION("TRIM(REGEXREPLACE(D543, ""[0-9]+[a-f]?\."", """"))"),"")</f>
        <v/>
      </c>
      <c r="I543" s="79" t="str">
        <f>IFERROR(__xludf.DUMMYFUNCTION("TRIM(REGEXREPLACE(E543, ""[0-9]+[a-f]?\."", """"))"),"")</f>
        <v/>
      </c>
    </row>
    <row r="544" hidden="1">
      <c r="B544" s="80"/>
      <c r="C544" s="80"/>
      <c r="D544" s="80"/>
      <c r="E544" s="80"/>
      <c r="F544" s="82">
        <v>306.0</v>
      </c>
      <c r="G544" s="79" t="str">
        <f>IFERROR(__xludf.DUMMYFUNCTION("TRIM(REGEXREPLACE(C544, ""[0-9]+[a-f]?\."", """"))"),"")</f>
        <v/>
      </c>
      <c r="H544" s="79" t="str">
        <f>IFERROR(__xludf.DUMMYFUNCTION("TRIM(REGEXREPLACE(D544, ""[0-9]+[a-f]?\."", """"))"),"")</f>
        <v/>
      </c>
      <c r="I544" s="79" t="str">
        <f>IFERROR(__xludf.DUMMYFUNCTION("TRIM(REGEXREPLACE(E544, ""[0-9]+[a-f]?\."", """"))"),"")</f>
        <v/>
      </c>
    </row>
    <row r="545">
      <c r="A545" s="79" t="s">
        <v>194</v>
      </c>
      <c r="B545" s="80" t="s">
        <v>3102</v>
      </c>
      <c r="C545" s="80" t="s">
        <v>3103</v>
      </c>
      <c r="D545" s="80" t="s">
        <v>3104</v>
      </c>
      <c r="E545" s="80" t="s">
        <v>3105</v>
      </c>
      <c r="F545" s="82">
        <v>302.0</v>
      </c>
      <c r="G545" s="79" t="str">
        <f>IFERROR(__xludf.DUMMYFUNCTION("TRIM(REGEXREPLACE(C545, ""[0-9]+[a-f]?\."", """"))"),"Total income: ${hoh_total_income}
Does this seem right?")</f>
        <v>Total income: ${hoh_total_income}
Does this seem right?</v>
      </c>
      <c r="H545" s="79" t="str">
        <f>IFERROR(__xludf.DUMMYFUNCTION("TRIM(REGEXREPLACE(D545, ""[0-9]+[a-f]?\."", """"))"),"Revenu total : ${hoh_total_income}
 Cela vous semble-t-il juste ?")</f>
        <v>Revenu total : ${hoh_total_income}
 Cela vous semble-t-il juste ?</v>
      </c>
      <c r="I545" s="79" t="str">
        <f>IFERROR(__xludf.DUMMYFUNCTION("TRIM(REGEXREPLACE(E545, ""[0-9]+[a-f]?\."", """"))"),"Jimillar kuɗin shiga: ${hoh_total_income}
 ko kuna ganin hakan yayi daidai?")</f>
        <v>Jimillar kuɗin shiga: ${hoh_total_income}
 ko kuna ganin hakan yayi daidai?</v>
      </c>
      <c r="J545" s="79" t="s">
        <v>3109</v>
      </c>
      <c r="K545" s="79" t="s">
        <v>3111</v>
      </c>
      <c r="L545" s="79" t="s">
        <v>3112</v>
      </c>
    </row>
    <row r="546">
      <c r="A546" s="79" t="s">
        <v>42</v>
      </c>
      <c r="B546" s="80" t="s">
        <v>3115</v>
      </c>
      <c r="C546" s="80" t="s">
        <v>3116</v>
      </c>
      <c r="D546" s="80" t="s">
        <v>3117</v>
      </c>
      <c r="E546" s="80" t="s">
        <v>3118</v>
      </c>
      <c r="F546" s="82">
        <v>303.0</v>
      </c>
      <c r="G546" s="79" t="str">
        <f>IFERROR(__xludf.DUMMYFUNCTION("TRIM(REGEXREPLACE(C546, ""[0-9]+[a-f]?\."", """"))"),"Now we'll ask about income generating activity from animal husbandry in the past three months")</f>
        <v>Now we'll ask about income generating activity from animal husbandry in the past three months</v>
      </c>
      <c r="H546" s="79" t="str">
        <f>IFERROR(__xludf.DUMMYFUNCTION("TRIM(REGEXREPLACE(D546,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546" s="79" t="str">
        <f>IFERROR(__xludf.DUMMYFUNCTION("TRIM(REGEXREPLACE(E546, ""[0-9]+[a-f]?\."", """"))"),"Yanzu za mu yi hira game da ayyukan samar da kuɗaɗen shiga na kiwo a cikin watanni uku da suka gabata")</f>
        <v>Yanzu za mu yi hira game da ayyukan samar da kuɗaɗen shiga na kiwo a cikin watanni uku da suka gabata</v>
      </c>
      <c r="J546" s="79" t="s">
        <v>3121</v>
      </c>
      <c r="K546" s="79" t="s">
        <v>3123</v>
      </c>
      <c r="L546" s="79" t="s">
        <v>3125</v>
      </c>
    </row>
    <row r="547" hidden="1">
      <c r="B547" s="80"/>
      <c r="C547" s="80"/>
      <c r="D547" s="80"/>
      <c r="E547" s="80"/>
      <c r="F547" s="82">
        <v>307.0</v>
      </c>
      <c r="G547" s="79" t="str">
        <f>IFERROR(__xludf.DUMMYFUNCTION("TRIM(REGEXREPLACE(C547, ""[0-9]+[a-f]?\."", """"))"),"")</f>
        <v/>
      </c>
      <c r="H547" s="79" t="str">
        <f>IFERROR(__xludf.DUMMYFUNCTION("TRIM(REGEXREPLACE(D547, ""[0-9]+[a-f]?\."", """"))"),"")</f>
        <v/>
      </c>
      <c r="I547" s="79" t="str">
        <f>IFERROR(__xludf.DUMMYFUNCTION("TRIM(REGEXREPLACE(E547, ""[0-9]+[a-f]?\."", """"))"),"")</f>
        <v/>
      </c>
      <c r="J547" s="79" t="s">
        <v>3126</v>
      </c>
      <c r="K547" s="79" t="s">
        <v>3127</v>
      </c>
      <c r="L547" s="79" t="s">
        <v>3128</v>
      </c>
    </row>
    <row r="548" hidden="1">
      <c r="B548" s="80"/>
      <c r="C548" s="80"/>
      <c r="D548" s="80"/>
      <c r="E548" s="80"/>
      <c r="F548" s="82">
        <v>308.0</v>
      </c>
      <c r="G548" s="79" t="str">
        <f>IFERROR(__xludf.DUMMYFUNCTION("TRIM(REGEXREPLACE(C548, ""[0-9]+[a-f]?\."", """"))"),"")</f>
        <v/>
      </c>
      <c r="H548" s="79" t="str">
        <f>IFERROR(__xludf.DUMMYFUNCTION("TRIM(REGEXREPLACE(D548, ""[0-9]+[a-f]?\."", """"))"),"")</f>
        <v/>
      </c>
      <c r="I548" s="79" t="str">
        <f>IFERROR(__xludf.DUMMYFUNCTION("TRIM(REGEXREPLACE(E548, ""[0-9]+[a-f]?\."", """"))"),"")</f>
        <v/>
      </c>
      <c r="J548" s="79" t="s">
        <v>3129</v>
      </c>
      <c r="K548" s="79" t="s">
        <v>3131</v>
      </c>
      <c r="L548" s="79" t="s">
        <v>3132</v>
      </c>
    </row>
    <row r="549" hidden="1">
      <c r="B549" s="80"/>
      <c r="C549" s="80"/>
      <c r="D549" s="80"/>
      <c r="E549" s="80"/>
      <c r="F549" s="82">
        <v>309.0</v>
      </c>
      <c r="G549" s="79" t="str">
        <f>IFERROR(__xludf.DUMMYFUNCTION("TRIM(REGEXREPLACE(C549, ""[0-9]+[a-f]?\."", """"))"),"")</f>
        <v/>
      </c>
      <c r="H549" s="79" t="str">
        <f>IFERROR(__xludf.DUMMYFUNCTION("TRIM(REGEXREPLACE(D549, ""[0-9]+[a-f]?\."", """"))"),"")</f>
        <v/>
      </c>
      <c r="I549" s="79" t="str">
        <f>IFERROR(__xludf.DUMMYFUNCTION("TRIM(REGEXREPLACE(E549, ""[0-9]+[a-f]?\."", """"))"),"")</f>
        <v/>
      </c>
      <c r="J549" s="79" t="s">
        <v>3136</v>
      </c>
      <c r="K549" s="79" t="s">
        <v>3137</v>
      </c>
      <c r="L549" s="79" t="s">
        <v>3138</v>
      </c>
    </row>
    <row r="550">
      <c r="A550" s="79" t="s">
        <v>396</v>
      </c>
      <c r="B550" s="80" t="s">
        <v>3139</v>
      </c>
      <c r="C550" s="80" t="s">
        <v>3087</v>
      </c>
      <c r="D550" s="80" t="s">
        <v>3088</v>
      </c>
      <c r="E550" s="80" t="s">
        <v>3089</v>
      </c>
      <c r="F550" s="82">
        <v>304.0</v>
      </c>
      <c r="G550" s="79" t="str">
        <f>IFERROR(__xludf.DUMMYFUNCTION("TRIM(REGEXREPLACE(C550, ""[0-9]+[a-f]?\."", """"))"),"How many ${hoh_livestock_act_name} did you buy?")</f>
        <v>How many ${hoh_livestock_act_name} did you buy?</v>
      </c>
      <c r="H550" s="79" t="str">
        <f>IFERROR(__xludf.DUMMYFUNCTION("TRIM(REGEXREPLACE(D550, ""[0-9]+[a-f]?\."", """"))"),"Au cours des trois derniers mois, combien de ${hoh_livestock_act_name} avez-vous acheté ?")</f>
        <v>Au cours des trois derniers mois, combien de ${hoh_livestock_act_name} avez-vous acheté ?</v>
      </c>
      <c r="I550" s="79" t="str">
        <f>IFERROR(__xludf.DUMMYFUNCTION("TRIM(REGEXREPLACE(E550, ""[0-9]+[a-f]?\."", """"))"),"${hoh_livestock_act_name} Nawa kuka saye?")</f>
        <v>${hoh_livestock_act_name} Nawa kuka saye?</v>
      </c>
      <c r="J550" s="79" t="s">
        <v>3141</v>
      </c>
      <c r="K550" s="79" t="s">
        <v>3142</v>
      </c>
      <c r="L550" s="79" t="s">
        <v>3143</v>
      </c>
    </row>
    <row r="551">
      <c r="A551" s="79" t="s">
        <v>396</v>
      </c>
      <c r="B551" s="80" t="s">
        <v>3146</v>
      </c>
      <c r="C551" s="80" t="s">
        <v>3093</v>
      </c>
      <c r="D551" s="80" t="s">
        <v>3094</v>
      </c>
      <c r="E551" s="80" t="s">
        <v>3095</v>
      </c>
      <c r="F551" s="82">
        <v>305.0</v>
      </c>
      <c r="G551" s="79" t="str">
        <f>IFERROR(__xludf.DUMMYFUNCTION("TRIM(REGEXREPLACE(C551, ""[0-9]+[a-f]?\."", """"))"),"How many ${hoh_livestock_act_name} did you sell?")</f>
        <v>How many ${hoh_livestock_act_name} did you sell?</v>
      </c>
      <c r="H551" s="79" t="str">
        <f>IFERROR(__xludf.DUMMYFUNCTION("TRIM(REGEXREPLACE(D551, ""[0-9]+[a-f]?\."", """"))"),"Au cours des trois derniers mois, combien de ${hoh_livestock_act_name} avez-vous vendu ?")</f>
        <v>Au cours des trois derniers mois, combien de ${hoh_livestock_act_name} avez-vous vendu ?</v>
      </c>
      <c r="I551" s="79" t="str">
        <f>IFERROR(__xludf.DUMMYFUNCTION("TRIM(REGEXREPLACE(E551, ""[0-9]+[a-f]?\."", """"))"),"${hoh_livestock_act_name} nawa kuka saida?")</f>
        <v>${hoh_livestock_act_name} nawa kuka saida?</v>
      </c>
      <c r="J551" s="79" t="s">
        <v>3148</v>
      </c>
      <c r="K551" s="79" t="s">
        <v>3149</v>
      </c>
      <c r="L551" s="79" t="s">
        <v>3150</v>
      </c>
    </row>
    <row r="552">
      <c r="A552" s="79" t="s">
        <v>396</v>
      </c>
      <c r="B552" s="80" t="s">
        <v>3151</v>
      </c>
      <c r="C552" s="80" t="s">
        <v>3096</v>
      </c>
      <c r="D552" s="80" t="s">
        <v>3097</v>
      </c>
      <c r="E552" s="80" t="s">
        <v>3098</v>
      </c>
      <c r="F552" s="82">
        <v>306.0</v>
      </c>
      <c r="G552" s="79" t="str">
        <f>IFERROR(__xludf.DUMMYFUNCTION("TRIM(REGEXREPLACE(C552, ""[0-9]+[a-f]?\."", """"))"),"How many ${hoh_livestock_act_name} did you consume?")</f>
        <v>How many ${hoh_livestock_act_name} did you consume?</v>
      </c>
      <c r="H552" s="79" t="str">
        <f>IFERROR(__xludf.DUMMYFUNCTION("TRIM(REGEXREPLACE(D552, ""[0-9]+[a-f]?\."", """"))"),"Au cours des trois derniers mois, combien de ${hoh_livestock_act_name} avez-vous consommé ?")</f>
        <v>Au cours des trois derniers mois, combien de ${hoh_livestock_act_name} avez-vous consommé ?</v>
      </c>
      <c r="I552" s="79" t="str">
        <f>IFERROR(__xludf.DUMMYFUNCTION("TRIM(REGEXREPLACE(E552, ""[0-9]+[a-f]?\."", """"))"),"${hoh_livestock_act_name} Nawa kuka cinye ?")</f>
        <v>${hoh_livestock_act_name} Nawa kuka cinye ?</v>
      </c>
      <c r="J552" s="79" t="s">
        <v>3152</v>
      </c>
      <c r="K552" s="79" t="s">
        <v>3153</v>
      </c>
      <c r="L552" s="79" t="s">
        <v>3154</v>
      </c>
    </row>
    <row r="553" hidden="1">
      <c r="B553" s="80"/>
      <c r="C553" s="80"/>
      <c r="D553" s="80"/>
      <c r="E553" s="80"/>
      <c r="F553" s="82">
        <v>312.0</v>
      </c>
      <c r="G553" s="79" t="str">
        <f>IFERROR(__xludf.DUMMYFUNCTION("TRIM(REGEXREPLACE(C553, ""[0-9]+[a-f]?\."", """"))"),"")</f>
        <v/>
      </c>
      <c r="H553" s="79" t="str">
        <f>IFERROR(__xludf.DUMMYFUNCTION("TRIM(REGEXREPLACE(D553, ""[0-9]+[a-f]?\."", """"))"),"")</f>
        <v/>
      </c>
      <c r="I553" s="79" t="str">
        <f>IFERROR(__xludf.DUMMYFUNCTION("TRIM(REGEXREPLACE(E553, ""[0-9]+[a-f]?\."", """"))"),"")</f>
        <v/>
      </c>
      <c r="J553" s="79" t="s">
        <v>3155</v>
      </c>
      <c r="K553" s="79" t="s">
        <v>3156</v>
      </c>
      <c r="L553" s="79" t="s">
        <v>3157</v>
      </c>
    </row>
    <row r="554" hidden="1">
      <c r="B554" s="80"/>
      <c r="C554" s="80"/>
      <c r="D554" s="80"/>
      <c r="E554" s="80"/>
      <c r="F554" s="82">
        <v>313.0</v>
      </c>
      <c r="G554" s="79" t="str">
        <f>IFERROR(__xludf.DUMMYFUNCTION("TRIM(REGEXREPLACE(C554, ""[0-9]+[a-f]?\."", """"))"),"")</f>
        <v/>
      </c>
      <c r="H554" s="79" t="str">
        <f>IFERROR(__xludf.DUMMYFUNCTION("TRIM(REGEXREPLACE(D554, ""[0-9]+[a-f]?\."", """"))"),"")</f>
        <v/>
      </c>
      <c r="I554" s="79" t="str">
        <f>IFERROR(__xludf.DUMMYFUNCTION("TRIM(REGEXREPLACE(E554, ""[0-9]+[a-f]?\."", """"))"),"")</f>
        <v/>
      </c>
      <c r="J554" s="79" t="s">
        <v>3158</v>
      </c>
      <c r="K554" s="79" t="s">
        <v>3159</v>
      </c>
      <c r="L554" s="79" t="s">
        <v>3160</v>
      </c>
    </row>
    <row r="555" hidden="1">
      <c r="B555" s="80"/>
      <c r="C555" s="80"/>
      <c r="D555" s="80"/>
      <c r="E555" s="80"/>
      <c r="F555" s="82">
        <v>314.0</v>
      </c>
      <c r="G555" s="79" t="str">
        <f>IFERROR(__xludf.DUMMYFUNCTION("TRIM(REGEXREPLACE(C555, ""[0-9]+[a-f]?\."", """"))"),"")</f>
        <v/>
      </c>
      <c r="H555" s="79" t="str">
        <f>IFERROR(__xludf.DUMMYFUNCTION("TRIM(REGEXREPLACE(D555, ""[0-9]+[a-f]?\."", """"))"),"")</f>
        <v/>
      </c>
      <c r="I555" s="79" t="str">
        <f>IFERROR(__xludf.DUMMYFUNCTION("TRIM(REGEXREPLACE(E555, ""[0-9]+[a-f]?\."", """"))"),"")</f>
        <v/>
      </c>
      <c r="J555" s="79" t="s">
        <v>3163</v>
      </c>
      <c r="K555" s="79" t="s">
        <v>3164</v>
      </c>
      <c r="L555" s="79" t="s">
        <v>3166</v>
      </c>
    </row>
    <row r="556">
      <c r="A556" s="79" t="s">
        <v>396</v>
      </c>
      <c r="B556" s="80" t="s">
        <v>3168</v>
      </c>
      <c r="C556" s="80" t="s">
        <v>3169</v>
      </c>
      <c r="D556" s="80" t="s">
        <v>3170</v>
      </c>
      <c r="E556" s="80" t="s">
        <v>3171</v>
      </c>
      <c r="F556" s="82">
        <v>307.0</v>
      </c>
      <c r="G556" s="79" t="str">
        <f>IFERROR(__xludf.DUMMYFUNCTION("TRIM(REGEXREPLACE(C556, ""[0-9]+[a-f]?\."", """"))"),"In the past three months, how much did you spend on food and health expense for all of your animals (in CFA)?")</f>
        <v>In the past three months, how much did you spend on food and health expense for all of your animals (in CFA)?</v>
      </c>
      <c r="H556" s="79" t="str">
        <f>IFERROR(__xludf.DUMMYFUNCTION("TRIM(REGEXREPLACE(D556, ""[0-9]+[a-f]?\."", """"))"),"Au cours des trois derniers mois, combien avez-vous dépensé en frais de nourriture et de santé pour tous vos animaux (en CFA) ?")</f>
        <v>Au cours des trois derniers mois, combien avez-vous dépensé en frais de nourriture et de santé pour tous vos animaux (en CFA) ?</v>
      </c>
      <c r="I556" s="79" t="str">
        <f>IFERROR(__xludf.DUMMYFUNCTION("TRIM(REGEXREPLACE(E556, ""[0-9]+[a-f]?\."", """"))"),"Nawa kuka kashe akan abinci da kiwon lafiyar dukkan dabbobinku (a sefa) ?")</f>
        <v>Nawa kuka kashe akan abinci da kiwon lafiyar dukkan dabbobinku (a sefa) ?</v>
      </c>
      <c r="J556" s="79" t="s">
        <v>3172</v>
      </c>
      <c r="K556" s="79" t="s">
        <v>3173</v>
      </c>
      <c r="L556" s="79" t="s">
        <v>3174</v>
      </c>
    </row>
    <row r="557">
      <c r="A557" s="79" t="s">
        <v>42</v>
      </c>
      <c r="B557" s="80" t="s">
        <v>3175</v>
      </c>
      <c r="C557" s="80" t="s">
        <v>3176</v>
      </c>
      <c r="D557" s="80" t="s">
        <v>3177</v>
      </c>
      <c r="E557" s="80" t="s">
        <v>3178</v>
      </c>
      <c r="F557" s="82">
        <v>308.0</v>
      </c>
      <c r="G557" s="79" t="str">
        <f>IFERROR(__xludf.DUMMYFUNCTION("TRIM(REGEXREPLACE(C557,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557" s="79" t="str">
        <f>IFERROR(__xludf.DUMMYFUNCTION("TRIM(REGEXREPLACE(D557,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557" s="79" t="str">
        <f>IFERROR(__xludf.DUMMYFUNCTION("TRIM(REGEXREPLACE(E557,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557" s="79" t="s">
        <v>3182</v>
      </c>
      <c r="K557" s="79" t="s">
        <v>3183</v>
      </c>
      <c r="L557" s="79" t="s">
        <v>3184</v>
      </c>
    </row>
    <row r="558">
      <c r="A558" s="79" t="s">
        <v>396</v>
      </c>
      <c r="B558" s="80" t="s">
        <v>3185</v>
      </c>
      <c r="C558" s="80" t="s">
        <v>3126</v>
      </c>
      <c r="D558" s="80" t="s">
        <v>3127</v>
      </c>
      <c r="E558" s="80" t="s">
        <v>3128</v>
      </c>
      <c r="F558" s="82">
        <v>309.0</v>
      </c>
      <c r="G558" s="79" t="str">
        <f>IFERROR(__xludf.DUMMYFUNCTION("TRIM(REGEXREPLACE(C558, ""[0-9]+[a-f]?\."", """"))"),"How many days did people in your household work to care for your animals in a typical week in the past three months?")</f>
        <v>How many days did people in your household work to care for your animals in a typical week in the past three months?</v>
      </c>
      <c r="H558" s="79" t="str">
        <f>IFERROR(__xludf.DUMMYFUNCTION("TRIM(REGEXREPLACE(D558,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558" s="79" t="str">
        <f>IFERROR(__xludf.DUMMYFUNCTION("TRIM(REGEXREPLACE(E558, ""[0-9]+[a-f]?\."", """"))"),"A cikin watanni uku da suka wuce, kwana nawa a cikin sati mutanen gidanku suka yi aiki don kula da bisashenku?")</f>
        <v>A cikin watanni uku da suka wuce, kwana nawa a cikin sati mutanen gidanku suka yi aiki don kula da bisashenku?</v>
      </c>
      <c r="J558" s="79" t="s">
        <v>3188</v>
      </c>
      <c r="K558" s="79" t="s">
        <v>3189</v>
      </c>
      <c r="L558" s="79" t="s">
        <v>3190</v>
      </c>
    </row>
    <row r="559">
      <c r="A559" s="79" t="s">
        <v>194</v>
      </c>
      <c r="B559" s="80" t="s">
        <v>3191</v>
      </c>
      <c r="C559" s="80" t="s">
        <v>3129</v>
      </c>
      <c r="D559" s="80" t="s">
        <v>3131</v>
      </c>
      <c r="E559" s="80" t="s">
        <v>3132</v>
      </c>
      <c r="F559" s="82">
        <v>310.0</v>
      </c>
      <c r="G559" s="79" t="str">
        <f>IFERROR(__xludf.DUMMYFUNCTION("TRIM(REGEXREPLACE(C559, ""[0-9]+[a-f]?\."", """"))"),"In the past three months, did you hire anyone outside your household to care for your animals?")</f>
        <v>In the past three months, did you hire anyone outside your household to care for your animals?</v>
      </c>
      <c r="H559" s="79" t="str">
        <f>IFERROR(__xludf.DUMMYFUNCTION("TRIM(REGEXREPLACE(D559, ""[0-9]+[a-f]?\."", """"))"),"Au cours des trois derniers mois, avez-vous embauché quelqu'un en dehors de votre ménage pour s'occuper de vos animaux ?")</f>
        <v>Au cours des trois derniers mois, avez-vous embauché quelqu'un en dehors de votre ménage pour s'occuper de vos animaux ?</v>
      </c>
      <c r="I559" s="79" t="str">
        <f>IFERROR(__xludf.DUMMYFUNCTION("TRIM(REGEXREPLACE(E559, ""[0-9]+[a-f]?\."", """"))"),"A cikin watanni uku da suka wuce, Ko kun ɗauki wani wanda ba ɗan gidanku ba don kula da dabbobinku?")</f>
        <v>A cikin watanni uku da suka wuce, Ko kun ɗauki wani wanda ba ɗan gidanku ba don kula da dabbobinku?</v>
      </c>
      <c r="J559" s="79" t="s">
        <v>3193</v>
      </c>
      <c r="K559" s="79" t="s">
        <v>3194</v>
      </c>
      <c r="L559" s="79" t="s">
        <v>3195</v>
      </c>
    </row>
    <row r="560">
      <c r="A560" s="79" t="s">
        <v>396</v>
      </c>
      <c r="B560" s="80" t="s">
        <v>3196</v>
      </c>
      <c r="C560" s="80" t="s">
        <v>3136</v>
      </c>
      <c r="D560" s="80" t="s">
        <v>3137</v>
      </c>
      <c r="E560" s="80" t="s">
        <v>3138</v>
      </c>
      <c r="F560" s="82">
        <v>311.0</v>
      </c>
      <c r="G560" s="79" t="str">
        <f>IFERROR(__xludf.DUMMYFUNCTION("TRIM(REGEXREPLACE(C560, ""[0-9]+[a-f]?\."", """"))"),"In the last 3 months, for how many weeks did you hire people to care for your livestock?")</f>
        <v>In the last 3 months, for how many weeks did you hire people to care for your livestock?</v>
      </c>
      <c r="H560" s="79" t="str">
        <f>IFERROR(__xludf.DUMMYFUNCTION("TRIM(REGEXREPLACE(D560, ""[0-9]+[a-f]?\."", """"))"),"Au cours des trois derniers mois, combien de semaines avez-vous embauché des personnes pour s'occuper de votre bétail ?")</f>
        <v>Au cours des trois derniers mois, combien de semaines avez-vous embauché des personnes pour s'occuper de votre bétail ?</v>
      </c>
      <c r="I560" s="79" t="str">
        <f>IFERROR(__xludf.DUMMYFUNCTION("TRIM(REGEXREPLACE(E560, ""[0-9]+[a-f]?\."", """"))"),"A cikin watanni 3 da suka wuce, sati nawa kuka dauki ƴan aiki don kula da dabbobinku?")</f>
        <v>A cikin watanni 3 da suka wuce, sati nawa kuka dauki ƴan aiki don kula da dabbobinku?</v>
      </c>
      <c r="J560" s="79" t="s">
        <v>3200</v>
      </c>
      <c r="K560" s="79" t="s">
        <v>3201</v>
      </c>
      <c r="L560" s="79" t="s">
        <v>3202</v>
      </c>
    </row>
    <row r="561">
      <c r="A561" s="79" t="s">
        <v>396</v>
      </c>
      <c r="B561" s="80" t="s">
        <v>3203</v>
      </c>
      <c r="C561" s="80" t="s">
        <v>3204</v>
      </c>
      <c r="D561" s="80" t="s">
        <v>3205</v>
      </c>
      <c r="E561" s="80" t="s">
        <v>3206</v>
      </c>
      <c r="F561" s="82">
        <v>312.0</v>
      </c>
      <c r="G561" s="79" t="str">
        <f>IFERROR(__xludf.DUMMYFUNCTION("TRIM(REGEXREPLACE(C561, ""[0-9]+[a-f]?\."", """"))"),"What was the weekly wage paid to people who care for your animals, or how much would you pay in CFA?")</f>
        <v>What was the weekly wage paid to people who care for your animals, or how much would you pay in CFA?</v>
      </c>
      <c r="H561" s="79" t="str">
        <f>IFERROR(__xludf.DUMMYFUNCTION("TRIM(REGEXREPLACE(D561, ""[0-9]+[a-f]?\."", """"))"),"Quel était les frais hebdomadaire payés aux personnes qui s'occupent de vos animaux, ou combien paieriez-vous en CFA ?")</f>
        <v>Quel était les frais hebdomadaire payés aux personnes qui s'occupent de vos animaux, ou combien paieriez-vous en CFA ?</v>
      </c>
      <c r="I561" s="79" t="str">
        <f>IFERROR(__xludf.DUMMYFUNCTION("TRIM(REGEXREPLACE(E561, ""[0-9]+[a-f]?\."", """"))"),"105 a. Nawa albashin mako-mako na wannan mutanen da ke kula da dabbobinku a CFA?")</f>
        <v>105 a. Nawa albashin mako-mako na wannan mutanen da ke kula da dabbobinku a CFA?</v>
      </c>
      <c r="J561" s="79" t="s">
        <v>3207</v>
      </c>
      <c r="K561" s="79" t="s">
        <v>3208</v>
      </c>
      <c r="L561" s="79" t="s">
        <v>3209</v>
      </c>
    </row>
    <row r="562" hidden="1">
      <c r="B562" s="80"/>
      <c r="C562" s="80"/>
      <c r="D562" s="80"/>
      <c r="E562" s="80"/>
      <c r="F562" s="82">
        <v>320.0</v>
      </c>
      <c r="G562" s="79" t="str">
        <f>IFERROR(__xludf.DUMMYFUNCTION("TRIM(REGEXREPLACE(C562, ""[0-9]+[a-f]?\."", """"))"),"")</f>
        <v/>
      </c>
      <c r="H562" s="79" t="str">
        <f>IFERROR(__xludf.DUMMYFUNCTION("TRIM(REGEXREPLACE(D562, ""[0-9]+[a-f]?\."", """"))"),"")</f>
        <v/>
      </c>
      <c r="I562" s="79" t="str">
        <f>IFERROR(__xludf.DUMMYFUNCTION("TRIM(REGEXREPLACE(E562, ""[0-9]+[a-f]?\."", """"))"),"")</f>
        <v/>
      </c>
      <c r="J562" s="79" t="s">
        <v>3213</v>
      </c>
      <c r="K562" s="79" t="s">
        <v>3214</v>
      </c>
      <c r="L562" s="79" t="s">
        <v>3215</v>
      </c>
    </row>
    <row r="563">
      <c r="A563" s="79" t="s">
        <v>194</v>
      </c>
      <c r="B563" s="80" t="s">
        <v>3216</v>
      </c>
      <c r="C563" s="80" t="s">
        <v>3217</v>
      </c>
      <c r="D563" s="80" t="s">
        <v>3218</v>
      </c>
      <c r="E563" s="80" t="s">
        <v>3219</v>
      </c>
      <c r="F563" s="82">
        <v>313.0</v>
      </c>
      <c r="G563" s="79" t="str">
        <f>IFERROR(__xludf.DUMMYFUNCTION("TRIM(REGEXREPLACE(C563, ""[0-9]+[a-f]?\."", """"))"),"You paid ${hoh_hire_livestock_total} in CFA for people to care for your animals, is this correct?")</f>
        <v>You paid ${hoh_hire_livestock_total} in CFA for people to care for your animals, is this correct?</v>
      </c>
      <c r="H563" s="79" t="str">
        <f>IFERROR(__xludf.DUMMYFUNCTION("TRIM(REGEXREPLACE(D563, ""[0-9]+[a-f]?\."", """"))"),"Vous avez payé ${hoh_hire_livestock_total} (en CFA) aux personnes qui s'occupent de vos animaux, est-ce exact ?")</f>
        <v>Vous avez payé ${hoh_hire_livestock_total} (en CFA) aux personnes qui s'occupent de vos animaux, est-ce exact ?</v>
      </c>
      <c r="I563" s="79" t="str">
        <f>IFERROR(__xludf.DUMMYFUNCTION("TRIM(REGEXREPLACE(E563, ""[0-9]+[a-f]?\."", """"))"),"${hoh_hire_livestock_total} (a sefa) kuka biya, ko daidai ne?")</f>
        <v>${hoh_hire_livestock_total} (a sefa) kuka biya, ko daidai ne?</v>
      </c>
      <c r="J563" s="79" t="s">
        <v>3220</v>
      </c>
      <c r="K563" s="79" t="s">
        <v>3221</v>
      </c>
      <c r="L563" s="79" t="s">
        <v>3222</v>
      </c>
    </row>
    <row r="564">
      <c r="A564" s="79" t="s">
        <v>194</v>
      </c>
      <c r="B564" s="80" t="s">
        <v>3225</v>
      </c>
      <c r="C564" s="80" t="s">
        <v>3155</v>
      </c>
      <c r="D564" s="80" t="s">
        <v>3156</v>
      </c>
      <c r="E564" s="80" t="s">
        <v>3157</v>
      </c>
      <c r="F564" s="82">
        <v>314.0</v>
      </c>
      <c r="G564" s="79" t="str">
        <f>IFERROR(__xludf.DUMMYFUNCTION("TRIM(REGEXREPLACE(C564, ""[0-9]+[a-f]?\."", """"))"),"In the past three months, did any member of your household care for livestock owned by other people?")</f>
        <v>In the past three months, did any member of your household care for livestock owned by other people?</v>
      </c>
      <c r="H564" s="79" t="str">
        <f>IFERROR(__xludf.DUMMYFUNCTION("TRIM(REGEXREPLACE(D564, ""[0-9]+[a-f]?\."", """"))"),"Au cours des trois derniers mois, un membre de votre ménage s'est-il occupé du bétail appartenant à d'autres personnes ?")</f>
        <v>Au cours des trois derniers mois, un membre de votre ménage s'est-il occupé du bétail appartenant à d'autres personnes ?</v>
      </c>
      <c r="I564" s="79" t="str">
        <f>IFERROR(__xludf.DUMMYFUNCTION("TRIM(REGEXREPLACE(E564, ""[0-9]+[a-f]?\."", """"))"),"A cikin watanni uku da suka wuce, akwai wani ɗan gidanku da ya kula da dabbobin wasu mutane?")</f>
        <v>A cikin watanni uku da suka wuce, akwai wani ɗan gidanku da ya kula da dabbobin wasu mutane?</v>
      </c>
      <c r="J564" s="79" t="s">
        <v>3227</v>
      </c>
      <c r="K564" s="79" t="s">
        <v>3228</v>
      </c>
      <c r="L564" s="79" t="s">
        <v>3229</v>
      </c>
    </row>
    <row r="565">
      <c r="A565" s="79" t="s">
        <v>396</v>
      </c>
      <c r="B565" s="80" t="s">
        <v>3230</v>
      </c>
      <c r="C565" s="80" t="s">
        <v>3158</v>
      </c>
      <c r="D565" s="80" t="s">
        <v>3159</v>
      </c>
      <c r="E565" s="80" t="s">
        <v>3160</v>
      </c>
      <c r="F565" s="82">
        <v>315.0</v>
      </c>
      <c r="G565" s="79" t="str">
        <f>IFERROR(__xludf.DUMMYFUNCTION("TRIM(REGEXREPLACE(C565, ""[0-9]+[a-f]?\."", """"))"),"In a typical week, how many days did they do this job?")</f>
        <v>In a typical week, how many days did they do this job?</v>
      </c>
      <c r="H565" s="79" t="str">
        <f>IFERROR(__xludf.DUMMYFUNCTION("TRIM(REGEXREPLACE(D565, ""[0-9]+[a-f]?\."", """"))"),"Au cours d'une semaine normale, combien de jours ont-ils fait ce travail ?")</f>
        <v>Au cours d'une semaine normale, combien de jours ont-ils fait ce travail ?</v>
      </c>
      <c r="I565" s="79" t="str">
        <f>IFERROR(__xludf.DUMMYFUNCTION("TRIM(REGEXREPLACE(E565, ""[0-9]+[a-f]?\."", """"))"),"A cikin mako, kwana nawa suka yi wannan aikin?")</f>
        <v>A cikin mako, kwana nawa suka yi wannan aikin?</v>
      </c>
      <c r="J565" s="79" t="s">
        <v>3233</v>
      </c>
      <c r="K565" s="79" t="s">
        <v>3235</v>
      </c>
      <c r="L565" s="79" t="s">
        <v>3236</v>
      </c>
    </row>
    <row r="566">
      <c r="A566" s="79" t="s">
        <v>396</v>
      </c>
      <c r="B566" s="80" t="s">
        <v>3237</v>
      </c>
      <c r="C566" s="80" t="s">
        <v>3163</v>
      </c>
      <c r="D566" s="80" t="s">
        <v>3164</v>
      </c>
      <c r="E566" s="80" t="s">
        <v>3166</v>
      </c>
      <c r="F566" s="82">
        <v>316.0</v>
      </c>
      <c r="G566" s="79" t="str">
        <f>IFERROR(__xludf.DUMMYFUNCTION("TRIM(REGEXREPLACE(C566, ""[0-9]+[a-f]?\."", """"))"),"What was the daily wage paid to household members who cared for livestock owned by other people?")</f>
        <v>What was the daily wage paid to household members who cared for livestock owned by other people?</v>
      </c>
      <c r="H566" s="79" t="str">
        <f>IFERROR(__xludf.DUMMYFUNCTION("TRIM(REGEXREPLACE(D566,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566" s="79" t="str">
        <f>IFERROR(__xludf.DUMMYFUNCTION("TRIM(REGEXREPLACE(E566, ""[0-9]+[a-f]?\."", """"))"),"Nawa ne biyan wuni na ƴan gida masu kula da dabbobin wasu mutane (a kuɗin CFA)?")</f>
        <v>Nawa ne biyan wuni na ƴan gida masu kula da dabbobin wasu mutane (a kuɗin CFA)?</v>
      </c>
      <c r="J566" s="79" t="s">
        <v>3239</v>
      </c>
      <c r="K566" s="79" t="s">
        <v>3240</v>
      </c>
      <c r="L566" s="79" t="s">
        <v>3241</v>
      </c>
    </row>
    <row r="567">
      <c r="A567" s="79" t="s">
        <v>42</v>
      </c>
      <c r="B567" s="80" t="s">
        <v>3245</v>
      </c>
      <c r="C567" s="80" t="s">
        <v>3247</v>
      </c>
      <c r="D567" s="80" t="s">
        <v>3248</v>
      </c>
      <c r="E567" s="80" t="s">
        <v>3249</v>
      </c>
      <c r="F567" s="82">
        <v>317.0</v>
      </c>
      <c r="G567" s="79" t="str">
        <f>IFERROR(__xludf.DUMMYFUNCTION("TRIM(REGEXREPLACE(C567, ""[0-9]+[a-f]?\."", """"))"),"Now we will ask about other forms of income people in your household may have earned in the past three months.")</f>
        <v>Now we will ask about other forms of income people in your household may have earned in the past three months.</v>
      </c>
      <c r="H567" s="79" t="str">
        <f>IFERROR(__xludf.DUMMYFUNCTION("TRIM(REGEXREPLACE(D567,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567" s="79" t="str">
        <f>IFERROR(__xludf.DUMMYFUNCTION("TRIM(REGEXREPLACE(E567, ""[0-9]+[a-f]?\."", """"))"),"Yanzu za mu yi tambayoyi bisa wasu hanyoyin samun kuɗin shiga da yan gidanku a cikin watanni uku da suka gabata.")</f>
        <v>Yanzu za mu yi tambayoyi bisa wasu hanyoyin samun kuɗin shiga da yan gidanku a cikin watanni uku da suka gabata.</v>
      </c>
      <c r="J567" s="79" t="s">
        <v>3250</v>
      </c>
      <c r="K567" s="79" t="s">
        <v>3251</v>
      </c>
      <c r="L567" s="79" t="s">
        <v>3252</v>
      </c>
    </row>
    <row r="568">
      <c r="A568" s="79" t="s">
        <v>194</v>
      </c>
      <c r="B568" s="80" t="s">
        <v>3253</v>
      </c>
      <c r="C568" s="80" t="s">
        <v>3256</v>
      </c>
      <c r="D568" s="80" t="s">
        <v>3258</v>
      </c>
      <c r="E568" s="80" t="s">
        <v>3259</v>
      </c>
      <c r="F568" s="82">
        <v>318.0</v>
      </c>
      <c r="G568" s="79" t="str">
        <f>IFERROR(__xludf.DUMMYFUNCTION("TRIM(REGEXREPLACE(C568, ""[0-9]+[a-f]?\."", """"))"),"Do you or another member of your household own land that is currently not used for agriculture, outside of your current home?")</f>
        <v>Do you or another member of your household own land that is currently not used for agriculture, outside of your current home?</v>
      </c>
      <c r="H568" s="79" t="str">
        <f>IFERROR(__xludf.DUMMYFUNCTION("TRIM(REGEXREPLACE(D568,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568" s="79" t="str">
        <f>IFERROR(__xludf.DUMMYFUNCTION("TRIM(REGEXREPLACE(E568, ""[0-9]+[a-f]?\."", """"))"),"Shin kai ko wani na gidanku kuna da wasu hilaye wanda ba na noma ba bancin gidanku da kuke ciki a halin yanzu?")</f>
        <v>Shin kai ko wani na gidanku kuna da wasu hilaye wanda ba na noma ba bancin gidanku da kuke ciki a halin yanzu?</v>
      </c>
      <c r="J568" s="79" t="s">
        <v>3260</v>
      </c>
      <c r="K568" s="79" t="s">
        <v>3261</v>
      </c>
      <c r="L568" s="79" t="s">
        <v>3262</v>
      </c>
    </row>
    <row r="569">
      <c r="A569" s="79" t="s">
        <v>396</v>
      </c>
      <c r="B569" s="80" t="s">
        <v>3263</v>
      </c>
      <c r="C569" s="80" t="s">
        <v>3264</v>
      </c>
      <c r="D569" s="80" t="s">
        <v>3267</v>
      </c>
      <c r="E569" s="80" t="s">
        <v>3269</v>
      </c>
      <c r="F569" s="82">
        <v>319.0</v>
      </c>
      <c r="G569" s="79" t="str">
        <f>IFERROR(__xludf.DUMMYFUNCTION("TRIM(REGEXREPLACE(C569, ""[0-9]+[a-f]?\."", """"))"),"In the past three months, what is the total revenue from rent of land or other property in CFA?")</f>
        <v>In the past three months, what is the total revenue from rent of land or other property in CFA?</v>
      </c>
      <c r="H569" s="79" t="str">
        <f>IFERROR(__xludf.DUMMYFUNCTION("TRIM(REGEXREPLACE(D569, ""[0-9]+[a-f]?\."", """"))"),"Au cours des trois derniers mois, quel a été le revenu total provenant de la location d'un terrain ou d'une autre propriété en CFA?")</f>
        <v>Au cours des trois derniers mois, quel a été le revenu total provenant de la location d'un terrain ou d'une autre propriété en CFA?</v>
      </c>
      <c r="I569" s="79" t="str">
        <f>IFERROR(__xludf.DUMMYFUNCTION("TRIM(REGEXREPLACE(E569, ""[0-9]+[a-f]?\."", """"))"),"A cikin watanni uku da suka gabata, menene jimillar kuɗin da aka samu ta hanyar hayan filaye ko wasu kadarori (a sefa)?")</f>
        <v>A cikin watanni uku da suka gabata, menene jimillar kuɗin da aka samu ta hanyar hayan filaye ko wasu kadarori (a sefa)?</v>
      </c>
      <c r="J569" s="79" t="s">
        <v>3270</v>
      </c>
      <c r="K569" s="79" t="s">
        <v>3271</v>
      </c>
      <c r="L569" s="79" t="s">
        <v>3272</v>
      </c>
    </row>
    <row r="570">
      <c r="A570" s="79" t="s">
        <v>396</v>
      </c>
      <c r="B570" s="80" t="s">
        <v>3273</v>
      </c>
      <c r="C570" s="80" t="s">
        <v>3274</v>
      </c>
      <c r="D570" s="80" t="s">
        <v>3275</v>
      </c>
      <c r="E570" s="80" t="s">
        <v>3276</v>
      </c>
      <c r="F570" s="82">
        <v>320.0</v>
      </c>
      <c r="G570" s="79" t="str">
        <f>IFERROR(__xludf.DUMMYFUNCTION("TRIM(REGEXREPLACE(C570, ""[0-9]+[a-f]?\."", """"))"),"In the past three months, what is the total value of interest from loans you have given to others in CFA?")</f>
        <v>In the past three months, what is the total value of interest from loans you have given to others in CFA?</v>
      </c>
      <c r="H570" s="79" t="str">
        <f>IFERROR(__xludf.DUMMYFUNCTION("TRIM(REGEXREPLACE(D570, ""[0-9]+[a-f]?\."", """"))"),"Au cours des trois derniers mois, quelle est la valeur totale des intérêts des prêts que vous avez accordés à d'autres en CFA?")</f>
        <v>Au cours des trois derniers mois, quelle est la valeur totale des intérêts des prêts que vous avez accordés à d'autres en CFA?</v>
      </c>
      <c r="I570" s="79" t="str">
        <f>IFERROR(__xludf.DUMMYFUNCTION("TRIM(REGEXREPLACE(E570, ""[0-9]+[a-f]?\."", """"))"),"A cikin watanni uku da suka gabata, nawa ne jimillar kudin ruwan basussuka da kuka baiwa wasu (a sefa)?")</f>
        <v>A cikin watanni uku da suka gabata, nawa ne jimillar kudin ruwan basussuka da kuka baiwa wasu (a sefa)?</v>
      </c>
      <c r="J570" s="79" t="s">
        <v>3280</v>
      </c>
      <c r="K570" s="79" t="s">
        <v>3281</v>
      </c>
      <c r="L570" s="79" t="s">
        <v>3282</v>
      </c>
    </row>
    <row r="571" hidden="1">
      <c r="B571" s="80"/>
      <c r="C571" s="80"/>
      <c r="D571" s="80"/>
      <c r="E571" s="80"/>
      <c r="F571" s="82">
        <v>325.0</v>
      </c>
      <c r="G571" s="79" t="str">
        <f>IFERROR(__xludf.DUMMYFUNCTION("TRIM(REGEXREPLACE(C571, ""[0-9]+[a-f]?\."", """"))"),"")</f>
        <v/>
      </c>
      <c r="H571" s="79" t="str">
        <f>IFERROR(__xludf.DUMMYFUNCTION("TRIM(REGEXREPLACE(D571, ""[0-9]+[a-f]?\."", """"))"),"")</f>
        <v/>
      </c>
      <c r="I571" s="79" t="str">
        <f>IFERROR(__xludf.DUMMYFUNCTION("TRIM(REGEXREPLACE(E571, ""[0-9]+[a-f]?\."", """"))"),"")</f>
        <v/>
      </c>
    </row>
    <row r="572" hidden="1"/>
    <row r="573" hidden="1">
      <c r="B573" s="80"/>
      <c r="C573" s="80"/>
      <c r="D573" s="80"/>
      <c r="E573" s="80"/>
      <c r="F573" s="82">
        <v>325.0</v>
      </c>
      <c r="G573" s="79" t="str">
        <f>IFERROR(__xludf.DUMMYFUNCTION("TRIM(REGEXREPLACE(C573, ""[0-9]+[a-f]?\."", """"))"),"")</f>
        <v/>
      </c>
      <c r="H573" s="79" t="str">
        <f>IFERROR(__xludf.DUMMYFUNCTION("TRIM(REGEXREPLACE(D573, ""[0-9]+[a-f]?\."", """"))"),"")</f>
        <v/>
      </c>
      <c r="I573" s="79" t="str">
        <f>IFERROR(__xludf.DUMMYFUNCTION("TRIM(REGEXREPLACE(E573, ""[0-9]+[a-f]?\."", """"))"),"")</f>
        <v/>
      </c>
      <c r="J573" s="79" t="s">
        <v>3287</v>
      </c>
      <c r="K573" s="79" t="s">
        <v>3288</v>
      </c>
      <c r="L573" s="79" t="s">
        <v>3288</v>
      </c>
    </row>
    <row r="574" hidden="1"/>
    <row r="575">
      <c r="A575" s="79" t="s">
        <v>194</v>
      </c>
      <c r="B575" s="80" t="s">
        <v>3289</v>
      </c>
      <c r="C575" s="80" t="s">
        <v>3290</v>
      </c>
      <c r="D575" s="80" t="s">
        <v>3291</v>
      </c>
      <c r="E575" s="80" t="s">
        <v>3292</v>
      </c>
      <c r="F575" s="82">
        <v>321.0</v>
      </c>
      <c r="G575" s="79" t="str">
        <f>IFERROR(__xludf.DUMMYFUNCTION("TRIM(REGEXREPLACE(C575,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575" s="79" t="str">
        <f>IFERROR(__xludf.DUMMYFUNCTION("TRIM(REGEXREPLACE(D575,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575" s="79" t="str">
        <f>IFERROR(__xludf.DUMMYFUNCTION("TRIM(REGEXREPLACE(E575,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575" s="79" t="s">
        <v>3293</v>
      </c>
      <c r="K575" s="79" t="s">
        <v>3294</v>
      </c>
      <c r="L575" s="79" t="s">
        <v>3295</v>
      </c>
    </row>
    <row r="576">
      <c r="A576" s="79" t="s">
        <v>3296</v>
      </c>
      <c r="B576" s="80" t="s">
        <v>3297</v>
      </c>
      <c r="C576" s="80" t="s">
        <v>3213</v>
      </c>
      <c r="D576" s="80" t="s">
        <v>3214</v>
      </c>
      <c r="E576" s="80" t="s">
        <v>3215</v>
      </c>
      <c r="F576" s="82">
        <v>322.0</v>
      </c>
      <c r="G576" s="79" t="str">
        <f>IFERROR(__xludf.DUMMYFUNCTION("TRIM(REGEXREPLACE(C576, ""[0-9]+[a-f]?\."", """"))"),"What type of business is this?")</f>
        <v>What type of business is this?</v>
      </c>
      <c r="H576" s="79" t="str">
        <f>IFERROR(__xludf.DUMMYFUNCTION("TRIM(REGEXREPLACE(D576, ""[0-9]+[a-f]?\."", """"))"),"Quel type d'entreprise est-ce?")</f>
        <v>Quel type d'entreprise est-ce?</v>
      </c>
      <c r="I576" s="79" t="str">
        <f>IFERROR(__xludf.DUMMYFUNCTION("TRIM(REGEXREPLACE(E576, ""[0-9]+[a-f]?\."", """"))"),"Wane irin kasuwanci ne?")</f>
        <v>Wane irin kasuwanci ne?</v>
      </c>
      <c r="J576" s="79" t="s">
        <v>3298</v>
      </c>
      <c r="K576" s="79" t="s">
        <v>3299</v>
      </c>
      <c r="L576" s="79" t="s">
        <v>3300</v>
      </c>
    </row>
    <row r="577">
      <c r="A577" s="79" t="s">
        <v>299</v>
      </c>
      <c r="B577" s="80" t="s">
        <v>3301</v>
      </c>
      <c r="C577" s="80" t="s">
        <v>3302</v>
      </c>
      <c r="D577" s="80" t="s">
        <v>3303</v>
      </c>
      <c r="E577" s="80" t="s">
        <v>3304</v>
      </c>
      <c r="F577" s="82">
        <v>323.0</v>
      </c>
      <c r="G577" s="79" t="str">
        <f>IFERROR(__xludf.DUMMYFUNCTION("TRIM(REGEXREPLACE(C577, ""[0-9]+[a-f]?\."", """"))"),"Specify other")</f>
        <v>Specify other</v>
      </c>
      <c r="H577" s="79" t="str">
        <f>IFERROR(__xludf.DUMMYFUNCTION("TRIM(REGEXREPLACE(D577, ""[0-9]+[a-f]?\."", """"))"),"Autre à préciser :")</f>
        <v>Autre à préciser :</v>
      </c>
      <c r="I577" s="79" t="str">
        <f>IFERROR(__xludf.DUMMYFUNCTION("TRIM(REGEXREPLACE(E577, ""[0-9]+[a-f]?\."", """"))"),"Baiyana wani abu daban:")</f>
        <v>Baiyana wani abu daban:</v>
      </c>
      <c r="J577" s="79" t="s">
        <v>3305</v>
      </c>
      <c r="K577" s="79" t="s">
        <v>3306</v>
      </c>
      <c r="L577" s="79" t="s">
        <v>3307</v>
      </c>
    </row>
    <row r="578" hidden="1">
      <c r="B578" s="80"/>
      <c r="C578" s="80"/>
      <c r="D578" s="80"/>
      <c r="E578" s="80"/>
      <c r="F578" s="82">
        <v>327.0</v>
      </c>
      <c r="G578" s="79" t="str">
        <f>IFERROR(__xludf.DUMMYFUNCTION("TRIM(REGEXREPLACE(C578, ""[0-9]+[a-f]?\."", """"))"),"")</f>
        <v/>
      </c>
      <c r="H578" s="79" t="str">
        <f>IFERROR(__xludf.DUMMYFUNCTION("TRIM(REGEXREPLACE(D578, ""[0-9]+[a-f]?\."", """"))"),"")</f>
        <v/>
      </c>
      <c r="I578" s="79" t="str">
        <f>IFERROR(__xludf.DUMMYFUNCTION("TRIM(REGEXREPLACE(E578, ""[0-9]+[a-f]?\."", """"))"),"")</f>
        <v/>
      </c>
      <c r="J578" s="79" t="s">
        <v>3309</v>
      </c>
      <c r="K578" s="79" t="s">
        <v>3310</v>
      </c>
      <c r="L578" s="79" t="s">
        <v>3312</v>
      </c>
    </row>
    <row r="579">
      <c r="A579" s="79" t="s">
        <v>194</v>
      </c>
      <c r="B579" s="80" t="s">
        <v>3313</v>
      </c>
      <c r="C579" s="80" t="s">
        <v>3314</v>
      </c>
      <c r="D579" s="80" t="s">
        <v>3315</v>
      </c>
      <c r="E579" s="80" t="s">
        <v>3317</v>
      </c>
      <c r="F579" s="82">
        <v>324.0</v>
      </c>
      <c r="G579" s="79" t="str">
        <f>IFERROR(__xludf.DUMMYFUNCTION("TRIM(REGEXREPLACE(C579, ""[0-9]+[a-f]?\."", """"))"),"Do you have a permanent location (i.e. building)?")</f>
        <v>Do you have a permanent location (i.e. building)?</v>
      </c>
      <c r="H579" s="79" t="str">
        <f>IFERROR(__xludf.DUMMYFUNCTION("TRIM(REGEXREPLACE(D579, ""[0-9]+[a-f]?\."", """"))"),"Avez-vous un emplacement permanent (c'est-à-dire un bâtiment) ?")</f>
        <v>Avez-vous un emplacement permanent (c'est-à-dire un bâtiment) ?</v>
      </c>
      <c r="I579" s="79" t="str">
        <f>IFERROR(__xludf.DUMMYFUNCTION("TRIM(REGEXREPLACE(E579, ""[0-9]+[a-f]?\."", """"))"),"Kuna da wurin dindindin (kamar gini)?")</f>
        <v>Kuna da wurin dindindin (kamar gini)?</v>
      </c>
      <c r="J579" s="79" t="s">
        <v>3318</v>
      </c>
      <c r="K579" s="79" t="s">
        <v>3319</v>
      </c>
      <c r="L579" s="79" t="s">
        <v>3321</v>
      </c>
    </row>
    <row r="580">
      <c r="A580" s="79" t="s">
        <v>396</v>
      </c>
      <c r="B580" s="80" t="s">
        <v>3322</v>
      </c>
      <c r="C580" s="80" t="s">
        <v>3323</v>
      </c>
      <c r="D580" s="80" t="s">
        <v>3324</v>
      </c>
      <c r="E580" s="80" t="s">
        <v>3325</v>
      </c>
      <c r="F580" s="82">
        <v>325.0</v>
      </c>
      <c r="G580" s="79" t="str">
        <f>IFERROR(__xludf.DUMMYFUNCTION("TRIM(REGEXREPLACE(C580, ""[0-9]+[a-f]?\."", """"))"),"How many people outside of your household do you employ in this business?")</f>
        <v>How many people outside of your household do you employ in this business?</v>
      </c>
      <c r="H580" s="79" t="str">
        <f>IFERROR(__xludf.DUMMYFUNCTION("TRIM(REGEXREPLACE(D580, ""[0-9]+[a-f]?\."", """"))"),"Combien de personnes en dehors de votre ménage employez-vous dans cette entreprise ?")</f>
        <v>Combien de personnes en dehors de votre ménage employez-vous dans cette entreprise ?</v>
      </c>
      <c r="I580" s="79" t="str">
        <f>IFERROR(__xludf.DUMMYFUNCTION("TRIM(REGEXREPLACE(E580, ""[0-9]+[a-f]?\."", """"))"),"Mutane nawa ne kuka dauka aiki banda ƴan gidan a wannan kasuwancin?")</f>
        <v>Mutane nawa ne kuka dauka aiki banda ƴan gidan a wannan kasuwancin?</v>
      </c>
      <c r="J580" s="79" t="s">
        <v>3326</v>
      </c>
      <c r="K580" s="79" t="s">
        <v>3327</v>
      </c>
      <c r="L580" s="79" t="s">
        <v>3328</v>
      </c>
    </row>
    <row r="581">
      <c r="A581" s="79" t="s">
        <v>396</v>
      </c>
      <c r="B581" s="80" t="s">
        <v>3329</v>
      </c>
      <c r="C581" s="80" t="s">
        <v>3330</v>
      </c>
      <c r="D581" s="80" t="s">
        <v>3331</v>
      </c>
      <c r="E581" s="80" t="s">
        <v>3332</v>
      </c>
      <c r="F581" s="82">
        <v>326.0</v>
      </c>
      <c r="G581" s="79" t="str">
        <f>IFERROR(__xludf.DUMMYFUNCTION("TRIM(REGEXREPLACE(C581, ""[0-9]+[a-f]?\."", """"))"),"How much do you pay per day for people to work in this business in CFA?")</f>
        <v>How much do you pay per day for people to work in this business in CFA?</v>
      </c>
      <c r="H581" s="79" t="str">
        <f>IFERROR(__xludf.DUMMYFUNCTION("TRIM(REGEXREPLACE(D581, ""[0-9]+[a-f]?\."", """"))"),"Combien payez-vous par jour pour que les gens travaillent dans cette entreprise (en CFA) ?")</f>
        <v>Combien payez-vous par jour pour que les gens travaillent dans cette entreprise (en CFA) ?</v>
      </c>
      <c r="I581" s="79" t="str">
        <f>IFERROR(__xludf.DUMMYFUNCTION("TRIM(REGEXREPLACE(E581, ""[0-9]+[a-f]?\."", """"))"),"Nawa kuke biyan su a wuni (a sefa) ?")</f>
        <v>Nawa kuke biyan su a wuni (a sefa) ?</v>
      </c>
      <c r="J581" s="79" t="s">
        <v>3336</v>
      </c>
      <c r="K581" s="79" t="s">
        <v>3337</v>
      </c>
      <c r="L581" s="79" t="s">
        <v>3338</v>
      </c>
    </row>
    <row r="582" hidden="1"/>
    <row r="583" hidden="1"/>
    <row r="584" hidden="1">
      <c r="B584" s="80"/>
      <c r="C584" s="80"/>
      <c r="D584" s="80"/>
      <c r="E584" s="80"/>
      <c r="F584" s="82">
        <v>330.0</v>
      </c>
      <c r="G584" s="79" t="str">
        <f>IFERROR(__xludf.DUMMYFUNCTION("TRIM(REGEXREPLACE(C584, ""[0-9]+[a-f]?\."", """"))"),"")</f>
        <v/>
      </c>
      <c r="H584" s="79" t="str">
        <f>IFERROR(__xludf.DUMMYFUNCTION("TRIM(REGEXREPLACE(D584, ""[0-9]+[a-f]?\."", """"))"),"")</f>
        <v/>
      </c>
      <c r="I584" s="79" t="str">
        <f>IFERROR(__xludf.DUMMYFUNCTION("TRIM(REGEXREPLACE(E584, ""[0-9]+[a-f]?\."", """"))"),"")</f>
        <v/>
      </c>
    </row>
    <row r="585" hidden="1">
      <c r="B585" s="80"/>
      <c r="C585" s="80"/>
      <c r="D585" s="80"/>
      <c r="E585" s="80"/>
      <c r="F585" s="82">
        <v>331.0</v>
      </c>
      <c r="G585" s="79" t="str">
        <f>IFERROR(__xludf.DUMMYFUNCTION("TRIM(REGEXREPLACE(C585, ""[0-9]+[a-f]?\."", """"))"),"")</f>
        <v/>
      </c>
      <c r="H585" s="79" t="str">
        <f>IFERROR(__xludf.DUMMYFUNCTION("TRIM(REGEXREPLACE(D585, ""[0-9]+[a-f]?\."", """"))"),"")</f>
        <v/>
      </c>
      <c r="I585" s="79" t="str">
        <f>IFERROR(__xludf.DUMMYFUNCTION("TRIM(REGEXREPLACE(E585, ""[0-9]+[a-f]?\."", """"))"),"")</f>
        <v/>
      </c>
    </row>
    <row r="586" hidden="1">
      <c r="B586" s="80"/>
      <c r="C586" s="80"/>
      <c r="D586" s="80"/>
      <c r="E586" s="80"/>
      <c r="F586" s="82">
        <v>330.0</v>
      </c>
      <c r="G586" s="79" t="str">
        <f>IFERROR(__xludf.DUMMYFUNCTION("TRIM(REGEXREPLACE(C586, ""[0-9]+[a-f]?\."", """"))"),"")</f>
        <v/>
      </c>
      <c r="H586" s="79" t="str">
        <f>IFERROR(__xludf.DUMMYFUNCTION("TRIM(REGEXREPLACE(D586, ""[0-9]+[a-f]?\."", """"))"),"")</f>
        <v/>
      </c>
      <c r="I586" s="79" t="str">
        <f>IFERROR(__xludf.DUMMYFUNCTION("TRIM(REGEXREPLACE(E586, ""[0-9]+[a-f]?\."", """"))"),"")</f>
        <v/>
      </c>
      <c r="J586" s="79" t="s">
        <v>3345</v>
      </c>
      <c r="K586" s="79" t="s">
        <v>3346</v>
      </c>
      <c r="L586" s="79" t="s">
        <v>3347</v>
      </c>
    </row>
    <row r="587">
      <c r="A587" s="79" t="s">
        <v>396</v>
      </c>
      <c r="B587" s="80" t="s">
        <v>3348</v>
      </c>
      <c r="C587" s="80" t="s">
        <v>3287</v>
      </c>
      <c r="D587" s="80" t="s">
        <v>3349</v>
      </c>
      <c r="E587" s="80" t="s">
        <v>3350</v>
      </c>
      <c r="F587" s="82">
        <v>327.0</v>
      </c>
      <c r="G587" s="79" t="str">
        <f>IFERROR(__xludf.DUMMYFUNCTION("TRIM(REGEXREPLACE(C587, ""[0-9]+[a-f]?\."", """"))"),"In a typical week during the past three months, how many days did ${hoh_biz_name} work in the household business?")</f>
        <v>In a typical week during the past three months, how many days did ${hoh_biz_name} work in the household business?</v>
      </c>
      <c r="H587" s="79" t="str">
        <f>IFERROR(__xludf.DUMMYFUNCTION("TRIM(REGEXREPLACE(D587,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587" s="79" t="str">
        <f>IFERROR(__xludf.DUMMYFUNCTION("TRIM(REGEXREPLACE(E587, ""[0-9]+[a-f]?\."", """"))"),"Kwanaki nawa a cikin kowane mako guda a cikin watanni uku da suka gabata, ${hoh_biz_name} yayi aiki a cikin kasuwancin gida?")</f>
        <v>Kwanaki nawa a cikin kowane mako guda a cikin watanni uku da suka gabata, ${hoh_biz_name} yayi aiki a cikin kasuwancin gida?</v>
      </c>
      <c r="J587" s="79" t="s">
        <v>3354</v>
      </c>
      <c r="K587" s="79" t="s">
        <v>3355</v>
      </c>
      <c r="L587" s="79" t="s">
        <v>3356</v>
      </c>
    </row>
    <row r="588" hidden="1">
      <c r="B588" s="80"/>
      <c r="C588" s="80"/>
      <c r="D588" s="80"/>
      <c r="E588" s="80"/>
      <c r="F588" s="82">
        <v>332.0</v>
      </c>
      <c r="G588" s="79" t="str">
        <f>IFERROR(__xludf.DUMMYFUNCTION("TRIM(REGEXREPLACE(C588, ""[0-9]+[a-f]?\."", """"))"),"")</f>
        <v/>
      </c>
      <c r="H588" s="79" t="str">
        <f>IFERROR(__xludf.DUMMYFUNCTION("TRIM(REGEXREPLACE(D588, ""[0-9]+[a-f]?\."", """"))"),"")</f>
        <v/>
      </c>
      <c r="I588" s="79" t="str">
        <f>IFERROR(__xludf.DUMMYFUNCTION("TRIM(REGEXREPLACE(E588, ""[0-9]+[a-f]?\."", """"))"),"")</f>
        <v/>
      </c>
      <c r="J588" s="79" t="s">
        <v>3357</v>
      </c>
      <c r="K588" s="79" t="s">
        <v>3358</v>
      </c>
      <c r="L588" s="79" t="s">
        <v>3359</v>
      </c>
    </row>
    <row r="589" hidden="1">
      <c r="B589" s="80"/>
      <c r="C589" s="80"/>
      <c r="D589" s="80"/>
      <c r="E589" s="80"/>
      <c r="F589" s="82">
        <v>334.0</v>
      </c>
      <c r="G589" s="79" t="str">
        <f>IFERROR(__xludf.DUMMYFUNCTION("TRIM(REGEXREPLACE(C589, ""[0-9]+[a-f]?\."", """"))"),"")</f>
        <v/>
      </c>
      <c r="H589" s="79" t="str">
        <f>IFERROR(__xludf.DUMMYFUNCTION("TRIM(REGEXREPLACE(D589, ""[0-9]+[a-f]?\."", """"))"),"")</f>
        <v/>
      </c>
      <c r="I589" s="79" t="str">
        <f>IFERROR(__xludf.DUMMYFUNCTION("TRIM(REGEXREPLACE(E589, ""[0-9]+[a-f]?\."", """"))"),"")</f>
        <v/>
      </c>
    </row>
    <row r="590" hidden="1">
      <c r="B590" s="80"/>
      <c r="C590" s="80"/>
      <c r="D590" s="80"/>
      <c r="E590" s="80"/>
      <c r="F590" s="82">
        <v>333.0</v>
      </c>
      <c r="G590" s="79" t="str">
        <f>IFERROR(__xludf.DUMMYFUNCTION("TRIM(REGEXREPLACE(C590, ""[0-9]+[a-f]?\."", """"))"),"")</f>
        <v/>
      </c>
      <c r="H590" s="79" t="str">
        <f>IFERROR(__xludf.DUMMYFUNCTION("TRIM(REGEXREPLACE(D590, ""[0-9]+[a-f]?\."", """"))"),"")</f>
        <v/>
      </c>
      <c r="I590" s="79" t="str">
        <f>IFERROR(__xludf.DUMMYFUNCTION("TRIM(REGEXREPLACE(E590, ""[0-9]+[a-f]?\."", """"))"),"")</f>
        <v/>
      </c>
      <c r="J590" s="79" t="s">
        <v>3363</v>
      </c>
      <c r="K590" s="79" t="s">
        <v>3364</v>
      </c>
      <c r="L590" s="79" t="s">
        <v>3365</v>
      </c>
    </row>
    <row r="591">
      <c r="A591" s="79" t="s">
        <v>396</v>
      </c>
      <c r="B591" s="80" t="s">
        <v>3366</v>
      </c>
      <c r="C591" s="80" t="s">
        <v>3367</v>
      </c>
      <c r="D591" s="80" t="s">
        <v>3368</v>
      </c>
      <c r="E591" s="80" t="s">
        <v>3369</v>
      </c>
      <c r="F591" s="82">
        <v>328.0</v>
      </c>
      <c r="G591" s="79" t="str">
        <f>IFERROR(__xludf.DUMMYFUNCTION("TRIM(REGEXREPLACE(C591,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591" s="79" t="str">
        <f>IFERROR(__xludf.DUMMYFUNCTION("TRIM(REGEXREPLACE(D591,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591" s="79" t="str">
        <f>IFERROR(__xludf.DUMMYFUNCTION("TRIM(REGEXREPLACE(E591,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591" s="79" t="s">
        <v>3373</v>
      </c>
      <c r="K591" s="79" t="s">
        <v>3374</v>
      </c>
      <c r="L591" s="79" t="s">
        <v>3375</v>
      </c>
    </row>
    <row r="592">
      <c r="A592" s="79" t="s">
        <v>396</v>
      </c>
      <c r="B592" s="80" t="s">
        <v>3376</v>
      </c>
      <c r="C592" s="80" t="s">
        <v>3309</v>
      </c>
      <c r="D592" s="80" t="s">
        <v>3310</v>
      </c>
      <c r="E592" s="80" t="s">
        <v>3312</v>
      </c>
      <c r="F592" s="82">
        <v>329.0</v>
      </c>
      <c r="G592" s="79" t="str">
        <f>IFERROR(__xludf.DUMMYFUNCTION("TRIM(REGEXREPLACE(C592,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592" s="79" t="str">
        <f>IFERROR(__xludf.DUMMYFUNCTION("TRIM(REGEXREPLACE(D592,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592" s="79" t="str">
        <f>IFERROR(__xludf.DUMMYFUNCTION("TRIM(REGEXREPLACE(E592,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592" s="79" t="s">
        <v>3377</v>
      </c>
      <c r="K592" s="79" t="s">
        <v>3378</v>
      </c>
      <c r="L592" s="79" t="s">
        <v>3379</v>
      </c>
    </row>
    <row r="593" hidden="1"/>
    <row r="594">
      <c r="A594" s="79" t="s">
        <v>194</v>
      </c>
      <c r="B594" s="80" t="s">
        <v>3380</v>
      </c>
      <c r="C594" s="80" t="s">
        <v>3381</v>
      </c>
      <c r="D594" s="80" t="s">
        <v>3382</v>
      </c>
      <c r="E594" s="80" t="s">
        <v>3383</v>
      </c>
      <c r="F594" s="82">
        <v>330.0</v>
      </c>
      <c r="G594" s="79" t="str">
        <f>IFERROR(__xludf.DUMMYFUNCTION("TRIM(REGEXREPLACE(C594,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594" s="79" t="str">
        <f>IFERROR(__xludf.DUMMYFUNCTION("TRIM(REGEXREPLACE(D594,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594" s="79" t="str">
        <f>IFERROR(__xludf.DUMMYFUNCTION("TRIM(REGEXREPLACE(E594,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594" s="79" t="s">
        <v>3384</v>
      </c>
      <c r="K594" s="79" t="s">
        <v>3385</v>
      </c>
      <c r="L594" s="79" t="s">
        <v>3386</v>
      </c>
    </row>
    <row r="595">
      <c r="A595" s="79" t="s">
        <v>42</v>
      </c>
      <c r="B595" s="80" t="s">
        <v>3387</v>
      </c>
      <c r="C595" s="80" t="s">
        <v>3388</v>
      </c>
      <c r="D595" s="80" t="s">
        <v>3389</v>
      </c>
      <c r="E595" s="80" t="s">
        <v>3390</v>
      </c>
      <c r="F595" s="82">
        <v>331.0</v>
      </c>
      <c r="G595" s="79" t="str">
        <f>IFERROR(__xludf.DUMMYFUNCTION("TRIM(REGEXREPLACE(C595, ""[0-9]+[a-f]?\."", """"))"),"We have discussed work done by members of your household in agriculture, in husbandry, in a business owned by your family.")</f>
        <v>We have discussed work done by members of your household in agriculture, in husbandry, in a business owned by your family.</v>
      </c>
      <c r="H595" s="79" t="str">
        <f>IFERROR(__xludf.DUMMYFUNCTION("TRIM(REGEXREPLACE(D595,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595" s="79" t="str">
        <f>IFERROR(__xludf.DUMMYFUNCTION("TRIM(REGEXREPLACE(E595, ""[0-9]+[a-f]?\."", """"))"),"“Mun tattauna bisa ayyukan da ƴan gidanku suka yi a harakar noma da kiwo, kasuwancin da ƴan gidanku suka mallaka.")</f>
        <v>“Mun tattauna bisa ayyukan da ƴan gidanku suka yi a harakar noma da kiwo, kasuwancin da ƴan gidanku suka mallaka.</v>
      </c>
      <c r="J595" s="79" t="s">
        <v>3394</v>
      </c>
      <c r="K595" s="79" t="s">
        <v>3396</v>
      </c>
      <c r="L595" s="79" t="s">
        <v>3397</v>
      </c>
    </row>
    <row r="596" hidden="1"/>
    <row r="597" hidden="1">
      <c r="B597" s="80"/>
      <c r="C597" s="80"/>
      <c r="D597" s="80"/>
      <c r="E597" s="80"/>
      <c r="F597" s="82">
        <v>336.0</v>
      </c>
      <c r="G597" s="79" t="str">
        <f>IFERROR(__xludf.DUMMYFUNCTION("TRIM(REGEXREPLACE(C597, ""[0-9]+[a-f]?\."", """"))"),"")</f>
        <v/>
      </c>
      <c r="H597" s="79" t="str">
        <f>IFERROR(__xludf.DUMMYFUNCTION("TRIM(REGEXREPLACE(D597, ""[0-9]+[a-f]?\."", """"))"),"")</f>
        <v/>
      </c>
      <c r="I597" s="79" t="str">
        <f>IFERROR(__xludf.DUMMYFUNCTION("TRIM(REGEXREPLACE(E597, ""[0-9]+[a-f]?\."", """"))"),"")</f>
        <v/>
      </c>
    </row>
    <row r="598" hidden="1">
      <c r="B598" s="80"/>
      <c r="C598" s="80"/>
      <c r="D598" s="80"/>
      <c r="E598" s="80"/>
      <c r="F598" s="82">
        <v>337.0</v>
      </c>
      <c r="G598" s="79" t="str">
        <f>IFERROR(__xludf.DUMMYFUNCTION("TRIM(REGEXREPLACE(C598, ""[0-9]+[a-f]?\."", """"))"),"")</f>
        <v/>
      </c>
      <c r="H598" s="79" t="str">
        <f>IFERROR(__xludf.DUMMYFUNCTION("TRIM(REGEXREPLACE(D598, ""[0-9]+[a-f]?\."", """"))"),"")</f>
        <v/>
      </c>
      <c r="I598" s="79" t="str">
        <f>IFERROR(__xludf.DUMMYFUNCTION("TRIM(REGEXREPLACE(E598, ""[0-9]+[a-f]?\."", """"))"),"")</f>
        <v/>
      </c>
    </row>
    <row r="599" hidden="1">
      <c r="B599" s="80"/>
      <c r="C599" s="80"/>
      <c r="D599" s="80"/>
      <c r="E599" s="80"/>
      <c r="F599" s="82">
        <v>336.0</v>
      </c>
      <c r="G599" s="79" t="str">
        <f>IFERROR(__xludf.DUMMYFUNCTION("TRIM(REGEXREPLACE(C599, ""[0-9]+[a-f]?\."", """"))"),"")</f>
        <v/>
      </c>
      <c r="H599" s="79" t="str">
        <f>IFERROR(__xludf.DUMMYFUNCTION("TRIM(REGEXREPLACE(D599, ""[0-9]+[a-f]?\."", """"))"),"")</f>
        <v/>
      </c>
      <c r="I599" s="79" t="str">
        <f>IFERROR(__xludf.DUMMYFUNCTION("TRIM(REGEXREPLACE(E599, ""[0-9]+[a-f]?\."", """"))"),"")</f>
        <v/>
      </c>
      <c r="J599" s="79" t="s">
        <v>3401</v>
      </c>
      <c r="K599" s="79" t="s">
        <v>3402</v>
      </c>
      <c r="L599" s="79" t="s">
        <v>3403</v>
      </c>
    </row>
    <row r="600">
      <c r="A600" s="79" t="s">
        <v>194</v>
      </c>
      <c r="B600" s="80" t="s">
        <v>3404</v>
      </c>
      <c r="C600" s="80" t="s">
        <v>3345</v>
      </c>
      <c r="D600" s="80" t="s">
        <v>3346</v>
      </c>
      <c r="E600" s="80" t="s">
        <v>3347</v>
      </c>
      <c r="F600" s="82">
        <v>332.0</v>
      </c>
      <c r="G600" s="79" t="str">
        <f>IFERROR(__xludf.DUMMYFUNCTION("TRIM(REGEXREPLACE(C600, ""[0-9]+[a-f]?\."", """"))"),"In the past three months, did ${hoh_member_act_name} earn money from any other activity?")</f>
        <v>In the past three months, did ${hoh_member_act_name} earn money from any other activity?</v>
      </c>
      <c r="H600" s="79" t="str">
        <f>IFERROR(__xludf.DUMMYFUNCTION("TRIM(REGEXREPLACE(D600, ""[0-9]+[a-f]?\."", """"))"),"Au cours des trois derniers mois, ${hoh_member_act_name} a-t-il gagné de l'argent grâce à une autre activité ?")</f>
        <v>Au cours des trois derniers mois, ${hoh_member_act_name} a-t-il gagné de l'argent grâce à une autre activité ?</v>
      </c>
      <c r="I600" s="79" t="str">
        <f>IFERROR(__xludf.DUMMYFUNCTION("TRIM(REGEXREPLACE(E600, ""[0-9]+[a-f]?\."", """"))"),"A cikin watanni uku da suka gabata, ${hoh_member_act_name} ya samu kuɗi daga yin wani aiki?")</f>
        <v>A cikin watanni uku da suka gabata, ${hoh_member_act_name} ya samu kuɗi daga yin wani aiki?</v>
      </c>
      <c r="J600" s="79" t="s">
        <v>3409</v>
      </c>
      <c r="K600" s="79" t="s">
        <v>3410</v>
      </c>
      <c r="L600" s="79" t="s">
        <v>3411</v>
      </c>
    </row>
    <row r="601">
      <c r="A601" s="79" t="s">
        <v>3296</v>
      </c>
      <c r="B601" s="80" t="s">
        <v>3412</v>
      </c>
      <c r="C601" s="80" t="s">
        <v>3413</v>
      </c>
      <c r="D601" s="80" t="s">
        <v>3414</v>
      </c>
      <c r="E601" s="80" t="s">
        <v>3415</v>
      </c>
      <c r="F601" s="82">
        <v>333.0</v>
      </c>
      <c r="G601" s="79" t="str">
        <f>IFERROR(__xludf.DUMMYFUNCTION("TRIM(REGEXREPLACE(C601, ""[0-9]+[a-f]?\."", """"))"),"What was the activity?")</f>
        <v>What was the activity?</v>
      </c>
      <c r="H601" s="79" t="str">
        <f>IFERROR(__xludf.DUMMYFUNCTION("TRIM(REGEXREPLACE(D601, ""[0-9]+[a-f]?\."", """"))"),"Quelle était l'activité ?")</f>
        <v>Quelle était l'activité ?</v>
      </c>
      <c r="I601" s="79" t="str">
        <f>IFERROR(__xludf.DUMMYFUNCTION("TRIM(REGEXREPLACE(E601, ""[0-9]+[a-f]?\."", """"))"),"Menene aikin?")</f>
        <v>Menene aikin?</v>
      </c>
      <c r="J601" s="79" t="s">
        <v>3418</v>
      </c>
      <c r="K601" s="79" t="s">
        <v>3420</v>
      </c>
      <c r="L601" s="79" t="s">
        <v>3421</v>
      </c>
    </row>
    <row r="602">
      <c r="A602" s="79" t="s">
        <v>299</v>
      </c>
      <c r="B602" s="80" t="s">
        <v>3422</v>
      </c>
      <c r="C602" s="80" t="s">
        <v>3357</v>
      </c>
      <c r="D602" s="80" t="s">
        <v>3358</v>
      </c>
      <c r="E602" s="80" t="s">
        <v>3359</v>
      </c>
      <c r="F602" s="82">
        <v>334.0</v>
      </c>
      <c r="G602" s="79" t="str">
        <f>IFERROR(__xludf.DUMMYFUNCTION("TRIM(REGEXREPLACE(C602, ""[0-9]+[a-f]?\."", """"))"),"Specify the activity")</f>
        <v>Specify the activity</v>
      </c>
      <c r="H602" s="79" t="str">
        <f>IFERROR(__xludf.DUMMYFUNCTION("TRIM(REGEXREPLACE(D602, ""[0-9]+[a-f]?\."", """"))"),"Précisez l'activité")</f>
        <v>Précisez l'activité</v>
      </c>
      <c r="I602" s="79" t="str">
        <f>IFERROR(__xludf.DUMMYFUNCTION("TRIM(REGEXREPLACE(E602, ""[0-9]+[a-f]?\."", """"))"),"Baiyana aikin")</f>
        <v>Baiyana aikin</v>
      </c>
      <c r="J602" s="79" t="s">
        <v>3423</v>
      </c>
      <c r="K602" s="79" t="s">
        <v>3424</v>
      </c>
      <c r="L602" s="79" t="s">
        <v>3425</v>
      </c>
    </row>
    <row r="603" hidden="1">
      <c r="B603" s="80"/>
      <c r="C603" s="80"/>
      <c r="D603" s="80"/>
      <c r="E603" s="80"/>
      <c r="F603" s="82">
        <v>340.0</v>
      </c>
      <c r="G603" s="79" t="str">
        <f>IFERROR(__xludf.DUMMYFUNCTION("TRIM(REGEXREPLACE(C603, ""[0-9]+[a-f]?\."", """"))"),"")</f>
        <v/>
      </c>
      <c r="H603" s="79" t="str">
        <f>IFERROR(__xludf.DUMMYFUNCTION("TRIM(REGEXREPLACE(D603, ""[0-9]+[a-f]?\."", """"))"),"")</f>
        <v/>
      </c>
      <c r="I603" s="79" t="str">
        <f>IFERROR(__xludf.DUMMYFUNCTION("TRIM(REGEXREPLACE(E603, ""[0-9]+[a-f]?\."", """"))"),"")</f>
        <v/>
      </c>
      <c r="J603" s="79" t="s">
        <v>3429</v>
      </c>
      <c r="K603" s="79" t="s">
        <v>3430</v>
      </c>
      <c r="L603" s="79" t="s">
        <v>3431</v>
      </c>
    </row>
    <row r="604">
      <c r="A604" s="79" t="s">
        <v>396</v>
      </c>
      <c r="B604" s="80" t="s">
        <v>3432</v>
      </c>
      <c r="C604" s="80" t="s">
        <v>3363</v>
      </c>
      <c r="D604" s="80" t="s">
        <v>3364</v>
      </c>
      <c r="E604" s="80" t="s">
        <v>3365</v>
      </c>
      <c r="F604" s="82">
        <v>335.0</v>
      </c>
      <c r="G604" s="79" t="str">
        <f>IFERROR(__xludf.DUMMYFUNCTION("TRIM(REGEXREPLACE(C604,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604" s="79" t="str">
        <f>IFERROR(__xludf.DUMMYFUNCTION("TRIM(REGEXREPLACE(D604,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604" s="79" t="str">
        <f>IFERROR(__xludf.DUMMYFUNCTION("TRIM(REGEXREPLACE(E604,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604" s="79" t="s">
        <v>3436</v>
      </c>
      <c r="K604" s="79" t="s">
        <v>3437</v>
      </c>
      <c r="L604" s="79" t="s">
        <v>3438</v>
      </c>
    </row>
    <row r="605">
      <c r="A605" s="79" t="s">
        <v>396</v>
      </c>
      <c r="B605" s="80" t="s">
        <v>3439</v>
      </c>
      <c r="C605" s="80" t="s">
        <v>3440</v>
      </c>
      <c r="D605" s="80" t="s">
        <v>3441</v>
      </c>
      <c r="E605" s="80" t="s">
        <v>3442</v>
      </c>
      <c r="F605" s="82">
        <v>336.0</v>
      </c>
      <c r="G605" s="79" t="str">
        <f>IFERROR(__xludf.DUMMYFUNCTION("TRIM(REGEXREPLACE(C605, ""[0-9]+[a-f]?\."", """"))"),"Think about the past 3 months how many weeks did they engage in ${hoh_member_other_activity_name}?")</f>
        <v>Think about the past 3 months how many weeks did they engage in ${hoh_member_other_activity_name}?</v>
      </c>
      <c r="H605" s="79" t="str">
        <f>IFERROR(__xludf.DUMMYFUNCTION("TRIM(REGEXREPLACE(D605, ""[0-9]+[a-f]?\."", """"))"),"Pensez aux 3 derniers mois, combien de semaines ont-ils participé à ${hoh_member_other_activity_name} ?")</f>
        <v>Pensez aux 3 derniers mois, combien de semaines ont-ils participé à ${hoh_member_other_activity_name} ?</v>
      </c>
      <c r="I605" s="79" t="str">
        <f>IFERROR(__xludf.DUMMYFUNCTION("TRIM(REGEXREPLACE(E605, ""[0-9]+[a-f]?\."", """"))"),"A watanni 3 da suka gabata, sati nawa suka yi aikin ${hoh_member_other_activity_name}?")</f>
        <v>A watanni 3 da suka gabata, sati nawa suka yi aikin ${hoh_member_other_activity_name}?</v>
      </c>
      <c r="J605" s="79" t="s">
        <v>3447</v>
      </c>
      <c r="K605" s="79" t="s">
        <v>3448</v>
      </c>
      <c r="L605" s="79" t="s">
        <v>3449</v>
      </c>
    </row>
    <row r="606">
      <c r="A606" s="79" t="s">
        <v>396</v>
      </c>
      <c r="B606" s="80" t="s">
        <v>3450</v>
      </c>
      <c r="C606" s="80" t="s">
        <v>3451</v>
      </c>
      <c r="D606" s="80" t="s">
        <v>3452</v>
      </c>
      <c r="E606" s="80" t="s">
        <v>3453</v>
      </c>
      <c r="F606" s="82">
        <v>337.0</v>
      </c>
      <c r="G606" s="79" t="str">
        <f>IFERROR(__xludf.DUMMYFUNCTION("TRIM(REGEXREPLACE(C606,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606" s="79" t="str">
        <f>IFERROR(__xludf.DUMMYFUNCTION("TRIM(REGEXREPLACE(D606,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606" s="79" t="str">
        <f>IFERROR(__xludf.DUMMYFUNCTION("TRIM(REGEXREPLACE(E606, ""[0-9]+[a-f]?\."", """"))"),"Ko za ku iya kimanta gudunmawar kuɗi da kaya da ${hoh_member_act_name} ya kawo gidan a cikin sati guda (banda aiki)?")</f>
        <v>Ko za ku iya kimanta gudunmawar kuɗi da kaya da ${hoh_member_act_name} ya kawo gidan a cikin sati guda (banda aiki)?</v>
      </c>
      <c r="J606" s="79" t="s">
        <v>3455</v>
      </c>
      <c r="K606" s="79" t="s">
        <v>3456</v>
      </c>
      <c r="L606" s="79" t="s">
        <v>3458</v>
      </c>
    </row>
    <row r="607" hidden="1">
      <c r="B607" s="80"/>
      <c r="C607" s="80"/>
      <c r="D607" s="80"/>
      <c r="E607" s="80"/>
      <c r="F607" s="82">
        <v>344.0</v>
      </c>
      <c r="G607" s="79" t="str">
        <f>IFERROR(__xludf.DUMMYFUNCTION("TRIM(REGEXREPLACE(C607, ""[0-9]+[a-f]?\."", """"))"),"")</f>
        <v/>
      </c>
      <c r="H607" s="79" t="str">
        <f>IFERROR(__xludf.DUMMYFUNCTION("TRIM(REGEXREPLACE(D607, ""[0-9]+[a-f]?\."", """"))"),"")</f>
        <v/>
      </c>
      <c r="I607" s="79" t="str">
        <f>IFERROR(__xludf.DUMMYFUNCTION("TRIM(REGEXREPLACE(E607, ""[0-9]+[a-f]?\."", """"))"),"")</f>
        <v/>
      </c>
      <c r="J607" s="79" t="s">
        <v>3459</v>
      </c>
      <c r="K607" s="79" t="s">
        <v>3460</v>
      </c>
      <c r="L607" s="79" t="s">
        <v>3461</v>
      </c>
    </row>
    <row r="608" hidden="1">
      <c r="B608" s="80"/>
      <c r="C608" s="80"/>
      <c r="D608" s="80"/>
      <c r="E608" s="80"/>
      <c r="F608" s="82">
        <v>345.0</v>
      </c>
      <c r="G608" s="79" t="str">
        <f>IFERROR(__xludf.DUMMYFUNCTION("TRIM(REGEXREPLACE(C608, ""[0-9]+[a-f]?\."", """"))"),"")</f>
        <v/>
      </c>
      <c r="H608" s="79" t="str">
        <f>IFERROR(__xludf.DUMMYFUNCTION("TRIM(REGEXREPLACE(D608, ""[0-9]+[a-f]?\."", """"))"),"")</f>
        <v/>
      </c>
      <c r="I608" s="79" t="str">
        <f>IFERROR(__xludf.DUMMYFUNCTION("TRIM(REGEXREPLACE(E608, ""[0-9]+[a-f]?\."", """"))"),"")</f>
        <v/>
      </c>
      <c r="J608" s="79" t="s">
        <v>3466</v>
      </c>
      <c r="K608" s="79" t="s">
        <v>3467</v>
      </c>
      <c r="L608" s="79" t="s">
        <v>3468</v>
      </c>
    </row>
    <row r="609" hidden="1">
      <c r="B609" s="80"/>
      <c r="C609" s="80"/>
      <c r="D609" s="80"/>
      <c r="E609" s="80"/>
      <c r="F609" s="82">
        <v>346.0</v>
      </c>
      <c r="G609" s="79" t="str">
        <f>IFERROR(__xludf.DUMMYFUNCTION("TRIM(REGEXREPLACE(C609, ""[0-9]+[a-f]?\."", """"))"),"")</f>
        <v/>
      </c>
      <c r="H609" s="79" t="str">
        <f>IFERROR(__xludf.DUMMYFUNCTION("TRIM(REGEXREPLACE(D609, ""[0-9]+[a-f]?\."", """"))"),"")</f>
        <v/>
      </c>
      <c r="I609" s="79" t="str">
        <f>IFERROR(__xludf.DUMMYFUNCTION("TRIM(REGEXREPLACE(E609, ""[0-9]+[a-f]?\."", """"))"),"")</f>
        <v/>
      </c>
      <c r="J609" s="79" t="s">
        <v>3472</v>
      </c>
      <c r="K609" s="79" t="s">
        <v>3473</v>
      </c>
      <c r="L609" s="79" t="s">
        <v>3474</v>
      </c>
    </row>
    <row r="610" hidden="1">
      <c r="B610" s="80"/>
      <c r="C610" s="80"/>
      <c r="D610" s="80"/>
      <c r="E610" s="80"/>
      <c r="F610" s="82">
        <v>347.0</v>
      </c>
      <c r="G610" s="79" t="str">
        <f>IFERROR(__xludf.DUMMYFUNCTION("TRIM(REGEXREPLACE(C610, ""[0-9]+[a-f]?\."", """"))"),"")</f>
        <v/>
      </c>
      <c r="H610" s="79" t="str">
        <f>IFERROR(__xludf.DUMMYFUNCTION("TRIM(REGEXREPLACE(D610, ""[0-9]+[a-f]?\."", """"))"),"")</f>
        <v/>
      </c>
      <c r="I610" s="79" t="str">
        <f>IFERROR(__xludf.DUMMYFUNCTION("TRIM(REGEXREPLACE(E610, ""[0-9]+[a-f]?\."", """"))"),"")</f>
        <v/>
      </c>
      <c r="J610" s="79" t="s">
        <v>3475</v>
      </c>
      <c r="K610" s="79" t="s">
        <v>3476</v>
      </c>
      <c r="L610" s="79" t="s">
        <v>3477</v>
      </c>
    </row>
    <row r="611" hidden="1">
      <c r="B611" s="80"/>
      <c r="C611" s="80"/>
      <c r="D611" s="80"/>
      <c r="E611" s="80"/>
      <c r="F611" s="82">
        <v>348.0</v>
      </c>
      <c r="G611" s="79" t="str">
        <f>IFERROR(__xludf.DUMMYFUNCTION("TRIM(REGEXREPLACE(C611, ""[0-9]+[a-f]?\."", """"))"),"")</f>
        <v/>
      </c>
      <c r="H611" s="79" t="str">
        <f>IFERROR(__xludf.DUMMYFUNCTION("TRIM(REGEXREPLACE(D611, ""[0-9]+[a-f]?\."", """"))"),"")</f>
        <v/>
      </c>
      <c r="I611" s="79" t="str">
        <f>IFERROR(__xludf.DUMMYFUNCTION("TRIM(REGEXREPLACE(E611, ""[0-9]+[a-f]?\."", """"))"),"")</f>
        <v/>
      </c>
      <c r="J611" s="79" t="s">
        <v>3480</v>
      </c>
      <c r="K611" s="79" t="s">
        <v>3482</v>
      </c>
      <c r="L611" s="79" t="s">
        <v>3483</v>
      </c>
    </row>
    <row r="612" hidden="1">
      <c r="B612" s="80"/>
      <c r="C612" s="80"/>
      <c r="D612" s="80"/>
      <c r="E612" s="80"/>
      <c r="F612" s="82">
        <v>349.0</v>
      </c>
      <c r="G612" s="79" t="str">
        <f>IFERROR(__xludf.DUMMYFUNCTION("TRIM(REGEXREPLACE(C612, ""[0-9]+[a-f]?\."", """"))"),"")</f>
        <v/>
      </c>
      <c r="H612" s="79" t="str">
        <f>IFERROR(__xludf.DUMMYFUNCTION("TRIM(REGEXREPLACE(D612, ""[0-9]+[a-f]?\."", """"))"),"")</f>
        <v/>
      </c>
      <c r="I612" s="79" t="str">
        <f>IFERROR(__xludf.DUMMYFUNCTION("TRIM(REGEXREPLACE(E612, ""[0-9]+[a-f]?\."", """"))"),"")</f>
        <v/>
      </c>
      <c r="J612" s="79" t="s">
        <v>3484</v>
      </c>
      <c r="K612" s="79" t="s">
        <v>3485</v>
      </c>
      <c r="L612" s="79" t="s">
        <v>3486</v>
      </c>
    </row>
    <row r="613">
      <c r="A613" s="79" t="s">
        <v>277</v>
      </c>
      <c r="B613" s="80" t="s">
        <v>3487</v>
      </c>
      <c r="C613" s="80" t="s">
        <v>3401</v>
      </c>
      <c r="D613" s="80" t="s">
        <v>3402</v>
      </c>
      <c r="E613" s="80" t="s">
        <v>3403</v>
      </c>
      <c r="F613" s="82">
        <v>338.0</v>
      </c>
      <c r="G613" s="79" t="str">
        <f>IFERROR(__xludf.DUMMYFUNCTION("TRIM(REGEXREPLACE(C613,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613" s="79" t="str">
        <f>IFERROR(__xludf.DUMMYFUNCTION("TRIM(REGEXREPLACE(D613,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613" s="79" t="str">
        <f>IFERROR(__xludf.DUMMYFUNCTION("TRIM(REGEXREPLACE(E613,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613" s="79" t="s">
        <v>3491</v>
      </c>
      <c r="K613" s="79" t="s">
        <v>3492</v>
      </c>
      <c r="L613" s="79" t="s">
        <v>3493</v>
      </c>
    </row>
    <row r="614">
      <c r="A614" s="79" t="s">
        <v>396</v>
      </c>
      <c r="B614" s="80" t="s">
        <v>3494</v>
      </c>
      <c r="C614" s="80" t="s">
        <v>3496</v>
      </c>
      <c r="D614" s="80" t="s">
        <v>3498</v>
      </c>
      <c r="E614" s="80" t="s">
        <v>3500</v>
      </c>
      <c r="F614" s="82">
        <v>339.0</v>
      </c>
      <c r="G614" s="79" t="str">
        <f>IFERROR(__xludf.DUMMYFUNCTION("TRIM(REGEXREPLACE(C614, ""[0-9]+[a-f]?\."", """"))"),"How much in total did members of your household receive from people elsewhere in Niger (in CFA)?")</f>
        <v>How much in total did members of your household receive from people elsewhere in Niger (in CFA)?</v>
      </c>
      <c r="H614" s="79" t="str">
        <f>IFERROR(__xludf.DUMMYFUNCTION("TRIM(REGEXREPLACE(D614, ""[0-9]+[a-f]?\."", """"))"),"Combien au total les membres de votre ménage ont-ils reçu des personnes qui sont quelques part au Niger (en USD)?")</f>
        <v>Combien au total les membres de votre ménage ont-ils reçu des personnes qui sont quelques part au Niger (en USD)?</v>
      </c>
      <c r="I614" s="79" t="str">
        <f>IFERROR(__xludf.DUMMYFUNCTION("TRIM(REGEXREPLACE(E614, ""[0-9]+[a-f]?\."", """"))"),"Nawa ne ƴan gidanku suka samu daga wasu matanen da ke wani gari a Nijar (in CFA)?")</f>
        <v>Nawa ne ƴan gidanku suka samu daga wasu matanen da ke wani gari a Nijar (in CFA)?</v>
      </c>
      <c r="J614" s="79" t="s">
        <v>3503</v>
      </c>
      <c r="K614" s="79" t="s">
        <v>3504</v>
      </c>
      <c r="L614" s="79" t="s">
        <v>3505</v>
      </c>
    </row>
    <row r="615">
      <c r="A615" s="79" t="s">
        <v>3506</v>
      </c>
      <c r="B615" s="80" t="s">
        <v>3507</v>
      </c>
      <c r="C615" s="80" t="s">
        <v>3508</v>
      </c>
      <c r="D615" s="80" t="s">
        <v>3509</v>
      </c>
      <c r="E615" s="80" t="s">
        <v>3510</v>
      </c>
      <c r="F615" s="82">
        <v>340.0</v>
      </c>
      <c r="G615" s="79" t="str">
        <f>IFERROR(__xludf.DUMMYFUNCTION("TRIM(REGEXREPLACE(C615, ""[0-9]+[a-f]?\."", """"))"),"How was this money transmitted to your household?")</f>
        <v>How was this money transmitted to your household?</v>
      </c>
      <c r="H615" s="79" t="str">
        <f>IFERROR(__xludf.DUMMYFUNCTION("TRIM(REGEXREPLACE(D615, ""[0-9]+[a-f]?\."", """"))"),"Comment cet argent a-t-il été envoyé à votre ménage ?")</f>
        <v>Comment cet argent a-t-il été envoyé à votre ménage ?</v>
      </c>
      <c r="I615" s="79" t="str">
        <f>IFERROR(__xludf.DUMMYFUNCTION("TRIM(REGEXREPLACE(E615, ""[0-9]+[a-f]?\."", """"))"),"Ta wace hanya aka aikawa gidanku wannan kuɗin ?")</f>
        <v>Ta wace hanya aka aikawa gidanku wannan kuɗin ?</v>
      </c>
      <c r="J615" s="79" t="s">
        <v>3511</v>
      </c>
      <c r="K615" s="79" t="s">
        <v>3512</v>
      </c>
      <c r="L615" s="79" t="s">
        <v>3513</v>
      </c>
    </row>
    <row r="616">
      <c r="A616" s="79" t="s">
        <v>299</v>
      </c>
      <c r="B616" s="80" t="s">
        <v>3514</v>
      </c>
      <c r="C616" s="80" t="s">
        <v>3515</v>
      </c>
      <c r="D616" s="80" t="s">
        <v>3516</v>
      </c>
      <c r="E616" s="80" t="s">
        <v>3517</v>
      </c>
      <c r="F616" s="82">
        <v>341.0</v>
      </c>
      <c r="G616" s="79" t="str">
        <f>IFERROR(__xludf.DUMMYFUNCTION("TRIM(REGEXREPLACE(C616, ""[0-9]+[a-f]?\."", """"))"),"Specify other transfer method")</f>
        <v>Specify other transfer method</v>
      </c>
      <c r="H616" s="79" t="str">
        <f>IFERROR(__xludf.DUMMYFUNCTION("TRIM(REGEXREPLACE(D616, ""[0-9]+[a-f]?\."", """"))"),"Précisez la méthode du transfert")</f>
        <v>Précisez la méthode du transfert</v>
      </c>
      <c r="I616" s="79" t="str">
        <f>IFERROR(__xludf.DUMMYFUNCTION("TRIM(REGEXREPLACE(E616, ""[0-9]+[a-f]?\."", """"))"),"Wani daban a Bayyana")</f>
        <v>Wani daban a Bayyana</v>
      </c>
      <c r="J616" s="79" t="s">
        <v>3518</v>
      </c>
      <c r="K616" s="79" t="s">
        <v>3519</v>
      </c>
      <c r="L616" s="79" t="s">
        <v>3520</v>
      </c>
    </row>
    <row r="617">
      <c r="A617" s="79" t="s">
        <v>277</v>
      </c>
      <c r="B617" s="80" t="s">
        <v>3521</v>
      </c>
      <c r="C617" s="80" t="s">
        <v>3429</v>
      </c>
      <c r="D617" s="80" t="s">
        <v>3430</v>
      </c>
      <c r="E617" s="80" t="s">
        <v>3431</v>
      </c>
      <c r="F617" s="82">
        <v>342.0</v>
      </c>
      <c r="G617" s="79" t="str">
        <f>IFERROR(__xludf.DUMMYFUNCTION("TRIM(REGEXREPLACE(C617,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617" s="79" t="str">
        <f>IFERROR(__xludf.DUMMYFUNCTION("TRIM(REGEXREPLACE(D617,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617" s="79" t="str">
        <f>IFERROR(__xludf.DUMMYFUNCTION("TRIM(REGEXREPLACE(E617,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617" s="79" t="s">
        <v>3522</v>
      </c>
      <c r="K617" s="79" t="s">
        <v>3523</v>
      </c>
      <c r="L617" s="79" t="s">
        <v>3524</v>
      </c>
    </row>
    <row r="618">
      <c r="A618" s="79" t="s">
        <v>396</v>
      </c>
      <c r="B618" s="80" t="s">
        <v>3526</v>
      </c>
      <c r="C618" s="80" t="s">
        <v>3527</v>
      </c>
      <c r="D618" s="80" t="s">
        <v>3528</v>
      </c>
      <c r="E618" s="80" t="s">
        <v>3530</v>
      </c>
      <c r="F618" s="82">
        <v>343.0</v>
      </c>
      <c r="G618" s="79" t="str">
        <f>IFERROR(__xludf.DUMMYFUNCTION("TRIM(REGEXREPLACE(C618, ""[0-9]+[a-f]?\."", """"))"),"What was the value of the goods members of your household receive from people elsewhere in Niger (in CFA)?")</f>
        <v>What was the value of the goods members of your household receive from people elsewhere in Niger (in CFA)?</v>
      </c>
      <c r="H618" s="79" t="str">
        <f>IFERROR(__xludf.DUMMYFUNCTION("TRIM(REGEXREPLACE(D618,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618" s="79" t="str">
        <f>IFERROR(__xludf.DUMMYFUNCTION("TRIM(REGEXREPLACE(E618, ""[0-9]+[a-f]?\."", """"))"),"Nawa kimar kayayyakin da ƴan gidanku suka karba daga wasu mutane a wasu wurare a Nijar (in CFA)?")</f>
        <v>Nawa kimar kayayyakin da ƴan gidanku suka karba daga wasu mutane a wasu wurare a Nijar (in CFA)?</v>
      </c>
      <c r="J618" s="79" t="s">
        <v>3533</v>
      </c>
      <c r="K618" s="79" t="s">
        <v>3534</v>
      </c>
      <c r="L618" s="79" t="s">
        <v>3535</v>
      </c>
    </row>
    <row r="619">
      <c r="A619" s="79" t="s">
        <v>3536</v>
      </c>
      <c r="B619" s="80" t="s">
        <v>3537</v>
      </c>
      <c r="C619" s="80" t="s">
        <v>3538</v>
      </c>
      <c r="D619" s="80" t="s">
        <v>3539</v>
      </c>
      <c r="E619" s="80" t="s">
        <v>3540</v>
      </c>
      <c r="F619" s="82">
        <v>344.0</v>
      </c>
      <c r="G619" s="79" t="str">
        <f>IFERROR(__xludf.DUMMYFUNCTION("TRIM(REGEXREPLACE(C619, ""[0-9]+[a-f]?\."", """"))"),"How were these goods transmitted to your household?")</f>
        <v>How were these goods transmitted to your household?</v>
      </c>
      <c r="H619" s="79" t="str">
        <f>IFERROR(__xludf.DUMMYFUNCTION("TRIM(REGEXREPLACE(D619, ""[0-9]+[a-f]?\."", """"))"),"Comment ces biens ont-ils été envoyé à votre ménage ?")</f>
        <v>Comment ces biens ont-ils été envoyé à votre ménage ?</v>
      </c>
      <c r="I619" s="79" t="str">
        <f>IFERROR(__xludf.DUMMYFUNCTION("TRIM(REGEXREPLACE(E619, ""[0-9]+[a-f]?\."", """"))"),"Ta yaya aka aika waɗannan kayayyakin zuwa gidanku?")</f>
        <v>Ta yaya aka aika waɗannan kayayyakin zuwa gidanku?</v>
      </c>
      <c r="J619" s="79" t="s">
        <v>3546</v>
      </c>
      <c r="K619" s="79" t="s">
        <v>3547</v>
      </c>
      <c r="L619" s="79" t="s">
        <v>3548</v>
      </c>
    </row>
    <row r="620">
      <c r="A620" s="79" t="s">
        <v>299</v>
      </c>
      <c r="B620" s="80" t="s">
        <v>3549</v>
      </c>
      <c r="C620" s="80" t="s">
        <v>3550</v>
      </c>
      <c r="D620" s="80" t="s">
        <v>3551</v>
      </c>
      <c r="E620" s="80" t="s">
        <v>3552</v>
      </c>
      <c r="F620" s="82">
        <v>345.0</v>
      </c>
      <c r="G620" s="79" t="str">
        <f>IFERROR(__xludf.DUMMYFUNCTION("TRIM(REGEXREPLACE(C620, ""[0-9]+[a-f]?\."", """"))"),"Specify other transfer method")</f>
        <v>Specify other transfer method</v>
      </c>
      <c r="H620" s="79" t="str">
        <f>IFERROR(__xludf.DUMMYFUNCTION("TRIM(REGEXREPLACE(D620, ""[0-9]+[a-f]?\."", """"))"),"Précisez la méthode du transfert")</f>
        <v>Précisez la méthode du transfert</v>
      </c>
      <c r="I620" s="79" t="str">
        <f>IFERROR(__xludf.DUMMYFUNCTION("TRIM(REGEXREPLACE(E620, ""[0-9]+[a-f]?\."", """"))"),"Wani daban a Bayyana")</f>
        <v>Wani daban a Bayyana</v>
      </c>
      <c r="J620" s="79" t="s">
        <v>3553</v>
      </c>
      <c r="K620" s="79" t="s">
        <v>3554</v>
      </c>
      <c r="L620" s="79" t="s">
        <v>3555</v>
      </c>
    </row>
    <row r="621">
      <c r="A621" s="79" t="s">
        <v>277</v>
      </c>
      <c r="B621" s="80" t="s">
        <v>3556</v>
      </c>
      <c r="C621" s="80" t="s">
        <v>3459</v>
      </c>
      <c r="D621" s="80" t="s">
        <v>3460</v>
      </c>
      <c r="E621" s="80" t="s">
        <v>3461</v>
      </c>
      <c r="F621" s="82">
        <v>346.0</v>
      </c>
      <c r="G621" s="79" t="str">
        <f>IFERROR(__xludf.DUMMYFUNCTION("TRIM(REGEXREPLACE(C621,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621" s="79" t="str">
        <f>IFERROR(__xludf.DUMMYFUNCTION("TRIM(REGEXREPLACE(D621,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621" s="79" t="str">
        <f>IFERROR(__xludf.DUMMYFUNCTION("TRIM(REGEXREPLACE(E621,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621" s="79" t="s">
        <v>3560</v>
      </c>
      <c r="K621" s="79" t="s">
        <v>3561</v>
      </c>
      <c r="L621" s="79" t="s">
        <v>3562</v>
      </c>
    </row>
    <row r="622">
      <c r="A622" s="79" t="s">
        <v>396</v>
      </c>
      <c r="B622" s="80" t="s">
        <v>3563</v>
      </c>
      <c r="C622" s="80" t="s">
        <v>3466</v>
      </c>
      <c r="D622" s="80" t="s">
        <v>3467</v>
      </c>
      <c r="E622" s="80" t="s">
        <v>3468</v>
      </c>
      <c r="F622" s="82">
        <v>347.0</v>
      </c>
      <c r="G622" s="79" t="str">
        <f>IFERROR(__xludf.DUMMYFUNCTION("TRIM(REGEXREPLACE(C622, ""[0-9]+[a-f]?\."", """"))"),"How much in total did members of your household receive from people out of Niger?")</f>
        <v>How much in total did members of your household receive from people out of Niger?</v>
      </c>
      <c r="H622" s="79" t="str">
        <f>IFERROR(__xludf.DUMMYFUNCTION("TRIM(REGEXREPLACE(D622, ""[0-9]+[a-f]?\."", """"))"),"Combien au total les membres de votre ménage ont-ils reçu des personnes qui ne sont pas au Niger ?")</f>
        <v>Combien au total les membres de votre ménage ont-ils reçu des personnes qui ne sont pas au Niger ?</v>
      </c>
      <c r="I622" s="79" t="str">
        <f>IFERROR(__xludf.DUMMYFUNCTION("TRIM(REGEXREPLACE(E622, ""[0-9]+[a-f]?\."", """"))"),"Nawa ne yan gidanku ya samu daga mutanen da ke zaune a ƙasar waje ba Nijar ba?")</f>
        <v>Nawa ne yan gidanku ya samu daga mutanen da ke zaune a ƙasar waje ba Nijar ba?</v>
      </c>
      <c r="J622" s="79" t="s">
        <v>3567</v>
      </c>
      <c r="K622" s="79" t="s">
        <v>3568</v>
      </c>
      <c r="L622" s="79" t="s">
        <v>3569</v>
      </c>
    </row>
    <row r="623">
      <c r="A623" s="79" t="s">
        <v>3506</v>
      </c>
      <c r="B623" s="80" t="s">
        <v>3570</v>
      </c>
      <c r="C623" s="80" t="s">
        <v>3472</v>
      </c>
      <c r="D623" s="80" t="s">
        <v>3473</v>
      </c>
      <c r="E623" s="80" t="s">
        <v>3474</v>
      </c>
      <c r="F623" s="82">
        <v>348.0</v>
      </c>
      <c r="G623" s="79" t="str">
        <f>IFERROR(__xludf.DUMMYFUNCTION("TRIM(REGEXREPLACE(C623, ""[0-9]+[a-f]?\."", """"))"),"How was this money transmitted to your household?")</f>
        <v>How was this money transmitted to your household?</v>
      </c>
      <c r="H623" s="79" t="str">
        <f>IFERROR(__xludf.DUMMYFUNCTION("TRIM(REGEXREPLACE(D623, ""[0-9]+[a-f]?\."", """"))"),"Comment cet argent a-t-il été envoyé à votre ménage ?")</f>
        <v>Comment cet argent a-t-il été envoyé à votre ménage ?</v>
      </c>
      <c r="I623" s="79" t="str">
        <f>IFERROR(__xludf.DUMMYFUNCTION("TRIM(REGEXREPLACE(E623, ""[0-9]+[a-f]?\."", """"))"),"Ta wace hanya aka aikawa gidanku wannan kuɗin ?")</f>
        <v>Ta wace hanya aka aikawa gidanku wannan kuɗin ?</v>
      </c>
      <c r="J623" s="79" t="s">
        <v>3571</v>
      </c>
      <c r="K623" s="79" t="s">
        <v>3572</v>
      </c>
      <c r="L623" s="79" t="s">
        <v>3573</v>
      </c>
    </row>
    <row r="624">
      <c r="A624" s="79" t="s">
        <v>299</v>
      </c>
      <c r="B624" s="80" t="s">
        <v>3575</v>
      </c>
      <c r="C624" s="80" t="s">
        <v>3475</v>
      </c>
      <c r="D624" s="80" t="s">
        <v>3476</v>
      </c>
      <c r="E624" s="80" t="s">
        <v>3477</v>
      </c>
      <c r="F624" s="82">
        <v>349.0</v>
      </c>
      <c r="G624" s="79" t="str">
        <f>IFERROR(__xludf.DUMMYFUNCTION("TRIM(REGEXREPLACE(C624, ""[0-9]+[a-f]?\."", """"))"),"Specify other transfer method")</f>
        <v>Specify other transfer method</v>
      </c>
      <c r="H624" s="79" t="str">
        <f>IFERROR(__xludf.DUMMYFUNCTION("TRIM(REGEXREPLACE(D624, ""[0-9]+[a-f]?\."", """"))"),"Précisez la méthode du transfert")</f>
        <v>Précisez la méthode du transfert</v>
      </c>
      <c r="I624" s="79" t="str">
        <f>IFERROR(__xludf.DUMMYFUNCTION("TRIM(REGEXREPLACE(E624, ""[0-9]+[a-f]?\."", """"))"),"Wani daban a Bayyana")</f>
        <v>Wani daban a Bayyana</v>
      </c>
      <c r="J624" s="79" t="s">
        <v>3578</v>
      </c>
      <c r="K624" s="79" t="s">
        <v>3579</v>
      </c>
      <c r="L624" s="79" t="s">
        <v>3580</v>
      </c>
    </row>
    <row r="625">
      <c r="A625" s="79" t="s">
        <v>277</v>
      </c>
      <c r="B625" s="80" t="s">
        <v>3581</v>
      </c>
      <c r="C625" s="80" t="s">
        <v>3480</v>
      </c>
      <c r="D625" s="80" t="s">
        <v>3482</v>
      </c>
      <c r="E625" s="80" t="s">
        <v>3483</v>
      </c>
      <c r="F625" s="82">
        <v>350.0</v>
      </c>
      <c r="G625" s="79" t="str">
        <f>IFERROR(__xludf.DUMMYFUNCTION("TRIM(REGEXREPLACE(C625,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625" s="79" t="str">
        <f>IFERROR(__xludf.DUMMYFUNCTION("TRIM(REGEXREPLACE(D625,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625" s="79" t="str">
        <f>IFERROR(__xludf.DUMMYFUNCTION("TRIM(REGEXREPLACE(E625,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625" s="79" t="s">
        <v>3584</v>
      </c>
      <c r="K625" s="79" t="s">
        <v>3585</v>
      </c>
      <c r="L625" s="79" t="s">
        <v>3586</v>
      </c>
    </row>
    <row r="626">
      <c r="A626" s="79" t="s">
        <v>396</v>
      </c>
      <c r="B626" s="80" t="s">
        <v>3587</v>
      </c>
      <c r="C626" s="80" t="s">
        <v>3484</v>
      </c>
      <c r="D626" s="80" t="s">
        <v>3485</v>
      </c>
      <c r="E626" s="80" t="s">
        <v>3486</v>
      </c>
      <c r="F626" s="82">
        <v>351.0</v>
      </c>
      <c r="G626" s="79" t="str">
        <f>IFERROR(__xludf.DUMMYFUNCTION("TRIM(REGEXREPLACE(C626, ""[0-9]+[a-f]?\."", """"))"),"What was the value of the goods members of your household receive from people out of Niger?")</f>
        <v>What was the value of the goods members of your household receive from people out of Niger?</v>
      </c>
      <c r="H626" s="79" t="str">
        <f>IFERROR(__xludf.DUMMYFUNCTION("TRIM(REGEXREPLACE(D626, ""[0-9]+[a-f]?\."", """"))"),"Quel était la valeur au totale des biens que les membres de votre ménage ont reçu des personnes qui ne sont pas au Niger ?")</f>
        <v>Quel était la valeur au totale des biens que les membres de votre ménage ont reçu des personnes qui ne sont pas au Niger ?</v>
      </c>
      <c r="I626" s="79" t="str">
        <f>IFERROR(__xludf.DUMMYFUNCTION("TRIM(REGEXREPLACE(E626, ""[0-9]+[a-f]?\."", """"))"),"Nawa kimar kayan da ƴan gidanku suka samo daga mutanen da ke zaune a ƙasar waje ba Nijar ba?")</f>
        <v>Nawa kimar kayan da ƴan gidanku suka samo daga mutanen da ke zaune a ƙasar waje ba Nijar ba?</v>
      </c>
      <c r="J626" s="79" t="s">
        <v>3588</v>
      </c>
      <c r="K626" s="79" t="s">
        <v>3589</v>
      </c>
      <c r="L626" s="79" t="s">
        <v>3590</v>
      </c>
    </row>
    <row r="627">
      <c r="A627" s="79" t="s">
        <v>3536</v>
      </c>
      <c r="B627" s="80" t="s">
        <v>3592</v>
      </c>
      <c r="C627" s="80" t="s">
        <v>3593</v>
      </c>
      <c r="D627" s="80" t="s">
        <v>3594</v>
      </c>
      <c r="E627" s="80" t="s">
        <v>3595</v>
      </c>
      <c r="F627" s="82">
        <v>352.0</v>
      </c>
      <c r="G627" s="79" t="str">
        <f>IFERROR(__xludf.DUMMYFUNCTION("TRIM(REGEXREPLACE(C627, ""[0-9]+[a-f]?\."", """"))"),"How were these goods transmitted to your household?")</f>
        <v>How were these goods transmitted to your household?</v>
      </c>
      <c r="H627" s="79" t="str">
        <f>IFERROR(__xludf.DUMMYFUNCTION("TRIM(REGEXREPLACE(D627, ""[0-9]+[a-f]?\."", """"))"),"Comment ces biens ont-ils été envoyé à votre ménage ?")</f>
        <v>Comment ces biens ont-ils été envoyé à votre ménage ?</v>
      </c>
      <c r="I627" s="79" t="str">
        <f>IFERROR(__xludf.DUMMYFUNCTION("TRIM(REGEXREPLACE(E627, ""[0-9]+[a-f]?\."", """"))"),"Ta yaya aka aika waɗannan kayan zuwa gidanku?")</f>
        <v>Ta yaya aka aika waɗannan kayan zuwa gidanku?</v>
      </c>
      <c r="J627" s="79" t="s">
        <v>3597</v>
      </c>
      <c r="K627" s="79" t="s">
        <v>3598</v>
      </c>
      <c r="L627" s="79" t="s">
        <v>3599</v>
      </c>
    </row>
    <row r="628">
      <c r="A628" s="79" t="s">
        <v>299</v>
      </c>
      <c r="B628" s="80" t="s">
        <v>3600</v>
      </c>
      <c r="C628" s="80" t="s">
        <v>3601</v>
      </c>
      <c r="D628" s="80" t="s">
        <v>3602</v>
      </c>
      <c r="E628" s="80" t="s">
        <v>3603</v>
      </c>
      <c r="F628" s="82">
        <v>353.0</v>
      </c>
      <c r="G628" s="79" t="str">
        <f>IFERROR(__xludf.DUMMYFUNCTION("TRIM(REGEXREPLACE(C628, ""[0-9]+[a-f]?\."", """"))"),"Specify other transfer method")</f>
        <v>Specify other transfer method</v>
      </c>
      <c r="H628" s="79" t="str">
        <f>IFERROR(__xludf.DUMMYFUNCTION("TRIM(REGEXREPLACE(D628, ""[0-9]+[a-f]?\."", """"))"),"Précisez la méthode du transfert")</f>
        <v>Précisez la méthode du transfert</v>
      </c>
      <c r="I628" s="79" t="str">
        <f>IFERROR(__xludf.DUMMYFUNCTION("TRIM(REGEXREPLACE(E628, ""[0-9]+[a-f]?\."", """"))"),"Wani daban a Bayyana")</f>
        <v>Wani daban a Bayyana</v>
      </c>
      <c r="J628" s="79" t="s">
        <v>3604</v>
      </c>
      <c r="K628" s="79" t="s">
        <v>3605</v>
      </c>
      <c r="L628" s="79" t="s">
        <v>3606</v>
      </c>
    </row>
    <row r="629">
      <c r="A629" s="79" t="s">
        <v>277</v>
      </c>
      <c r="B629" s="80" t="s">
        <v>3607</v>
      </c>
      <c r="C629" s="80" t="s">
        <v>3608</v>
      </c>
      <c r="D629" s="80" t="s">
        <v>3609</v>
      </c>
      <c r="E629" s="80" t="s">
        <v>3610</v>
      </c>
      <c r="F629" s="82">
        <v>354.0</v>
      </c>
      <c r="G629" s="79" t="str">
        <f>IFERROR(__xludf.DUMMYFUNCTION("TRIM(REGEXREPLACE(C629,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629" s="79" t="str">
        <f>IFERROR(__xludf.DUMMYFUNCTION("TRIM(REGEXREPLACE(D629,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629" s="79" t="str">
        <f>IFERROR(__xludf.DUMMYFUNCTION("TRIM(REGEXREPLACE(E629,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629" s="79" t="s">
        <v>3611</v>
      </c>
      <c r="K629" s="79" t="s">
        <v>3612</v>
      </c>
      <c r="L629" s="79" t="s">
        <v>3613</v>
      </c>
    </row>
    <row r="630">
      <c r="A630" s="79" t="s">
        <v>396</v>
      </c>
      <c r="B630" s="80" t="s">
        <v>3614</v>
      </c>
      <c r="C630" s="80" t="s">
        <v>3615</v>
      </c>
      <c r="D630" s="80" t="s">
        <v>3616</v>
      </c>
      <c r="E630" s="80" t="s">
        <v>3617</v>
      </c>
      <c r="F630" s="82">
        <v>355.0</v>
      </c>
      <c r="G630" s="79" t="str">
        <f>IFERROR(__xludf.DUMMYFUNCTION("TRIM(REGEXREPLACE(C630, ""[0-9]+[a-f]?\."", """"))"),"How much did your household send to people elsewhere in Niger?")</f>
        <v>How much did your household send to people elsewhere in Niger?</v>
      </c>
      <c r="H630" s="79" t="str">
        <f>IFERROR(__xludf.DUMMYFUNCTION("TRIM(REGEXREPLACE(D630, ""[0-9]+[a-f]?\."", """"))"),"Combien votre ménage a-t-il envoyé à des personnes qui sont quelque part au Niger ?")</f>
        <v>Combien votre ménage a-t-il envoyé à des personnes qui sont quelque part au Niger ?</v>
      </c>
      <c r="I630" s="79" t="str">
        <f>IFERROR(__xludf.DUMMYFUNCTION("TRIM(REGEXREPLACE(E630, ""[0-9]+[a-f]?\."", """"))"),"Nawa ne gidanku ya aikawa mutanen da ke wasu wurare a Nijar?")</f>
        <v>Nawa ne gidanku ya aikawa mutanen da ke wasu wurare a Nijar?</v>
      </c>
      <c r="J630" s="79" t="s">
        <v>3622</v>
      </c>
      <c r="K630" s="79" t="s">
        <v>3623</v>
      </c>
      <c r="L630" s="79" t="s">
        <v>3624</v>
      </c>
    </row>
    <row r="631">
      <c r="A631" s="79" t="s">
        <v>3506</v>
      </c>
      <c r="B631" s="80" t="s">
        <v>3625</v>
      </c>
      <c r="C631" s="80" t="s">
        <v>3626</v>
      </c>
      <c r="D631" s="80" t="s">
        <v>3627</v>
      </c>
      <c r="E631" s="80" t="s">
        <v>3628</v>
      </c>
      <c r="F631" s="82">
        <v>356.0</v>
      </c>
      <c r="G631" s="79" t="str">
        <f>IFERROR(__xludf.DUMMYFUNCTION("TRIM(REGEXREPLACE(C631, ""[0-9]+[a-f]?\."", """"))"),"How did you transmit the money to the recipient?")</f>
        <v>How did you transmit the money to the recipient?</v>
      </c>
      <c r="H631" s="79" t="str">
        <f>IFERROR(__xludf.DUMMYFUNCTION("TRIM(REGEXREPLACE(D631, ""[0-9]+[a-f]?\."", """"))"),"Comment avez-vous envoyé l'argent au destinataire ?")</f>
        <v>Comment avez-vous envoyé l'argent au destinataire ?</v>
      </c>
      <c r="I631" s="79" t="str">
        <f>IFERROR(__xludf.DUMMYFUNCTION("TRIM(REGEXREPLACE(E631, ""[0-9]+[a-f]?\."", """"))"),"Ta wace hanya kuka aika kuɗin ga mai karɓa?")</f>
        <v>Ta wace hanya kuka aika kuɗin ga mai karɓa?</v>
      </c>
      <c r="J631" s="79" t="s">
        <v>3629</v>
      </c>
      <c r="K631" s="79" t="s">
        <v>3630</v>
      </c>
      <c r="L631" s="79" t="s">
        <v>3631</v>
      </c>
    </row>
    <row r="632">
      <c r="A632" s="79" t="s">
        <v>299</v>
      </c>
      <c r="B632" s="80" t="s">
        <v>3632</v>
      </c>
      <c r="C632" s="80" t="s">
        <v>3633</v>
      </c>
      <c r="D632" s="80" t="s">
        <v>3634</v>
      </c>
      <c r="E632" s="80" t="s">
        <v>3635</v>
      </c>
      <c r="F632" s="82">
        <v>357.0</v>
      </c>
      <c r="G632" s="79" t="str">
        <f>IFERROR(__xludf.DUMMYFUNCTION("TRIM(REGEXREPLACE(C632, ""[0-9]+[a-f]?\."", """"))"),"Specify other transfer method")</f>
        <v>Specify other transfer method</v>
      </c>
      <c r="H632" s="79" t="str">
        <f>IFERROR(__xludf.DUMMYFUNCTION("TRIM(REGEXREPLACE(D632, ""[0-9]+[a-f]?\."", """"))"),"Précisez la méthode du transfert")</f>
        <v>Précisez la méthode du transfert</v>
      </c>
      <c r="I632" s="79" t="str">
        <f>IFERROR(__xludf.DUMMYFUNCTION("TRIM(REGEXREPLACE(E632, ""[0-9]+[a-f]?\."", """"))"),"Wani daban a Bayyana")</f>
        <v>Wani daban a Bayyana</v>
      </c>
      <c r="J632" s="79" t="s">
        <v>3636</v>
      </c>
      <c r="K632" s="79" t="s">
        <v>3638</v>
      </c>
      <c r="L632" s="79" t="s">
        <v>3639</v>
      </c>
    </row>
    <row r="633">
      <c r="A633" s="79" t="s">
        <v>277</v>
      </c>
      <c r="B633" s="80" t="s">
        <v>3640</v>
      </c>
      <c r="C633" s="80" t="s">
        <v>3641</v>
      </c>
      <c r="D633" s="80" t="s">
        <v>3642</v>
      </c>
      <c r="E633" s="80" t="s">
        <v>3643</v>
      </c>
      <c r="F633" s="82">
        <v>358.0</v>
      </c>
      <c r="G633" s="79" t="str">
        <f>IFERROR(__xludf.DUMMYFUNCTION("TRIM(REGEXREPLACE(C633,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633" s="79" t="str">
        <f>IFERROR(__xludf.DUMMYFUNCTION("TRIM(REGEXREPLACE(D633,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633" s="79" t="str">
        <f>IFERROR(__xludf.DUMMYFUNCTION("TRIM(REGEXREPLACE(E633,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633" s="79" t="s">
        <v>3645</v>
      </c>
      <c r="K633" s="79" t="s">
        <v>3646</v>
      </c>
      <c r="L633" s="79" t="s">
        <v>3647</v>
      </c>
    </row>
    <row r="634">
      <c r="A634" s="79" t="s">
        <v>396</v>
      </c>
      <c r="B634" s="80" t="s">
        <v>3648</v>
      </c>
      <c r="C634" s="80" t="s">
        <v>3649</v>
      </c>
      <c r="D634" s="80" t="s">
        <v>3650</v>
      </c>
      <c r="E634" s="80" t="s">
        <v>3651</v>
      </c>
      <c r="F634" s="82">
        <v>359.0</v>
      </c>
      <c r="G634" s="79" t="str">
        <f>IFERROR(__xludf.DUMMYFUNCTION("TRIM(REGEXREPLACE(C634, ""[0-9]+[a-f]?\."", """"))"),"What was the value of the goods members of your household sent to people elsewhere in Niger?")</f>
        <v>What was the value of the goods members of your household sent to people elsewhere in Niger?</v>
      </c>
      <c r="H634" s="79" t="str">
        <f>IFERROR(__xludf.DUMMYFUNCTION("TRIM(REGEXREPLACE(D634,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634" s="79" t="str">
        <f>IFERROR(__xludf.DUMMYFUNCTION("TRIM(REGEXREPLACE(E634, ""[0-9]+[a-f]?\."", """"))"),"Nawa ne kimar kayan da ƴan gidanku suka aika wa mutane a wasu wurare a cikin Nijar?")</f>
        <v>Nawa ne kimar kayan da ƴan gidanku suka aika wa mutane a wasu wurare a cikin Nijar?</v>
      </c>
      <c r="J634" s="79" t="s">
        <v>3653</v>
      </c>
      <c r="K634" s="79" t="s">
        <v>3654</v>
      </c>
      <c r="L634" s="79" t="s">
        <v>3655</v>
      </c>
    </row>
    <row r="635">
      <c r="A635" s="79" t="s">
        <v>3536</v>
      </c>
      <c r="B635" s="80" t="s">
        <v>3656</v>
      </c>
      <c r="C635" s="80" t="s">
        <v>3657</v>
      </c>
      <c r="D635" s="80" t="s">
        <v>3658</v>
      </c>
      <c r="E635" s="80" t="s">
        <v>3659</v>
      </c>
      <c r="F635" s="82">
        <v>360.0</v>
      </c>
      <c r="G635" s="79" t="str">
        <f>IFERROR(__xludf.DUMMYFUNCTION("TRIM(REGEXREPLACE(C635, ""[0-9]+[a-f]?\."", """"))"),"How were these goods transmitted to the recipient?")</f>
        <v>How were these goods transmitted to the recipient?</v>
      </c>
      <c r="H635" s="79" t="str">
        <f>IFERROR(__xludf.DUMMYFUNCTION("TRIM(REGEXREPLACE(D635, ""[0-9]+[a-f]?\."", """"))"),"Comment ces biens ont-ils été envoyé au destinataire ?")</f>
        <v>Comment ces biens ont-ils été envoyé au destinataire ?</v>
      </c>
      <c r="I635" s="79" t="str">
        <f>IFERROR(__xludf.DUMMYFUNCTION("TRIM(REGEXREPLACE(E635, ""[0-9]+[a-f]?\."", """"))"),"Ta yaya aka aika waɗannan kayayyaki zuwa ga mai karɓa?")</f>
        <v>Ta yaya aka aika waɗannan kayayyaki zuwa ga mai karɓa?</v>
      </c>
      <c r="J635" s="79" t="s">
        <v>3660</v>
      </c>
      <c r="K635" s="79" t="s">
        <v>3661</v>
      </c>
      <c r="L635" s="79" t="s">
        <v>3662</v>
      </c>
    </row>
    <row r="636">
      <c r="A636" s="79" t="s">
        <v>299</v>
      </c>
      <c r="B636" s="80" t="s">
        <v>3663</v>
      </c>
      <c r="C636" s="80" t="s">
        <v>3664</v>
      </c>
      <c r="D636" s="80" t="s">
        <v>3665</v>
      </c>
      <c r="E636" s="80" t="s">
        <v>3666</v>
      </c>
      <c r="F636" s="82">
        <v>361.0</v>
      </c>
      <c r="G636" s="79" t="str">
        <f>IFERROR(__xludf.DUMMYFUNCTION("TRIM(REGEXREPLACE(C636, ""[0-9]+[a-f]?\."", """"))"),"Specify other transfer method")</f>
        <v>Specify other transfer method</v>
      </c>
      <c r="H636" s="79" t="str">
        <f>IFERROR(__xludf.DUMMYFUNCTION("TRIM(REGEXREPLACE(D636, ""[0-9]+[a-f]?\."", """"))"),"Precisez la methode du transfert")</f>
        <v>Precisez la methode du transfert</v>
      </c>
      <c r="I636" s="79" t="str">
        <f>IFERROR(__xludf.DUMMYFUNCTION("TRIM(REGEXREPLACE(E636, ""[0-9]+[a-f]?\."", """"))"),"Wani daban a Bayyana")</f>
        <v>Wani daban a Bayyana</v>
      </c>
      <c r="J636" s="79" t="s">
        <v>3667</v>
      </c>
      <c r="K636" s="79" t="s">
        <v>3668</v>
      </c>
      <c r="L636" s="79" t="s">
        <v>3669</v>
      </c>
    </row>
    <row r="637">
      <c r="A637" s="79" t="s">
        <v>277</v>
      </c>
      <c r="B637" s="80" t="s">
        <v>3670</v>
      </c>
      <c r="C637" s="80" t="s">
        <v>3671</v>
      </c>
      <c r="D637" s="80" t="s">
        <v>3672</v>
      </c>
      <c r="E637" s="80" t="s">
        <v>3673</v>
      </c>
      <c r="F637" s="82">
        <v>362.0</v>
      </c>
      <c r="G637" s="79" t="str">
        <f>IFERROR(__xludf.DUMMYFUNCTION("TRIM(REGEXREPLACE(C637,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637" s="79" t="str">
        <f>IFERROR(__xludf.DUMMYFUNCTION("TRIM(REGEXREPLACE(D637,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637" s="79" t="str">
        <f>IFERROR(__xludf.DUMMYFUNCTION("TRIM(REGEXREPLACE(E637,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637" s="79" t="s">
        <v>3674</v>
      </c>
      <c r="K637" s="79" t="s">
        <v>3675</v>
      </c>
      <c r="L637" s="79" t="s">
        <v>3676</v>
      </c>
    </row>
    <row r="638">
      <c r="A638" s="79" t="s">
        <v>396</v>
      </c>
      <c r="B638" s="80" t="s">
        <v>3677</v>
      </c>
      <c r="C638" s="80" t="s">
        <v>3678</v>
      </c>
      <c r="D638" s="80" t="s">
        <v>3679</v>
      </c>
      <c r="E638" s="80" t="s">
        <v>3680</v>
      </c>
      <c r="F638" s="82">
        <v>363.0</v>
      </c>
      <c r="G638" s="79" t="str">
        <f>IFERROR(__xludf.DUMMYFUNCTION("TRIM(REGEXREPLACE(C638, ""[0-9]+[a-f]?\."", """"))"),"How much did your household send to people people out of Niger?")</f>
        <v>How much did your household send to people people out of Niger?</v>
      </c>
      <c r="H638" s="79" t="str">
        <f>IFERROR(__xludf.DUMMYFUNCTION("TRIM(REGEXREPLACE(D638, ""[0-9]+[a-f]?\."", """"))"),"Combien votre ménage a-t-il envoyé à d'autres personnes qui sont quelque part hors du Niger ?")</f>
        <v>Combien votre ménage a-t-il envoyé à d'autres personnes qui sont quelque part hors du Niger ?</v>
      </c>
      <c r="I638" s="79" t="str">
        <f>IFERROR(__xludf.DUMMYFUNCTION("TRIM(REGEXREPLACE(E638, ""[0-9]+[a-f]?\."", """"))"),"Nawa gidanku ya aikawa wasu mutane da ke wani wuri ba a Nijar ba?")</f>
        <v>Nawa gidanku ya aikawa wasu mutane da ke wani wuri ba a Nijar ba?</v>
      </c>
      <c r="J638" s="79" t="s">
        <v>3681</v>
      </c>
      <c r="K638" s="79" t="s">
        <v>3682</v>
      </c>
      <c r="L638" s="79" t="s">
        <v>3683</v>
      </c>
    </row>
    <row r="639">
      <c r="A639" s="79" t="s">
        <v>3506</v>
      </c>
      <c r="B639" s="80" t="s">
        <v>3684</v>
      </c>
      <c r="C639" s="80" t="s">
        <v>3685</v>
      </c>
      <c r="D639" s="80" t="s">
        <v>3686</v>
      </c>
      <c r="E639" s="80" t="s">
        <v>3687</v>
      </c>
      <c r="F639" s="82">
        <v>364.0</v>
      </c>
      <c r="G639" s="79" t="str">
        <f>IFERROR(__xludf.DUMMYFUNCTION("TRIM(REGEXREPLACE(C639, ""[0-9]+[a-f]?\."", """"))"),"How did you transmit the money to the recipient?")</f>
        <v>How did you transmit the money to the recipient?</v>
      </c>
      <c r="H639" s="79" t="str">
        <f>IFERROR(__xludf.DUMMYFUNCTION("TRIM(REGEXREPLACE(D639, ""[0-9]+[a-f]?\."", """"))"),"Comment avez-vous transmis l'argent au destinataire ?")</f>
        <v>Comment avez-vous transmis l'argent au destinataire ?</v>
      </c>
      <c r="I639" s="79" t="str">
        <f>IFERROR(__xludf.DUMMYFUNCTION("TRIM(REGEXREPLACE(E639, ""[0-9]+[a-f]?\."", """"))"),"Ta wace hanya kuka aika kuɗin ga mai karɓa?")</f>
        <v>Ta wace hanya kuka aika kuɗin ga mai karɓa?</v>
      </c>
      <c r="J639" s="79" t="s">
        <v>3689</v>
      </c>
      <c r="K639" s="79" t="s">
        <v>3690</v>
      </c>
      <c r="L639" s="79" t="s">
        <v>3691</v>
      </c>
    </row>
    <row r="640">
      <c r="A640" s="79" t="s">
        <v>299</v>
      </c>
      <c r="B640" s="80" t="s">
        <v>3692</v>
      </c>
      <c r="C640" s="80" t="s">
        <v>3693</v>
      </c>
      <c r="D640" s="80" t="s">
        <v>3694</v>
      </c>
      <c r="E640" s="80" t="s">
        <v>3695</v>
      </c>
      <c r="F640" s="82">
        <v>365.0</v>
      </c>
      <c r="G640" s="79" t="str">
        <f>IFERROR(__xludf.DUMMYFUNCTION("TRIM(REGEXREPLACE(C640, ""[0-9]+[a-f]?\."", """"))"),"Specify other transfer method")</f>
        <v>Specify other transfer method</v>
      </c>
      <c r="H640" s="79" t="str">
        <f>IFERROR(__xludf.DUMMYFUNCTION("TRIM(REGEXREPLACE(D640, ""[0-9]+[a-f]?\."", """"))"),"Precisez la methode du transfert")</f>
        <v>Precisez la methode du transfert</v>
      </c>
      <c r="I640" s="79" t="str">
        <f>IFERROR(__xludf.DUMMYFUNCTION("TRIM(REGEXREPLACE(E640, ""[0-9]+[a-f]?\."", """"))"),"Wani daban a Bayyana")</f>
        <v>Wani daban a Bayyana</v>
      </c>
      <c r="J640" s="79" t="s">
        <v>3696</v>
      </c>
      <c r="K640" s="79" t="s">
        <v>3697</v>
      </c>
      <c r="L640" s="79" t="s">
        <v>3698</v>
      </c>
    </row>
    <row r="641">
      <c r="A641" s="79" t="s">
        <v>277</v>
      </c>
      <c r="B641" s="80" t="s">
        <v>3699</v>
      </c>
      <c r="C641" s="80" t="s">
        <v>3700</v>
      </c>
      <c r="D641" s="80" t="s">
        <v>3701</v>
      </c>
      <c r="E641" s="80" t="s">
        <v>3702</v>
      </c>
      <c r="F641" s="82">
        <v>366.0</v>
      </c>
      <c r="G641" s="79" t="str">
        <f>IFERROR(__xludf.DUMMYFUNCTION("TRIM(REGEXREPLACE(C641,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641" s="79" t="str">
        <f>IFERROR(__xludf.DUMMYFUNCTION("TRIM(REGEXREPLACE(D641,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641" s="79" t="str">
        <f>IFERROR(__xludf.DUMMYFUNCTION("TRIM(REGEXREPLACE(E641,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641" s="79" t="s">
        <v>3703</v>
      </c>
      <c r="K641" s="79" t="s">
        <v>3705</v>
      </c>
      <c r="L641" s="79" t="s">
        <v>3707</v>
      </c>
    </row>
    <row r="642">
      <c r="A642" s="79" t="s">
        <v>396</v>
      </c>
      <c r="B642" s="80" t="s">
        <v>3709</v>
      </c>
      <c r="C642" s="80" t="s">
        <v>3710</v>
      </c>
      <c r="D642" s="80" t="s">
        <v>3711</v>
      </c>
      <c r="E642" s="80" t="s">
        <v>3712</v>
      </c>
      <c r="F642" s="82">
        <v>367.0</v>
      </c>
      <c r="G642" s="79" t="str">
        <f>IFERROR(__xludf.DUMMYFUNCTION("TRIM(REGEXREPLACE(C642, ""[0-9]+[a-f]?\."", """"))"),"What was the value of the goods members of your household sent to people out of Niger?")</f>
        <v>What was the value of the goods members of your household sent to people out of Niger?</v>
      </c>
      <c r="H642" s="79" t="str">
        <f>IFERROR(__xludf.DUMMYFUNCTION("TRIM(REGEXREPLACE(D642,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642" s="79" t="str">
        <f>IFERROR(__xludf.DUMMYFUNCTION("TRIM(REGEXREPLACE(E642, ""[0-9]+[a-f]?\."", """"))"),"Nawa ne kimar kayan da ƴan gidanku suka aikawa wasu mutane da ke wani wuri ba a Nijar ba?")</f>
        <v>Nawa ne kimar kayan da ƴan gidanku suka aikawa wasu mutane da ke wani wuri ba a Nijar ba?</v>
      </c>
      <c r="J642" s="79" t="s">
        <v>3713</v>
      </c>
      <c r="K642" s="79" t="s">
        <v>3714</v>
      </c>
      <c r="L642" s="79" t="s">
        <v>3715</v>
      </c>
    </row>
    <row r="643">
      <c r="A643" s="79" t="s">
        <v>3536</v>
      </c>
      <c r="B643" s="80" t="s">
        <v>3716</v>
      </c>
      <c r="C643" s="80" t="s">
        <v>3717</v>
      </c>
      <c r="D643" s="80" t="s">
        <v>3718</v>
      </c>
      <c r="E643" s="80" t="s">
        <v>3719</v>
      </c>
      <c r="F643" s="82">
        <v>368.0</v>
      </c>
      <c r="G643" s="79" t="str">
        <f>IFERROR(__xludf.DUMMYFUNCTION("TRIM(REGEXREPLACE(C643, ""[0-9]+[a-f]?\."", """"))"),"How were these goods transmitted to the recipient?")</f>
        <v>How were these goods transmitted to the recipient?</v>
      </c>
      <c r="H643" s="79" t="str">
        <f>IFERROR(__xludf.DUMMYFUNCTION("TRIM(REGEXREPLACE(D643, ""[0-9]+[a-f]?\."", """"))"),"Comment ces biens ont-ils été envoyé au destinataire ?")</f>
        <v>Comment ces biens ont-ils été envoyé au destinataire ?</v>
      </c>
      <c r="I643" s="79" t="str">
        <f>IFERROR(__xludf.DUMMYFUNCTION("TRIM(REGEXREPLACE(E643, ""[0-9]+[a-f]?\."", """"))"),"Ta yaya aka aika waɗannan kayayyaki zuwa ga mai karɓa?")</f>
        <v>Ta yaya aka aika waɗannan kayayyaki zuwa ga mai karɓa?</v>
      </c>
      <c r="J643" s="79" t="s">
        <v>3723</v>
      </c>
      <c r="K643" s="79" t="s">
        <v>3724</v>
      </c>
      <c r="L643" s="79" t="s">
        <v>3725</v>
      </c>
    </row>
    <row r="644">
      <c r="A644" s="79" t="s">
        <v>299</v>
      </c>
      <c r="B644" s="80" t="s">
        <v>3726</v>
      </c>
      <c r="C644" s="80" t="s">
        <v>3727</v>
      </c>
      <c r="D644" s="80" t="s">
        <v>3728</v>
      </c>
      <c r="E644" s="80" t="s">
        <v>3729</v>
      </c>
      <c r="F644" s="82">
        <v>369.0</v>
      </c>
      <c r="G644" s="79" t="str">
        <f>IFERROR(__xludf.DUMMYFUNCTION("TRIM(REGEXREPLACE(C644, ""[0-9]+[a-f]?\."", """"))"),"Specify other transfer method")</f>
        <v>Specify other transfer method</v>
      </c>
      <c r="H644" s="79" t="str">
        <f>IFERROR(__xludf.DUMMYFUNCTION("TRIM(REGEXREPLACE(D644, ""[0-9]+[a-f]?\."", """"))"),"Precisez la methode du transfert")</f>
        <v>Precisez la methode du transfert</v>
      </c>
      <c r="I644" s="79" t="str">
        <f>IFERROR(__xludf.DUMMYFUNCTION("TRIM(REGEXREPLACE(E644, ""[0-9]+[a-f]?\."", """"))"),"Wani daban a Bayyana")</f>
        <v>Wani daban a Bayyana</v>
      </c>
      <c r="J644" s="79" t="s">
        <v>3730</v>
      </c>
      <c r="K644" s="79" t="s">
        <v>3731</v>
      </c>
      <c r="L644" s="79" t="s">
        <v>3732</v>
      </c>
    </row>
    <row r="645">
      <c r="A645" s="79" t="s">
        <v>3733</v>
      </c>
      <c r="B645" s="80" t="s">
        <v>3734</v>
      </c>
      <c r="C645" s="80" t="s">
        <v>3735</v>
      </c>
      <c r="D645" s="80" t="s">
        <v>3736</v>
      </c>
      <c r="E645" s="80" t="s">
        <v>3737</v>
      </c>
      <c r="F645" s="82">
        <v>370.0</v>
      </c>
      <c r="G645" s="79" t="str">
        <f>IFERROR(__xludf.DUMMYFUNCTION("TRIM(REGEXREPLACE(C645, ""[0-9]+[a-f]?\."", """"))"),"In the past three months, have you received support from any of the following sources?")</f>
        <v>In the past three months, have you received support from any of the following sources?</v>
      </c>
      <c r="H645" s="79" t="str">
        <f>IFERROR(__xludf.DUMMYFUNCTION("TRIM(REGEXREPLACE(D645, ""[0-9]+[a-f]?\."", """"))"),"Au cours des trois derniers mois, avez-vous reçu de l'aide de l'une des sources suivantes ?")</f>
        <v>Au cours des trois derniers mois, avez-vous reçu de l'aide de l'une des sources suivantes ?</v>
      </c>
      <c r="I645" s="79" t="str">
        <f>IFERROR(__xludf.DUMMYFUNCTION("TRIM(REGEXREPLACE(E645, ""[0-9]+[a-f]?\."", """"))"),"A cikin watanni uku da suka wuce, kun samu taimako daga ɗayan waɗannan hanyoyin?")</f>
        <v>A cikin watanni uku da suka wuce, kun samu taimako daga ɗayan waɗannan hanyoyin?</v>
      </c>
      <c r="J645" s="79" t="s">
        <v>3741</v>
      </c>
      <c r="K645" s="79" t="s">
        <v>3742</v>
      </c>
      <c r="L645" s="79" t="s">
        <v>3743</v>
      </c>
    </row>
    <row r="646">
      <c r="A646" s="79" t="s">
        <v>396</v>
      </c>
      <c r="B646" s="80" t="s">
        <v>3744</v>
      </c>
      <c r="C646" s="80" t="s">
        <v>3745</v>
      </c>
      <c r="D646" s="80" t="s">
        <v>3746</v>
      </c>
      <c r="E646" s="80" t="s">
        <v>3747</v>
      </c>
      <c r="F646" s="82">
        <v>371.0</v>
      </c>
      <c r="G646" s="79" t="str">
        <f>IFERROR(__xludf.DUMMYFUNCTION("TRIM(REGEXREPLACE(C646, ""[0-9]+[a-f]?\."", """"))"),"How much did ou receive from all the sources combined?")</f>
        <v>How much did ou receive from all the sources combined?</v>
      </c>
      <c r="H646" s="79" t="str">
        <f>IFERROR(__xludf.DUMMYFUNCTION("TRIM(REGEXREPLACE(D646, ""[0-9]+[a-f]?\."", """"))"),"Combien avez-vous reçu de toutes les sources confondues ?")</f>
        <v>Combien avez-vous reçu de toutes les sources confondues ?</v>
      </c>
      <c r="I646" s="79" t="str">
        <f>IFERROR(__xludf.DUMMYFUNCTION("TRIM(REGEXREPLACE(E646, ""[0-9]+[a-f]?\."", """"))"),"Nawa kuka samu daga duk hanyoyin shiga gaba ɗayan su?")</f>
        <v>Nawa kuka samu daga duk hanyoyin shiga gaba ɗayan su?</v>
      </c>
      <c r="J646" s="79" t="s">
        <v>3748</v>
      </c>
      <c r="K646" s="79" t="s">
        <v>3749</v>
      </c>
      <c r="L646" s="79" t="s">
        <v>3750</v>
      </c>
    </row>
    <row r="647">
      <c r="A647" s="79" t="s">
        <v>396</v>
      </c>
      <c r="B647" s="80" t="s">
        <v>3751</v>
      </c>
      <c r="C647" s="80" t="s">
        <v>3753</v>
      </c>
      <c r="D647" s="80" t="s">
        <v>3754</v>
      </c>
      <c r="E647" s="80" t="s">
        <v>3756</v>
      </c>
      <c r="F647" s="82">
        <v>372.0</v>
      </c>
      <c r="G647" s="79" t="str">
        <f>IFERROR(__xludf.DUMMYFUNCTION("TRIM(REGEXREPLACE(C647,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647" s="79" t="str">
        <f>IFERROR(__xludf.DUMMYFUNCTION("TRIM(REGEXREPLACE(D647,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647" s="79" t="str">
        <f>IFERROR(__xludf.DUMMYFUNCTION("TRIM(REGEXREPLACE(E647, ""[0-9]+[a-f]?\."", """"))"),"Nawa ne yawan kuɗin taimako ko kyauta da ƴan gidanku suka samu a cikin watanni uku da suka gabata (a sefa) ?")</f>
        <v>Nawa ne yawan kuɗin taimako ko kyauta da ƴan gidanku suka samu a cikin watanni uku da suka gabata (a sefa) ?</v>
      </c>
      <c r="J647" s="79" t="s">
        <v>3758</v>
      </c>
      <c r="K647" s="79" t="s">
        <v>3759</v>
      </c>
      <c r="L647" s="79" t="s">
        <v>3760</v>
      </c>
    </row>
    <row r="648" hidden="1">
      <c r="B648" s="80"/>
      <c r="C648" s="80"/>
      <c r="D648" s="80"/>
      <c r="E648" s="80"/>
      <c r="F648" s="82">
        <v>380.0</v>
      </c>
      <c r="G648" s="79" t="str">
        <f>IFERROR(__xludf.DUMMYFUNCTION("TRIM(REGEXREPLACE(C648, ""[0-9]+[a-f]?\."", """"))"),"")</f>
        <v/>
      </c>
      <c r="H648" s="79" t="str">
        <f>IFERROR(__xludf.DUMMYFUNCTION("TRIM(REGEXREPLACE(D648, ""[0-9]+[a-f]?\."", """"))"),"")</f>
        <v/>
      </c>
      <c r="I648" s="79" t="str">
        <f>IFERROR(__xludf.DUMMYFUNCTION("TRIM(REGEXREPLACE(E648, ""[0-9]+[a-f]?\."", """"))"),"")</f>
        <v/>
      </c>
      <c r="J648" s="79" t="s">
        <v>3764</v>
      </c>
      <c r="K648" s="79" t="s">
        <v>3765</v>
      </c>
      <c r="L648" s="79" t="s">
        <v>3766</v>
      </c>
    </row>
    <row r="649" hidden="1">
      <c r="B649" s="80"/>
      <c r="C649" s="80"/>
      <c r="D649" s="80"/>
      <c r="E649" s="80"/>
      <c r="F649" s="82">
        <v>381.0</v>
      </c>
      <c r="G649" s="79" t="str">
        <f>IFERROR(__xludf.DUMMYFUNCTION("TRIM(REGEXREPLACE(C649, ""[0-9]+[a-f]?\."", """"))"),"")</f>
        <v/>
      </c>
      <c r="H649" s="79" t="str">
        <f>IFERROR(__xludf.DUMMYFUNCTION("TRIM(REGEXREPLACE(D649, ""[0-9]+[a-f]?\."", """"))"),"")</f>
        <v/>
      </c>
      <c r="I649" s="79" t="str">
        <f>IFERROR(__xludf.DUMMYFUNCTION("TRIM(REGEXREPLACE(E649, ""[0-9]+[a-f]?\."", """"))"),"")</f>
        <v/>
      </c>
      <c r="J649" s="79" t="s">
        <v>3767</v>
      </c>
      <c r="K649" s="79" t="s">
        <v>3768</v>
      </c>
      <c r="L649" s="79" t="s">
        <v>3769</v>
      </c>
    </row>
    <row r="650" hidden="1">
      <c r="B650" s="80"/>
      <c r="C650" s="80"/>
      <c r="D650" s="80"/>
      <c r="E650" s="80"/>
      <c r="F650" s="82">
        <v>382.0</v>
      </c>
      <c r="G650" s="79" t="str">
        <f>IFERROR(__xludf.DUMMYFUNCTION("TRIM(REGEXREPLACE(C650, ""[0-9]+[a-f]?\."", """"))"),"")</f>
        <v/>
      </c>
      <c r="H650" s="79" t="str">
        <f>IFERROR(__xludf.DUMMYFUNCTION("TRIM(REGEXREPLACE(D650, ""[0-9]+[a-f]?\."", """"))"),"")</f>
        <v/>
      </c>
      <c r="I650" s="79" t="str">
        <f>IFERROR(__xludf.DUMMYFUNCTION("TRIM(REGEXREPLACE(E650, ""[0-9]+[a-f]?\."", """"))"),"")</f>
        <v/>
      </c>
      <c r="J650" s="79" t="s">
        <v>3770</v>
      </c>
      <c r="K650" s="79" t="s">
        <v>3771</v>
      </c>
      <c r="L650" s="79" t="s">
        <v>3772</v>
      </c>
    </row>
    <row r="651" hidden="1">
      <c r="B651" s="80"/>
      <c r="C651" s="80"/>
      <c r="D651" s="80"/>
      <c r="E651" s="80"/>
      <c r="F651" s="82">
        <v>383.0</v>
      </c>
      <c r="G651" s="79" t="str">
        <f>IFERROR(__xludf.DUMMYFUNCTION("TRIM(REGEXREPLACE(C651, ""[0-9]+[a-f]?\."", """"))"),"")</f>
        <v/>
      </c>
      <c r="H651" s="79" t="str">
        <f>IFERROR(__xludf.DUMMYFUNCTION("TRIM(REGEXREPLACE(D651, ""[0-9]+[a-f]?\."", """"))"),"")</f>
        <v/>
      </c>
      <c r="I651" s="79" t="str">
        <f>IFERROR(__xludf.DUMMYFUNCTION("TRIM(REGEXREPLACE(E651, ""[0-9]+[a-f]?\."", """"))"),"")</f>
        <v/>
      </c>
      <c r="J651" s="79" t="s">
        <v>3776</v>
      </c>
      <c r="K651" s="79" t="s">
        <v>3777</v>
      </c>
      <c r="L651" s="79" t="s">
        <v>3778</v>
      </c>
    </row>
    <row r="652" hidden="1">
      <c r="B652" s="80"/>
      <c r="C652" s="80"/>
      <c r="D652" s="80"/>
      <c r="E652" s="80"/>
      <c r="F652" s="82">
        <v>384.0</v>
      </c>
      <c r="G652" s="79" t="str">
        <f>IFERROR(__xludf.DUMMYFUNCTION("TRIM(REGEXREPLACE(C652, ""[0-9]+[a-f]?\."", """"))"),"")</f>
        <v/>
      </c>
      <c r="H652" s="79" t="str">
        <f>IFERROR(__xludf.DUMMYFUNCTION("TRIM(REGEXREPLACE(D652, ""[0-9]+[a-f]?\."", """"))"),"")</f>
        <v/>
      </c>
      <c r="I652" s="79" t="str">
        <f>IFERROR(__xludf.DUMMYFUNCTION("TRIM(REGEXREPLACE(E652, ""[0-9]+[a-f]?\."", """"))"),"")</f>
        <v/>
      </c>
      <c r="J652" s="79" t="s">
        <v>3779</v>
      </c>
      <c r="K652" s="79" t="s">
        <v>3780</v>
      </c>
      <c r="L652" s="79" t="s">
        <v>3781</v>
      </c>
    </row>
    <row r="653">
      <c r="A653" s="79" t="s">
        <v>194</v>
      </c>
      <c r="B653" s="80" t="s">
        <v>3782</v>
      </c>
      <c r="C653" s="80" t="s">
        <v>3783</v>
      </c>
      <c r="D653" s="80" t="s">
        <v>3784</v>
      </c>
      <c r="E653" s="80" t="s">
        <v>3785</v>
      </c>
      <c r="F653" s="82">
        <v>373.0</v>
      </c>
      <c r="G653" s="79" t="str">
        <f>IFERROR(__xludf.DUMMYFUNCTION("TRIM(REGEXREPLACE(C653, ""[0-9]+[a-f]?\."", """"))"),"In the past three months did your household make a significant investment or improvement in the house you reside in?")</f>
        <v>In the past three months did your household make a significant investment or improvement in the house you reside in?</v>
      </c>
      <c r="H653" s="79" t="str">
        <f>IFERROR(__xludf.DUMMYFUNCTION("TRIM(REGEXREPLACE(D653,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653" s="79" t="str">
        <f>IFERROR(__xludf.DUMMYFUNCTION("TRIM(REGEXREPLACE(E653, ""[0-9]+[a-f]?\."", """"))"),"A cikin watanni uku da suka wuce, gidanku ya saka wani babban jari ko ya gyara gidan da kuke zaune?")</f>
        <v>A cikin watanni uku da suka wuce, gidanku ya saka wani babban jari ko ya gyara gidan da kuke zaune?</v>
      </c>
      <c r="J653" s="79" t="s">
        <v>3789</v>
      </c>
      <c r="K653" s="79" t="s">
        <v>3790</v>
      </c>
      <c r="L653" s="79" t="s">
        <v>3791</v>
      </c>
    </row>
    <row r="654">
      <c r="A654" s="79" t="s">
        <v>194</v>
      </c>
      <c r="B654" s="80" t="s">
        <v>3792</v>
      </c>
      <c r="C654" s="80" t="s">
        <v>3793</v>
      </c>
      <c r="D654" s="80" t="s">
        <v>3794</v>
      </c>
      <c r="E654" s="80" t="s">
        <v>3795</v>
      </c>
      <c r="F654" s="82">
        <v>374.0</v>
      </c>
      <c r="G654" s="79" t="str">
        <f>IFERROR(__xludf.DUMMYFUNCTION("TRIM(REGEXREPLACE(C654, ""[0-9]+[a-f]?\."", """"))"),"Build additional rooms")</f>
        <v>Build additional rooms</v>
      </c>
      <c r="H654" s="79" t="str">
        <f>IFERROR(__xludf.DUMMYFUNCTION("TRIM(REGEXREPLACE(D654, ""[0-9]+[a-f]?\."", """"))"),"Construire des chambres supplémentaires")</f>
        <v>Construire des chambres supplémentaires</v>
      </c>
      <c r="I654" s="79" t="str">
        <f>IFERROR(__xludf.DUMMYFUNCTION("TRIM(REGEXREPLACE(E654, ""[0-9]+[a-f]?\."", """"))"),"Ginin ƙarin ɗakuna")</f>
        <v>Ginin ƙarin ɗakuna</v>
      </c>
      <c r="J654" s="79" t="s">
        <v>3796</v>
      </c>
      <c r="K654" s="79" t="s">
        <v>3797</v>
      </c>
      <c r="L654" s="79" t="s">
        <v>3798</v>
      </c>
    </row>
    <row r="655">
      <c r="A655" s="79" t="s">
        <v>194</v>
      </c>
      <c r="B655" s="80" t="s">
        <v>3800</v>
      </c>
      <c r="C655" s="80" t="s">
        <v>3801</v>
      </c>
      <c r="D655" s="80" t="s">
        <v>3803</v>
      </c>
      <c r="E655" s="80" t="s">
        <v>3804</v>
      </c>
      <c r="F655" s="82">
        <v>375.0</v>
      </c>
      <c r="G655" s="79" t="str">
        <f>IFERROR(__xludf.DUMMYFUNCTION("TRIM(REGEXREPLACE(C655, ""[0-9]+[a-f]?\."", """"))"),"Improve floors")</f>
        <v>Improve floors</v>
      </c>
      <c r="H655" s="79" t="str">
        <f>IFERROR(__xludf.DUMMYFUNCTION("TRIM(REGEXREPLACE(D655, ""[0-9]+[a-f]?\."", """"))"),"Améliorer les sols")</f>
        <v>Améliorer les sols</v>
      </c>
      <c r="I655" s="79" t="str">
        <f>IFERROR(__xludf.DUMMYFUNCTION("TRIM(REGEXREPLACE(E655, ""[0-9]+[a-f]?\."", """"))"),"Inganta filalayen gida")</f>
        <v>Inganta filalayen gida</v>
      </c>
      <c r="J655" s="79" t="s">
        <v>3806</v>
      </c>
      <c r="K655" s="79" t="s">
        <v>3807</v>
      </c>
      <c r="L655" s="79" t="s">
        <v>3808</v>
      </c>
    </row>
    <row r="656">
      <c r="A656" s="79" t="s">
        <v>194</v>
      </c>
      <c r="B656" s="80" t="s">
        <v>3809</v>
      </c>
      <c r="C656" s="80" t="s">
        <v>3810</v>
      </c>
      <c r="D656" s="80" t="s">
        <v>3811</v>
      </c>
      <c r="E656" s="80" t="s">
        <v>3812</v>
      </c>
      <c r="F656" s="82">
        <v>376.0</v>
      </c>
      <c r="G656" s="79" t="str">
        <f>IFERROR(__xludf.DUMMYFUNCTION("TRIM(REGEXREPLACE(C656, ""[0-9]+[a-f]?\."", """"))"),"Improve walls")</f>
        <v>Improve walls</v>
      </c>
      <c r="H656" s="79" t="str">
        <f>IFERROR(__xludf.DUMMYFUNCTION("TRIM(REGEXREPLACE(D656, ""[0-9]+[a-f]?\."", """"))"),"Réfectionner les murs")</f>
        <v>Réfectionner les murs</v>
      </c>
      <c r="I656" s="79" t="str">
        <f>IFERROR(__xludf.DUMMYFUNCTION("TRIM(REGEXREPLACE(E656, ""[0-9]+[a-f]?\."", """"))"),"gyara katangun gida")</f>
        <v>gyara katangun gida</v>
      </c>
      <c r="J656" s="79" t="s">
        <v>3814</v>
      </c>
      <c r="K656" s="79" t="s">
        <v>3815</v>
      </c>
      <c r="L656" s="79" t="s">
        <v>3817</v>
      </c>
    </row>
    <row r="657">
      <c r="A657" s="79" t="s">
        <v>194</v>
      </c>
      <c r="B657" s="80" t="s">
        <v>3819</v>
      </c>
      <c r="C657" s="80" t="s">
        <v>3820</v>
      </c>
      <c r="D657" s="80" t="s">
        <v>3821</v>
      </c>
      <c r="E657" s="80" t="s">
        <v>3822</v>
      </c>
      <c r="F657" s="82">
        <v>377.0</v>
      </c>
      <c r="G657" s="79" t="str">
        <f>IFERROR(__xludf.DUMMYFUNCTION("TRIM(REGEXREPLACE(C657, ""[0-9]+[a-f]?\."", """"))"),"Improve roof")</f>
        <v>Improve roof</v>
      </c>
      <c r="H657" s="79" t="str">
        <f>IFERROR(__xludf.DUMMYFUNCTION("TRIM(REGEXREPLACE(D657, ""[0-9]+[a-f]?\."", """"))"),"Réfectionner le toit")</f>
        <v>Réfectionner le toit</v>
      </c>
      <c r="I657" s="79" t="str">
        <f>IFERROR(__xludf.DUMMYFUNCTION("TRIM(REGEXREPLACE(E657, ""[0-9]+[a-f]?\."", """"))"),"gyara rufin gida")</f>
        <v>gyara rufin gida</v>
      </c>
      <c r="J657" s="79" t="s">
        <v>3823</v>
      </c>
      <c r="K657" s="79" t="s">
        <v>3824</v>
      </c>
      <c r="L657" s="79" t="s">
        <v>3825</v>
      </c>
    </row>
    <row r="658">
      <c r="A658" s="79" t="s">
        <v>194</v>
      </c>
      <c r="B658" s="80" t="s">
        <v>3826</v>
      </c>
      <c r="C658" s="80" t="s">
        <v>3827</v>
      </c>
      <c r="D658" s="80" t="s">
        <v>3828</v>
      </c>
      <c r="E658" s="80" t="s">
        <v>3829</v>
      </c>
      <c r="F658" s="82">
        <v>378.0</v>
      </c>
      <c r="G658" s="79" t="str">
        <f>IFERROR(__xludf.DUMMYFUNCTION("TRIM(REGEXREPLACE(C658, ""[0-9]+[a-f]?\."", """"))"),"Other improvement")</f>
        <v>Other improvement</v>
      </c>
      <c r="H658" s="79" t="str">
        <f>IFERROR(__xludf.DUMMYFUNCTION("TRIM(REGEXREPLACE(D658, ""[0-9]+[a-f]?\."", """"))"),"Autre amélioration")</f>
        <v>Autre amélioration</v>
      </c>
      <c r="I658" s="79" t="str">
        <f>IFERROR(__xludf.DUMMYFUNCTION("TRIM(REGEXREPLACE(E658, ""[0-9]+[a-f]?\."", """"))"),"Wasu gyare gyare daban")</f>
        <v>Wasu gyare gyare daban</v>
      </c>
      <c r="J658" s="79" t="s">
        <v>3830</v>
      </c>
      <c r="K658" s="79" t="s">
        <v>3831</v>
      </c>
      <c r="L658" s="79" t="s">
        <v>3833</v>
      </c>
    </row>
    <row r="659" hidden="1">
      <c r="B659" s="80"/>
      <c r="C659" s="80"/>
      <c r="D659" s="80"/>
      <c r="E659" s="80"/>
      <c r="F659" s="82">
        <v>387.0</v>
      </c>
      <c r="G659" s="79" t="str">
        <f>IFERROR(__xludf.DUMMYFUNCTION("TRIM(REGEXREPLACE(C659, ""[0-9]+[a-f]?\."", """"))"),"")</f>
        <v/>
      </c>
      <c r="H659" s="79" t="str">
        <f>IFERROR(__xludf.DUMMYFUNCTION("TRIM(REGEXREPLACE(D659, ""[0-9]+[a-f]?\."", """"))"),"")</f>
        <v/>
      </c>
      <c r="I659" s="79" t="str">
        <f>IFERROR(__xludf.DUMMYFUNCTION("TRIM(REGEXREPLACE(E659, ""[0-9]+[a-f]?\."", """"))"),"")</f>
        <v/>
      </c>
      <c r="J659" s="79" t="s">
        <v>3836</v>
      </c>
      <c r="K659" s="79" t="s">
        <v>3837</v>
      </c>
      <c r="L659" s="79" t="s">
        <v>3838</v>
      </c>
    </row>
    <row r="660">
      <c r="A660" s="79" t="s">
        <v>299</v>
      </c>
      <c r="B660" s="80" t="s">
        <v>3839</v>
      </c>
      <c r="C660" s="80" t="s">
        <v>3840</v>
      </c>
      <c r="D660" s="80" t="s">
        <v>3841</v>
      </c>
      <c r="E660" s="80" t="s">
        <v>3842</v>
      </c>
      <c r="F660" s="82">
        <v>379.0</v>
      </c>
      <c r="G660" s="79" t="str">
        <f>IFERROR(__xludf.DUMMYFUNCTION("TRIM(REGEXREPLACE(C660, ""[0-9]+[a-f]?\."", """"))"),"Specify other improvement (i.e. connect to electricity, build latrine)")</f>
        <v>Specify other improvement (i.e. connect to electricity, build latrine)</v>
      </c>
      <c r="H660" s="79" t="str">
        <f>IFERROR(__xludf.DUMMYFUNCTION("TRIM(REGEXREPLACE(D660, ""[0-9]+[a-f]?\."", """"))"),"Précisez les autres améliorations (c.-à-d. connecter de l'électricité, construire des latrines)")</f>
        <v>Précisez les autres améliorations (c.-à-d. connecter de l'électricité, construire des latrines)</v>
      </c>
      <c r="I660" s="79" t="str">
        <f>IFERROR(__xludf.DUMMYFUNCTION("TRIM(REGEXREPLACE(E660, ""[0-9]+[a-f]?\."", """"))"),"Baiyana wasu abubuwan ingantawa (kamar sa wutar lantarki, gina salga (masai ) )")</f>
        <v>Baiyana wasu abubuwan ingantawa (kamar sa wutar lantarki, gina salga (masai ) )</v>
      </c>
      <c r="J660" s="79" t="s">
        <v>3843</v>
      </c>
      <c r="K660" s="79" t="s">
        <v>3844</v>
      </c>
      <c r="L660" s="79" t="s">
        <v>3845</v>
      </c>
    </row>
    <row r="661">
      <c r="A661" s="79" t="s">
        <v>396</v>
      </c>
      <c r="B661" s="80" t="s">
        <v>3847</v>
      </c>
      <c r="C661" s="80" t="s">
        <v>3849</v>
      </c>
      <c r="D661" s="80" t="s">
        <v>3851</v>
      </c>
      <c r="E661" s="80" t="s">
        <v>3852</v>
      </c>
      <c r="F661" s="82">
        <v>380.0</v>
      </c>
      <c r="G661" s="79" t="str">
        <f>IFERROR(__xludf.DUMMYFUNCTION("TRIM(REGEXREPLACE(C661, ""[0-9]+[a-f]?\."", """"))"),"Approximately how much did all of these investments together cost in CFA?")</f>
        <v>Approximately how much did all of these investments together cost in CFA?</v>
      </c>
      <c r="H661" s="79" t="str">
        <f>IFERROR(__xludf.DUMMYFUNCTION("TRIM(REGEXREPLACE(D661, ""[0-9]+[a-f]?\."", """"))"),"Combien ont coûté approximativement tous ces investissements (en CFA) ?")</f>
        <v>Combien ont coûté approximativement tous ces investissements (en CFA) ?</v>
      </c>
      <c r="I661" s="79" t="str">
        <f>IFERROR(__xludf.DUMMYFUNCTION("TRIM(REGEXREPLACE(E661, ""[0-9]+[a-f]?\."", """"))"),"Aƙalla nawa aka kashe akan waɗannan ayyukan a sefa?")</f>
        <v>Aƙalla nawa aka kashe akan waɗannan ayyukan a sefa?</v>
      </c>
      <c r="J661" s="79" t="s">
        <v>3853</v>
      </c>
      <c r="K661" s="79" t="s">
        <v>3854</v>
      </c>
      <c r="L661" s="79" t="s">
        <v>3855</v>
      </c>
    </row>
    <row r="662">
      <c r="A662" s="79" t="s">
        <v>194</v>
      </c>
      <c r="B662" s="80" t="s">
        <v>3856</v>
      </c>
      <c r="C662" s="80" t="s">
        <v>3857</v>
      </c>
      <c r="D662" s="80" t="s">
        <v>3858</v>
      </c>
      <c r="E662" s="80" t="s">
        <v>3859</v>
      </c>
      <c r="F662" s="82">
        <v>381.0</v>
      </c>
      <c r="G662" s="79" t="str">
        <f>IFERROR(__xludf.DUMMYFUNCTION("TRIM(REGEXREPLACE(C662, ""[0-9]+[a-f]?\."", """"))"),"In the past 3 months did you make any investments in your non-agricultural business?")</f>
        <v>In the past 3 months did you make any investments in your non-agricultural business?</v>
      </c>
      <c r="H662" s="79" t="str">
        <f>IFERROR(__xludf.DUMMYFUNCTION("TRIM(REGEXREPLACE(D662, ""[0-9]+[a-f]?\."", """"))"),"Au cours des 3 derniers mois, avez-vous fait des investissements dans votre entreprise non agricole ?")</f>
        <v>Au cours des 3 derniers mois, avez-vous fait des investissements dans votre entreprise non agricole ?</v>
      </c>
      <c r="I662" s="79" t="str">
        <f>IFERROR(__xludf.DUMMYFUNCTION("TRIM(REGEXREPLACE(E662, ""[0-9]+[a-f]?\."", """"))"),"A cikin watanni 3 da suka gabata, kun zuba jari a cikin harkokinku da ba na noma ba?")</f>
        <v>A cikin watanni 3 da suka gabata, kun zuba jari a cikin harkokinku da ba na noma ba?</v>
      </c>
      <c r="J662" s="79" t="s">
        <v>3860</v>
      </c>
      <c r="K662" s="79" t="s">
        <v>3862</v>
      </c>
      <c r="L662" s="79" t="s">
        <v>3864</v>
      </c>
    </row>
    <row r="663">
      <c r="A663" s="79" t="s">
        <v>299</v>
      </c>
      <c r="B663" s="80" t="s">
        <v>3866</v>
      </c>
      <c r="C663" s="80" t="s">
        <v>3764</v>
      </c>
      <c r="D663" s="80" t="s">
        <v>3765</v>
      </c>
      <c r="E663" s="80" t="s">
        <v>3766</v>
      </c>
      <c r="F663" s="82">
        <v>382.0</v>
      </c>
      <c r="G663" s="79" t="str">
        <f>IFERROR(__xludf.DUMMYFUNCTION("TRIM(REGEXREPLACE(C663, ""[0-9]+[a-f]?\."", """"))"),"Specify the improvement to your business")</f>
        <v>Specify the improvement to your business</v>
      </c>
      <c r="H663" s="79" t="str">
        <f>IFERROR(__xludf.DUMMYFUNCTION("TRIM(REGEXREPLACE(D663, ""[0-9]+[a-f]?\."", """"))"),"Précisez les investissements que vous avez fait dans votre entreprise")</f>
        <v>Précisez les investissements que vous avez fait dans votre entreprise</v>
      </c>
      <c r="I663" s="79" t="str">
        <f>IFERROR(__xludf.DUMMYFUNCTION("TRIM(REGEXREPLACE(E663, ""[0-9]+[a-f]?\."", """"))"),"Ku bayyana kuɗin da kuka kashe don haɓɓaka kasuwancin ku")</f>
        <v>Ku bayyana kuɗin da kuka kashe don haɓɓaka kasuwancin ku</v>
      </c>
      <c r="J663" s="79" t="s">
        <v>3868</v>
      </c>
      <c r="K663" s="79" t="s">
        <v>3869</v>
      </c>
      <c r="L663" s="79" t="s">
        <v>3870</v>
      </c>
    </row>
    <row r="664">
      <c r="A664" s="79" t="s">
        <v>194</v>
      </c>
      <c r="B664" s="80" t="s">
        <v>3871</v>
      </c>
      <c r="C664" s="80" t="s">
        <v>3767</v>
      </c>
      <c r="D664" s="80" t="s">
        <v>3768</v>
      </c>
      <c r="E664" s="80" t="s">
        <v>3769</v>
      </c>
      <c r="F664" s="82">
        <v>383.0</v>
      </c>
      <c r="G664" s="79" t="str">
        <f>IFERROR(__xludf.DUMMYFUNCTION("TRIM(REGEXREPLACE(C664, ""[0-9]+[a-f]?\."", """"))"),"In the past 3 months did you make any investments to improve the productivity of your land?")</f>
        <v>In the past 3 months did you make any investments to improve the productivity of your land?</v>
      </c>
      <c r="H664" s="79" t="str">
        <f>IFERROR(__xludf.DUMMYFUNCTION("TRIM(REGEXREPLACE(D664, ""[0-9]+[a-f]?\."", """"))"),"Au cours des 3 derniers mois, avez-vous fait des investissements pour améliorer la productivité de votre terre ?")</f>
        <v>Au cours des 3 derniers mois, avez-vous fait des investissements pour améliorer la productivité de votre terre ?</v>
      </c>
      <c r="I664" s="79" t="str">
        <f>IFERROR(__xludf.DUMMYFUNCTION("TRIM(REGEXREPLACE(E664, ""[0-9]+[a-f]?\."", """"))"),"A cikin watanni 3 da suka gabata, kun zuba kudi don inganta samun amfanin gonakinku?")</f>
        <v>A cikin watanni 3 da suka gabata, kun zuba kudi don inganta samun amfanin gonakinku?</v>
      </c>
      <c r="J664" s="79" t="s">
        <v>3872</v>
      </c>
      <c r="K664" s="79" t="s">
        <v>3873</v>
      </c>
      <c r="L664" s="79" t="s">
        <v>3874</v>
      </c>
    </row>
    <row r="665">
      <c r="A665" s="79" t="s">
        <v>299</v>
      </c>
      <c r="B665" s="80" t="s">
        <v>3875</v>
      </c>
      <c r="C665" s="80" t="s">
        <v>3770</v>
      </c>
      <c r="D665" s="80" t="s">
        <v>3771</v>
      </c>
      <c r="E665" s="80" t="s">
        <v>3772</v>
      </c>
      <c r="F665" s="82">
        <v>384.0</v>
      </c>
      <c r="G665" s="79" t="str">
        <f>IFERROR(__xludf.DUMMYFUNCTION("TRIM(REGEXREPLACE(C665, ""[0-9]+[a-f]?\."", """"))"),"Specify improvement to land")</f>
        <v>Specify improvement to land</v>
      </c>
      <c r="H665" s="79" t="str">
        <f>IFERROR(__xludf.DUMMYFUNCTION("TRIM(REGEXREPLACE(D665, ""[0-9]+[a-f]?\."", """"))"),"Précisez les améliorations de votre terre que vous avez fait")</f>
        <v>Précisez les améliorations de votre terre que vous avez fait</v>
      </c>
      <c r="I665" s="79" t="str">
        <f>IFERROR(__xludf.DUMMYFUNCTION("TRIM(REGEXREPLACE(E665, ""[0-9]+[a-f]?\."", """"))"),"Ku bayyana kuɗin da kuka kashe don haɓɓaka gonarku")</f>
        <v>Ku bayyana kuɗin da kuka kashe don haɓɓaka gonarku</v>
      </c>
      <c r="J665" s="79" t="s">
        <v>3876</v>
      </c>
      <c r="K665" s="79" t="s">
        <v>3877</v>
      </c>
      <c r="L665" s="79" t="s">
        <v>3878</v>
      </c>
    </row>
    <row r="666" hidden="1">
      <c r="B666" s="80"/>
      <c r="C666" s="80"/>
      <c r="D666" s="80"/>
      <c r="E666" s="80"/>
      <c r="F666" s="82">
        <v>389.0</v>
      </c>
      <c r="G666" s="79" t="str">
        <f>IFERROR(__xludf.DUMMYFUNCTION("TRIM(REGEXREPLACE(C666, ""[0-9]+[a-f]?\."", """"))"),"")</f>
        <v/>
      </c>
      <c r="H666" s="79" t="str">
        <f>IFERROR(__xludf.DUMMYFUNCTION("TRIM(REGEXREPLACE(D666, ""[0-9]+[a-f]?\."", """"))"),"")</f>
        <v/>
      </c>
      <c r="I666" s="79" t="str">
        <f>IFERROR(__xludf.DUMMYFUNCTION("TRIM(REGEXREPLACE(E666, ""[0-9]+[a-f]?\."", """"))"),"")</f>
        <v/>
      </c>
      <c r="J666" s="79" t="s">
        <v>3879</v>
      </c>
      <c r="K666" s="79" t="s">
        <v>3880</v>
      </c>
      <c r="L666" s="79" t="s">
        <v>3881</v>
      </c>
    </row>
    <row r="667" hidden="1">
      <c r="B667" s="80"/>
      <c r="C667" s="80"/>
      <c r="D667" s="80"/>
      <c r="E667" s="80"/>
      <c r="F667" s="82">
        <v>390.0</v>
      </c>
      <c r="G667" s="79" t="str">
        <f>IFERROR(__xludf.DUMMYFUNCTION("TRIM(REGEXREPLACE(C667, ""[0-9]+[a-f]?\."", """"))"),"")</f>
        <v/>
      </c>
      <c r="H667" s="79" t="str">
        <f>IFERROR(__xludf.DUMMYFUNCTION("TRIM(REGEXREPLACE(D667, ""[0-9]+[a-f]?\."", """"))"),"")</f>
        <v/>
      </c>
      <c r="I667" s="79" t="str">
        <f>IFERROR(__xludf.DUMMYFUNCTION("TRIM(REGEXREPLACE(E667, ""[0-9]+[a-f]?\."", """"))"),"")</f>
        <v/>
      </c>
      <c r="J667" s="79" t="s">
        <v>3883</v>
      </c>
      <c r="K667" s="79" t="s">
        <v>3884</v>
      </c>
      <c r="L667" s="79" t="s">
        <v>3885</v>
      </c>
    </row>
    <row r="668" hidden="1"/>
    <row r="669">
      <c r="A669" s="79" t="s">
        <v>42</v>
      </c>
      <c r="B669" s="80" t="s">
        <v>3886</v>
      </c>
      <c r="C669" s="80" t="s">
        <v>3776</v>
      </c>
      <c r="D669" s="80" t="s">
        <v>3777</v>
      </c>
      <c r="E669" s="80" t="s">
        <v>3778</v>
      </c>
      <c r="F669" s="82">
        <v>385.0</v>
      </c>
      <c r="G669" s="79" t="str">
        <f>IFERROR(__xludf.DUMMYFUNCTION("TRIM(REGEXREPLACE(C669, ""[0-9]+[a-f]?\."", """"))"),"Now I will ask you about different ways your household may use money that you earn.")</f>
        <v>Now I will ask you about different ways your household may use money that you earn.</v>
      </c>
      <c r="H669" s="79" t="str">
        <f>IFERROR(__xludf.DUMMYFUNCTION("TRIM(REGEXREPLACE(D669, ""[0-9]+[a-f]?\."", """"))"),"Je vais maintenant vous poser des questions sur les différentes façons dont votre ménage peut utiliser l'argent que vous gagnez.")</f>
        <v>Je vais maintenant vous poser des questions sur les différentes façons dont votre ménage peut utiliser l'argent que vous gagnez.</v>
      </c>
      <c r="I669" s="79" t="str">
        <f>IFERROR(__xludf.DUMMYFUNCTION("TRIM(REGEXREPLACE(E669, ""[0-9]+[a-f]?\."", """"))"),"Yanzu zan yi muku tambayoyi game hanyoyi daban-daban da gidanku ke iya amfani da su don kashe kuɗin da yake samu.")</f>
        <v>Yanzu zan yi muku tambayoyi game hanyoyi daban-daban da gidanku ke iya amfani da su don kashe kuɗin da yake samu.</v>
      </c>
      <c r="J669" s="79" t="s">
        <v>3889</v>
      </c>
      <c r="K669" s="79" t="s">
        <v>3891</v>
      </c>
      <c r="L669" s="79" t="s">
        <v>3893</v>
      </c>
    </row>
    <row r="670">
      <c r="A670" s="79" t="s">
        <v>400</v>
      </c>
      <c r="B670" s="80" t="s">
        <v>3894</v>
      </c>
      <c r="C670" s="80" t="s">
        <v>3779</v>
      </c>
      <c r="D670" s="80" t="s">
        <v>3780</v>
      </c>
      <c r="E670" s="80" t="s">
        <v>3781</v>
      </c>
      <c r="F670" s="82">
        <v>386.0</v>
      </c>
      <c r="G670" s="79" t="str">
        <f>IFERROR(__xludf.DUMMYFUNCTION("TRIM(REGEXREPLACE(C670, ""[0-9]+[a-f]?\."", """"))"),"Does your household currently have any savings that you keep in any of the following ways?")</f>
        <v>Does your household currently have any savings that you keep in any of the following ways?</v>
      </c>
      <c r="H670" s="79" t="str">
        <f>IFERROR(__xludf.DUMMYFUNCTION("TRIM(REGEXREPLACE(D670, ""[0-9]+[a-f]?\."", """"))"),"Votre ménage dispose-t-il actuellement d'économies que vous conservez de l'une des manières suivantes ?")</f>
        <v>Votre ménage dispose-t-il actuellement d'économies que vous conservez de l'une des manières suivantes ?</v>
      </c>
      <c r="I670" s="79" t="str">
        <f>IFERROR(__xludf.DUMMYFUNCTION("TRIM(REGEXREPLACE(E670, ""[0-9]+[a-f]?\."", """"))"),"Ko a halin yanzu gidanku na da ajiyar kuɗi daga ɗaya a cikin wanɗannan dubaru?")</f>
        <v>Ko a halin yanzu gidanku na da ajiyar kuɗi daga ɗaya a cikin wanɗannan dubaru?</v>
      </c>
      <c r="J670" s="79" t="s">
        <v>3896</v>
      </c>
      <c r="K670" s="79" t="s">
        <v>3897</v>
      </c>
      <c r="L670" s="79" t="s">
        <v>3898</v>
      </c>
    </row>
    <row r="671">
      <c r="A671" s="79" t="s">
        <v>299</v>
      </c>
      <c r="B671" s="80" t="s">
        <v>3899</v>
      </c>
      <c r="C671" s="80" t="s">
        <v>3900</v>
      </c>
      <c r="D671" s="80" t="s">
        <v>3901</v>
      </c>
      <c r="E671" s="80" t="s">
        <v>3903</v>
      </c>
      <c r="F671" s="82">
        <v>387.0</v>
      </c>
      <c r="G671" s="79" t="str">
        <f>IFERROR(__xludf.DUMMYFUNCTION("TRIM(REGEXREPLACE(C671, ""[0-9]+[a-f]?\."", """"))"),"Specify other:")</f>
        <v>Specify other:</v>
      </c>
      <c r="H671" s="79" t="str">
        <f>IFERROR(__xludf.DUMMYFUNCTION("TRIM(REGEXREPLACE(D671, ""[0-9]+[a-f]?\."", """"))"),"Autre a préciser :")</f>
        <v>Autre a préciser :</v>
      </c>
      <c r="I671" s="79" t="str">
        <f>IFERROR(__xludf.DUMMYFUNCTION("TRIM(REGEXREPLACE(E671, ""[0-9]+[a-f]?\."", """"))"),"Baiyana wani abu daban:")</f>
        <v>Baiyana wani abu daban:</v>
      </c>
      <c r="J671" s="79" t="s">
        <v>3907</v>
      </c>
      <c r="K671" s="79" t="s">
        <v>3908</v>
      </c>
      <c r="L671" s="79" t="s">
        <v>3909</v>
      </c>
    </row>
    <row r="672" hidden="1">
      <c r="B672" s="80"/>
      <c r="C672" s="80"/>
      <c r="D672" s="80"/>
      <c r="E672" s="80"/>
      <c r="F672" s="82">
        <v>391.0</v>
      </c>
      <c r="G672" s="79" t="str">
        <f>IFERROR(__xludf.DUMMYFUNCTION("TRIM(REGEXREPLACE(C672, ""[0-9]+[a-f]?\."", """"))"),"")</f>
        <v/>
      </c>
      <c r="H672" s="79" t="str">
        <f>IFERROR(__xludf.DUMMYFUNCTION("TRIM(REGEXREPLACE(D672, ""[0-9]+[a-f]?\."", """"))"),"")</f>
        <v/>
      </c>
      <c r="I672" s="79" t="str">
        <f>IFERROR(__xludf.DUMMYFUNCTION("TRIM(REGEXREPLACE(E672, ""[0-9]+[a-f]?\."", """"))"),"")</f>
        <v/>
      </c>
      <c r="J672" s="79" t="s">
        <v>3910</v>
      </c>
      <c r="K672" s="79" t="s">
        <v>3911</v>
      </c>
      <c r="L672" s="79" t="s">
        <v>3912</v>
      </c>
    </row>
    <row r="673" hidden="1">
      <c r="B673" s="80"/>
      <c r="C673" s="80"/>
      <c r="D673" s="80"/>
      <c r="E673" s="80"/>
      <c r="F673" s="82">
        <v>392.0</v>
      </c>
      <c r="G673" s="79" t="str">
        <f>IFERROR(__xludf.DUMMYFUNCTION("TRIM(REGEXREPLACE(C673, ""[0-9]+[a-f]?\."", """"))"),"")</f>
        <v/>
      </c>
      <c r="H673" s="79" t="str">
        <f>IFERROR(__xludf.DUMMYFUNCTION("TRIM(REGEXREPLACE(D673, ""[0-9]+[a-f]?\."", """"))"),"")</f>
        <v/>
      </c>
      <c r="I673" s="79" t="str">
        <f>IFERROR(__xludf.DUMMYFUNCTION("TRIM(REGEXREPLACE(E673, ""[0-9]+[a-f]?\."", """"))"),"")</f>
        <v/>
      </c>
      <c r="J673" s="79" t="s">
        <v>3917</v>
      </c>
      <c r="K673" s="79" t="s">
        <v>3918</v>
      </c>
      <c r="L673" s="79" t="s">
        <v>3919</v>
      </c>
    </row>
    <row r="674" hidden="1">
      <c r="B674" s="80"/>
      <c r="C674" s="80"/>
      <c r="D674" s="80"/>
      <c r="E674" s="80"/>
      <c r="F674" s="82">
        <v>393.0</v>
      </c>
      <c r="G674" s="79" t="str">
        <f>IFERROR(__xludf.DUMMYFUNCTION("TRIM(REGEXREPLACE(C674, ""[0-9]+[a-f]?\."", """"))"),"")</f>
        <v/>
      </c>
      <c r="H674" s="79" t="str">
        <f>IFERROR(__xludf.DUMMYFUNCTION("TRIM(REGEXREPLACE(D674, ""[0-9]+[a-f]?\."", """"))"),"")</f>
        <v/>
      </c>
      <c r="I674" s="79" t="str">
        <f>IFERROR(__xludf.DUMMYFUNCTION("TRIM(REGEXREPLACE(E674, ""[0-9]+[a-f]?\."", """"))"),"")</f>
        <v/>
      </c>
      <c r="J674" s="79" t="s">
        <v>3920</v>
      </c>
      <c r="K674" s="79" t="s">
        <v>3921</v>
      </c>
      <c r="L674" s="79" t="s">
        <v>3922</v>
      </c>
    </row>
    <row r="675">
      <c r="A675" s="79" t="s">
        <v>396</v>
      </c>
      <c r="B675" s="80" t="s">
        <v>3923</v>
      </c>
      <c r="C675" s="80" t="s">
        <v>3924</v>
      </c>
      <c r="D675" s="80" t="s">
        <v>3925</v>
      </c>
      <c r="E675" s="80" t="s">
        <v>3926</v>
      </c>
      <c r="F675" s="82">
        <v>388.0</v>
      </c>
      <c r="G675" s="79" t="str">
        <f>IFERROR(__xludf.DUMMYFUNCTION("TRIM(REGEXREPLACE(C675, ""[0-9]+[a-f]?\."", """"))"),"Please share with us your best estimate of the value in CFA ${hoh_savings_name}")</f>
        <v>Please share with us your best estimate of the value in CFA ${hoh_savings_name}</v>
      </c>
      <c r="H675" s="79" t="str">
        <f>IFERROR(__xludf.DUMMYFUNCTION("TRIM(REGEXREPLACE(D675, ""[0-9]+[a-f]?\."", """"))"),"Veuillez nous dire votre meilleure estimation de la valeur en CFA ${hoh_savings_name}")</f>
        <v>Veuillez nous dire votre meilleure estimation de la valeur en CFA ${hoh_savings_name}</v>
      </c>
      <c r="I675" s="79" t="str">
        <f>IFERROR(__xludf.DUMMYFUNCTION("TRIM(REGEXREPLACE(E675, ""[0-9]+[a-f]?\."", """"))"),"Da fatan zaku baiyana mini yawan kuɗin a tsammaninku ${hoh_savings_name} a CFA")</f>
        <v>Da fatan zaku baiyana mini yawan kuɗin a tsammaninku ${hoh_savings_name} a CFA</v>
      </c>
      <c r="J675" s="79" t="s">
        <v>3930</v>
      </c>
      <c r="K675" s="79" t="s">
        <v>3931</v>
      </c>
      <c r="L675" s="79" t="s">
        <v>3932</v>
      </c>
    </row>
    <row r="676">
      <c r="A676" s="79" t="s">
        <v>194</v>
      </c>
      <c r="B676" s="80" t="s">
        <v>3933</v>
      </c>
      <c r="C676" s="80" t="s">
        <v>3836</v>
      </c>
      <c r="D676" s="80" t="s">
        <v>3837</v>
      </c>
      <c r="E676" s="80" t="s">
        <v>3838</v>
      </c>
      <c r="F676" s="82">
        <v>389.0</v>
      </c>
      <c r="G676" s="79" t="str">
        <f>IFERROR(__xludf.DUMMYFUNCTION("TRIM(REGEXREPLACE(C676, ""[0-9]+[a-f]?\."", """"))"),"Do you earn interest on this money ${hoh_savings_name}?")</f>
        <v>Do you earn interest on this money ${hoh_savings_name}?</v>
      </c>
      <c r="H676" s="79" t="str">
        <f>IFERROR(__xludf.DUMMYFUNCTION("TRIM(REGEXREPLACE(D676, ""[0-9]+[a-f]?\."", """"))"),"Gagnez-vous des intérêts sur cet argent ${hoh_savings_name} ?")</f>
        <v>Gagnez-vous des intérêts sur cet argent ${hoh_savings_name} ?</v>
      </c>
      <c r="I676" s="79" t="str">
        <f>IFERROR(__xludf.DUMMYFUNCTION("TRIM(REGEXREPLACE(E676, ""[0-9]+[a-f]?\."", """"))"),"Kuna samun kudin ruwa akan wannan kuɗin ${hoh_savings_name}?")</f>
        <v>Kuna samun kudin ruwa akan wannan kuɗin ${hoh_savings_name}?</v>
      </c>
      <c r="J676" s="79" t="s">
        <v>3934</v>
      </c>
      <c r="K676" s="79" t="s">
        <v>3935</v>
      </c>
      <c r="L676" s="79" t="s">
        <v>3936</v>
      </c>
    </row>
    <row r="677" hidden="1">
      <c r="B677" s="80"/>
      <c r="C677" s="80"/>
      <c r="D677" s="80"/>
      <c r="E677" s="80"/>
      <c r="F677" s="82">
        <v>396.0</v>
      </c>
      <c r="G677" s="79" t="str">
        <f>IFERROR(__xludf.DUMMYFUNCTION("TRIM(REGEXREPLACE(C677, ""[0-9]+[a-f]?\."", """"))"),"")</f>
        <v/>
      </c>
      <c r="H677" s="79" t="str">
        <f>IFERROR(__xludf.DUMMYFUNCTION("TRIM(REGEXREPLACE(D677, ""[0-9]+[a-f]?\."", """"))"),"")</f>
        <v/>
      </c>
      <c r="I677" s="79" t="str">
        <f>IFERROR(__xludf.DUMMYFUNCTION("TRIM(REGEXREPLACE(E677, ""[0-9]+[a-f]?\."", """"))"),"")</f>
        <v/>
      </c>
    </row>
    <row r="678" hidden="1">
      <c r="B678" s="80"/>
      <c r="C678" s="80"/>
      <c r="D678" s="80"/>
      <c r="E678" s="80"/>
      <c r="F678" s="82">
        <v>397.0</v>
      </c>
      <c r="G678" s="79" t="str">
        <f>IFERROR(__xludf.DUMMYFUNCTION("TRIM(REGEXREPLACE(C678, ""[0-9]+[a-f]?\."", """"))"),"")</f>
        <v/>
      </c>
      <c r="H678" s="79" t="str">
        <f>IFERROR(__xludf.DUMMYFUNCTION("TRIM(REGEXREPLACE(D678, ""[0-9]+[a-f]?\."", """"))"),"")</f>
        <v/>
      </c>
      <c r="I678" s="79" t="str">
        <f>IFERROR(__xludf.DUMMYFUNCTION("TRIM(REGEXREPLACE(E678, ""[0-9]+[a-f]?\."", """"))"),"")</f>
        <v/>
      </c>
    </row>
    <row r="679" hidden="1">
      <c r="B679" s="80"/>
      <c r="C679" s="80"/>
      <c r="D679" s="80"/>
      <c r="E679" s="80"/>
      <c r="F679" s="82">
        <v>396.0</v>
      </c>
      <c r="G679" s="79" t="str">
        <f>IFERROR(__xludf.DUMMYFUNCTION("TRIM(REGEXREPLACE(C679, ""[0-9]+[a-f]?\."", """"))"),"")</f>
        <v/>
      </c>
      <c r="H679" s="79" t="str">
        <f>IFERROR(__xludf.DUMMYFUNCTION("TRIM(REGEXREPLACE(D679, ""[0-9]+[a-f]?\."", """"))"),"")</f>
        <v/>
      </c>
      <c r="I679" s="79" t="str">
        <f>IFERROR(__xludf.DUMMYFUNCTION("TRIM(REGEXREPLACE(E679, ""[0-9]+[a-f]?\."", """"))"),"")</f>
        <v/>
      </c>
      <c r="J679" s="79" t="s">
        <v>3941</v>
      </c>
      <c r="K679" s="79" t="s">
        <v>3942</v>
      </c>
      <c r="L679" s="79" t="s">
        <v>3943</v>
      </c>
    </row>
    <row r="680" hidden="1">
      <c r="B680" s="80"/>
      <c r="C680" s="80"/>
      <c r="D680" s="80"/>
      <c r="E680" s="80"/>
      <c r="F680" s="82">
        <v>397.0</v>
      </c>
      <c r="G680" s="79" t="str">
        <f>IFERROR(__xludf.DUMMYFUNCTION("TRIM(REGEXREPLACE(C680, ""[0-9]+[a-f]?\."", """"))"),"")</f>
        <v/>
      </c>
      <c r="H680" s="79" t="str">
        <f>IFERROR(__xludf.DUMMYFUNCTION("TRIM(REGEXREPLACE(D680, ""[0-9]+[a-f]?\."", """"))"),"")</f>
        <v/>
      </c>
      <c r="I680" s="79" t="str">
        <f>IFERROR(__xludf.DUMMYFUNCTION("TRIM(REGEXREPLACE(E680, ""[0-9]+[a-f]?\."", """"))"),"")</f>
        <v/>
      </c>
      <c r="J680" s="79" t="s">
        <v>3945</v>
      </c>
      <c r="K680" s="79" t="s">
        <v>3946</v>
      </c>
      <c r="L680" s="79" t="s">
        <v>3947</v>
      </c>
    </row>
    <row r="681">
      <c r="A681" s="79" t="s">
        <v>194</v>
      </c>
      <c r="B681" s="80" t="s">
        <v>3949</v>
      </c>
      <c r="C681" s="80" t="s">
        <v>3950</v>
      </c>
      <c r="D681" s="80" t="s">
        <v>3951</v>
      </c>
      <c r="E681" s="80" t="s">
        <v>3953</v>
      </c>
      <c r="F681" s="82">
        <v>390.0</v>
      </c>
      <c r="G681" s="79" t="str">
        <f>IFERROR(__xludf.DUMMYFUNCTION("TRIM(REGEXREPLACE(C681, ""[0-9]+[a-f]?\."", """"))"),"Total savings: ${hoh_savings_total}: Does this look correct?")</f>
        <v>Total savings: ${hoh_savings_total}: Does this look correct?</v>
      </c>
      <c r="H681" s="79" t="str">
        <f>IFERROR(__xludf.DUMMYFUNCTION("TRIM(REGEXREPLACE(D681, ""[0-9]+[a-f]?\."", """"))"),"Économies totales : ${hoh_savings_total} : cela vous semble correct ?")</f>
        <v>Économies totales : ${hoh_savings_total} : cela vous semble correct ?</v>
      </c>
      <c r="I681" s="79" t="str">
        <f>IFERROR(__xludf.DUMMYFUNCTION("TRIM(REGEXREPLACE(E681, ""[0-9]+[a-f]?\."", """"))"),"Jimillar ajiya: ${hoh_savings_total}: kuna ganin ​​wannan yayi daidai?")</f>
        <v>Jimillar ajiya: ${hoh_savings_total}: kuna ganin ​​wannan yayi daidai?</v>
      </c>
      <c r="J681" s="79" t="s">
        <v>3956</v>
      </c>
      <c r="K681" s="79" t="s">
        <v>3958</v>
      </c>
      <c r="L681" s="79" t="s">
        <v>3959</v>
      </c>
    </row>
    <row r="682" hidden="1">
      <c r="B682" s="80"/>
      <c r="C682" s="80"/>
      <c r="D682" s="80"/>
      <c r="E682" s="80"/>
      <c r="F682" s="82">
        <v>399.0</v>
      </c>
      <c r="G682" s="79" t="str">
        <f>IFERROR(__xludf.DUMMYFUNCTION("TRIM(REGEXREPLACE(C682, ""[0-9]+[a-f]?\."", """"))"),"")</f>
        <v/>
      </c>
      <c r="H682" s="79" t="str">
        <f>IFERROR(__xludf.DUMMYFUNCTION("TRIM(REGEXREPLACE(D682, ""[0-9]+[a-f]?\."", """"))"),"")</f>
        <v/>
      </c>
      <c r="I682" s="79" t="str">
        <f>IFERROR(__xludf.DUMMYFUNCTION("TRIM(REGEXREPLACE(E682, ""[0-9]+[a-f]?\."", """"))"),"")</f>
        <v/>
      </c>
      <c r="J682" s="79" t="s">
        <v>3961</v>
      </c>
      <c r="K682" s="79" t="s">
        <v>3962</v>
      </c>
      <c r="L682" s="79" t="s">
        <v>3963</v>
      </c>
    </row>
    <row r="683">
      <c r="A683" s="79" t="s">
        <v>1086</v>
      </c>
      <c r="B683" s="80" t="s">
        <v>3964</v>
      </c>
      <c r="C683" s="80" t="s">
        <v>3879</v>
      </c>
      <c r="D683" s="80" t="s">
        <v>3880</v>
      </c>
      <c r="E683" s="80" t="s">
        <v>3881</v>
      </c>
      <c r="F683" s="82">
        <v>391.0</v>
      </c>
      <c r="G683" s="79" t="str">
        <f>IFERROR(__xludf.DUMMYFUNCTION("TRIM(REGEXREPLACE(C683, ""[0-9]+[a-f]?\."", """"))"),"During ${period}, was your household negatively affected by any of the following types of events?")</f>
        <v>During ${period}, was your household negatively affected by any of the following types of events?</v>
      </c>
      <c r="H683" s="79" t="str">
        <f>IFERROR(__xludf.DUMMYFUNCTION("TRIM(REGEXREPLACE(D683, ""[0-9]+[a-f]?\."", """"))"),"Au cours de ${period_french}, votre ménage a-t-il été affecté négativement par l'un des types d'événements suivants ?")</f>
        <v>Au cours de ${period_french}, votre ménage a-t-il été affecté négativement par l'un des types d'événements suivants ?</v>
      </c>
      <c r="I683" s="79" t="str">
        <f>IFERROR(__xludf.DUMMYFUNCTION("TRIM(REGEXREPLACE(E683, ""[0-9]+[a-f]?\."", """"))"),"A lokacin ${period_hausa}, ko gidanku ya fuskanci wani daga cikin matsaloli nan masu zuwa? Zaɓi duk abin da ya dace")</f>
        <v>A lokacin ${period_hausa}, ko gidanku ya fuskanci wani daga cikin matsaloli nan masu zuwa? Zaɓi duk abin da ya dace</v>
      </c>
      <c r="J683" s="79" t="s">
        <v>3965</v>
      </c>
      <c r="K683" s="79" t="s">
        <v>3966</v>
      </c>
      <c r="L683" s="79" t="s">
        <v>3968</v>
      </c>
    </row>
    <row r="684">
      <c r="A684" s="79" t="s">
        <v>299</v>
      </c>
      <c r="B684" s="80" t="s">
        <v>3969</v>
      </c>
      <c r="C684" s="80" t="s">
        <v>3883</v>
      </c>
      <c r="D684" s="80" t="s">
        <v>3884</v>
      </c>
      <c r="E684" s="80" t="s">
        <v>3885</v>
      </c>
      <c r="F684" s="82">
        <v>392.0</v>
      </c>
      <c r="G684" s="79" t="str">
        <f>IFERROR(__xludf.DUMMYFUNCTION("TRIM(REGEXREPLACE(C684, ""[0-9]+[a-f]?\."", """"))"),"Please briefly describe the event(s) that negatveily affected your household")</f>
        <v>Please briefly describe the event(s) that negatveily affected your household</v>
      </c>
      <c r="H684" s="79" t="str">
        <f>IFERROR(__xludf.DUMMYFUNCTION("TRIM(REGEXREPLACE(D684, ""[0-9]+[a-f]?\."", """"))"),"Veuillez décrire brièvement le/les événement(s) qui ont eu des effets négatifs sur votre ménage au cours des 3 derniers mois")</f>
        <v>Veuillez décrire brièvement le/les événement(s) qui ont eu des effets négatifs sur votre ménage au cours des 3 derniers mois</v>
      </c>
      <c r="I684" s="79" t="str">
        <f>IFERROR(__xludf.DUMMYFUNCTION("TRIM(REGEXREPLACE(E684, ""[0-9]+[a-f]?\."", """"))"),"Da fatan za ku yi taƙaitaccen bayani a kan abin da ya shafi gidan ku")</f>
        <v>Da fatan za ku yi taƙaitaccen bayani a kan abin da ya shafi gidan ku</v>
      </c>
      <c r="J684" s="79" t="s">
        <v>3973</v>
      </c>
      <c r="K684" s="79" t="s">
        <v>3974</v>
      </c>
      <c r="L684" s="79" t="s">
        <v>3975</v>
      </c>
    </row>
    <row r="685" hidden="1">
      <c r="B685" s="80"/>
      <c r="C685" s="80"/>
      <c r="D685" s="80"/>
      <c r="E685" s="80"/>
      <c r="F685" s="82">
        <v>400.0</v>
      </c>
      <c r="G685" s="79" t="str">
        <f>IFERROR(__xludf.DUMMYFUNCTION("TRIM(REGEXREPLACE(C685, ""[0-9]+[a-f]?\."", """"))"),"")</f>
        <v/>
      </c>
      <c r="H685" s="79" t="str">
        <f>IFERROR(__xludf.DUMMYFUNCTION("TRIM(REGEXREPLACE(D685, ""[0-9]+[a-f]?\."", """"))"),"")</f>
        <v/>
      </c>
      <c r="I685" s="79" t="str">
        <f>IFERROR(__xludf.DUMMYFUNCTION("TRIM(REGEXREPLACE(E685, ""[0-9]+[a-f]?\."", """"))"),"")</f>
        <v/>
      </c>
    </row>
    <row r="686" hidden="1">
      <c r="B686" s="80"/>
      <c r="C686" s="80"/>
      <c r="D686" s="80"/>
      <c r="E686" s="80"/>
      <c r="F686" s="82">
        <v>401.0</v>
      </c>
      <c r="G686" s="79" t="str">
        <f>IFERROR(__xludf.DUMMYFUNCTION("TRIM(REGEXREPLACE(C686, ""[0-9]+[a-f]?\."", """"))"),"")</f>
        <v/>
      </c>
      <c r="H686" s="79" t="str">
        <f>IFERROR(__xludf.DUMMYFUNCTION("TRIM(REGEXREPLACE(D686, ""[0-9]+[a-f]?\."", """"))"),"")</f>
        <v/>
      </c>
      <c r="I686" s="79" t="str">
        <f>IFERROR(__xludf.DUMMYFUNCTION("TRIM(REGEXREPLACE(E686, ""[0-9]+[a-f]?\."", """"))"),"")</f>
        <v/>
      </c>
    </row>
    <row r="687" hidden="1">
      <c r="B687" s="80"/>
      <c r="C687" s="80"/>
      <c r="D687" s="80"/>
      <c r="E687" s="80"/>
      <c r="F687" s="82">
        <v>400.0</v>
      </c>
      <c r="G687" s="79" t="str">
        <f>IFERROR(__xludf.DUMMYFUNCTION("TRIM(REGEXREPLACE(C687, ""[0-9]+[a-f]?\."", """"))"),"")</f>
        <v/>
      </c>
      <c r="H687" s="79" t="str">
        <f>IFERROR(__xludf.DUMMYFUNCTION("TRIM(REGEXREPLACE(D687, ""[0-9]+[a-f]?\."", """"))"),"")</f>
        <v/>
      </c>
      <c r="I687" s="79" t="str">
        <f>IFERROR(__xludf.DUMMYFUNCTION("TRIM(REGEXREPLACE(E687, ""[0-9]+[a-f]?\."", """"))"),"")</f>
        <v/>
      </c>
      <c r="J687" s="79" t="s">
        <v>3981</v>
      </c>
      <c r="K687" s="79" t="s">
        <v>3983</v>
      </c>
      <c r="L687" s="79" t="s">
        <v>3984</v>
      </c>
    </row>
    <row r="688" hidden="1">
      <c r="B688" s="80"/>
      <c r="C688" s="80"/>
      <c r="D688" s="80"/>
      <c r="E688" s="80"/>
      <c r="F688" s="82">
        <v>401.0</v>
      </c>
      <c r="G688" s="79" t="str">
        <f>IFERROR(__xludf.DUMMYFUNCTION("TRIM(REGEXREPLACE(C688, ""[0-9]+[a-f]?\."", """"))"),"")</f>
        <v/>
      </c>
      <c r="H688" s="79" t="str">
        <f>IFERROR(__xludf.DUMMYFUNCTION("TRIM(REGEXREPLACE(D688, ""[0-9]+[a-f]?\."", """"))"),"")</f>
        <v/>
      </c>
      <c r="I688" s="79" t="str">
        <f>IFERROR(__xludf.DUMMYFUNCTION("TRIM(REGEXREPLACE(E688, ""[0-9]+[a-f]?\."", """"))"),"")</f>
        <v/>
      </c>
      <c r="J688" s="79" t="s">
        <v>3985</v>
      </c>
      <c r="K688" s="79" t="s">
        <v>3986</v>
      </c>
      <c r="L688" s="79" t="s">
        <v>3987</v>
      </c>
    </row>
    <row r="689">
      <c r="A689" s="79" t="s">
        <v>277</v>
      </c>
      <c r="B689" s="80" t="s">
        <v>3988</v>
      </c>
      <c r="C689" s="80" t="s">
        <v>3910</v>
      </c>
      <c r="D689" s="80" t="s">
        <v>3911</v>
      </c>
      <c r="E689" s="80" t="s">
        <v>3912</v>
      </c>
      <c r="F689" s="82">
        <v>393.0</v>
      </c>
      <c r="G689" s="79" t="str">
        <f>IFERROR(__xludf.DUMMYFUNCTION("TRIM(REGEXREPLACE(C689, ""[0-9]+[a-f]?\."", """"))"),"In response to ${hoh_emergency_name}, did you or your household take the following actions?")</f>
        <v>In response to ${hoh_emergency_name}, did you or your household take the following actions?</v>
      </c>
      <c r="H689" s="79" t="str">
        <f>IFERROR(__xludf.DUMMYFUNCTION("TRIM(REGEXREPLACE(D689, ""[0-9]+[a-f]?\."", """"))"),"En réponse à ${hoh_emergency_name}, avez-vous vous ou votre ménage pris les mesures suivantes ??")</f>
        <v>En réponse à ${hoh_emergency_name}, avez-vous vous ou votre ménage pris les mesures suivantes ??</v>
      </c>
      <c r="I689" s="79" t="str">
        <f>IFERROR(__xludf.DUMMYFUNCTION("TRIM(REGEXREPLACE(E689, ""[0-9]+[a-f]?\."", """"))"),"Dangance da ${hoh_emergency_name}, ku ko ƴan gindanku kun ɗauki waɗannan matakai?")</f>
        <v>Dangance da ${hoh_emergency_name}, ku ko ƴan gindanku kun ɗauki waɗannan matakai?</v>
      </c>
      <c r="J689" s="79" t="s">
        <v>3991</v>
      </c>
      <c r="K689" s="79" t="s">
        <v>3993</v>
      </c>
      <c r="L689" s="79" t="s">
        <v>3994</v>
      </c>
    </row>
    <row r="690">
      <c r="A690" s="79" t="s">
        <v>277</v>
      </c>
      <c r="B690" s="80" t="s">
        <v>3996</v>
      </c>
      <c r="C690" s="80" t="s">
        <v>3917</v>
      </c>
      <c r="D690" s="80" t="s">
        <v>3918</v>
      </c>
      <c r="E690" s="80" t="s">
        <v>3919</v>
      </c>
      <c r="F690" s="82">
        <v>394.0</v>
      </c>
      <c r="G690" s="79" t="str">
        <f>IFERROR(__xludf.DUMMYFUNCTION("TRIM(REGEXREPLACE(C690, ""[0-9]+[a-f]?\."", """"))"),"Sell assets?")</f>
        <v>Sell assets?</v>
      </c>
      <c r="H690" s="79" t="str">
        <f>IFERROR(__xludf.DUMMYFUNCTION("TRIM(REGEXREPLACE(D690, ""[0-9]+[a-f]?\."", """"))"),"Vendre des actifs")</f>
        <v>Vendre des actifs</v>
      </c>
      <c r="I690" s="79" t="str">
        <f>IFERROR(__xludf.DUMMYFUNCTION("TRIM(REGEXREPLACE(E690, ""[0-9]+[a-f]?\."", """"))"),"Saida kadarori")</f>
        <v>Saida kadarori</v>
      </c>
      <c r="J690" s="79" t="s">
        <v>3997</v>
      </c>
      <c r="K690" s="79" t="s">
        <v>3998</v>
      </c>
      <c r="L690" s="79" t="s">
        <v>3999</v>
      </c>
    </row>
    <row r="691">
      <c r="A691" s="79" t="s">
        <v>277</v>
      </c>
      <c r="B691" s="80" t="s">
        <v>4000</v>
      </c>
      <c r="C691" s="80" t="s">
        <v>3920</v>
      </c>
      <c r="D691" s="80" t="s">
        <v>3921</v>
      </c>
      <c r="E691" s="80" t="s">
        <v>3922</v>
      </c>
      <c r="F691" s="82">
        <v>395.0</v>
      </c>
      <c r="G691" s="79" t="str">
        <f>IFERROR(__xludf.DUMMYFUNCTION("TRIM(REGEXREPLACE(C691, ""[0-9]+[a-f]?\."", """"))"),"Borrow money?")</f>
        <v>Borrow money?</v>
      </c>
      <c r="H691" s="79" t="str">
        <f>IFERROR(__xludf.DUMMYFUNCTION("TRIM(REGEXREPLACE(D691, ""[0-9]+[a-f]?\."", """"))"),"Emprunter de l'argent")</f>
        <v>Emprunter de l'argent</v>
      </c>
      <c r="I691" s="79" t="str">
        <f>IFERROR(__xludf.DUMMYFUNCTION("TRIM(REGEXREPLACE(E691, ""[0-9]+[a-f]?\."", """"))"),"Bashin kuɗi")</f>
        <v>Bashin kuɗi</v>
      </c>
      <c r="J691" s="79" t="s">
        <v>4001</v>
      </c>
      <c r="K691" s="79" t="s">
        <v>4002</v>
      </c>
      <c r="L691" s="79" t="s">
        <v>4004</v>
      </c>
    </row>
    <row r="692">
      <c r="A692" s="79" t="s">
        <v>277</v>
      </c>
      <c r="B692" s="80" t="s">
        <v>4006</v>
      </c>
      <c r="C692" s="80" t="s">
        <v>4008</v>
      </c>
      <c r="D692" s="80" t="s">
        <v>4009</v>
      </c>
      <c r="E692" s="80" t="s">
        <v>4010</v>
      </c>
      <c r="F692" s="82">
        <v>396.0</v>
      </c>
      <c r="G692" s="79" t="str">
        <f>IFERROR(__xludf.DUMMYFUNCTION("TRIM(REGEXREPLACE(C692, ""[0-9]+[a-f]?\."", """"))"),"Spend your savings?")</f>
        <v>Spend your savings?</v>
      </c>
      <c r="H692" s="79" t="str">
        <f>IFERROR(__xludf.DUMMYFUNCTION("TRIM(REGEXREPLACE(D692, ""[0-9]+[a-f]?\."", """"))"),"Utiliser votre épargne")</f>
        <v>Utiliser votre épargne</v>
      </c>
      <c r="I692" s="79" t="str">
        <f>IFERROR(__xludf.DUMMYFUNCTION("TRIM(REGEXREPLACE(E692, ""[0-9]+[a-f]?\."", """"))"),"Kashe kuɗin ajiyar ku")</f>
        <v>Kashe kuɗin ajiyar ku</v>
      </c>
      <c r="J692" s="79" t="s">
        <v>4011</v>
      </c>
      <c r="K692" s="79" t="s">
        <v>4012</v>
      </c>
      <c r="L692" s="79" t="s">
        <v>4013</v>
      </c>
    </row>
    <row r="693">
      <c r="A693" s="79" t="s">
        <v>277</v>
      </c>
      <c r="B693" s="80" t="s">
        <v>4014</v>
      </c>
      <c r="C693" s="80" t="s">
        <v>4015</v>
      </c>
      <c r="D693" s="80" t="s">
        <v>4016</v>
      </c>
      <c r="E693" s="80" t="s">
        <v>4017</v>
      </c>
      <c r="F693" s="82">
        <v>397.0</v>
      </c>
      <c r="G693" s="79" t="str">
        <f>IFERROR(__xludf.DUMMYFUNCTION("TRIM(REGEXREPLACE(C693, ""[0-9]+[a-f]?\."", """"))"),"Reduce spending on food or change your food consumption?")</f>
        <v>Reduce spending on food or change your food consumption?</v>
      </c>
      <c r="H693" s="79" t="str">
        <f>IFERROR(__xludf.DUMMYFUNCTION("TRIM(REGEXREPLACE(D693, ""[0-9]+[a-f]?\."", """"))"),"Réduire les dépenses alimentaires ou changé des habitudes de consommation ?")</f>
        <v>Réduire les dépenses alimentaires ou changé des habitudes de consommation ?</v>
      </c>
      <c r="I693" s="79" t="str">
        <f>IFERROR(__xludf.DUMMYFUNCTION("TRIM(REGEXREPLACE(E693, ""[0-9]+[a-f]?\."", """"))"),"Rage kashe kuɗi akan abinci ko canza abincin?")</f>
        <v>Rage kashe kuɗi akan abinci ko canza abincin?</v>
      </c>
      <c r="J693" s="79" t="s">
        <v>4019</v>
      </c>
      <c r="K693" s="79" t="s">
        <v>4021</v>
      </c>
      <c r="L693" s="79" t="s">
        <v>4023</v>
      </c>
    </row>
    <row r="694" hidden="1">
      <c r="B694" s="80"/>
      <c r="C694" s="80"/>
      <c r="D694" s="80"/>
      <c r="E694" s="80"/>
      <c r="F694" s="82">
        <v>408.0</v>
      </c>
      <c r="G694" s="79" t="str">
        <f>IFERROR(__xludf.DUMMYFUNCTION("TRIM(REGEXREPLACE(C694, ""[0-9]+[a-f]?\."", """"))"),"")</f>
        <v/>
      </c>
      <c r="H694" s="79" t="str">
        <f>IFERROR(__xludf.DUMMYFUNCTION("TRIM(REGEXREPLACE(D694, ""[0-9]+[a-f]?\."", """"))"),"")</f>
        <v/>
      </c>
      <c r="I694" s="79" t="str">
        <f>IFERROR(__xludf.DUMMYFUNCTION("TRIM(REGEXREPLACE(E694, ""[0-9]+[a-f]?\."", """"))"),"")</f>
        <v/>
      </c>
    </row>
    <row r="695" hidden="1">
      <c r="B695" s="80"/>
      <c r="C695" s="80"/>
      <c r="D695" s="80"/>
      <c r="E695" s="80"/>
      <c r="F695" s="82">
        <v>407.0</v>
      </c>
      <c r="G695" s="79" t="str">
        <f>IFERROR(__xludf.DUMMYFUNCTION("TRIM(REGEXREPLACE(C695, ""[0-9]+[a-f]?\."", """"))"),"")</f>
        <v/>
      </c>
      <c r="H695" s="79" t="str">
        <f>IFERROR(__xludf.DUMMYFUNCTION("TRIM(REGEXREPLACE(D695, ""[0-9]+[a-f]?\."", """"))"),"")</f>
        <v/>
      </c>
      <c r="I695" s="79" t="str">
        <f>IFERROR(__xludf.DUMMYFUNCTION("TRIM(REGEXREPLACE(E695, ""[0-9]+[a-f]?\."", """"))"),"")</f>
        <v/>
      </c>
      <c r="J695" s="79" t="s">
        <v>4024</v>
      </c>
      <c r="K695" s="79" t="s">
        <v>4025</v>
      </c>
      <c r="L695" s="79" t="s">
        <v>4026</v>
      </c>
    </row>
    <row r="696">
      <c r="A696" s="79" t="s">
        <v>42</v>
      </c>
      <c r="B696" s="80" t="s">
        <v>4027</v>
      </c>
      <c r="C696" s="80" t="s">
        <v>3941</v>
      </c>
      <c r="D696" s="80" t="s">
        <v>3942</v>
      </c>
      <c r="E696" s="80" t="s">
        <v>3943</v>
      </c>
      <c r="F696" s="82">
        <v>398.0</v>
      </c>
      <c r="G696" s="79" t="str">
        <f>IFERROR(__xludf.DUMMYFUNCTION("TRIM(REGEXREPLACE(C696, ""[0-9]+[a-f]?\."", """"))"),"For ${hoh_emergency_name}
What was the value of the following in CFA?")</f>
        <v>For ${hoh_emergency_name}
What was the value of the following in CFA?</v>
      </c>
      <c r="H696" s="79" t="str">
        <f>IFERROR(__xludf.DUMMYFUNCTION("TRIM(REGEXREPLACE(D696, ""[0-9]+[a-f]?\."", """"))"),"Par rapport à ${hoh_emergency_name}
Quelle était la valeur des éléments suivantes en CFA?")</f>
        <v>Par rapport à ${hoh_emergency_name}
Quelle était la valeur des éléments suivantes en CFA?</v>
      </c>
      <c r="I696" s="79" t="str">
        <f>IFERROR(__xludf.DUMMYFUNCTION("TRIM(REGEXREPLACE(E696, ""[0-9]+[a-f]?\."", """"))"),"Game da ${hoh_emergency_name}
 Nawa ne kimar waɗannan abubuwan a kuɗin CFA?")</f>
        <v>Game da ${hoh_emergency_name}
 Nawa ne kimar waɗannan abubuwan a kuɗin CFA?</v>
      </c>
      <c r="J696" s="79" t="s">
        <v>4028</v>
      </c>
      <c r="K696" s="79" t="s">
        <v>4029</v>
      </c>
      <c r="L696" s="79" t="s">
        <v>4030</v>
      </c>
    </row>
    <row r="697">
      <c r="A697" s="79" t="s">
        <v>396</v>
      </c>
      <c r="B697" s="80" t="s">
        <v>4031</v>
      </c>
      <c r="C697" s="80" t="s">
        <v>3945</v>
      </c>
      <c r="D697" s="80" t="s">
        <v>3946</v>
      </c>
      <c r="E697" s="80" t="s">
        <v>3947</v>
      </c>
      <c r="F697" s="82">
        <v>399.0</v>
      </c>
      <c r="G697" s="79" t="str">
        <f>IFERROR(__xludf.DUMMYFUNCTION("TRIM(REGEXREPLACE(C697, ""[0-9]+[a-f]?\."", """"))"),"Assets you sold")</f>
        <v>Assets you sold</v>
      </c>
      <c r="H697" s="79" t="str">
        <f>IFERROR(__xludf.DUMMYFUNCTION("TRIM(REGEXREPLACE(D697, ""[0-9]+[a-f]?\."", """"))"),"Les actifs que vous avez vendus")</f>
        <v>Les actifs que vous avez vendus</v>
      </c>
      <c r="I697" s="79" t="str">
        <f>IFERROR(__xludf.DUMMYFUNCTION("TRIM(REGEXREPLACE(E697, ""[0-9]+[a-f]?\."", """"))"),"Kadarorin da kuka saida")</f>
        <v>Kadarorin da kuka saida</v>
      </c>
      <c r="J697" s="79" t="s">
        <v>4032</v>
      </c>
      <c r="K697" s="79" t="s">
        <v>4033</v>
      </c>
      <c r="L697" s="79" t="s">
        <v>4034</v>
      </c>
    </row>
    <row r="698">
      <c r="A698" s="79" t="s">
        <v>396</v>
      </c>
      <c r="B698" s="80" t="s">
        <v>4035</v>
      </c>
      <c r="C698" s="80" t="s">
        <v>4036</v>
      </c>
      <c r="D698" s="80" t="s">
        <v>4037</v>
      </c>
      <c r="E698" s="80" t="s">
        <v>4038</v>
      </c>
      <c r="F698" s="82">
        <v>400.0</v>
      </c>
      <c r="G698" s="79" t="str">
        <f>IFERROR(__xludf.DUMMYFUNCTION("TRIM(REGEXREPLACE(C698, ""[0-9]+[a-f]?\."", """"))"),"Loan(s) you took")</f>
        <v>Loan(s) you took</v>
      </c>
      <c r="H698" s="79" t="str">
        <f>IFERROR(__xludf.DUMMYFUNCTION("TRIM(REGEXREPLACE(D698, ""[0-9]+[a-f]?\."", """"))"),"Les prêt(s) que vous avez contracté")</f>
        <v>Les prêt(s) que vous avez contracté</v>
      </c>
      <c r="I698" s="79" t="str">
        <f>IFERROR(__xludf.DUMMYFUNCTION("TRIM(REGEXREPLACE(E698, ""[0-9]+[a-f]?\."", """"))"),"Bashin da kuka ɗauka")</f>
        <v>Bashin da kuka ɗauka</v>
      </c>
      <c r="J698" s="79" t="s">
        <v>4039</v>
      </c>
      <c r="K698" s="79" t="s">
        <v>4040</v>
      </c>
      <c r="L698" s="79" t="s">
        <v>4041</v>
      </c>
    </row>
    <row r="699">
      <c r="A699" s="79" t="s">
        <v>396</v>
      </c>
      <c r="B699" s="80" t="s">
        <v>4042</v>
      </c>
      <c r="C699" s="80" t="s">
        <v>3961</v>
      </c>
      <c r="D699" s="80" t="s">
        <v>3962</v>
      </c>
      <c r="E699" s="80" t="s">
        <v>3963</v>
      </c>
      <c r="F699" s="82">
        <v>401.0</v>
      </c>
      <c r="G699" s="79" t="str">
        <f>IFERROR(__xludf.DUMMYFUNCTION("TRIM(REGEXREPLACE(C699, ""[0-9]+[a-f]?\."", """"))"),"Savings you spent?")</f>
        <v>Savings you spent?</v>
      </c>
      <c r="H699" s="79" t="str">
        <f>IFERROR(__xludf.DUMMYFUNCTION("TRIM(REGEXREPLACE(D699, ""[0-9]+[a-f]?\."", """"))"),"L'épargne que vous avez utilisé")</f>
        <v>L'épargne que vous avez utilisé</v>
      </c>
      <c r="I699" s="79" t="str">
        <f>IFERROR(__xludf.DUMMYFUNCTION("TRIM(REGEXREPLACE(E699, ""[0-9]+[a-f]?\."", """"))"),"Ajiyar da kuka kashe")</f>
        <v>Ajiyar da kuka kashe</v>
      </c>
      <c r="J699" s="79" t="s">
        <v>4043</v>
      </c>
      <c r="K699" s="79" t="s">
        <v>4045</v>
      </c>
      <c r="L699" s="79" t="s">
        <v>4046</v>
      </c>
    </row>
    <row r="700" hidden="1">
      <c r="B700" s="80"/>
      <c r="C700" s="80"/>
      <c r="D700" s="80"/>
      <c r="E700" s="80"/>
      <c r="F700" s="82">
        <v>412.0</v>
      </c>
      <c r="G700" s="79" t="str">
        <f>IFERROR(__xludf.DUMMYFUNCTION("TRIM(REGEXREPLACE(C700, ""[0-9]+[a-f]?\."", """"))"),"")</f>
        <v/>
      </c>
      <c r="H700" s="79" t="str">
        <f>IFERROR(__xludf.DUMMYFUNCTION("TRIM(REGEXREPLACE(D700, ""[0-9]+[a-f]?\."", """"))"),"")</f>
        <v/>
      </c>
      <c r="I700" s="79" t="str">
        <f>IFERROR(__xludf.DUMMYFUNCTION("TRIM(REGEXREPLACE(E700, ""[0-9]+[a-f]?\."", """"))"),"")</f>
        <v/>
      </c>
      <c r="J700" s="79" t="s">
        <v>4047</v>
      </c>
      <c r="K700" s="79" t="s">
        <v>4048</v>
      </c>
      <c r="L700" s="79" t="s">
        <v>4049</v>
      </c>
    </row>
    <row r="701" hidden="1">
      <c r="B701" s="80"/>
      <c r="C701" s="80"/>
      <c r="D701" s="80"/>
      <c r="E701" s="80"/>
      <c r="F701" s="82">
        <v>413.0</v>
      </c>
      <c r="G701" s="79" t="str">
        <f>IFERROR(__xludf.DUMMYFUNCTION("TRIM(REGEXREPLACE(C701, ""[0-9]+[a-f]?\."", """"))"),"")</f>
        <v/>
      </c>
      <c r="H701" s="79" t="str">
        <f>IFERROR(__xludf.DUMMYFUNCTION("TRIM(REGEXREPLACE(D701, ""[0-9]+[a-f]?\."", """"))"),"")</f>
        <v/>
      </c>
      <c r="I701" s="79" t="str">
        <f>IFERROR(__xludf.DUMMYFUNCTION("TRIM(REGEXREPLACE(E701, ""[0-9]+[a-f]?\."", """"))"),"")</f>
        <v/>
      </c>
      <c r="J701" s="79" t="s">
        <v>4050</v>
      </c>
      <c r="K701" s="79" t="s">
        <v>4051</v>
      </c>
      <c r="L701" s="79" t="s">
        <v>4052</v>
      </c>
    </row>
    <row r="702" hidden="1">
      <c r="B702" s="80"/>
      <c r="C702" s="80"/>
      <c r="D702" s="80"/>
      <c r="E702" s="80"/>
      <c r="F702" s="82">
        <v>414.0</v>
      </c>
      <c r="G702" s="79" t="str">
        <f>IFERROR(__xludf.DUMMYFUNCTION("TRIM(REGEXREPLACE(C702, ""[0-9]+[a-f]?\."", """"))"),"")</f>
        <v/>
      </c>
      <c r="H702" s="79" t="str">
        <f>IFERROR(__xludf.DUMMYFUNCTION("TRIM(REGEXREPLACE(D702, ""[0-9]+[a-f]?\."", """"))"),"")</f>
        <v/>
      </c>
      <c r="I702" s="79" t="str">
        <f>IFERROR(__xludf.DUMMYFUNCTION("TRIM(REGEXREPLACE(E702, ""[0-9]+[a-f]?\."", """"))"),"")</f>
        <v/>
      </c>
      <c r="J702" s="79" t="s">
        <v>4054</v>
      </c>
      <c r="K702" s="79" t="s">
        <v>4055</v>
      </c>
      <c r="L702" s="79" t="s">
        <v>4056</v>
      </c>
    </row>
    <row r="703" hidden="1">
      <c r="B703" s="80"/>
      <c r="C703" s="80"/>
      <c r="D703" s="80"/>
      <c r="E703" s="80"/>
      <c r="F703" s="82">
        <v>415.0</v>
      </c>
      <c r="G703" s="79" t="str">
        <f>IFERROR(__xludf.DUMMYFUNCTION("TRIM(REGEXREPLACE(C703, ""[0-9]+[a-f]?\."", """"))"),"")</f>
        <v/>
      </c>
      <c r="H703" s="79" t="str">
        <f>IFERROR(__xludf.DUMMYFUNCTION("TRIM(REGEXREPLACE(D703, ""[0-9]+[a-f]?\."", """"))"),"")</f>
        <v/>
      </c>
      <c r="I703" s="79" t="str">
        <f>IFERROR(__xludf.DUMMYFUNCTION("TRIM(REGEXREPLACE(E703, ""[0-9]+[a-f]?\."", """"))"),"")</f>
        <v/>
      </c>
      <c r="J703" s="79" t="s">
        <v>4057</v>
      </c>
      <c r="K703" s="79" t="s">
        <v>4058</v>
      </c>
      <c r="L703" s="79" t="s">
        <v>4059</v>
      </c>
    </row>
    <row r="704" hidden="1">
      <c r="B704" s="80"/>
      <c r="C704" s="80"/>
      <c r="D704" s="80"/>
      <c r="E704" s="80"/>
      <c r="F704" s="82">
        <v>416.0</v>
      </c>
      <c r="G704" s="79" t="str">
        <f>IFERROR(__xludf.DUMMYFUNCTION("TRIM(REGEXREPLACE(C704, ""[0-9]+[a-f]?\."", """"))"),"")</f>
        <v/>
      </c>
      <c r="H704" s="79" t="str">
        <f>IFERROR(__xludf.DUMMYFUNCTION("TRIM(REGEXREPLACE(D704, ""[0-9]+[a-f]?\."", """"))"),"")</f>
        <v/>
      </c>
      <c r="I704" s="79" t="str">
        <f>IFERROR(__xludf.DUMMYFUNCTION("TRIM(REGEXREPLACE(E704, ""[0-9]+[a-f]?\."", """"))"),"")</f>
        <v/>
      </c>
      <c r="J704" s="79" t="s">
        <v>4060</v>
      </c>
      <c r="K704" s="79" t="s">
        <v>4061</v>
      </c>
      <c r="L704" s="79" t="s">
        <v>4062</v>
      </c>
    </row>
    <row r="705">
      <c r="A705" s="79" t="s">
        <v>42</v>
      </c>
      <c r="B705" s="80" t="s">
        <v>4064</v>
      </c>
      <c r="C705" s="80" t="s">
        <v>3981</v>
      </c>
      <c r="D705" s="80" t="s">
        <v>3983</v>
      </c>
      <c r="E705" s="80" t="s">
        <v>3984</v>
      </c>
      <c r="F705" s="82">
        <v>402.0</v>
      </c>
      <c r="G705" s="79" t="str">
        <f>IFERROR(__xludf.DUMMYFUNCTION("TRIM(REGEXREPLACE(C705,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705" s="79" t="str">
        <f>IFERROR(__xludf.DUMMYFUNCTION("TRIM(REGEXREPLACE(D705,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705" s="79" t="str">
        <f>IFERROR(__xludf.DUMMYFUNCTION("TRIM(REGEXREPLACE(E705,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705" s="79" t="s">
        <v>4065</v>
      </c>
      <c r="K705" s="79" t="s">
        <v>4066</v>
      </c>
      <c r="L705" s="79" t="s">
        <v>4067</v>
      </c>
    </row>
    <row r="706">
      <c r="A706" s="79" t="s">
        <v>277</v>
      </c>
      <c r="B706" s="80" t="s">
        <v>4068</v>
      </c>
      <c r="C706" s="80" t="s">
        <v>3985</v>
      </c>
      <c r="D706" s="80" t="s">
        <v>3986</v>
      </c>
      <c r="E706" s="80" t="s">
        <v>3987</v>
      </c>
      <c r="F706" s="82">
        <v>403.0</v>
      </c>
      <c r="G706" s="79" t="str">
        <f>IFERROR(__xludf.DUMMYFUNCTION("TRIM(REGEXREPLACE(C706, ""[0-9]+[a-f]?\."", """"))"),"In the last three months did you or a member of your household try to secure a loan from any source but were refused?")</f>
        <v>In the last three months did you or a member of your household try to secure a loan from any source but were refused?</v>
      </c>
      <c r="H706" s="79" t="str">
        <f>IFERROR(__xludf.DUMMYFUNCTION("TRIM(REGEXREPLACE(D706,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706" s="79" t="str">
        <f>IFERROR(__xludf.DUMMYFUNCTION("TRIM(REGEXREPLACE(E706, ""[0-9]+[a-f]?\."", """"))"),"A cikin watanni uku da suka wuce kai ko wani dan gidanku kun yi ƙoƙarin samun bashi daga kowace hanya amma an ƙi?")</f>
        <v>A cikin watanni uku da suka wuce kai ko wani dan gidanku kun yi ƙoƙarin samun bashi daga kowace hanya amma an ƙi?</v>
      </c>
      <c r="J706" s="79" t="s">
        <v>4070</v>
      </c>
      <c r="K706" s="79" t="s">
        <v>4071</v>
      </c>
      <c r="L706" s="79" t="s">
        <v>4072</v>
      </c>
    </row>
    <row r="707">
      <c r="A707" s="79" t="s">
        <v>396</v>
      </c>
      <c r="B707" s="80" t="s">
        <v>4074</v>
      </c>
      <c r="C707" s="80" t="s">
        <v>4075</v>
      </c>
      <c r="D707" s="80" t="s">
        <v>4076</v>
      </c>
      <c r="E707" s="80" t="s">
        <v>4077</v>
      </c>
      <c r="F707" s="82">
        <v>404.0</v>
      </c>
      <c r="G707" s="79" t="str">
        <f>IFERROR(__xludf.DUMMYFUNCTION("TRIM(REGEXREPLACE(C707, ""[0-9]+[a-f]?\."", """"))"),"What was the value of the loan in CFA?")</f>
        <v>What was the value of the loan in CFA?</v>
      </c>
      <c r="H707" s="79" t="str">
        <f>IFERROR(__xludf.DUMMYFUNCTION("TRIM(REGEXREPLACE(D707, ""[0-9]+[a-f]?\."", """"))"),"Quelle était la valeur du prêt en CFA?")</f>
        <v>Quelle était la valeur du prêt en CFA?</v>
      </c>
      <c r="I707" s="79" t="str">
        <f>IFERROR(__xludf.DUMMYFUNCTION("TRIM(REGEXREPLACE(E707, ""[0-9]+[a-f]?\."", """"))"),"Nawa ne yawan kuɗin bashin a sefa?")</f>
        <v>Nawa ne yawan kuɗin bashin a sefa?</v>
      </c>
      <c r="J707" s="79" t="s">
        <v>4078</v>
      </c>
      <c r="K707" s="79" t="s">
        <v>4079</v>
      </c>
      <c r="L707" s="79" t="s">
        <v>4080</v>
      </c>
    </row>
    <row r="708">
      <c r="A708" s="79" t="s">
        <v>396</v>
      </c>
      <c r="B708" s="80" t="s">
        <v>4081</v>
      </c>
      <c r="C708" s="80" t="s">
        <v>4082</v>
      </c>
      <c r="D708" s="80" t="s">
        <v>4083</v>
      </c>
      <c r="E708" s="80" t="s">
        <v>4084</v>
      </c>
      <c r="F708" s="82">
        <v>405.0</v>
      </c>
      <c r="G708" s="79" t="str">
        <f>IFERROR(__xludf.DUMMYFUNCTION("TRIM(REGEXREPLACE(C708,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708" s="79" t="str">
        <f>IFERROR(__xludf.DUMMYFUNCTION("TRIM(REGEXREPLACE(D708,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708" s="79" t="str">
        <f>IFERROR(__xludf.DUMMYFUNCTION("TRIM(REGEXREPLACE(E708,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708" s="79" t="s">
        <v>4086</v>
      </c>
      <c r="K708" s="79" t="s">
        <v>4087</v>
      </c>
      <c r="L708" s="79" t="s">
        <v>4088</v>
      </c>
    </row>
    <row r="709">
      <c r="A709" s="79" t="s">
        <v>277</v>
      </c>
      <c r="B709" s="80" t="s">
        <v>4089</v>
      </c>
      <c r="C709" s="80" t="s">
        <v>4090</v>
      </c>
      <c r="D709" s="80" t="s">
        <v>4091</v>
      </c>
      <c r="E709" s="80" t="s">
        <v>4092</v>
      </c>
      <c r="F709" s="82">
        <v>406.0</v>
      </c>
      <c r="G709" s="79" t="str">
        <f>IFERROR(__xludf.DUMMYFUNCTION("TRIM(REGEXREPLACE(C709, ""[0-9]+[a-f]?\."", """"))"),"Do you know if a loan was given to your household by a household that participated in the TSARI or other Mercy Corp programs?")</f>
        <v>Do you know if a loan was given to your household by a household that participated in the TSARI or other Mercy Corp programs?</v>
      </c>
      <c r="H709" s="79" t="str">
        <f>IFERROR(__xludf.DUMMYFUNCTION("TRIM(REGEXREPLACE(D709,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709" s="79" t="str">
        <f>IFERROR(__xludf.DUMMYFUNCTION("TRIM(REGEXREPLACE(E709, ""[0-9]+[a-f]?\."", """"))"),"Kun san ko gidan ku ya ɗauki ramcen kuɗi daga wani gidan da yake cikin shirin TSARI ko wasu shirye-shiryen Mercy Corp?")</f>
        <v>Kun san ko gidan ku ya ɗauki ramcen kuɗi daga wani gidan da yake cikin shirin TSARI ko wasu shirye-shiryen Mercy Corp?</v>
      </c>
      <c r="J709" s="79" t="s">
        <v>4093</v>
      </c>
      <c r="K709" s="79" t="s">
        <v>4094</v>
      </c>
      <c r="L709" s="79" t="s">
        <v>4095</v>
      </c>
    </row>
    <row r="710">
      <c r="A710" s="79" t="s">
        <v>194</v>
      </c>
      <c r="B710" s="80" t="s">
        <v>4096</v>
      </c>
      <c r="C710" s="80" t="s">
        <v>4097</v>
      </c>
      <c r="D710" s="80" t="s">
        <v>4098</v>
      </c>
      <c r="E710" s="80" t="s">
        <v>4100</v>
      </c>
      <c r="F710" s="82">
        <v>407.0</v>
      </c>
      <c r="G710" s="79" t="str">
        <f>IFERROR(__xludf.DUMMYFUNCTION("TRIM(REGEXREPLACE(C710,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710" s="79" t="str">
        <f>IFERROR(__xludf.DUMMYFUNCTION("TRIM(REGEXREPLACE(D710,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710" s="79" t="str">
        <f>IFERROR(__xludf.DUMMYFUNCTION("TRIM(REGEXREPLACE(E710,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710" s="79" t="s">
        <v>4101</v>
      </c>
      <c r="K710" s="79" t="s">
        <v>4102</v>
      </c>
      <c r="L710" s="79" t="s">
        <v>4103</v>
      </c>
    </row>
    <row r="711">
      <c r="A711" s="79" t="s">
        <v>277</v>
      </c>
      <c r="B711" s="80" t="s">
        <v>4104</v>
      </c>
      <c r="C711" s="80" t="s">
        <v>4105</v>
      </c>
      <c r="D711" s="80" t="s">
        <v>4106</v>
      </c>
      <c r="E711" s="80" t="s">
        <v>4107</v>
      </c>
      <c r="F711" s="82">
        <v>408.0</v>
      </c>
      <c r="G711" s="79" t="str">
        <f>IFERROR(__xludf.DUMMYFUNCTION("TRIM(REGEXREPLACE(C711,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711" s="79" t="str">
        <f>IFERROR(__xludf.DUMMYFUNCTION("TRIM(REGEXREPLACE(D711,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711" s="79" t="str">
        <f>IFERROR(__xludf.DUMMYFUNCTION("TRIM(REGEXREPLACE(E711,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711" s="79" t="s">
        <v>4109</v>
      </c>
      <c r="K711" s="79" t="s">
        <v>4110</v>
      </c>
      <c r="L711" s="79" t="s">
        <v>4111</v>
      </c>
    </row>
    <row r="712" hidden="1">
      <c r="B712" s="80"/>
      <c r="C712" s="80"/>
      <c r="D712" s="80"/>
      <c r="E712" s="80"/>
      <c r="F712" s="82">
        <v>419.0</v>
      </c>
      <c r="G712" s="79" t="str">
        <f>IFERROR(__xludf.DUMMYFUNCTION("TRIM(REGEXREPLACE(C712, ""[0-9]+[a-f]?\."", """"))"),"")</f>
        <v/>
      </c>
      <c r="H712" s="79" t="str">
        <f>IFERROR(__xludf.DUMMYFUNCTION("TRIM(REGEXREPLACE(D712, ""[0-9]+[a-f]?\."", """"))"),"")</f>
        <v/>
      </c>
      <c r="I712" s="79" t="str">
        <f>IFERROR(__xludf.DUMMYFUNCTION("TRIM(REGEXREPLACE(E712, ""[0-9]+[a-f]?\."", """"))"),"")</f>
        <v/>
      </c>
      <c r="J712" s="79" t="s">
        <v>4112</v>
      </c>
      <c r="K712" s="79" t="s">
        <v>4113</v>
      </c>
      <c r="L712" s="79" t="s">
        <v>4114</v>
      </c>
    </row>
    <row r="713" hidden="1"/>
    <row r="714" hidden="1">
      <c r="B714" s="80"/>
      <c r="C714" s="80"/>
      <c r="D714" s="80"/>
      <c r="E714" s="80"/>
      <c r="F714" s="82">
        <v>420.0</v>
      </c>
      <c r="G714" s="79" t="str">
        <f>IFERROR(__xludf.DUMMYFUNCTION("TRIM(REGEXREPLACE(C714, ""[0-9]+[a-f]?\."", """"))"),"")</f>
        <v/>
      </c>
      <c r="H714" s="79" t="str">
        <f>IFERROR(__xludf.DUMMYFUNCTION("TRIM(REGEXREPLACE(D714, ""[0-9]+[a-f]?\."", """"))"),"")</f>
        <v/>
      </c>
      <c r="I714" s="79" t="str">
        <f>IFERROR(__xludf.DUMMYFUNCTION("TRIM(REGEXREPLACE(E714, ""[0-9]+[a-f]?\."", """"))"),"")</f>
        <v/>
      </c>
      <c r="J714" s="79" t="s">
        <v>4115</v>
      </c>
      <c r="K714" s="79" t="s">
        <v>4116</v>
      </c>
      <c r="L714" s="79" t="s">
        <v>4117</v>
      </c>
    </row>
    <row r="715">
      <c r="A715" s="79" t="s">
        <v>42</v>
      </c>
      <c r="B715" s="80" t="s">
        <v>4119</v>
      </c>
      <c r="C715" s="80" t="s">
        <v>4024</v>
      </c>
      <c r="D715" s="80" t="s">
        <v>4025</v>
      </c>
      <c r="E715" s="80" t="s">
        <v>4026</v>
      </c>
      <c r="F715" s="82">
        <v>409.0</v>
      </c>
      <c r="G715" s="79" t="str">
        <f>IFERROR(__xludf.DUMMYFUNCTION("TRIM(REGEXREPLACE(C715, ""[0-9]+[a-f]?\."", """"))"),"I will now ask you about meals people in your household have consumed in the past 7 days.")</f>
        <v>I will now ask you about meals people in your household have consumed in the past 7 days.</v>
      </c>
      <c r="H715" s="79" t="str">
        <f>IFERROR(__xludf.DUMMYFUNCTION("TRIM(REGEXREPLACE(D715,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715" s="79" t="str">
        <f>IFERROR(__xludf.DUMMYFUNCTION("TRIM(REGEXREPLACE(E715, ""[0-9]+[a-f]?\."", """"))"),"Yanzu zan tambaye ku bisa abincin da mutanen gidanku suka ci a cikin kwanaki 7 da suka wuce.")</f>
        <v>Yanzu zan tambaye ku bisa abincin da mutanen gidanku suka ci a cikin kwanaki 7 da suka wuce.</v>
      </c>
      <c r="J715" s="79" t="s">
        <v>4120</v>
      </c>
      <c r="K715" s="79" t="s">
        <v>4121</v>
      </c>
      <c r="L715" s="79" t="s">
        <v>4122</v>
      </c>
    </row>
    <row r="716">
      <c r="A716" s="79" t="s">
        <v>277</v>
      </c>
      <c r="B716" s="80" t="s">
        <v>4123</v>
      </c>
      <c r="C716" s="80" t="s">
        <v>4124</v>
      </c>
      <c r="D716" s="80" t="s">
        <v>4125</v>
      </c>
      <c r="E716" s="80" t="s">
        <v>4126</v>
      </c>
      <c r="F716" s="82">
        <v>410.0</v>
      </c>
      <c r="G716" s="79" t="str">
        <f>IFERROR(__xludf.DUMMYFUNCTION("TRIM(REGEXREPLACE(C716, ""[0-9]+[a-f]?\."", """"))"),"In the last 7 days, have adults gone a whole day without meals?")</f>
        <v>In the last 7 days, have adults gone a whole day without meals?</v>
      </c>
      <c r="H716" s="79" t="str">
        <f>IFERROR(__xludf.DUMMYFUNCTION("TRIM(REGEXREPLACE(D716, ""[0-9]+[a-f]?\."", """"))"),"Au cours des 7 derniers jours, des adultes sont-ils restés une journée entière sans manger de repas ?")</f>
        <v>Au cours des 7 derniers jours, des adultes sont-ils restés une journée entière sans manger de repas ?</v>
      </c>
      <c r="I716" s="79" t="str">
        <f>IFERROR(__xludf.DUMMYFUNCTION("TRIM(REGEXREPLACE(E716, ""[0-9]+[a-f]?\."", """"))"),"A cikin kwanaki 7 da suka wuce, ko manya gidanku sun zauna tsawon wuni guda basu ci abinci ba?")</f>
        <v>A cikin kwanaki 7 da suka wuce, ko manya gidanku sun zauna tsawon wuni guda basu ci abinci ba?</v>
      </c>
      <c r="J716" s="79" t="s">
        <v>4127</v>
      </c>
      <c r="K716" s="79" t="s">
        <v>4129</v>
      </c>
      <c r="L716" s="79" t="s">
        <v>4130</v>
      </c>
    </row>
    <row r="717">
      <c r="A717" s="79" t="s">
        <v>396</v>
      </c>
      <c r="B717" s="80" t="s">
        <v>4131</v>
      </c>
      <c r="C717" s="80" t="s">
        <v>4132</v>
      </c>
      <c r="D717" s="80" t="s">
        <v>4133</v>
      </c>
      <c r="E717" s="80" t="s">
        <v>4134</v>
      </c>
      <c r="F717" s="82">
        <v>411.0</v>
      </c>
      <c r="G717" s="79" t="str">
        <f>IFERROR(__xludf.DUMMYFUNCTION("TRIM(REGEXREPLACE(C717, ""[0-9]+[a-f]?\."", """"))"),"How many days?")</f>
        <v>How many days?</v>
      </c>
      <c r="H717" s="79" t="str">
        <f>IFERROR(__xludf.DUMMYFUNCTION("TRIM(REGEXREPLACE(D717, ""[0-9]+[a-f]?\."", """"))"),"Pendant combien de jours?")</f>
        <v>Pendant combien de jours?</v>
      </c>
      <c r="I717" s="79" t="str">
        <f>IFERROR(__xludf.DUMMYFUNCTION("TRIM(REGEXREPLACE(E717, ""[0-9]+[a-f]?\."", """"))"),"151a Tsawon kwanaki nawa?")</f>
        <v>151a Tsawon kwanaki nawa?</v>
      </c>
      <c r="J717" s="79" t="s">
        <v>4135</v>
      </c>
      <c r="K717" s="79" t="s">
        <v>4136</v>
      </c>
      <c r="L717" s="79" t="s">
        <v>4138</v>
      </c>
    </row>
    <row r="718">
      <c r="A718" s="79" t="s">
        <v>277</v>
      </c>
      <c r="B718" s="80" t="s">
        <v>4139</v>
      </c>
      <c r="C718" s="80" t="s">
        <v>4140</v>
      </c>
      <c r="D718" s="80" t="s">
        <v>4141</v>
      </c>
      <c r="E718" s="80" t="s">
        <v>4142</v>
      </c>
      <c r="F718" s="82">
        <v>412.0</v>
      </c>
      <c r="G718" s="79" t="str">
        <f>IFERROR(__xludf.DUMMYFUNCTION("TRIM(REGEXREPLACE(C718, ""[0-9]+[a-f]?\."", """"))"),"In the last 7 days, have adults cut the size of meals or skipped meals?")</f>
        <v>In the last 7 days, have adults cut the size of meals or skipped meals?</v>
      </c>
      <c r="H718" s="79" t="str">
        <f>IFERROR(__xludf.DUMMYFUNCTION("TRIM(REGEXREPLACE(D718, ""[0-9]+[a-f]?\."", """"))"),"Au cours des 7 derniers jours, les adultes ont-ils réduit la taille de leur repas ou les ont-ils sauté?")</f>
        <v>Au cours des 7 derniers jours, les adultes ont-ils réduit la taille de leur repas ou les ont-ils sauté?</v>
      </c>
      <c r="I718" s="79" t="str">
        <f>IFERROR(__xludf.DUMMYFUNCTION("TRIM(REGEXREPLACE(E718, ""[0-9]+[a-f]?\."", """"))"),"A cikin kwanaki 7 na ƙarshe, ko manyan gidanku sun rage yawan abincin da suka saba ci ko sun tsallake shi?")</f>
        <v>A cikin kwanaki 7 na ƙarshe, ko manyan gidanku sun rage yawan abincin da suka saba ci ko sun tsallake shi?</v>
      </c>
      <c r="J718" s="79" t="s">
        <v>4145</v>
      </c>
      <c r="K718" s="79" t="s">
        <v>4146</v>
      </c>
      <c r="L718" s="79" t="s">
        <v>4147</v>
      </c>
    </row>
    <row r="719">
      <c r="A719" s="79" t="s">
        <v>396</v>
      </c>
      <c r="B719" s="80" t="s">
        <v>4148</v>
      </c>
      <c r="C719" s="80" t="s">
        <v>4135</v>
      </c>
      <c r="D719" s="80" t="s">
        <v>4136</v>
      </c>
      <c r="E719" s="80" t="s">
        <v>4149</v>
      </c>
      <c r="F719" s="82">
        <v>413.0</v>
      </c>
      <c r="G719" s="79" t="str">
        <f>IFERROR(__xludf.DUMMYFUNCTION("TRIM(REGEXREPLACE(C719, ""[0-9]+[a-f]?\."", """"))"),"How many days?")</f>
        <v>How many days?</v>
      </c>
      <c r="H719" s="79" t="str">
        <f>IFERROR(__xludf.DUMMYFUNCTION("TRIM(REGEXREPLACE(D719, ""[0-9]+[a-f]?\."", """"))"),"Pendant combien de jours?")</f>
        <v>Pendant combien de jours?</v>
      </c>
      <c r="I719" s="79" t="str">
        <f>IFERROR(__xludf.DUMMYFUNCTION("TRIM(REGEXREPLACE(E719, ""[0-9]+[a-f]?\."", """"))"),"Tsawon kwanaki nawa?")</f>
        <v>Tsawon kwanaki nawa?</v>
      </c>
      <c r="J719" s="79" t="s">
        <v>4150</v>
      </c>
      <c r="K719" s="79" t="s">
        <v>4151</v>
      </c>
      <c r="L719" s="79" t="s">
        <v>4152</v>
      </c>
    </row>
    <row r="720">
      <c r="A720" s="79" t="s">
        <v>396</v>
      </c>
      <c r="B720" s="80" t="s">
        <v>4153</v>
      </c>
      <c r="C720" s="80" t="s">
        <v>4047</v>
      </c>
      <c r="D720" s="80" t="s">
        <v>4048</v>
      </c>
      <c r="E720" s="80" t="s">
        <v>4049</v>
      </c>
      <c r="F720" s="82">
        <v>414.0</v>
      </c>
      <c r="G720" s="79" t="str">
        <f>IFERROR(__xludf.DUMMYFUNCTION("TRIM(REGEXREPLACE(C720, ""[0-9]+[a-f]?\."", """"))"),"In the past week how many days have adults in your household consumed animal protein (including fish, meat, poultry)?")</f>
        <v>In the past week how many days have adults in your household consumed animal protein (including fish, meat, poultry)?</v>
      </c>
      <c r="H720" s="79" t="str">
        <f>IFERROR(__xludf.DUMMYFUNCTION("TRIM(REGEXREPLACE(D720,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720" s="79" t="str">
        <f>IFERROR(__xludf.DUMMYFUNCTION("TRIM(REGEXREPLACE(E720, ""[0-9]+[a-f]?\."", """"))"),"A cikin kwanaki 7 da suka wuce sau nawa manyan gidanku suka ci abinci masu gina jiki kamar su kifi ko nama ko kaji?")</f>
        <v>A cikin kwanaki 7 da suka wuce sau nawa manyan gidanku suka ci abinci masu gina jiki kamar su kifi ko nama ko kaji?</v>
      </c>
      <c r="J720" s="79" t="s">
        <v>4155</v>
      </c>
      <c r="K720" s="79" t="s">
        <v>4156</v>
      </c>
      <c r="L720" s="79" t="s">
        <v>4157</v>
      </c>
    </row>
    <row r="721">
      <c r="A721" s="79" t="s">
        <v>277</v>
      </c>
      <c r="B721" s="80" t="s">
        <v>4158</v>
      </c>
      <c r="C721" s="80" t="s">
        <v>4050</v>
      </c>
      <c r="D721" s="80" t="s">
        <v>4051</v>
      </c>
      <c r="E721" s="80" t="s">
        <v>4052</v>
      </c>
      <c r="F721" s="82">
        <v>415.0</v>
      </c>
      <c r="G721" s="79" t="str">
        <f>IFERROR(__xludf.DUMMYFUNCTION("TRIM(REGEXREPLACE(C721, ""[0-9]+[a-f]?\."", """"))"),"In the last 7 days, have children (&lt;14) gone a whole day without meals?")</f>
        <v>In the last 7 days, have children (&lt;14) gone a whole day without meals?</v>
      </c>
      <c r="H721" s="79" t="str">
        <f>IFERROR(__xludf.DUMMYFUNCTION("TRIM(REGEXREPLACE(D721, ""[0-9]+[a-f]?\."", """"))"),"Au cours des 7 derniers jours, des enfants (&lt;14) ont-ils passé une journée entière sans manger de repas ?")</f>
        <v>Au cours des 7 derniers jours, des enfants (&lt;14) ont-ils passé une journée entière sans manger de repas ?</v>
      </c>
      <c r="I721" s="79" t="str">
        <f>IFERROR(__xludf.DUMMYFUNCTION("TRIM(REGEXREPLACE(E721, ""[0-9]+[a-f]?\."", """"))"),"A cikin kwanaki 7 na ƙarshe, ko yara ƴan ƙasa da shekara goma sha huɗu sun zauna tsawon wuni guda ba su ci da abinci ba?")</f>
        <v>A cikin kwanaki 7 na ƙarshe, ko yara ƴan ƙasa da shekara goma sha huɗu sun zauna tsawon wuni guda ba su ci da abinci ba?</v>
      </c>
      <c r="J721" s="79" t="s">
        <v>4161</v>
      </c>
      <c r="K721" s="79" t="s">
        <v>4162</v>
      </c>
      <c r="L721" s="79" t="s">
        <v>4163</v>
      </c>
    </row>
    <row r="722">
      <c r="A722" s="79" t="s">
        <v>396</v>
      </c>
      <c r="B722" s="80" t="s">
        <v>4164</v>
      </c>
      <c r="C722" s="80" t="s">
        <v>4054</v>
      </c>
      <c r="D722" s="80" t="s">
        <v>4055</v>
      </c>
      <c r="E722" s="80" t="s">
        <v>4056</v>
      </c>
      <c r="F722" s="82">
        <v>416.0</v>
      </c>
      <c r="G722" s="79" t="str">
        <f>IFERROR(__xludf.DUMMYFUNCTION("TRIM(REGEXREPLACE(C722, ""[0-9]+[a-f]?\."", """"))"),"How many days?")</f>
        <v>How many days?</v>
      </c>
      <c r="H722" s="79" t="str">
        <f>IFERROR(__xludf.DUMMYFUNCTION("TRIM(REGEXREPLACE(D722, ""[0-9]+[a-f]?\."", """"))"),"Pendant combien de jours?")</f>
        <v>Pendant combien de jours?</v>
      </c>
      <c r="I722" s="79" t="str">
        <f>IFERROR(__xludf.DUMMYFUNCTION("TRIM(REGEXREPLACE(E722, ""[0-9]+[a-f]?\."", """"))"),"154a Tsawon kwanaki nawa?")</f>
        <v>154a Tsawon kwanaki nawa?</v>
      </c>
      <c r="J722" s="79" t="s">
        <v>4060</v>
      </c>
      <c r="K722" s="79" t="s">
        <v>4061</v>
      </c>
      <c r="L722" s="79" t="s">
        <v>4165</v>
      </c>
    </row>
    <row r="723">
      <c r="A723" s="79" t="s">
        <v>277</v>
      </c>
      <c r="B723" s="80" t="s">
        <v>4167</v>
      </c>
      <c r="C723" s="80" t="s">
        <v>4057</v>
      </c>
      <c r="D723" s="80" t="s">
        <v>4058</v>
      </c>
      <c r="E723" s="80" t="s">
        <v>4059</v>
      </c>
      <c r="F723" s="82">
        <v>417.0</v>
      </c>
      <c r="G723" s="79" t="str">
        <f>IFERROR(__xludf.DUMMYFUNCTION("TRIM(REGEXREPLACE(C723, ""[0-9]+[a-f]?\."", """"))"),"In the last 7 days, have children (&lt;14) cut the size of meals or skipped meals?")</f>
        <v>In the last 7 days, have children (&lt;14) cut the size of meals or skipped meals?</v>
      </c>
      <c r="H723" s="79" t="str">
        <f>IFERROR(__xludf.DUMMYFUNCTION("TRIM(REGEXREPLACE(D723, ""[0-9]+[a-f]?\."", """"))"),"Au cours des 7 derniers jours, des enfants (&lt;14) ont-ils réduit la taille de leurs repas ou les ont-ils sauté?")</f>
        <v>Au cours des 7 derniers jours, des enfants (&lt;14) ont-ils réduit la taille de leurs repas ou les ont-ils sauté?</v>
      </c>
      <c r="I723" s="79" t="str">
        <f>IFERROR(__xludf.DUMMYFUNCTION("TRIM(REGEXREPLACE(E723, ""[0-9]+[a-f]?\."", """"))"),"A cikin kwanaki 7 na ƙarshe, suna da yara (&lt;14) sun rage yawan abinci ko sun rasa gaba ɗaya?")</f>
        <v>A cikin kwanaki 7 na ƙarshe, suna da yara (&lt;14) sun rage yawan abinci ko sun rasa gaba ɗaya?</v>
      </c>
      <c r="J723" s="79" t="s">
        <v>4168</v>
      </c>
      <c r="K723" s="79" t="s">
        <v>4169</v>
      </c>
      <c r="L723" s="79" t="s">
        <v>4170</v>
      </c>
    </row>
    <row r="724">
      <c r="A724" s="79" t="s">
        <v>396</v>
      </c>
      <c r="B724" s="80" t="s">
        <v>4171</v>
      </c>
      <c r="C724" s="80" t="s">
        <v>4060</v>
      </c>
      <c r="D724" s="80" t="s">
        <v>4061</v>
      </c>
      <c r="E724" s="80" t="s">
        <v>4062</v>
      </c>
      <c r="F724" s="82">
        <v>418.0</v>
      </c>
      <c r="G724" s="79" t="str">
        <f>IFERROR(__xludf.DUMMYFUNCTION("TRIM(REGEXREPLACE(C724, ""[0-9]+[a-f]?\."", """"))"),"How many days?")</f>
        <v>How many days?</v>
      </c>
      <c r="H724" s="79" t="str">
        <f>IFERROR(__xludf.DUMMYFUNCTION("TRIM(REGEXREPLACE(D724, ""[0-9]+[a-f]?\."", """"))"),"Pendant combien de jours?")</f>
        <v>Pendant combien de jours?</v>
      </c>
      <c r="I724" s="79" t="str">
        <f>IFERROR(__xludf.DUMMYFUNCTION("TRIM(REGEXREPLACE(E724, ""[0-9]+[a-f]?\."", """"))"),"155a Tsawon kwanaki nawa?")</f>
        <v>155a Tsawon kwanaki nawa?</v>
      </c>
      <c r="J724" s="79" t="s">
        <v>4175</v>
      </c>
      <c r="K724" s="79" t="s">
        <v>4176</v>
      </c>
      <c r="L724" s="79" t="s">
        <v>4178</v>
      </c>
    </row>
    <row r="725">
      <c r="A725" s="79" t="s">
        <v>396</v>
      </c>
      <c r="B725" s="80" t="s">
        <v>4180</v>
      </c>
      <c r="C725" s="80" t="s">
        <v>4181</v>
      </c>
      <c r="D725" s="80" t="s">
        <v>4182</v>
      </c>
      <c r="E725" s="80" t="s">
        <v>4183</v>
      </c>
      <c r="F725" s="82">
        <v>419.0</v>
      </c>
      <c r="G725" s="79" t="str">
        <f>IFERROR(__xludf.DUMMYFUNCTION("TRIM(REGEXREPLACE(C725, ""[0-9]+[a-f]?\."", """"))"),"In the past week how many days have children in your household consumed animal protein (inlcuding fish, meat, poultry)?")</f>
        <v>In the past week how many days have children in your household consumed animal protein (inlcuding fish, meat, poultry)?</v>
      </c>
      <c r="H725" s="79" t="str">
        <f>IFERROR(__xludf.DUMMYFUNCTION("TRIM(REGEXREPLACE(D725,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725" s="79" t="str">
        <f>IFERROR(__xludf.DUMMYFUNCTION("TRIM(REGEXREPLACE(E725, ""[0-9]+[a-f]?\."", """"))"),"A cikin kwanaki 7 da suka gabata sau nawa yara a cikin gidanku suka ci abinci masu gina jiki kamar su kifi, nama, kaji ?")</f>
        <v>A cikin kwanaki 7 da suka gabata sau nawa yara a cikin gidanku suka ci abinci masu gina jiki kamar su kifi, nama, kaji ?</v>
      </c>
      <c r="J725" s="79" t="s">
        <v>4184</v>
      </c>
      <c r="K725" s="79" t="s">
        <v>4185</v>
      </c>
      <c r="L725" s="79" t="s">
        <v>4186</v>
      </c>
    </row>
    <row r="726" hidden="1">
      <c r="B726" s="80"/>
      <c r="C726" s="80"/>
      <c r="D726" s="80"/>
      <c r="E726" s="80"/>
      <c r="F726" s="82">
        <v>426.0</v>
      </c>
      <c r="G726" s="79" t="str">
        <f>IFERROR(__xludf.DUMMYFUNCTION("TRIM(REGEXREPLACE(C726, ""[0-9]+[a-f]?\."", """"))"),"")</f>
        <v/>
      </c>
      <c r="H726" s="79" t="str">
        <f>IFERROR(__xludf.DUMMYFUNCTION("TRIM(REGEXREPLACE(D726, ""[0-9]+[a-f]?\."", """"))"),"")</f>
        <v/>
      </c>
      <c r="I726" s="79" t="str">
        <f>IFERROR(__xludf.DUMMYFUNCTION("TRIM(REGEXREPLACE(E726, ""[0-9]+[a-f]?\."", """"))"),"")</f>
        <v/>
      </c>
      <c r="J726" s="79" t="s">
        <v>4188</v>
      </c>
      <c r="K726" s="79" t="s">
        <v>4189</v>
      </c>
      <c r="L726" s="79" t="s">
        <v>4190</v>
      </c>
    </row>
    <row r="727" hidden="1"/>
    <row r="728" hidden="1"/>
    <row r="729" hidden="1"/>
    <row r="730" hidden="1"/>
    <row r="731">
      <c r="A731" s="79" t="s">
        <v>988</v>
      </c>
      <c r="B731" s="80" t="s">
        <v>4192</v>
      </c>
      <c r="C731" s="80" t="s">
        <v>4193</v>
      </c>
      <c r="D731" s="80" t="s">
        <v>4194</v>
      </c>
      <c r="E731" s="80" t="s">
        <v>4195</v>
      </c>
      <c r="F731" s="82">
        <v>420.0</v>
      </c>
      <c r="G731" s="79" t="str">
        <f>IFERROR(__xludf.DUMMYFUNCTION("TRIM(REGEXREPLACE(C731, ""[0-9]+[a-f]?\."", """"))"),"Has your household spent money on the following types of expenses in the past month?")</f>
        <v>Has your household spent money on the following types of expenses in the past month?</v>
      </c>
      <c r="H731" s="79" t="str">
        <f>IFERROR(__xludf.DUMMYFUNCTION("TRIM(REGEXREPLACE(D731, ""[0-9]+[a-f]?\."", """"))"),"Votre ménage a-t-il dépensé de l'argent pour les types de dépenses suivants au cours du dernier mois ?")</f>
        <v>Votre ménage a-t-il dépensé de l'argent pour les types de dépenses suivants au cours du dernier mois ?</v>
      </c>
      <c r="I731" s="79" t="str">
        <f>IFERROR(__xludf.DUMMYFUNCTION("TRIM(REGEXREPLACE(E731, ""[0-9]+[a-f]?\."", """"))"),"Shin gidanku ya kashe kuɗi akan irin waɗannan abubuwan a cikin watan da ya gabata?")</f>
        <v>Shin gidanku ya kashe kuɗi akan irin waɗannan abubuwan a cikin watan da ya gabata?</v>
      </c>
      <c r="J731" s="79" t="s">
        <v>4197</v>
      </c>
      <c r="K731" s="79" t="s">
        <v>4198</v>
      </c>
      <c r="L731" s="79" t="s">
        <v>4199</v>
      </c>
    </row>
    <row r="732" hidden="1"/>
    <row r="733" hidden="1"/>
    <row r="734">
      <c r="A734" s="79" t="s">
        <v>396</v>
      </c>
      <c r="B734" s="80" t="s">
        <v>4201</v>
      </c>
      <c r="C734" s="80" t="s">
        <v>4112</v>
      </c>
      <c r="D734" s="80" t="s">
        <v>4113</v>
      </c>
      <c r="E734" s="80" t="s">
        <v>4114</v>
      </c>
      <c r="F734" s="82">
        <v>421.0</v>
      </c>
      <c r="G734" s="79" t="str">
        <f>IFERROR(__xludf.DUMMYFUNCTION("TRIM(REGEXREPLACE(C734, ""[0-9]+[a-f]?\."", """"))"),"How much did your household spend on ${hoh_item} in the past month (in CFA)?")</f>
        <v>How much did your household spend on ${hoh_item} in the past month (in CFA)?</v>
      </c>
      <c r="H734" s="79" t="str">
        <f>IFERROR(__xludf.DUMMYFUNCTION("TRIM(REGEXREPLACE(D734, ""[0-9]+[a-f]?\."", """"))"),"Combien votre ménage a-t-il dépensé pour ${hoh_item} au cours du dernier mois (en CFA) ?")</f>
        <v>Combien votre ménage a-t-il dépensé pour ${hoh_item} au cours du dernier mois (en CFA) ?</v>
      </c>
      <c r="I734" s="79" t="str">
        <f>IFERROR(__xludf.DUMMYFUNCTION("TRIM(REGEXREPLACE(E734, ""[0-9]+[a-f]?\."", """"))"),"Nawa ne (a CFA) gidanku ya kashe akan ${hoh_item} cikin watan da ya gabata ?")</f>
        <v>Nawa ne (a CFA) gidanku ya kashe akan ${hoh_item} cikin watan da ya gabata ?</v>
      </c>
      <c r="J734" s="79" t="s">
        <v>4202</v>
      </c>
      <c r="K734" s="79" t="s">
        <v>4203</v>
      </c>
      <c r="L734" s="79" t="s">
        <v>4204</v>
      </c>
    </row>
    <row r="735" hidden="1">
      <c r="C735" s="80"/>
      <c r="D735" s="80"/>
      <c r="E735" s="80"/>
      <c r="F735" s="82">
        <v>425.0</v>
      </c>
      <c r="G735" s="79" t="str">
        <f>IFERROR(__xludf.DUMMYFUNCTION("TRIM(REGEXREPLACE(C735, ""[0-9]+[a-f]?\."", """"))"),"")</f>
        <v/>
      </c>
      <c r="H735" s="79" t="str">
        <f>IFERROR(__xludf.DUMMYFUNCTION("TRIM(REGEXREPLACE(D735, ""[0-9]+[a-f]?\."", """"))"),"")</f>
        <v/>
      </c>
      <c r="I735" s="79" t="str">
        <f>IFERROR(__xludf.DUMMYFUNCTION("TRIM(REGEXREPLACE(E735, ""[0-9]+[a-f]?\."", """"))"),"")</f>
        <v/>
      </c>
    </row>
    <row r="736">
      <c r="A736" s="79" t="s">
        <v>1023</v>
      </c>
      <c r="B736" s="80" t="s">
        <v>4206</v>
      </c>
      <c r="C736" s="80" t="s">
        <v>4115</v>
      </c>
      <c r="D736" s="80" t="s">
        <v>4116</v>
      </c>
      <c r="E736" s="80" t="s">
        <v>4117</v>
      </c>
      <c r="F736" s="82">
        <v>422.0</v>
      </c>
      <c r="G736" s="79" t="str">
        <f>IFERROR(__xludf.DUMMYFUNCTION("TRIM(REGEXREPLACE(C736, ""[0-9]+[a-f]?\."", """"))"),"Has your household spent money on the following types of expenses in the past week?")</f>
        <v>Has your household spent money on the following types of expenses in the past week?</v>
      </c>
      <c r="H736" s="79" t="str">
        <f>IFERROR(__xludf.DUMMYFUNCTION("TRIM(REGEXREPLACE(D736, ""[0-9]+[a-f]?\."", """"))"),"Votre ménage a-t-il dépensé de l'argent pour les types de dépenses suivants au cours de la semaine dernière ?")</f>
        <v>Votre ménage a-t-il dépensé de l'argent pour les types de dépenses suivants au cours de la semaine dernière ?</v>
      </c>
      <c r="I736" s="79" t="str">
        <f>IFERROR(__xludf.DUMMYFUNCTION("TRIM(REGEXREPLACE(E736, ""[0-9]+[a-f]?\."", """"))"),"Ko gidanku sun kashe kuɗi akan ire iren waɗannan abubuwan a cikin satin da ya gabata?")</f>
        <v>Ko gidanku sun kashe kuɗi akan ire iren waɗannan abubuwan a cikin satin da ya gabata?</v>
      </c>
      <c r="J736" s="79" t="s">
        <v>4208</v>
      </c>
      <c r="K736" s="79" t="s">
        <v>4209</v>
      </c>
      <c r="L736" s="79" t="s">
        <v>4210</v>
      </c>
    </row>
    <row r="737" hidden="1">
      <c r="C737" s="80"/>
      <c r="D737" s="80"/>
      <c r="E737" s="80"/>
      <c r="F737" s="82">
        <v>427.0</v>
      </c>
      <c r="G737" s="79" t="str">
        <f>IFERROR(__xludf.DUMMYFUNCTION("TRIM(REGEXREPLACE(C737, ""[0-9]+[a-f]?\."", """"))"),"")</f>
        <v/>
      </c>
      <c r="H737" s="79" t="str">
        <f>IFERROR(__xludf.DUMMYFUNCTION("TRIM(REGEXREPLACE(D737, ""[0-9]+[a-f]?\."", """"))"),"")</f>
        <v/>
      </c>
      <c r="I737" s="79" t="str">
        <f>IFERROR(__xludf.DUMMYFUNCTION("TRIM(REGEXREPLACE(E737, ""[0-9]+[a-f]?\."", """"))"),"")</f>
        <v/>
      </c>
    </row>
    <row r="738" hidden="1">
      <c r="C738" s="80"/>
      <c r="D738" s="80"/>
      <c r="E738" s="80"/>
      <c r="F738" s="82">
        <v>428.0</v>
      </c>
      <c r="G738" s="79" t="str">
        <f>IFERROR(__xludf.DUMMYFUNCTION("TRIM(REGEXREPLACE(C738, ""[0-9]+[a-f]?\."", """"))"),"")</f>
        <v/>
      </c>
      <c r="H738" s="79" t="str">
        <f>IFERROR(__xludf.DUMMYFUNCTION("TRIM(REGEXREPLACE(D738, ""[0-9]+[a-f]?\."", """"))"),"")</f>
        <v/>
      </c>
      <c r="I738" s="79" t="str">
        <f>IFERROR(__xludf.DUMMYFUNCTION("TRIM(REGEXREPLACE(E738, ""[0-9]+[a-f]?\."", """"))"),"")</f>
        <v/>
      </c>
    </row>
    <row r="739">
      <c r="A739" s="79" t="s">
        <v>396</v>
      </c>
      <c r="B739" s="80" t="s">
        <v>4213</v>
      </c>
      <c r="C739" s="80" t="s">
        <v>4214</v>
      </c>
      <c r="D739" s="80" t="s">
        <v>4215</v>
      </c>
      <c r="E739" s="80" t="s">
        <v>4216</v>
      </c>
      <c r="F739" s="82">
        <v>423.0</v>
      </c>
      <c r="G739" s="79" t="str">
        <f>IFERROR(__xludf.DUMMYFUNCTION("TRIM(REGEXREPLACE(C739, ""[0-9]+[a-f]?\."", """"))"),"How much did your household spend on ${hoh_item_week} in the past week (in CFA)?")</f>
        <v>How much did your household spend on ${hoh_item_week} in the past week (in CFA)?</v>
      </c>
      <c r="H739" s="79" t="str">
        <f>IFERROR(__xludf.DUMMYFUNCTION("TRIM(REGEXREPLACE(D739, ""[0-9]+[a-f]?\."", """"))"),"Combien votre ménage a-t-il dépensé en ${hoh_item_week} la semaine dernière (en CFA) ?")</f>
        <v>Combien votre ménage a-t-il dépensé en ${hoh_item_week} la semaine dernière (en CFA) ?</v>
      </c>
      <c r="I739" s="79" t="str">
        <f>IFERROR(__xludf.DUMMYFUNCTION("TRIM(REGEXREPLACE(E739, ""[0-9]+[a-f]?\."", """"))"),"Nawa ne gidan ku ya kashe (a CFA) a ${hoh_item_week} satin da ya gabata ?")</f>
        <v>Nawa ne gidan ku ya kashe (a CFA) a ${hoh_item_week} satin da ya gabata ?</v>
      </c>
      <c r="J739" s="79" t="s">
        <v>4218</v>
      </c>
      <c r="K739" s="79" t="s">
        <v>4219</v>
      </c>
      <c r="L739" s="79" t="s">
        <v>4220</v>
      </c>
    </row>
    <row r="740" hidden="1">
      <c r="C740" s="80"/>
      <c r="D740" s="80"/>
      <c r="E740" s="80"/>
      <c r="F740" s="82">
        <v>428.0</v>
      </c>
      <c r="G740" s="79" t="str">
        <f>IFERROR(__xludf.DUMMYFUNCTION("TRIM(REGEXREPLACE(C740, ""[0-9]+[a-f]?\."", """"))"),"")</f>
        <v/>
      </c>
      <c r="H740" s="79" t="str">
        <f>IFERROR(__xludf.DUMMYFUNCTION("TRIM(REGEXREPLACE(D740, ""[0-9]+[a-f]?\."", """"))"),"")</f>
        <v/>
      </c>
      <c r="I740" s="79" t="str">
        <f>IFERROR(__xludf.DUMMYFUNCTION("TRIM(REGEXREPLACE(E740, ""[0-9]+[a-f]?\."", """"))"),"")</f>
        <v/>
      </c>
      <c r="J740" s="79" t="s">
        <v>4221</v>
      </c>
      <c r="K740" s="79" t="s">
        <v>4222</v>
      </c>
      <c r="L740" s="79" t="s">
        <v>4223</v>
      </c>
    </row>
    <row r="741" hidden="1">
      <c r="C741" s="80"/>
      <c r="D741" s="80"/>
      <c r="E741" s="80"/>
      <c r="F741" s="82">
        <v>429.0</v>
      </c>
      <c r="G741" s="79" t="str">
        <f>IFERROR(__xludf.DUMMYFUNCTION("TRIM(REGEXREPLACE(C741, ""[0-9]+[a-f]?\."", """"))"),"")</f>
        <v/>
      </c>
      <c r="H741" s="79" t="str">
        <f>IFERROR(__xludf.DUMMYFUNCTION("TRIM(REGEXREPLACE(D741, ""[0-9]+[a-f]?\."", """"))"),"")</f>
        <v/>
      </c>
      <c r="I741" s="79" t="str">
        <f>IFERROR(__xludf.DUMMYFUNCTION("TRIM(REGEXREPLACE(E741, ""[0-9]+[a-f]?\."", """"))"),"")</f>
        <v/>
      </c>
      <c r="J741" s="79" t="s">
        <v>4225</v>
      </c>
      <c r="K741" s="79" t="s">
        <v>4226</v>
      </c>
      <c r="L741" s="79" t="s">
        <v>4227</v>
      </c>
    </row>
    <row r="742">
      <c r="A742" s="79" t="s">
        <v>277</v>
      </c>
      <c r="B742" s="80" t="s">
        <v>4228</v>
      </c>
      <c r="C742" s="80" t="s">
        <v>4229</v>
      </c>
      <c r="D742" s="80"/>
      <c r="E742" s="80"/>
      <c r="F742" s="82">
        <v>424.0</v>
      </c>
      <c r="G742" s="79" t="str">
        <f>IFERROR(__xludf.DUMMYFUNCTION("TRIM(REGEXREPLACE(C742, ""[0-9]+[a-f]?\."", """"))"),"For Ramadan, did your household purchase any of the following?")</f>
        <v>For Ramadan, did your household purchase any of the following?</v>
      </c>
      <c r="H742" s="79" t="str">
        <f>IFERROR(__xludf.DUMMYFUNCTION("TRIM(REGEXREPLACE(D742, ""[0-9]+[a-f]?\."", """"))"),"")</f>
        <v/>
      </c>
      <c r="I742" s="79" t="str">
        <f>IFERROR(__xludf.DUMMYFUNCTION("TRIM(REGEXREPLACE(E742, ""[0-9]+[a-f]?\."", """"))"),"")</f>
        <v/>
      </c>
      <c r="J742" s="79" t="s">
        <v>4230</v>
      </c>
      <c r="K742" s="79" t="s">
        <v>4231</v>
      </c>
      <c r="L742" s="79" t="s">
        <v>4231</v>
      </c>
    </row>
    <row r="743">
      <c r="A743" s="79" t="s">
        <v>277</v>
      </c>
      <c r="B743" s="80" t="s">
        <v>4232</v>
      </c>
      <c r="C743" s="80" t="s">
        <v>4233</v>
      </c>
      <c r="D743" s="80" t="s">
        <v>4234</v>
      </c>
      <c r="E743" s="80" t="s">
        <v>4235</v>
      </c>
      <c r="F743" s="82">
        <v>425.0</v>
      </c>
      <c r="G743" s="79" t="str">
        <f>IFERROR(__xludf.DUMMYFUNCTION("TRIM(REGEXREPLACE(C743, ""[0-9]+[a-f]?\."", """"))"),"Clothing")</f>
        <v>Clothing</v>
      </c>
      <c r="H743" s="79" t="str">
        <f>IFERROR(__xludf.DUMMYFUNCTION("TRIM(REGEXREPLACE(D743, ""[0-9]+[a-f]?\."", """"))"),"Vêtements")</f>
        <v>Vêtements</v>
      </c>
      <c r="I743" s="79" t="str">
        <f>IFERROR(__xludf.DUMMYFUNCTION("TRIM(REGEXREPLACE(E743, ""[0-9]+[a-f]?\."", """"))"),"Tufafi")</f>
        <v>Tufafi</v>
      </c>
      <c r="J743" s="79" t="s">
        <v>4238</v>
      </c>
      <c r="K743" s="79" t="s">
        <v>4239</v>
      </c>
      <c r="L743" s="79" t="s">
        <v>4240</v>
      </c>
    </row>
    <row r="744">
      <c r="A744" s="79" t="s">
        <v>277</v>
      </c>
      <c r="B744" s="80" t="s">
        <v>4241</v>
      </c>
      <c r="C744" s="80" t="s">
        <v>4242</v>
      </c>
      <c r="D744" s="80" t="s">
        <v>4243</v>
      </c>
      <c r="E744" s="80" t="s">
        <v>4244</v>
      </c>
      <c r="F744" s="82">
        <v>426.0</v>
      </c>
      <c r="G744" s="79" t="str">
        <f>IFERROR(__xludf.DUMMYFUNCTION("TRIM(REGEXREPLACE(C744, ""[0-9]+[a-f]?\."", """"))"),"Sheep")</f>
        <v>Sheep</v>
      </c>
      <c r="H744" s="79" t="str">
        <f>IFERROR(__xludf.DUMMYFUNCTION("TRIM(REGEXREPLACE(D744, ""[0-9]+[a-f]?\."", """"))"),"Mouton")</f>
        <v>Mouton</v>
      </c>
      <c r="I744" s="79" t="str">
        <f>IFERROR(__xludf.DUMMYFUNCTION("TRIM(REGEXREPLACE(E744, ""[0-9]+[a-f]?\."", """"))"),"Rago")</f>
        <v>Rago</v>
      </c>
      <c r="J744" s="79" t="s">
        <v>4245</v>
      </c>
      <c r="K744" s="79" t="s">
        <v>4246</v>
      </c>
      <c r="L744" s="79" t="s">
        <v>4247</v>
      </c>
    </row>
    <row r="745">
      <c r="A745" s="79" t="s">
        <v>277</v>
      </c>
      <c r="B745" s="80" t="s">
        <v>4248</v>
      </c>
      <c r="C745" s="80" t="s">
        <v>4249</v>
      </c>
      <c r="D745" s="80" t="s">
        <v>4250</v>
      </c>
      <c r="E745" s="80" t="s">
        <v>4251</v>
      </c>
      <c r="F745" s="82">
        <v>427.0</v>
      </c>
      <c r="G745" s="79" t="str">
        <f>IFERROR(__xludf.DUMMYFUNCTION("TRIM(REGEXREPLACE(C745, ""[0-9]+[a-f]?\."", """"))"),"Goat")</f>
        <v>Goat</v>
      </c>
      <c r="H745" s="79" t="str">
        <f>IFERROR(__xludf.DUMMYFUNCTION("TRIM(REGEXREPLACE(D745, ""[0-9]+[a-f]?\."", """"))"),"Chèvre")</f>
        <v>Chèvre</v>
      </c>
      <c r="I745" s="79" t="str">
        <f>IFERROR(__xludf.DUMMYFUNCTION("TRIM(REGEXREPLACE(E745, ""[0-9]+[a-f]?\."", """"))"),"Akuya")</f>
        <v>Akuya</v>
      </c>
      <c r="J745" s="79" t="s">
        <v>4253</v>
      </c>
      <c r="K745" s="79" t="s">
        <v>4254</v>
      </c>
      <c r="L745" s="79" t="s">
        <v>4255</v>
      </c>
    </row>
    <row r="746">
      <c r="A746" s="79" t="s">
        <v>277</v>
      </c>
      <c r="B746" s="80" t="s">
        <v>4256</v>
      </c>
      <c r="C746" s="80" t="s">
        <v>4188</v>
      </c>
      <c r="D746" s="80" t="s">
        <v>4189</v>
      </c>
      <c r="E746" s="80" t="s">
        <v>4190</v>
      </c>
      <c r="F746" s="82">
        <v>428.0</v>
      </c>
      <c r="G746" s="79" t="str">
        <f>IFERROR(__xludf.DUMMYFUNCTION("TRIM(REGEXREPLACE(C746, ""[0-9]+[a-f]?\."", """"))"),"Poultry")</f>
        <v>Poultry</v>
      </c>
      <c r="H746" s="79" t="str">
        <f>IFERROR(__xludf.DUMMYFUNCTION("TRIM(REGEXREPLACE(D746, ""[0-9]+[a-f]?\."", """"))"),"Volaille")</f>
        <v>Volaille</v>
      </c>
      <c r="I746" s="79" t="str">
        <f>IFERROR(__xludf.DUMMYFUNCTION("TRIM(REGEXREPLACE(E746, ""[0-9]+[a-f]?\."", """"))"),"Kaji")</f>
        <v>Kaji</v>
      </c>
      <c r="J746" s="79" t="s">
        <v>4260</v>
      </c>
      <c r="K746" s="79" t="s">
        <v>4261</v>
      </c>
      <c r="L746" s="79" t="s">
        <v>4262</v>
      </c>
    </row>
    <row r="747" hidden="1">
      <c r="C747" s="80"/>
      <c r="D747" s="80"/>
      <c r="E747" s="80"/>
      <c r="F747" s="82">
        <v>435.0</v>
      </c>
      <c r="G747" s="79" t="str">
        <f>IFERROR(__xludf.DUMMYFUNCTION("TRIM(REGEXREPLACE(C747, ""[0-9]+[a-f]?\."", """"))"),"")</f>
        <v/>
      </c>
      <c r="H747" s="79" t="str">
        <f>IFERROR(__xludf.DUMMYFUNCTION("TRIM(REGEXREPLACE(D747, ""[0-9]+[a-f]?\."", """"))"),"")</f>
        <v/>
      </c>
      <c r="I747" s="79" t="str">
        <f>IFERROR(__xludf.DUMMYFUNCTION("TRIM(REGEXREPLACE(E747, ""[0-9]+[a-f]?\."", """"))"),"")</f>
        <v/>
      </c>
      <c r="J747" s="79" t="s">
        <v>4266</v>
      </c>
      <c r="K747" s="79" t="s">
        <v>4267</v>
      </c>
      <c r="L747" s="79" t="s">
        <v>4268</v>
      </c>
    </row>
    <row r="748" hidden="1">
      <c r="C748" s="80"/>
      <c r="D748" s="80"/>
      <c r="E748" s="80"/>
      <c r="F748" s="82">
        <v>436.0</v>
      </c>
      <c r="G748" s="79" t="str">
        <f>IFERROR(__xludf.DUMMYFUNCTION("TRIM(REGEXREPLACE(C748, ""[0-9]+[a-f]?\."", """"))"),"")</f>
        <v/>
      </c>
      <c r="H748" s="79" t="str">
        <f>IFERROR(__xludf.DUMMYFUNCTION("TRIM(REGEXREPLACE(D748, ""[0-9]+[a-f]?\."", """"))"),"")</f>
        <v/>
      </c>
      <c r="I748" s="79" t="str">
        <f>IFERROR(__xludf.DUMMYFUNCTION("TRIM(REGEXREPLACE(E748, ""[0-9]+[a-f]?\."", """"))"),"")</f>
        <v/>
      </c>
      <c r="J748" s="79" t="s">
        <v>4270</v>
      </c>
      <c r="K748" s="79" t="s">
        <v>4271</v>
      </c>
      <c r="L748" s="79" t="s">
        <v>4272</v>
      </c>
    </row>
    <row r="749" hidden="1">
      <c r="C749" s="80"/>
      <c r="D749" s="80"/>
      <c r="E749" s="80"/>
      <c r="F749" s="82">
        <v>437.0</v>
      </c>
      <c r="G749" s="79" t="str">
        <f>IFERROR(__xludf.DUMMYFUNCTION("TRIM(REGEXREPLACE(C749, ""[0-9]+[a-f]?\."", """"))"),"")</f>
        <v/>
      </c>
      <c r="H749" s="79" t="str">
        <f>IFERROR(__xludf.DUMMYFUNCTION("TRIM(REGEXREPLACE(D749, ""[0-9]+[a-f]?\."", """"))"),"")</f>
        <v/>
      </c>
      <c r="I749" s="79" t="str">
        <f>IFERROR(__xludf.DUMMYFUNCTION("TRIM(REGEXREPLACE(E749, ""[0-9]+[a-f]?\."", """"))"),"")</f>
        <v/>
      </c>
      <c r="J749" s="79" t="s">
        <v>4273</v>
      </c>
      <c r="K749" s="79" t="s">
        <v>4274</v>
      </c>
      <c r="L749" s="79" t="s">
        <v>4275</v>
      </c>
    </row>
    <row r="750" hidden="1">
      <c r="C750" s="80"/>
      <c r="D750" s="80"/>
      <c r="E750" s="80"/>
      <c r="F750" s="82">
        <v>438.0</v>
      </c>
      <c r="G750" s="79" t="str">
        <f>IFERROR(__xludf.DUMMYFUNCTION("TRIM(REGEXREPLACE(C750, ""[0-9]+[a-f]?\."", """"))"),"")</f>
        <v/>
      </c>
      <c r="H750" s="79" t="str">
        <f>IFERROR(__xludf.DUMMYFUNCTION("TRIM(REGEXREPLACE(D750, ""[0-9]+[a-f]?\."", """"))"),"")</f>
        <v/>
      </c>
      <c r="I750" s="79" t="str">
        <f>IFERROR(__xludf.DUMMYFUNCTION("TRIM(REGEXREPLACE(E750, ""[0-9]+[a-f]?\."", """"))"),"")</f>
        <v/>
      </c>
      <c r="J750" s="79" t="s">
        <v>4277</v>
      </c>
      <c r="K750" s="79" t="s">
        <v>4278</v>
      </c>
      <c r="L750" s="79" t="s">
        <v>4279</v>
      </c>
    </row>
    <row r="751" hidden="1">
      <c r="C751" s="80"/>
      <c r="D751" s="80"/>
      <c r="E751" s="80"/>
      <c r="F751" s="82">
        <v>439.0</v>
      </c>
      <c r="G751" s="79" t="str">
        <f>IFERROR(__xludf.DUMMYFUNCTION("TRIM(REGEXREPLACE(C751, ""[0-9]+[a-f]?\."", """"))"),"")</f>
        <v/>
      </c>
      <c r="H751" s="79" t="str">
        <f>IFERROR(__xludf.DUMMYFUNCTION("TRIM(REGEXREPLACE(D751, ""[0-9]+[a-f]?\."", """"))"),"")</f>
        <v/>
      </c>
      <c r="I751" s="79" t="str">
        <f>IFERROR(__xludf.DUMMYFUNCTION("TRIM(REGEXREPLACE(E751, ""[0-9]+[a-f]?\."", """"))"),"")</f>
        <v/>
      </c>
      <c r="J751" s="79" t="s">
        <v>4281</v>
      </c>
      <c r="K751" s="79" t="s">
        <v>4282</v>
      </c>
      <c r="L751" s="79" t="s">
        <v>4283</v>
      </c>
    </row>
    <row r="752" hidden="1">
      <c r="C752" s="80"/>
      <c r="D752" s="80"/>
      <c r="E752" s="80"/>
      <c r="F752" s="82">
        <v>439.0</v>
      </c>
      <c r="G752" s="79" t="str">
        <f>IFERROR(__xludf.DUMMYFUNCTION("TRIM(REGEXREPLACE(C752, ""[0-9]+[a-f]?\."", """"))"),"")</f>
        <v/>
      </c>
      <c r="H752" s="79" t="str">
        <f>IFERROR(__xludf.DUMMYFUNCTION("TRIM(REGEXREPLACE(D752, ""[0-9]+[a-f]?\."", """"))"),"")</f>
        <v/>
      </c>
      <c r="I752" s="79" t="str">
        <f>IFERROR(__xludf.DUMMYFUNCTION("TRIM(REGEXREPLACE(E752, ""[0-9]+[a-f]?\."", """"))"),"")</f>
        <v/>
      </c>
    </row>
    <row r="753" hidden="1">
      <c r="C753" s="80"/>
      <c r="D753" s="80"/>
      <c r="E753" s="80"/>
      <c r="F753" s="82">
        <v>440.0</v>
      </c>
      <c r="G753" s="79" t="str">
        <f>IFERROR(__xludf.DUMMYFUNCTION("TRIM(REGEXREPLACE(C753, ""[0-9]+[a-f]?\."", """"))"),"")</f>
        <v/>
      </c>
      <c r="H753" s="79" t="str">
        <f>IFERROR(__xludf.DUMMYFUNCTION("TRIM(REGEXREPLACE(D753, ""[0-9]+[a-f]?\."", """"))"),"")</f>
        <v/>
      </c>
      <c r="I753" s="79" t="str">
        <f>IFERROR(__xludf.DUMMYFUNCTION("TRIM(REGEXREPLACE(E753, ""[0-9]+[a-f]?\."", """"))"),"")</f>
        <v/>
      </c>
      <c r="J753" s="79" t="s">
        <v>4285</v>
      </c>
      <c r="K753" s="79" t="s">
        <v>4286</v>
      </c>
      <c r="L753" s="79" t="s">
        <v>4287</v>
      </c>
    </row>
    <row r="754" hidden="1"/>
    <row r="755" hidden="1">
      <c r="C755" s="80"/>
      <c r="D755" s="80"/>
      <c r="E755" s="80"/>
      <c r="F755" s="82">
        <v>441.0</v>
      </c>
      <c r="G755" s="79" t="str">
        <f>IFERROR(__xludf.DUMMYFUNCTION("TRIM(REGEXREPLACE(C755, ""[0-9]+[a-f]?\."", """"))"),"")</f>
        <v/>
      </c>
      <c r="H755" s="79" t="str">
        <f>IFERROR(__xludf.DUMMYFUNCTION("TRIM(REGEXREPLACE(D755, ""[0-9]+[a-f]?\."", """"))"),"")</f>
        <v/>
      </c>
      <c r="I755" s="79" t="str">
        <f>IFERROR(__xludf.DUMMYFUNCTION("TRIM(REGEXREPLACE(E755, ""[0-9]+[a-f]?\."", """"))"),"")</f>
        <v/>
      </c>
      <c r="J755" s="79" t="s">
        <v>4288</v>
      </c>
      <c r="K755" s="79" t="s">
        <v>4289</v>
      </c>
      <c r="L755" s="79" t="s">
        <v>4290</v>
      </c>
    </row>
    <row r="756" hidden="1">
      <c r="C756" s="80"/>
      <c r="D756" s="80"/>
      <c r="E756" s="80"/>
      <c r="F756" s="82">
        <v>441.0</v>
      </c>
      <c r="G756" s="79" t="str">
        <f>IFERROR(__xludf.DUMMYFUNCTION("TRIM(REGEXREPLACE(C756, ""[0-9]+[a-f]?\."", """"))"),"")</f>
        <v/>
      </c>
      <c r="H756" s="79" t="str">
        <f>IFERROR(__xludf.DUMMYFUNCTION("TRIM(REGEXREPLACE(D756, ""[0-9]+[a-f]?\."", """"))"),"")</f>
        <v/>
      </c>
      <c r="I756" s="79" t="str">
        <f>IFERROR(__xludf.DUMMYFUNCTION("TRIM(REGEXREPLACE(E756, ""[0-9]+[a-f]?\."", """"))"),"")</f>
        <v/>
      </c>
    </row>
    <row r="757" hidden="1">
      <c r="C757" s="80"/>
      <c r="D757" s="80"/>
      <c r="E757" s="80"/>
      <c r="F757" s="82">
        <v>442.0</v>
      </c>
      <c r="G757" s="79" t="str">
        <f>IFERROR(__xludf.DUMMYFUNCTION("TRIM(REGEXREPLACE(C757, ""[0-9]+[a-f]?\."", """"))"),"")</f>
        <v/>
      </c>
      <c r="H757" s="79" t="str">
        <f>IFERROR(__xludf.DUMMYFUNCTION("TRIM(REGEXREPLACE(D757, ""[0-9]+[a-f]?\."", """"))"),"")</f>
        <v/>
      </c>
      <c r="I757" s="79" t="str">
        <f>IFERROR(__xludf.DUMMYFUNCTION("TRIM(REGEXREPLACE(E757, ""[0-9]+[a-f]?\."", """"))"),"")</f>
        <v/>
      </c>
      <c r="J757" s="79" t="s">
        <v>4292</v>
      </c>
      <c r="K757" s="79" t="s">
        <v>4293</v>
      </c>
      <c r="L757" s="79" t="s">
        <v>4294</v>
      </c>
    </row>
    <row r="758" hidden="1">
      <c r="C758" s="80"/>
      <c r="D758" s="80"/>
      <c r="E758" s="80"/>
      <c r="F758" s="82">
        <v>443.0</v>
      </c>
      <c r="G758" s="79" t="str">
        <f>IFERROR(__xludf.DUMMYFUNCTION("TRIM(REGEXREPLACE(C758, ""[0-9]+[a-f]?\."", """"))"),"")</f>
        <v/>
      </c>
      <c r="H758" s="79" t="str">
        <f>IFERROR(__xludf.DUMMYFUNCTION("TRIM(REGEXREPLACE(D758, ""[0-9]+[a-f]?\."", """"))"),"")</f>
        <v/>
      </c>
      <c r="I758" s="79" t="str">
        <f>IFERROR(__xludf.DUMMYFUNCTION("TRIM(REGEXREPLACE(E758, ""[0-9]+[a-f]?\."", """"))"),"")</f>
        <v/>
      </c>
      <c r="J758" s="79" t="s">
        <v>4295</v>
      </c>
      <c r="K758" s="79" t="s">
        <v>4296</v>
      </c>
      <c r="L758" s="79" t="s">
        <v>4297</v>
      </c>
    </row>
    <row r="759" hidden="1">
      <c r="C759" s="80"/>
      <c r="D759" s="80"/>
      <c r="E759" s="80"/>
      <c r="F759" s="82">
        <v>444.0</v>
      </c>
      <c r="G759" s="79" t="str">
        <f>IFERROR(__xludf.DUMMYFUNCTION("TRIM(REGEXREPLACE(C759, ""[0-9]+[a-f]?\."", """"))"),"")</f>
        <v/>
      </c>
      <c r="H759" s="79" t="str">
        <f>IFERROR(__xludf.DUMMYFUNCTION("TRIM(REGEXREPLACE(D759, ""[0-9]+[a-f]?\."", """"))"),"")</f>
        <v/>
      </c>
      <c r="I759" s="79" t="str">
        <f>IFERROR(__xludf.DUMMYFUNCTION("TRIM(REGEXREPLACE(E759, ""[0-9]+[a-f]?\."", """"))"),"")</f>
        <v/>
      </c>
    </row>
    <row r="760" hidden="1">
      <c r="C760" s="80"/>
      <c r="D760" s="80"/>
      <c r="E760" s="80"/>
      <c r="F760" s="82">
        <v>445.0</v>
      </c>
      <c r="G760" s="79" t="str">
        <f>IFERROR(__xludf.DUMMYFUNCTION("TRIM(REGEXREPLACE(C760, ""[0-9]+[a-f]?\."", """"))"),"")</f>
        <v/>
      </c>
      <c r="H760" s="79" t="str">
        <f>IFERROR(__xludf.DUMMYFUNCTION("TRIM(REGEXREPLACE(D760, ""[0-9]+[a-f]?\."", """"))"),"")</f>
        <v/>
      </c>
      <c r="I760" s="79" t="str">
        <f>IFERROR(__xludf.DUMMYFUNCTION("TRIM(REGEXREPLACE(E760, ""[0-9]+[a-f]?\."", """"))"),"")</f>
        <v/>
      </c>
    </row>
    <row r="761">
      <c r="A761" s="79" t="s">
        <v>42</v>
      </c>
      <c r="B761" s="79" t="s">
        <v>4299</v>
      </c>
      <c r="C761" s="80" t="s">
        <v>4300</v>
      </c>
      <c r="D761" s="80" t="s">
        <v>4301</v>
      </c>
      <c r="E761" s="80" t="s">
        <v>4302</v>
      </c>
      <c r="F761" s="82">
        <v>429.0</v>
      </c>
      <c r="G761" s="79" t="str">
        <f>IFERROR(__xludf.DUMMYFUNCTION("TRIM(REGEXREPLACE(C761, ""[0-9]+[a-f]?\."", """"))"),"As I mentioned at the beginning of our interview, we would like to stay in touch with you.")</f>
        <v>As I mentioned at the beginning of our interview, we would like to stay in touch with you.</v>
      </c>
      <c r="H761" s="79" t="str">
        <f>IFERROR(__xludf.DUMMYFUNCTION("TRIM(REGEXREPLACE(D761, ""[0-9]+[a-f]?\."", """"))"),"Comme je l'ai mentionné au début de notre entretien, nous aimerions rester en contact avec vous.")</f>
        <v>Comme je l'ai mentionné au début de notre entretien, nous aimerions rester en contact avec vous.</v>
      </c>
      <c r="I761" s="79" t="str">
        <f>IFERROR(__xludf.DUMMYFUNCTION("TRIM(REGEXREPLACE(E761, ""[0-9]+[a-f]?\."", """"))"),"Kamar yadda na faɗa a farkon hirarmu, muna son mu ci gaba da tuntuɓar ku.")</f>
        <v>Kamar yadda na faɗa a farkon hirarmu, muna son mu ci gaba da tuntuɓar ku.</v>
      </c>
      <c r="J761" s="79" t="s">
        <v>4303</v>
      </c>
      <c r="K761" s="79" t="s">
        <v>4304</v>
      </c>
      <c r="L761" s="79" t="s">
        <v>4305</v>
      </c>
    </row>
    <row r="762">
      <c r="A762" s="79" t="s">
        <v>299</v>
      </c>
      <c r="B762" s="79" t="s">
        <v>4306</v>
      </c>
      <c r="C762" s="80" t="s">
        <v>4221</v>
      </c>
      <c r="D762" s="80" t="s">
        <v>4222</v>
      </c>
      <c r="E762" s="80" t="s">
        <v>4223</v>
      </c>
      <c r="F762" s="82">
        <v>430.0</v>
      </c>
      <c r="G762" s="79" t="str">
        <f>IFERROR(__xludf.DUMMYFUNCTION("TRIM(REGEXREPLACE(C762, ""[0-9]+[a-f]?\."", """"))"),"What is the phone number where we can reach you?")</f>
        <v>What is the phone number where we can reach you?</v>
      </c>
      <c r="H762" s="79" t="str">
        <f>IFERROR(__xludf.DUMMYFUNCTION("TRIM(REGEXREPLACE(D762, ""[0-9]+[a-f]?\."", """"))"),"Quel est le numéro de téléphone auquel nous pouvons vous joindre?")</f>
        <v>Quel est le numéro de téléphone auquel nous pouvons vous joindre?</v>
      </c>
      <c r="I762" s="79" t="str">
        <f>IFERROR(__xludf.DUMMYFUNCTION("TRIM(REGEXREPLACE(E762, ""[0-9]+[a-f]?\."", """"))"),"Wace lambar waya ce zamu iya samun ku da ita?")</f>
        <v>Wace lambar waya ce zamu iya samun ku da ita?</v>
      </c>
      <c r="J762" s="79" t="s">
        <v>4308</v>
      </c>
      <c r="K762" s="79" t="s">
        <v>4309</v>
      </c>
      <c r="L762" s="79" t="s">
        <v>4310</v>
      </c>
    </row>
    <row r="763">
      <c r="A763" s="79" t="s">
        <v>194</v>
      </c>
      <c r="B763" s="79" t="s">
        <v>4311</v>
      </c>
      <c r="C763" s="80" t="s">
        <v>4225</v>
      </c>
      <c r="D763" s="80" t="s">
        <v>4226</v>
      </c>
      <c r="E763" s="80" t="s">
        <v>4227</v>
      </c>
      <c r="F763" s="82">
        <v>431.0</v>
      </c>
      <c r="G763" s="79" t="str">
        <f>IFERROR(__xludf.DUMMYFUNCTION("TRIM(REGEXREPLACE(C763, ""[0-9]+[a-f]?\."", """"))"),"I am going to read back the phone number you just shared with me. Can you confirm this is your primary phone number? ${primary_phone}")</f>
        <v>I am going to read back the phone number you just shared with me. Can you confirm this is your primary phone number? ${primary_phone}</v>
      </c>
      <c r="H763" s="79" t="str">
        <f>IFERROR(__xludf.DUMMYFUNCTION("TRIM(REGEXREPLACE(D763,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763" s="79" t="str">
        <f>IFERROR(__xludf.DUMMYFUNCTION("TRIM(REGEXREPLACE(E763, ""[0-9]+[a-f]?\."", """"))"),"Zan sake karanta lambar wayar da kuka bani. Zaku iya tabbatar mini da wannan itace lambar wayarku ta farko? ${primary_phone}")</f>
        <v>Zan sake karanta lambar wayar da kuka bani. Zaku iya tabbatar mini da wannan itace lambar wayarku ta farko? ${primary_phone}</v>
      </c>
      <c r="J763" s="79" t="s">
        <v>4312</v>
      </c>
      <c r="K763" s="79" t="s">
        <v>4313</v>
      </c>
      <c r="L763" s="79" t="s">
        <v>4314</v>
      </c>
    </row>
    <row r="764">
      <c r="A764" s="79" t="s">
        <v>42</v>
      </c>
      <c r="B764" s="79" t="s">
        <v>4315</v>
      </c>
      <c r="C764" s="80" t="s">
        <v>4316</v>
      </c>
      <c r="D764" s="80" t="s">
        <v>4317</v>
      </c>
      <c r="E764" s="80" t="s">
        <v>4318</v>
      </c>
      <c r="F764" s="82">
        <v>432.0</v>
      </c>
      <c r="G764" s="79" t="str">
        <f>IFERROR(__xludf.DUMMYFUNCTION("TRIM(REGEXREPLACE(C764, ""[0-9]+[a-f]?\."", """"))"),"Please go back and correct the number.")</f>
        <v>Please go back and correct the number.</v>
      </c>
      <c r="H764" s="79" t="str">
        <f>IFERROR(__xludf.DUMMYFUNCTION("TRIM(REGEXREPLACE(D764, ""[0-9]+[a-f]?\."", """"))"),"Veuillez revenir en arrière pour corriger le numéro.")</f>
        <v>Veuillez revenir en arrière pour corriger le numéro.</v>
      </c>
      <c r="I764" s="79" t="str">
        <f>IFERROR(__xludf.DUMMYFUNCTION("TRIM(REGEXREPLACE(E764, ""[0-9]+[a-f]?\."", """"))"),"ko za ka koma baya ka gyara lambar.")</f>
        <v>ko za ka koma baya ka gyara lambar.</v>
      </c>
      <c r="J764" s="79" t="s">
        <v>4319</v>
      </c>
      <c r="K764" s="79" t="s">
        <v>4320</v>
      </c>
      <c r="L764" s="79" t="s">
        <v>4321</v>
      </c>
    </row>
    <row r="765">
      <c r="A765" s="79" t="s">
        <v>4322</v>
      </c>
      <c r="B765" s="79" t="s">
        <v>4323</v>
      </c>
      <c r="C765" s="80" t="s">
        <v>4324</v>
      </c>
      <c r="D765" s="80" t="s">
        <v>4325</v>
      </c>
      <c r="E765" s="80" t="s">
        <v>4326</v>
      </c>
      <c r="F765" s="82">
        <v>433.0</v>
      </c>
      <c r="G765" s="79" t="str">
        <f>IFERROR(__xludf.DUMMYFUNCTION("TRIM(REGEXREPLACE(C765, ""[0-9]+[a-f]?\."", """"))"),"I am going to call this phone number to confirm it is correct.")</f>
        <v>I am going to call this phone number to confirm it is correct.</v>
      </c>
      <c r="H765" s="79" t="str">
        <f>IFERROR(__xludf.DUMMYFUNCTION("TRIM(REGEXREPLACE(D765, ""[0-9]+[a-f]?\."", """"))"),"Je vais appeler ce numéro de téléphone pour confirmer qu'il est correct.")</f>
        <v>Je vais appeler ce numéro de téléphone pour confirmer qu'il est correct.</v>
      </c>
      <c r="I765" s="79" t="str">
        <f>IFERROR(__xludf.DUMMYFUNCTION("TRIM(REGEXREPLACE(E765, ""[0-9]+[a-f]?\."", """"))"),"Zan kirayi wannan lambar don tabbatar da cewa daidai ce.")</f>
        <v>Zan kirayi wannan lambar don tabbatar da cewa daidai ce.</v>
      </c>
      <c r="J765" s="79" t="s">
        <v>4328</v>
      </c>
      <c r="K765" s="79" t="s">
        <v>4329</v>
      </c>
      <c r="L765" s="79" t="s">
        <v>4330</v>
      </c>
    </row>
    <row r="766">
      <c r="A766" s="79" t="s">
        <v>42</v>
      </c>
      <c r="B766" s="79" t="s">
        <v>4331</v>
      </c>
      <c r="C766" s="80" t="s">
        <v>4332</v>
      </c>
      <c r="D766" s="80" t="s">
        <v>4333</v>
      </c>
      <c r="E766" s="80" t="s">
        <v>4334</v>
      </c>
      <c r="F766" s="82">
        <v>434.0</v>
      </c>
      <c r="G766" s="79" t="str">
        <f>IFERROR(__xludf.DUMMYFUNCTION("TRIM(REGEXREPLACE(C766, ""[0-9]+[a-f]?\."", """"))"),"Please go back and enter a new phone number.")</f>
        <v>Please go back and enter a new phone number.</v>
      </c>
      <c r="H766" s="79" t="str">
        <f>IFERROR(__xludf.DUMMYFUNCTION("TRIM(REGEXREPLACE(D766, ""[0-9]+[a-f]?\."", """"))"),"Veuillez revenir en arrière pour entrer un nouveau numéro de téléphone.")</f>
        <v>Veuillez revenir en arrière pour entrer un nouveau numéro de téléphone.</v>
      </c>
      <c r="I766" s="79" t="str">
        <f>IFERROR(__xludf.DUMMYFUNCTION("TRIM(REGEXREPLACE(E766, ""[0-9]+[a-f]?\."", """"))"),"Ko za ka koma baya ka shigar da sabuwar lambar waya.")</f>
        <v>Ko za ka koma baya ka shigar da sabuwar lambar waya.</v>
      </c>
      <c r="J766" s="79" t="s">
        <v>4335</v>
      </c>
      <c r="K766" s="79" t="s">
        <v>4336</v>
      </c>
      <c r="L766" s="79" t="s">
        <v>4337</v>
      </c>
    </row>
    <row r="767">
      <c r="A767" s="79" t="s">
        <v>194</v>
      </c>
      <c r="B767" s="79" t="s">
        <v>4338</v>
      </c>
      <c r="C767" s="80" t="s">
        <v>4339</v>
      </c>
      <c r="D767" s="80" t="s">
        <v>4340</v>
      </c>
      <c r="E767" s="80" t="s">
        <v>4341</v>
      </c>
      <c r="F767" s="82">
        <v>435.0</v>
      </c>
      <c r="G767" s="79" t="str">
        <f>IFERROR(__xludf.DUMMYFUNCTION("TRIM(REGEXREPLACE(C767, ""[0-9]+[a-f]?\."", """"))"),"Do you have a Whatsapp account/ phone number you use for WhatsApp?")</f>
        <v>Do you have a Whatsapp account/ phone number you use for WhatsApp?</v>
      </c>
      <c r="H767" s="79" t="str">
        <f>IFERROR(__xludf.DUMMYFUNCTION("TRIM(REGEXREPLACE(D767, ""[0-9]+[a-f]?\."", """"))"),"Avez-vous un compte/numéro de téléphone Whatsapp que vous utilisez pour WhatsApp ?")</f>
        <v>Avez-vous un compte/numéro de téléphone Whatsapp que vous utilisez pour WhatsApp ?</v>
      </c>
      <c r="I767" s="79" t="str">
        <f>IFERROR(__xludf.DUMMYFUNCTION("TRIM(REGEXREPLACE(E767, ""[0-9]+[a-f]?\."", """"))"),"Kuna yin WhatsApp / lambar wayar da kuke amfani da ita ta WhatsApp ce?")</f>
        <v>Kuna yin WhatsApp / lambar wayar da kuke amfani da ita ta WhatsApp ce?</v>
      </c>
      <c r="J767" s="79" t="s">
        <v>4343</v>
      </c>
      <c r="K767" s="79" t="s">
        <v>4344</v>
      </c>
      <c r="L767" s="79" t="s">
        <v>4345</v>
      </c>
    </row>
    <row r="768">
      <c r="A768" s="79" t="s">
        <v>194</v>
      </c>
      <c r="B768" s="79" t="s">
        <v>4346</v>
      </c>
      <c r="C768" s="80" t="s">
        <v>4347</v>
      </c>
      <c r="D768" s="80" t="s">
        <v>4348</v>
      </c>
      <c r="E768" s="80" t="s">
        <v>4349</v>
      </c>
      <c r="F768" s="82">
        <v>436.0</v>
      </c>
      <c r="G768" s="79" t="str">
        <f>IFERROR(__xludf.DUMMYFUNCTION("TRIM(REGEXREPLACE(C768, ""[0-9]+[a-f]?\."", """"))"),"Is this the phone number you use for whatsapp?")</f>
        <v>Is this the phone number you use for whatsapp?</v>
      </c>
      <c r="H768" s="79" t="str">
        <f>IFERROR(__xludf.DUMMYFUNCTION("TRIM(REGEXREPLACE(D768, ""[0-9]+[a-f]?\."", """"))"),"Est-ce le numéro de téléphone que vous utilisez pour WhatsApp ?")</f>
        <v>Est-ce le numéro de téléphone que vous utilisez pour WhatsApp ?</v>
      </c>
      <c r="I768" s="79" t="str">
        <f>IFERROR(__xludf.DUMMYFUNCTION("TRIM(REGEXREPLACE(E768, ""[0-9]+[a-f]?\."", """"))"),"Wannan ita ce lambar wayar da kuke amfani da ita don yin whatsapp?")</f>
        <v>Wannan ita ce lambar wayar da kuke amfani da ita don yin whatsapp?</v>
      </c>
      <c r="J768" s="79" t="s">
        <v>4350</v>
      </c>
      <c r="K768" s="79" t="s">
        <v>4351</v>
      </c>
      <c r="L768" s="79" t="s">
        <v>4352</v>
      </c>
    </row>
    <row r="769">
      <c r="A769" s="79" t="s">
        <v>299</v>
      </c>
      <c r="B769" s="79" t="s">
        <v>4353</v>
      </c>
      <c r="C769" s="80" t="s">
        <v>4266</v>
      </c>
      <c r="D769" s="80" t="s">
        <v>4267</v>
      </c>
      <c r="E769" s="80" t="s">
        <v>4268</v>
      </c>
      <c r="F769" s="82">
        <v>437.0</v>
      </c>
      <c r="G769" s="79" t="str">
        <f>IFERROR(__xludf.DUMMYFUNCTION("TRIM(REGEXREPLACE(C769, ""[0-9]+[a-f]?\."", """"))"),"Please tell me the phone number you use for Whatsapp")</f>
        <v>Please tell me the phone number you use for Whatsapp</v>
      </c>
      <c r="H769" s="79" t="str">
        <f>IFERROR(__xludf.DUMMYFUNCTION("TRIM(REGEXREPLACE(D769, ""[0-9]+[a-f]?\."", """"))"),"Veuillez me dire le numéro de téléphone que vous utilisez pour Whatsapp")</f>
        <v>Veuillez me dire le numéro de téléphone que vous utilisez pour Whatsapp</v>
      </c>
      <c r="I769" s="79" t="str">
        <f>IFERROR(__xludf.DUMMYFUNCTION("TRIM(REGEXREPLACE(E769, ""[0-9]+[a-f]?\."", """"))"),"Don Allah ku gaya mini lambar wayar da kuke amfani da ita don yin Whatsapp")</f>
        <v>Don Allah ku gaya mini lambar wayar da kuke amfani da ita don yin Whatsapp</v>
      </c>
      <c r="J769" s="79" t="s">
        <v>4354</v>
      </c>
      <c r="K769" s="79" t="s">
        <v>4356</v>
      </c>
      <c r="L769" s="79" t="s">
        <v>4357</v>
      </c>
    </row>
    <row r="770">
      <c r="A770" s="79" t="s">
        <v>194</v>
      </c>
      <c r="B770" s="79" t="s">
        <v>4358</v>
      </c>
      <c r="C770" s="80" t="s">
        <v>4270</v>
      </c>
      <c r="D770" s="80" t="s">
        <v>4271</v>
      </c>
      <c r="E770" s="80" t="s">
        <v>4272</v>
      </c>
      <c r="F770" s="82">
        <v>438.0</v>
      </c>
      <c r="G770" s="79" t="str">
        <f>IFERROR(__xludf.DUMMYFUNCTION("TRIM(REGEXREPLACE(C770,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770" s="79" t="str">
        <f>IFERROR(__xludf.DUMMYFUNCTION("TRIM(REGEXREPLACE(D770,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770" s="79" t="str">
        <f>IFERROR(__xludf.DUMMYFUNCTION("TRIM(REGEXREPLACE(E770,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770" s="79" t="s">
        <v>4359</v>
      </c>
      <c r="K770" s="79" t="s">
        <v>4360</v>
      </c>
      <c r="L770" s="79" t="s">
        <v>4361</v>
      </c>
    </row>
    <row r="771">
      <c r="A771" s="79" t="s">
        <v>42</v>
      </c>
      <c r="B771" s="79" t="s">
        <v>4362</v>
      </c>
      <c r="C771" s="80" t="s">
        <v>4273</v>
      </c>
      <c r="D771" s="80" t="s">
        <v>4274</v>
      </c>
      <c r="E771" s="80" t="s">
        <v>4275</v>
      </c>
      <c r="F771" s="82">
        <v>439.0</v>
      </c>
      <c r="G771" s="79" t="str">
        <f>IFERROR(__xludf.DUMMYFUNCTION("TRIM(REGEXREPLACE(C771, ""[0-9]+[a-f]?\."", """"))"),"Please go back and correct the number.")</f>
        <v>Please go back and correct the number.</v>
      </c>
      <c r="H771" s="79" t="str">
        <f>IFERROR(__xludf.DUMMYFUNCTION("TRIM(REGEXREPLACE(D771, ""[0-9]+[a-f]?\."", """"))"),"Veuillez revenir en arrière pour corriger le numéro.")</f>
        <v>Veuillez revenir en arrière pour corriger le numéro.</v>
      </c>
      <c r="I771" s="79" t="str">
        <f>IFERROR(__xludf.DUMMYFUNCTION("TRIM(REGEXREPLACE(E771, ""[0-9]+[a-f]?\."", """"))"),"Da fatan za ka koma baya ka gyara lambar.")</f>
        <v>Da fatan za ka koma baya ka gyara lambar.</v>
      </c>
      <c r="J771" s="79" t="s">
        <v>4364</v>
      </c>
      <c r="K771" s="79" t="s">
        <v>4365</v>
      </c>
      <c r="L771" s="79" t="s">
        <v>4367</v>
      </c>
    </row>
    <row r="772">
      <c r="A772" s="79" t="s">
        <v>194</v>
      </c>
      <c r="B772" s="79" t="s">
        <v>4369</v>
      </c>
      <c r="C772" s="80" t="s">
        <v>4277</v>
      </c>
      <c r="D772" s="80" t="s">
        <v>4278</v>
      </c>
      <c r="E772" s="80" t="s">
        <v>4279</v>
      </c>
      <c r="F772" s="82">
        <v>440.0</v>
      </c>
      <c r="G772" s="79" t="str">
        <f>IFERROR(__xludf.DUMMYFUNCTION("TRIM(REGEXREPLACE(C772, ""[0-9]+[a-f]?\."", """"))"),"Do you have other phone numbers that you use regularly (i.e. other phone carriers)?")</f>
        <v>Do you have other phone numbers that you use regularly (i.e. other phone carriers)?</v>
      </c>
      <c r="H772" s="79" t="str">
        <f>IFERROR(__xludf.DUMMYFUNCTION("TRIM(REGEXREPLACE(D772, ""[0-9]+[a-f]?\."", """"))"),"Avez-vous d'autres numéros de téléphone que vous utilisez régulièrement (c'est-à-dire d'autres opérateurs téléphoniques) ?")</f>
        <v>Avez-vous d'autres numéros de téléphone que vous utilisez régulièrement (c'est-à-dire d'autres opérateurs téléphoniques) ?</v>
      </c>
      <c r="I772" s="79" t="str">
        <f>IFERROR(__xludf.DUMMYFUNCTION("TRIM(REGEXREPLACE(E772, ""[0-9]+[a-f]?\."", """"))"),"Ko kuna da wasu lambobin waya waɗanda kuke amfani da su kai-akai (layin wasu gidan wayar salula)?")</f>
        <v>Ko kuna da wasu lambobin waya waɗanda kuke amfani da su kai-akai (layin wasu gidan wayar salula)?</v>
      </c>
      <c r="J772" s="79" t="s">
        <v>4370</v>
      </c>
      <c r="K772" s="79" t="s">
        <v>4371</v>
      </c>
      <c r="L772" s="79" t="s">
        <v>4372</v>
      </c>
    </row>
    <row r="773">
      <c r="A773" s="79" t="s">
        <v>396</v>
      </c>
      <c r="B773" s="79" t="s">
        <v>4373</v>
      </c>
      <c r="C773" s="80" t="s">
        <v>4281</v>
      </c>
      <c r="D773" s="80" t="s">
        <v>4282</v>
      </c>
      <c r="E773" s="80" t="s">
        <v>4283</v>
      </c>
      <c r="F773" s="82">
        <v>441.0</v>
      </c>
      <c r="G773" s="79" t="str">
        <f>IFERROR(__xludf.DUMMYFUNCTION("TRIM(REGEXREPLACE(C773, ""[0-9]+[a-f]?\."", """"))"),"How many other additional phone numbers?")</f>
        <v>How many other additional phone numbers?</v>
      </c>
      <c r="H773" s="79" t="str">
        <f>IFERROR(__xludf.DUMMYFUNCTION("TRIM(REGEXREPLACE(D773, ""[0-9]+[a-f]?\."", """"))"),"Y-a t-il d'autres numéros de téléphone supplémentaires ?")</f>
        <v>Y-a t-il d'autres numéros de téléphone supplémentaires ?</v>
      </c>
      <c r="I773" s="79" t="str">
        <f>IFERROR(__xludf.DUMMYFUNCTION("TRIM(REGEXREPLACE(E773, ""[0-9]+[a-f]?\."", """"))"),"220 a. Ko akwai ƙarin wasu lambobin waya?")</f>
        <v>220 a. Ko akwai ƙarin wasu lambobin waya?</v>
      </c>
      <c r="J773" s="79" t="s">
        <v>4374</v>
      </c>
      <c r="K773" s="79" t="s">
        <v>4375</v>
      </c>
      <c r="L773" s="79" t="s">
        <v>4376</v>
      </c>
    </row>
    <row r="774" hidden="1">
      <c r="C774" s="80"/>
      <c r="D774" s="80"/>
      <c r="E774" s="80"/>
      <c r="F774" s="82">
        <v>454.0</v>
      </c>
      <c r="G774" s="79" t="str">
        <f>IFERROR(__xludf.DUMMYFUNCTION("TRIM(REGEXREPLACE(C774, ""[0-9]+[a-f]?\."", """"))"),"")</f>
        <v/>
      </c>
      <c r="H774" s="79" t="str">
        <f>IFERROR(__xludf.DUMMYFUNCTION("TRIM(REGEXREPLACE(D774, ""[0-9]+[a-f]?\."", """"))"),"")</f>
        <v/>
      </c>
      <c r="I774" s="79" t="str">
        <f>IFERROR(__xludf.DUMMYFUNCTION("TRIM(REGEXREPLACE(E774, ""[0-9]+[a-f]?\."", """"))"),"")</f>
        <v/>
      </c>
      <c r="J774" s="79" t="s">
        <v>4378</v>
      </c>
      <c r="K774" s="79" t="s">
        <v>4379</v>
      </c>
      <c r="L774" s="79" t="s">
        <v>4380</v>
      </c>
    </row>
    <row r="775">
      <c r="A775" s="79" t="s">
        <v>299</v>
      </c>
      <c r="B775" s="79" t="s">
        <v>4381</v>
      </c>
      <c r="C775" s="80" t="s">
        <v>4285</v>
      </c>
      <c r="D775" s="80" t="s">
        <v>4286</v>
      </c>
      <c r="E775" s="80" t="s">
        <v>4287</v>
      </c>
      <c r="F775" s="82">
        <v>442.0</v>
      </c>
      <c r="G775" s="79" t="str">
        <f>IFERROR(__xludf.DUMMYFUNCTION("TRIM(REGEXREPLACE(C775, ""[0-9]+[a-f]?\."", """"))"),"What are these additional phone numbers?")</f>
        <v>What are these additional phone numbers?</v>
      </c>
      <c r="H775" s="79" t="str">
        <f>IFERROR(__xludf.DUMMYFUNCTION("TRIM(REGEXREPLACE(D775, ""[0-9]+[a-f]?\."", """"))"),"Quels sont les numéros de téléphone supplémentaires ?")</f>
        <v>Quels sont les numéros de téléphone supplémentaires ?</v>
      </c>
      <c r="I775" s="79" t="str">
        <f>IFERROR(__xludf.DUMMYFUNCTION("TRIM(REGEXREPLACE(E775, ""[0-9]+[a-f]?\."", """"))"),"Waɗannene ƙarin lambobin wayan?")</f>
        <v>Waɗannene ƙarin lambobin wayan?</v>
      </c>
      <c r="J775" s="79" t="s">
        <v>4382</v>
      </c>
      <c r="K775" s="79" t="s">
        <v>4383</v>
      </c>
      <c r="L775" s="79" t="s">
        <v>4384</v>
      </c>
    </row>
    <row r="776" hidden="1">
      <c r="C776" s="80"/>
      <c r="D776" s="80"/>
      <c r="E776" s="80"/>
      <c r="F776" s="82">
        <v>456.0</v>
      </c>
      <c r="G776" s="79" t="str">
        <f>IFERROR(__xludf.DUMMYFUNCTION("TRIM(REGEXREPLACE(C776, ""[0-9]+[a-f]?\."", """"))"),"")</f>
        <v/>
      </c>
      <c r="H776" s="79" t="str">
        <f>IFERROR(__xludf.DUMMYFUNCTION("TRIM(REGEXREPLACE(D776, ""[0-9]+[a-f]?\."", """"))"),"")</f>
        <v/>
      </c>
      <c r="I776" s="79" t="str">
        <f>IFERROR(__xludf.DUMMYFUNCTION("TRIM(REGEXREPLACE(E776, ""[0-9]+[a-f]?\."", """"))"),"")</f>
        <v/>
      </c>
      <c r="J776" s="79" t="s">
        <v>4386</v>
      </c>
      <c r="K776" s="79" t="s">
        <v>4387</v>
      </c>
      <c r="L776" s="79" t="s">
        <v>4388</v>
      </c>
    </row>
    <row r="777">
      <c r="A777" s="79" t="s">
        <v>194</v>
      </c>
      <c r="B777" s="79" t="s">
        <v>4389</v>
      </c>
      <c r="C777" s="80" t="s">
        <v>4288</v>
      </c>
      <c r="D777" s="80" t="s">
        <v>4289</v>
      </c>
      <c r="E777" s="80" t="s">
        <v>4290</v>
      </c>
      <c r="F777" s="82">
        <v>443.0</v>
      </c>
      <c r="G777" s="79" t="str">
        <f>IFERROR(__xludf.DUMMYFUNCTION("TRIM(REGEXREPLACE(C777, ""[0-9]+[a-f]?\."", """"))"),"In case we cannot reach you, could you please provide us with the name and phone number of someone outside your household that we could call to ask for your number? 
We would only call that person if we cannot reach you after a few attempts and this woul"&amp;"d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777" s="79" t="str">
        <f>IFERROR(__xludf.DUMMYFUNCTION("TRIM(REGEXREPLACE(D777,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777" s="79" t="str">
        <f>IFERROR(__xludf.DUMMYFUNCTION("TRIM(REGEXREPLACE(E777,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777" s="79" t="s">
        <v>4390</v>
      </c>
      <c r="K777" s="79" t="s">
        <v>4392</v>
      </c>
      <c r="L777" s="79" t="s">
        <v>4393</v>
      </c>
    </row>
    <row r="778" hidden="1">
      <c r="C778" s="80"/>
      <c r="D778" s="80"/>
      <c r="E778" s="80"/>
      <c r="F778" s="82">
        <v>458.0</v>
      </c>
      <c r="G778" s="79" t="str">
        <f>IFERROR(__xludf.DUMMYFUNCTION("TRIM(REGEXREPLACE(C778, ""[0-9]+[a-f]?\."", """"))"),"")</f>
        <v/>
      </c>
      <c r="H778" s="79" t="str">
        <f>IFERROR(__xludf.DUMMYFUNCTION("TRIM(REGEXREPLACE(D778, ""[0-9]+[a-f]?\."", """"))"),"")</f>
        <v/>
      </c>
      <c r="I778" s="79" t="str">
        <f>IFERROR(__xludf.DUMMYFUNCTION("TRIM(REGEXREPLACE(E778, ""[0-9]+[a-f]?\."", """"))"),"")</f>
        <v/>
      </c>
      <c r="J778" s="79" t="s">
        <v>4395</v>
      </c>
      <c r="K778" s="79" t="s">
        <v>4396</v>
      </c>
      <c r="L778" s="79" t="s">
        <v>4397</v>
      </c>
    </row>
    <row r="779">
      <c r="A779" s="79" t="s">
        <v>299</v>
      </c>
      <c r="B779" s="79" t="s">
        <v>4398</v>
      </c>
      <c r="C779" s="80" t="s">
        <v>4292</v>
      </c>
      <c r="D779" s="80" t="s">
        <v>4293</v>
      </c>
      <c r="E779" s="80" t="s">
        <v>4294</v>
      </c>
      <c r="F779" s="82">
        <v>444.0</v>
      </c>
      <c r="G779" s="79" t="str">
        <f>IFERROR(__xludf.DUMMYFUNCTION("TRIM(REGEXREPLACE(C779, ""[0-9]+[a-f]?\."", """"))"),"What is the last name of this person")</f>
        <v>What is the last name of this person</v>
      </c>
      <c r="H779" s="79" t="str">
        <f>IFERROR(__xludf.DUMMYFUNCTION("TRIM(REGEXREPLACE(D779, ""[0-9]+[a-f]?\."", """"))"),"Quel est le nom de cette personne")</f>
        <v>Quel est le nom de cette personne</v>
      </c>
      <c r="I779" s="79" t="str">
        <f>IFERROR(__xludf.DUMMYFUNCTION("TRIM(REGEXREPLACE(E779, ""[0-9]+[a-f]?\."", """"))"),"Menene sunan uban wannan mutumen?")</f>
        <v>Menene sunan uban wannan mutumen?</v>
      </c>
      <c r="J779" s="79" t="s">
        <v>4400</v>
      </c>
      <c r="K779" s="79" t="s">
        <v>4401</v>
      </c>
      <c r="L779" s="79" t="s">
        <v>4402</v>
      </c>
    </row>
    <row r="780">
      <c r="A780" s="79" t="s">
        <v>299</v>
      </c>
      <c r="B780" s="79" t="s">
        <v>4403</v>
      </c>
      <c r="C780" s="80" t="s">
        <v>4295</v>
      </c>
      <c r="D780" s="80" t="s">
        <v>4296</v>
      </c>
      <c r="E780" s="80" t="s">
        <v>4297</v>
      </c>
      <c r="F780" s="82">
        <v>445.0</v>
      </c>
      <c r="G780" s="79" t="str">
        <f>IFERROR(__xludf.DUMMYFUNCTION("TRIM(REGEXREPLACE(C780, ""[0-9]+[a-f]?\."", """"))"),"What is the first name of this person")</f>
        <v>What is the first name of this person</v>
      </c>
      <c r="H780" s="79" t="str">
        <f>IFERROR(__xludf.DUMMYFUNCTION("TRIM(REGEXREPLACE(D780, ""[0-9]+[a-f]?\."", """"))"),"Quel est le prénom de cette personne")</f>
        <v>Quel est le prénom de cette personne</v>
      </c>
      <c r="I780" s="79" t="str">
        <f>IFERROR(__xludf.DUMMYFUNCTION("TRIM(REGEXREPLACE(E780, ""[0-9]+[a-f]?\."", """"))"),"Menene sunan wannan mutumen?")</f>
        <v>Menene sunan wannan mutumen?</v>
      </c>
      <c r="J780" s="79" t="s">
        <v>4404</v>
      </c>
      <c r="K780" s="79" t="s">
        <v>4405</v>
      </c>
      <c r="L780" s="79" t="s">
        <v>4406</v>
      </c>
    </row>
    <row r="781" hidden="1">
      <c r="C781" s="80"/>
      <c r="D781" s="80"/>
      <c r="E781" s="80"/>
      <c r="F781" s="82">
        <v>460.0</v>
      </c>
      <c r="G781" s="79" t="str">
        <f>IFERROR(__xludf.DUMMYFUNCTION("TRIM(REGEXREPLACE(C781, ""[0-9]+[a-f]?\."", """"))"),"")</f>
        <v/>
      </c>
      <c r="H781" s="79" t="str">
        <f>IFERROR(__xludf.DUMMYFUNCTION("TRIM(REGEXREPLACE(D781, ""[0-9]+[a-f]?\."", """"))"),"")</f>
        <v/>
      </c>
      <c r="I781" s="79" t="str">
        <f>IFERROR(__xludf.DUMMYFUNCTION("TRIM(REGEXREPLACE(E781, ""[0-9]+[a-f]?\."", """"))"),"")</f>
        <v/>
      </c>
    </row>
    <row r="782" hidden="1">
      <c r="C782" s="80"/>
      <c r="D782" s="80"/>
      <c r="E782" s="80"/>
      <c r="F782" s="82">
        <v>459.0</v>
      </c>
      <c r="G782" s="79" t="str">
        <f>IFERROR(__xludf.DUMMYFUNCTION("TRIM(REGEXREPLACE(C782, ""[0-9]+[a-f]?\."", """"))"),"")</f>
        <v/>
      </c>
      <c r="H782" s="79" t="str">
        <f>IFERROR(__xludf.DUMMYFUNCTION("TRIM(REGEXREPLACE(D782, ""[0-9]+[a-f]?\."", """"))"),"")</f>
        <v/>
      </c>
      <c r="I782" s="79" t="str">
        <f>IFERROR(__xludf.DUMMYFUNCTION("TRIM(REGEXREPLACE(E782, ""[0-9]+[a-f]?\."", """"))"),"")</f>
        <v/>
      </c>
      <c r="J782" s="79" t="s">
        <v>4408</v>
      </c>
      <c r="K782" s="79" t="s">
        <v>4409</v>
      </c>
      <c r="L782" s="79" t="s">
        <v>4410</v>
      </c>
    </row>
    <row r="783">
      <c r="A783" s="79" t="s">
        <v>299</v>
      </c>
      <c r="B783" s="79" t="s">
        <v>4411</v>
      </c>
      <c r="C783" s="80" t="s">
        <v>4412</v>
      </c>
      <c r="D783" s="80" t="s">
        <v>4413</v>
      </c>
      <c r="E783" s="80" t="s">
        <v>4414</v>
      </c>
      <c r="F783" s="82">
        <v>446.0</v>
      </c>
      <c r="G783" s="79" t="str">
        <f>IFERROR(__xludf.DUMMYFUNCTION("TRIM(REGEXREPLACE(C783, ""[0-9]+[a-f]?\."", """"))"),"What is their phone number?")</f>
        <v>What is their phone number?</v>
      </c>
      <c r="H783" s="79" t="str">
        <f>IFERROR(__xludf.DUMMYFUNCTION("TRIM(REGEXREPLACE(D783, ""[0-9]+[a-f]?\."", """"))"),"Quel est leur numéro de téléphone?")</f>
        <v>Quel est leur numéro de téléphone?</v>
      </c>
      <c r="I783" s="79" t="str">
        <f>IFERROR(__xludf.DUMMYFUNCTION("TRIM(REGEXREPLACE(E783, ""[0-9]+[a-f]?\."", """"))"),"Menene lambar wayarsu?")</f>
        <v>Menene lambar wayarsu?</v>
      </c>
      <c r="J783" s="79" t="s">
        <v>4416</v>
      </c>
      <c r="K783" s="79" t="s">
        <v>4417</v>
      </c>
      <c r="L783" s="79" t="s">
        <v>4418</v>
      </c>
    </row>
    <row r="784">
      <c r="A784" s="79" t="s">
        <v>1430</v>
      </c>
      <c r="B784" s="79" t="s">
        <v>4419</v>
      </c>
      <c r="C784" s="80" t="s">
        <v>4420</v>
      </c>
      <c r="D784" s="80" t="s">
        <v>4421</v>
      </c>
      <c r="E784" s="80" t="s">
        <v>4422</v>
      </c>
      <c r="F784" s="82">
        <v>447.0</v>
      </c>
      <c r="G784" s="79" t="str">
        <f>IFERROR(__xludf.DUMMYFUNCTION("TRIM(REGEXREPLACE(C784, ""[0-9]+[a-f]?\."", """"))"),"What is ${secondary_name1}'s relationship to you?")</f>
        <v>What is ${secondary_name1}'s relationship to you?</v>
      </c>
      <c r="H784" s="79" t="str">
        <f>IFERROR(__xludf.DUMMYFUNCTION("TRIM(REGEXREPLACE(D784, ""[0-9]+[a-f]?\."", """"))"),"Quelle est la relation entre ${secondary_name1} et vous ?")</f>
        <v>Quelle est la relation entre ${secondary_name1} et vous ?</v>
      </c>
      <c r="I784" s="79" t="str">
        <f>IFERROR(__xludf.DUMMYFUNCTION("TRIM(REGEXREPLACE(E784, ""[0-9]+[a-f]?\."", """"))"),"Menene alaƙar ku da ${secondary_name1} ?")</f>
        <v>Menene alaƙar ku da ${secondary_name1} ?</v>
      </c>
      <c r="J784" s="79" t="s">
        <v>4423</v>
      </c>
      <c r="K784" s="79" t="s">
        <v>4424</v>
      </c>
      <c r="L784" s="79" t="s">
        <v>4425</v>
      </c>
    </row>
    <row r="785">
      <c r="A785" s="79" t="s">
        <v>194</v>
      </c>
      <c r="B785" s="79" t="s">
        <v>4426</v>
      </c>
      <c r="C785" s="80" t="s">
        <v>4427</v>
      </c>
      <c r="D785" s="80" t="s">
        <v>4428</v>
      </c>
      <c r="E785" s="80" t="s">
        <v>4429</v>
      </c>
      <c r="F785" s="82">
        <v>448.0</v>
      </c>
      <c r="G785" s="79" t="str">
        <f>IFERROR(__xludf.DUMMYFUNCTION("TRIM(REGEXREPLACE(C785, ""[0-9]+[a-f]?\."", """"))"),"Just to confirm, is this the number? 
 ${secondary_name1}
 ${secondary_phone1}")</f>
        <v>Just to confirm, is this the number? 
 ${secondary_name1}
 ${secondary_phone1}</v>
      </c>
      <c r="H785" s="79" t="str">
        <f>IFERROR(__xludf.DUMMYFUNCTION("TRIM(REGEXREPLACE(D785, ""[0-9]+[a-f]?\."", """"))"),"Juste pour confirmer, est-ce bien le numéro ?
 ${secondary_name1}
 ${secondary_phone1}")</f>
        <v>Juste pour confirmer, est-ce bien le numéro ?
 ${secondary_name1}
 ${secondary_phone1}</v>
      </c>
      <c r="I785" s="79" t="str">
        <f>IFERROR(__xludf.DUMMYFUNCTION("TRIM(REGEXREPLACE(E785, ""[0-9]+[a-f]?\."", """"))"),"Don tabbatarwa kawai, da wannan itace lambar?
 ${secondary_name1}
 ${secondary_phone1}")</f>
        <v>Don tabbatarwa kawai, da wannan itace lambar?
 ${secondary_name1}
 ${secondary_phone1}</v>
      </c>
      <c r="J785" s="79" t="s">
        <v>4431</v>
      </c>
      <c r="K785" s="79" t="s">
        <v>4432</v>
      </c>
      <c r="L785" s="79" t="s">
        <v>4433</v>
      </c>
    </row>
    <row r="786">
      <c r="A786" s="79" t="s">
        <v>42</v>
      </c>
      <c r="B786" s="79" t="s">
        <v>4434</v>
      </c>
      <c r="C786" s="80" t="s">
        <v>4435</v>
      </c>
      <c r="D786" s="80" t="s">
        <v>4436</v>
      </c>
      <c r="E786" s="80" t="s">
        <v>4437</v>
      </c>
      <c r="F786" s="82">
        <v>449.0</v>
      </c>
      <c r="G786" s="79" t="str">
        <f>IFERROR(__xludf.DUMMYFUNCTION("TRIM(REGEXREPLACE(C786, ""[0-9]+[a-f]?\."", """"))"),"Please go back and correct the name and phone number.")</f>
        <v>Please go back and correct the name and phone number.</v>
      </c>
      <c r="H786" s="79" t="str">
        <f>IFERROR(__xludf.DUMMYFUNCTION("TRIM(REGEXREPLACE(D786, ""[0-9]+[a-f]?\."", """"))"),"Veuillez revenir en arrière et corriger le nom et le numéro de téléphone.")</f>
        <v>Veuillez revenir en arrière et corriger le nom et le numéro de téléphone.</v>
      </c>
      <c r="I786" s="79" t="str">
        <f>IFERROR(__xludf.DUMMYFUNCTION("TRIM(REGEXREPLACE(E786, ""[0-9]+[a-f]?\."", """"))"),"Da fatan za ka koma baya don ka gyara suna da lambar waya.")</f>
        <v>Da fatan za ka koma baya don ka gyara suna da lambar waya.</v>
      </c>
      <c r="J786" s="79" t="s">
        <v>4438</v>
      </c>
      <c r="K786" s="79" t="s">
        <v>4439</v>
      </c>
      <c r="L786" s="79" t="s">
        <v>4440</v>
      </c>
    </row>
    <row r="787">
      <c r="A787" s="79" t="s">
        <v>4322</v>
      </c>
      <c r="B787" s="79" t="s">
        <v>4441</v>
      </c>
      <c r="C787" s="80" t="s">
        <v>4442</v>
      </c>
      <c r="D787" s="80" t="s">
        <v>4443</v>
      </c>
      <c r="E787" s="80" t="s">
        <v>4444</v>
      </c>
      <c r="F787" s="82">
        <v>450.0</v>
      </c>
      <c r="G787" s="79" t="str">
        <f>IFERROR(__xludf.DUMMYFUNCTION("TRIM(REGEXREPLACE(C787, ""[0-9]+[a-f]?\."", """"))"),"I am going to call this phone number to confirm it is correct. [Enumerator: Did the phone ring?]")</f>
        <v>I am going to call this phone number to confirm it is correct. [Enumerator: Did the phone ring?]</v>
      </c>
      <c r="H787" s="79" t="str">
        <f>IFERROR(__xludf.DUMMYFUNCTION("TRIM(REGEXREPLACE(D787, ""[0-9]+[a-f]?\."", """"))"),"Je vais appeler ce numéro de téléphone pour confirmer qu'il est correct. [Enquêteur : Le téléphone a-t-il sonné ?]")</f>
        <v>Je vais appeler ce numéro de téléphone pour confirmer qu'il est correct. [Enquêteur : Le téléphone a-t-il sonné ?]</v>
      </c>
      <c r="I787" s="79" t="str">
        <f>IFERROR(__xludf.DUMMYFUNCTION("TRIM(REGEXREPLACE(E787, ""[0-9]+[a-f]?\."", """"))"),"Zan kirayi wannan lambar wayar don tabbatar da daidai ce. [Ɗan bincike: Wayar ta yi ƙara?]")</f>
        <v>Zan kirayi wannan lambar wayar don tabbatar da daidai ce. [Ɗan bincike: Wayar ta yi ƙara?]</v>
      </c>
      <c r="J787" s="79" t="s">
        <v>4446</v>
      </c>
      <c r="K787" s="79" t="s">
        <v>4447</v>
      </c>
      <c r="L787" s="79" t="s">
        <v>4448</v>
      </c>
    </row>
    <row r="788">
      <c r="A788" s="79" t="s">
        <v>42</v>
      </c>
      <c r="B788" s="79" t="s">
        <v>4450</v>
      </c>
      <c r="C788" s="80" t="s">
        <v>4451</v>
      </c>
      <c r="D788" s="80" t="s">
        <v>4452</v>
      </c>
      <c r="E788" s="80" t="s">
        <v>4453</v>
      </c>
      <c r="F788" s="82">
        <v>451.0</v>
      </c>
      <c r="G788" s="79" t="str">
        <f>IFERROR(__xludf.DUMMYFUNCTION("TRIM(REGEXREPLACE(C788, ""[0-9]+[a-f]?\."", """"))"),"Please go back and enter a new phone number.")</f>
        <v>Please go back and enter a new phone number.</v>
      </c>
      <c r="H788" s="79" t="str">
        <f>IFERROR(__xludf.DUMMYFUNCTION("TRIM(REGEXREPLACE(D788, ""[0-9]+[a-f]?\."", """"))"),"Veuillez ressaisir le numéro")</f>
        <v>Veuillez ressaisir le numéro</v>
      </c>
      <c r="I788" s="79" t="str">
        <f>IFERROR(__xludf.DUMMYFUNCTION("TRIM(REGEXREPLACE(E788, ""[0-9]+[a-f]?\."", """"))"),"Da fatan zaku rubuta lambar")</f>
        <v>Da fatan zaku rubuta lambar</v>
      </c>
      <c r="J788" s="79" t="s">
        <v>4454</v>
      </c>
      <c r="K788" s="79" t="s">
        <v>4455</v>
      </c>
      <c r="L788" s="79" t="s">
        <v>4456</v>
      </c>
    </row>
    <row r="789">
      <c r="A789" s="79" t="s">
        <v>194</v>
      </c>
      <c r="B789" s="79" t="s">
        <v>4457</v>
      </c>
      <c r="C789" s="80" t="s">
        <v>4458</v>
      </c>
      <c r="D789" s="80" t="s">
        <v>4459</v>
      </c>
      <c r="E789" s="80" t="s">
        <v>4460</v>
      </c>
      <c r="F789" s="82">
        <v>452.0</v>
      </c>
      <c r="G789" s="79" t="str">
        <f>IFERROR(__xludf.DUMMYFUNCTION("TRIM(REGEXREPLACE(C789,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789" s="79" t="str">
        <f>IFERROR(__xludf.DUMMYFUNCTION("TRIM(REGEXREPLACE(D789,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789" s="79" t="str">
        <f>IFERROR(__xludf.DUMMYFUNCTION("TRIM(REGEXREPLACE(E789,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789" s="79" t="s">
        <v>4461</v>
      </c>
      <c r="K789" s="79" t="s">
        <v>4462</v>
      </c>
      <c r="L789" s="79" t="s">
        <v>4463</v>
      </c>
    </row>
    <row r="790" hidden="1"/>
    <row r="791">
      <c r="A791" s="79" t="s">
        <v>299</v>
      </c>
      <c r="B791" s="79" t="s">
        <v>4465</v>
      </c>
      <c r="C791" s="80" t="s">
        <v>4466</v>
      </c>
      <c r="D791" s="80" t="s">
        <v>4467</v>
      </c>
      <c r="E791" s="80" t="s">
        <v>4468</v>
      </c>
      <c r="F791" s="82">
        <v>453.0</v>
      </c>
      <c r="G791" s="79" t="str">
        <f>IFERROR(__xludf.DUMMYFUNCTION("TRIM(REGEXREPLACE(C791, ""[0-9]+[a-f]?\."", """"))"),"What is the last name of this person")</f>
        <v>What is the last name of this person</v>
      </c>
      <c r="H791" s="79" t="str">
        <f>IFERROR(__xludf.DUMMYFUNCTION("TRIM(REGEXREPLACE(D791, ""[0-9]+[a-f]?\."", """"))"),"Quel est le nom de cette personne?")</f>
        <v>Quel est le nom de cette personne?</v>
      </c>
      <c r="I791" s="79" t="str">
        <f>IFERROR(__xludf.DUMMYFUNCTION("TRIM(REGEXREPLACE(E791, ""[0-9]+[a-f]?\."", """"))"),"Menene sunan uban wannan mutumen?")</f>
        <v>Menene sunan uban wannan mutumen?</v>
      </c>
      <c r="J791" s="79" t="s">
        <v>4469</v>
      </c>
      <c r="K791" s="79" t="s">
        <v>4470</v>
      </c>
      <c r="L791" s="79" t="s">
        <v>4471</v>
      </c>
    </row>
    <row r="792">
      <c r="A792" s="79" t="s">
        <v>299</v>
      </c>
      <c r="B792" s="79" t="s">
        <v>4472</v>
      </c>
      <c r="C792" s="80" t="s">
        <v>4473</v>
      </c>
      <c r="D792" s="80" t="s">
        <v>4475</v>
      </c>
      <c r="E792" s="80" t="s">
        <v>4476</v>
      </c>
      <c r="F792" s="82">
        <v>454.0</v>
      </c>
      <c r="G792" s="79" t="str">
        <f>IFERROR(__xludf.DUMMYFUNCTION("TRIM(REGEXREPLACE(C792, ""[0-9]+[a-f]?\."", """"))"),"What is the first name of this person")</f>
        <v>What is the first name of this person</v>
      </c>
      <c r="H792" s="79" t="str">
        <f>IFERROR(__xludf.DUMMYFUNCTION("TRIM(REGEXREPLACE(D792, ""[0-9]+[a-f]?\."", """"))"),"Quel est le prénom de cette personne?")</f>
        <v>Quel est le prénom de cette personne?</v>
      </c>
      <c r="I792" s="79" t="str">
        <f>IFERROR(__xludf.DUMMYFUNCTION("TRIM(REGEXREPLACE(E792, ""[0-9]+[a-f]?\."", """"))"),"Menene sunan wannan mutumen?")</f>
        <v>Menene sunan wannan mutumen?</v>
      </c>
      <c r="J792" s="79" t="s">
        <v>4477</v>
      </c>
      <c r="K792" s="79" t="s">
        <v>4478</v>
      </c>
      <c r="L792" s="79" t="s">
        <v>4479</v>
      </c>
    </row>
    <row r="793" hidden="1">
      <c r="C793" s="80"/>
      <c r="D793" s="80"/>
      <c r="E793" s="80"/>
      <c r="F793" s="82">
        <v>464.0</v>
      </c>
      <c r="G793" s="79" t="str">
        <f>IFERROR(__xludf.DUMMYFUNCTION("TRIM(REGEXREPLACE(C793, ""[0-9]+[a-f]?\."", """"))"),"")</f>
        <v/>
      </c>
      <c r="H793" s="79" t="str">
        <f>IFERROR(__xludf.DUMMYFUNCTION("TRIM(REGEXREPLACE(D793, ""[0-9]+[a-f]?\."", """"))"),"")</f>
        <v/>
      </c>
      <c r="I793" s="79" t="str">
        <f>IFERROR(__xludf.DUMMYFUNCTION("TRIM(REGEXREPLACE(E793, ""[0-9]+[a-f]?\."", """"))"),"")</f>
        <v/>
      </c>
      <c r="J793" s="79" t="s">
        <v>4481</v>
      </c>
      <c r="K793" s="79" t="s">
        <v>4482</v>
      </c>
      <c r="L793" s="79" t="s">
        <v>4483</v>
      </c>
    </row>
    <row r="794" hidden="1"/>
    <row r="795">
      <c r="A795" s="79" t="s">
        <v>299</v>
      </c>
      <c r="B795" s="79" t="s">
        <v>4484</v>
      </c>
      <c r="C795" s="80" t="s">
        <v>4485</v>
      </c>
      <c r="D795" s="80" t="s">
        <v>4486</v>
      </c>
      <c r="E795" s="80" t="s">
        <v>4487</v>
      </c>
      <c r="F795" s="82">
        <v>455.0</v>
      </c>
      <c r="G795" s="79" t="str">
        <f>IFERROR(__xludf.DUMMYFUNCTION("TRIM(REGEXREPLACE(C795, ""[0-9]+[a-f]?\."", """"))"),"What is their phone number?")</f>
        <v>What is their phone number?</v>
      </c>
      <c r="H795" s="79" t="str">
        <f>IFERROR(__xludf.DUMMYFUNCTION("TRIM(REGEXREPLACE(D795, ""[0-9]+[a-f]?\."", """"))"),"Quel est leur numéro de téléphone?")</f>
        <v>Quel est leur numéro de téléphone?</v>
      </c>
      <c r="I795" s="79" t="str">
        <f>IFERROR(__xludf.DUMMYFUNCTION("TRIM(REGEXREPLACE(E795, ""[0-9]+[a-f]?\."", """"))"),"Menene lambar wayarsu?")</f>
        <v>Menene lambar wayarsu?</v>
      </c>
      <c r="J795" s="79" t="s">
        <v>4488</v>
      </c>
      <c r="K795" s="79" t="s">
        <v>4489</v>
      </c>
      <c r="L795" s="79" t="s">
        <v>4490</v>
      </c>
    </row>
    <row r="796">
      <c r="A796" s="79" t="s">
        <v>1430</v>
      </c>
      <c r="B796" s="79" t="s">
        <v>4491</v>
      </c>
      <c r="C796" s="80" t="s">
        <v>4378</v>
      </c>
      <c r="D796" s="80" t="s">
        <v>4379</v>
      </c>
      <c r="E796" s="80" t="s">
        <v>4380</v>
      </c>
      <c r="F796" s="82">
        <v>456.0</v>
      </c>
      <c r="G796" s="79" t="str">
        <f>IFERROR(__xludf.DUMMYFUNCTION("TRIM(REGEXREPLACE(C796, ""[0-9]+[a-f]?\."", """"))"),"What is ${secondary_name2}'s relationship to you?")</f>
        <v>What is ${secondary_name2}'s relationship to you?</v>
      </c>
      <c r="H796" s="79" t="str">
        <f>IFERROR(__xludf.DUMMYFUNCTION("TRIM(REGEXREPLACE(D796, ""[0-9]+[a-f]?\."", """"))"),"Quelle est la relation entre ${secondary_name2} et vous ?")</f>
        <v>Quelle est la relation entre ${secondary_name2} et vous ?</v>
      </c>
      <c r="I796" s="79" t="str">
        <f>IFERROR(__xludf.DUMMYFUNCTION("TRIM(REGEXREPLACE(E796, ""[0-9]+[a-f]?\."", """"))"),"Menene alaƙar ku da ${secondary_name2} ?")</f>
        <v>Menene alaƙar ku da ${secondary_name2} ?</v>
      </c>
      <c r="J796" s="79" t="s">
        <v>4493</v>
      </c>
      <c r="K796" s="79" t="s">
        <v>4494</v>
      </c>
      <c r="L796" s="79" t="s">
        <v>4495</v>
      </c>
    </row>
    <row r="797">
      <c r="A797" s="79" t="s">
        <v>194</v>
      </c>
      <c r="B797" s="79" t="s">
        <v>4496</v>
      </c>
      <c r="C797" s="80" t="s">
        <v>4497</v>
      </c>
      <c r="D797" s="80" t="s">
        <v>4498</v>
      </c>
      <c r="E797" s="80" t="s">
        <v>4499</v>
      </c>
      <c r="F797" s="82">
        <v>457.0</v>
      </c>
      <c r="G797" s="79" t="str">
        <f>IFERROR(__xludf.DUMMYFUNCTION("TRIM(REGEXREPLACE(C797, ""[0-9]+[a-f]?\."", """"))"),"Just to confirm, is this the number? 
 ${secondary_name2}
 ${secondary_phone2}")</f>
        <v>Just to confirm, is this the number? 
 ${secondary_name2}
 ${secondary_phone2}</v>
      </c>
      <c r="H797" s="79" t="str">
        <f>IFERROR(__xludf.DUMMYFUNCTION("TRIM(REGEXREPLACE(D797, ""[0-9]+[a-f]?\."", """"))"),"Juste pour confirmer, est-ce bien le numéro ?
 ${secondary_name2}
 ${secondary_phone2}")</f>
        <v>Juste pour confirmer, est-ce bien le numéro ?
 ${secondary_name2}
 ${secondary_phone2}</v>
      </c>
      <c r="I797" s="79" t="str">
        <f>IFERROR(__xludf.DUMMYFUNCTION("TRIM(REGEXREPLACE(E797, ""[0-9]+[a-f]?\."", """"))"),"Don tabbatar kawai, da wannan itace lambar?
 ${secondary_name2}
 ${secondary_phone2}")</f>
        <v>Don tabbatar kawai, da wannan itace lambar?
 ${secondary_name2}
 ${secondary_phone2}</v>
      </c>
      <c r="J797" s="79" t="s">
        <v>4500</v>
      </c>
      <c r="K797" s="79" t="s">
        <v>4501</v>
      </c>
      <c r="L797" s="79" t="s">
        <v>4502</v>
      </c>
    </row>
    <row r="798">
      <c r="A798" s="79" t="s">
        <v>42</v>
      </c>
      <c r="B798" s="79" t="s">
        <v>4503</v>
      </c>
      <c r="C798" s="80" t="s">
        <v>4386</v>
      </c>
      <c r="D798" s="80" t="s">
        <v>4387</v>
      </c>
      <c r="E798" s="80" t="s">
        <v>4388</v>
      </c>
      <c r="F798" s="82">
        <v>458.0</v>
      </c>
      <c r="G798" s="79" t="str">
        <f>IFERROR(__xludf.DUMMYFUNCTION("TRIM(REGEXREPLACE(C798, ""[0-9]+[a-f]?\."", """"))"),"Please go back and correct the name and phone number.")</f>
        <v>Please go back and correct the name and phone number.</v>
      </c>
      <c r="H798" s="79" t="str">
        <f>IFERROR(__xludf.DUMMYFUNCTION("TRIM(REGEXREPLACE(D798, ""[0-9]+[a-f]?\."", """"))"),"Veuillez revenir en arrière et corriger le nom et le numéro de téléphone.")</f>
        <v>Veuillez revenir en arrière et corriger le nom et le numéro de téléphone.</v>
      </c>
      <c r="I798" s="79" t="str">
        <f>IFERROR(__xludf.DUMMYFUNCTION("TRIM(REGEXREPLACE(E798, ""[0-9]+[a-f]?\."", """"))"),"Da fatan za ka koma baya ka gyara suna da lambar waya.")</f>
        <v>Da fatan za ka koma baya ka gyara suna da lambar waya.</v>
      </c>
      <c r="J798" s="79" t="s">
        <v>4504</v>
      </c>
      <c r="K798" s="79" t="s">
        <v>4505</v>
      </c>
      <c r="L798" s="79" t="s">
        <v>4506</v>
      </c>
    </row>
    <row r="799">
      <c r="A799" s="79" t="s">
        <v>4322</v>
      </c>
      <c r="B799" s="79" t="s">
        <v>4508</v>
      </c>
      <c r="C799" s="80" t="s">
        <v>4509</v>
      </c>
      <c r="D799" s="80" t="s">
        <v>4510</v>
      </c>
      <c r="E799" s="80" t="s">
        <v>4511</v>
      </c>
      <c r="F799" s="82">
        <v>459.0</v>
      </c>
      <c r="G799" s="79" t="str">
        <f>IFERROR(__xludf.DUMMYFUNCTION("TRIM(REGEXREPLACE(C799, ""[0-9]+[a-f]?\."", """"))"),"I am going to call this phone number to confirm it is correct. [Enumerator: Did the phone ring?]")</f>
        <v>I am going to call this phone number to confirm it is correct. [Enumerator: Did the phone ring?]</v>
      </c>
      <c r="H799" s="79" t="str">
        <f>IFERROR(__xludf.DUMMYFUNCTION("TRIM(REGEXREPLACE(D799, ""[0-9]+[a-f]?\."", """"))"),"Je vais appeler ce numéro de téléphone pour confirmer qu'il est correct. [Enquêteur : Le téléphone a-t-il sonné ?]")</f>
        <v>Je vais appeler ce numéro de téléphone pour confirmer qu'il est correct. [Enquêteur : Le téléphone a-t-il sonné ?]</v>
      </c>
      <c r="I799" s="79" t="str">
        <f>IFERROR(__xludf.DUMMYFUNCTION("TRIM(REGEXREPLACE(E799, ""[0-9]+[a-f]?\."", """"))"),"Zan kirayi wannan lambar wayar don tabbatar da daidai ce. [Ɗan bincike: Wayar ta yi ƙara?]")</f>
        <v>Zan kirayi wannan lambar wayar don tabbatar da daidai ce. [Ɗan bincike: Wayar ta yi ƙara?]</v>
      </c>
      <c r="J799" s="79" t="s">
        <v>4512</v>
      </c>
      <c r="K799" s="79" t="s">
        <v>4513</v>
      </c>
      <c r="L799" s="79" t="s">
        <v>4514</v>
      </c>
    </row>
    <row r="800">
      <c r="A800" s="79" t="s">
        <v>42</v>
      </c>
      <c r="B800" s="79" t="s">
        <v>4515</v>
      </c>
      <c r="C800" s="80" t="s">
        <v>4395</v>
      </c>
      <c r="D800" s="80" t="s">
        <v>4396</v>
      </c>
      <c r="E800" s="80" t="s">
        <v>4397</v>
      </c>
      <c r="F800" s="82">
        <v>460.0</v>
      </c>
      <c r="G800" s="79" t="str">
        <f>IFERROR(__xludf.DUMMYFUNCTION("TRIM(REGEXREPLACE(C800, ""[0-9]+[a-f]?\."", """"))"),"Please go back and enter a new phone number.")</f>
        <v>Please go back and enter a new phone number.</v>
      </c>
      <c r="H800" s="79" t="str">
        <f>IFERROR(__xludf.DUMMYFUNCTION("TRIM(REGEXREPLACE(D800, ""[0-9]+[a-f]?\."", """"))"),"Veuillez ressaisir le numéro")</f>
        <v>Veuillez ressaisir le numéro</v>
      </c>
      <c r="I800" s="79" t="str">
        <f>IFERROR(__xludf.DUMMYFUNCTION("TRIM(REGEXREPLACE(E800, ""[0-9]+[a-f]?\."", """"))"),"")</f>
        <v/>
      </c>
      <c r="J800" s="79" t="s">
        <v>4518</v>
      </c>
      <c r="K800" s="79" t="s">
        <v>4519</v>
      </c>
      <c r="L800" s="79" t="s">
        <v>4520</v>
      </c>
    </row>
    <row r="801" hidden="1"/>
    <row r="802" hidden="1"/>
    <row r="803" hidden="1"/>
    <row r="804">
      <c r="A804" s="79" t="s">
        <v>4521</v>
      </c>
      <c r="B804" s="79" t="s">
        <v>4522</v>
      </c>
      <c r="C804" s="80" t="s">
        <v>4408</v>
      </c>
      <c r="D804" s="80" t="s">
        <v>4409</v>
      </c>
      <c r="E804" s="80" t="s">
        <v>4410</v>
      </c>
      <c r="F804" s="82">
        <v>461.0</v>
      </c>
      <c r="G804" s="79" t="str">
        <f>IFERROR(__xludf.DUMMYFUNCTION("TRIM(REGEXREPLACE(C804, ""[0-9]+[a-f]?\."", """"))"),"How interested was the resppondent")</f>
        <v>How interested was the resppondent</v>
      </c>
      <c r="H804" s="79" t="str">
        <f>IFERROR(__xludf.DUMMYFUNCTION("TRIM(REGEXREPLACE(D804, ""[0-9]+[a-f]?\."", """"))"),"Dans quelle mesure le répondant était-il intéressé")</f>
        <v>Dans quelle mesure le répondant était-il intéressé</v>
      </c>
      <c r="I804" s="79" t="str">
        <f>IFERROR(__xludf.DUMMYFUNCTION("TRIM(REGEXREPLACE(E804, ""[0-9]+[a-f]?\."", """"))"),"Yaya kake ganin maida hankalin mai bada amsa yake")</f>
        <v>Yaya kake ganin maida hankalin mai bada amsa yake</v>
      </c>
      <c r="J804" s="79" t="s">
        <v>4524</v>
      </c>
      <c r="K804" s="79" t="s">
        <v>4525</v>
      </c>
      <c r="L804" s="79" t="s">
        <v>4526</v>
      </c>
    </row>
    <row r="805">
      <c r="A805" s="79" t="s">
        <v>4527</v>
      </c>
      <c r="B805" s="79" t="s">
        <v>4528</v>
      </c>
      <c r="C805" s="80" t="s">
        <v>4529</v>
      </c>
      <c r="D805" s="80" t="s">
        <v>4530</v>
      </c>
      <c r="E805" s="80" t="s">
        <v>4531</v>
      </c>
      <c r="F805" s="82">
        <v>462.0</v>
      </c>
      <c r="G805" s="79" t="str">
        <f>IFERROR(__xludf.DUMMYFUNCTION("TRIM(REGEXREPLACE(C805, ""[0-9]+[a-f]?\."", """"))"),"How impatient was the respondent?")</f>
        <v>How impatient was the respondent?</v>
      </c>
      <c r="H805" s="79" t="str">
        <f>IFERROR(__xludf.DUMMYFUNCTION("TRIM(REGEXREPLACE(D805, ""[0-9]+[a-f]?\."", """"))"),"À quel point le répondant était-il impatient ?")</f>
        <v>À quel point le répondant était-il impatient ?</v>
      </c>
      <c r="I805" s="79" t="str">
        <f>IFERROR(__xludf.DUMMYFUNCTION("TRIM(REGEXREPLACE(E805, ""[0-9]+[a-f]?\."", """"))"),"Yaya kake ganin rashin haƙurin mai bada amsa?")</f>
        <v>Yaya kake ganin rashin haƙurin mai bada amsa?</v>
      </c>
      <c r="J805" s="79" t="s">
        <v>4532</v>
      </c>
      <c r="K805" s="79" t="s">
        <v>4533</v>
      </c>
      <c r="L805" s="79" t="s">
        <v>4534</v>
      </c>
    </row>
    <row r="806">
      <c r="A806" s="79" t="s">
        <v>4535</v>
      </c>
      <c r="B806" s="79" t="s">
        <v>4536</v>
      </c>
      <c r="C806" s="80" t="s">
        <v>4537</v>
      </c>
      <c r="D806" s="80" t="s">
        <v>4538</v>
      </c>
      <c r="E806" s="80" t="s">
        <v>4539</v>
      </c>
      <c r="F806" s="82">
        <v>463.0</v>
      </c>
      <c r="G806" s="79" t="str">
        <f>IFERROR(__xludf.DUMMYFUNCTION("TRIM(REGEXREPLACE(C806, ""[0-9]+[a-f]?\."", """"))"),"How well did the respondent understand the questions?")</f>
        <v>How well did the respondent understand the questions?</v>
      </c>
      <c r="H806" s="79" t="str">
        <f>IFERROR(__xludf.DUMMYFUNCTION("TRIM(REGEXREPLACE(D806, ""[0-9]+[a-f]?\."", """"))"),"Dans quelle mesure le répondant a-t-il compris les questions ?")</f>
        <v>Dans quelle mesure le répondant a-t-il compris les questions ?</v>
      </c>
      <c r="I806" s="79" t="str">
        <f>IFERROR(__xludf.DUMMYFUNCTION("TRIM(REGEXREPLACE(E806, ""[0-9]+[a-f]?\."", """"))"),"Yaya kake ganin mai bada amsa ya fahimci tambayoyin?")</f>
        <v>Yaya kake ganin mai bada amsa ya fahimci tambayoyin?</v>
      </c>
      <c r="J806" s="79" t="s">
        <v>4540</v>
      </c>
      <c r="K806" s="79" t="s">
        <v>4541</v>
      </c>
      <c r="L806" s="79" t="s">
        <v>4542</v>
      </c>
    </row>
    <row r="807">
      <c r="A807" s="79" t="s">
        <v>4543</v>
      </c>
      <c r="B807" s="79" t="s">
        <v>4544</v>
      </c>
      <c r="C807" s="80" t="s">
        <v>4545</v>
      </c>
      <c r="D807" s="80" t="s">
        <v>4546</v>
      </c>
      <c r="E807" s="80" t="s">
        <v>4547</v>
      </c>
      <c r="F807" s="82">
        <v>464.0</v>
      </c>
      <c r="G807" s="79" t="str">
        <f>IFERROR(__xludf.DUMMYFUNCTION("TRIM(REGEXREPLACE(C807, ""[0-9]+[a-f]?\."", """"))"),"Was the interview conducted in the presence of other people?")</f>
        <v>Was the interview conducted in the presence of other people?</v>
      </c>
      <c r="H807" s="79" t="str">
        <f>IFERROR(__xludf.DUMMYFUNCTION("TRIM(REGEXREPLACE(D807, ""[0-9]+[a-f]?\."", """"))"),"L'entretien a-t-il été réalisé en présence d'autres personnes ?")</f>
        <v>L'entretien a-t-il été réalisé en présence d'autres personnes ?</v>
      </c>
      <c r="I807" s="79" t="str">
        <f>IFERROR(__xludf.DUMMYFUNCTION("TRIM(REGEXREPLACE(E807, ""[0-9]+[a-f]?\."", """"))"),"Ko an yi hirar ne a gaban wasu mutane?")</f>
        <v>Ko an yi hirar ne a gaban wasu mutane?</v>
      </c>
      <c r="J807" s="79" t="s">
        <v>4548</v>
      </c>
      <c r="K807" s="79" t="s">
        <v>4549</v>
      </c>
      <c r="L807" s="79" t="s">
        <v>4550</v>
      </c>
    </row>
    <row r="808">
      <c r="A808" s="79" t="s">
        <v>299</v>
      </c>
      <c r="B808" s="79" t="s">
        <v>4551</v>
      </c>
      <c r="C808" s="80" t="s">
        <v>4552</v>
      </c>
      <c r="D808" s="80" t="s">
        <v>4553</v>
      </c>
      <c r="E808" s="80" t="s">
        <v>4554</v>
      </c>
      <c r="F808" s="82">
        <v>465.0</v>
      </c>
      <c r="G808" s="79" t="str">
        <f>IFERROR(__xludf.DUMMYFUNCTION("TRIM(REGEXREPLACE(C808, ""[0-9]+[a-f]?\."", """"))"),"Enumerator: Record any comments on the survey")</f>
        <v>Enumerator: Record any comments on the survey</v>
      </c>
      <c r="H808" s="79" t="str">
        <f>IFERROR(__xludf.DUMMYFUNCTION("TRIM(REGEXREPLACE(D808, ""[0-9]+[a-f]?\."", """"))"),"Enquêteur : Veuillez noter vos commentaires si vous en avez")</f>
        <v>Enquêteur : Veuillez noter vos commentaires si vous en avez</v>
      </c>
      <c r="I808" s="79" t="str">
        <f>IFERROR(__xludf.DUMMYFUNCTION("TRIM(REGEXREPLACE(E808, ""[0-9]+[a-f]?\."", """"))"),"")</f>
        <v/>
      </c>
      <c r="J808" s="79" t="s">
        <v>4555</v>
      </c>
      <c r="K808" s="79" t="s">
        <v>4556</v>
      </c>
      <c r="L808" s="79" t="s">
        <v>4557</v>
      </c>
    </row>
    <row r="809" hidden="1"/>
    <row r="810" hidden="1"/>
    <row r="811" hidden="1"/>
    <row r="812" hidden="1"/>
    <row r="813" hidden="1"/>
    <row r="814" hidden="1"/>
    <row r="815">
      <c r="A815" s="79" t="s">
        <v>42</v>
      </c>
      <c r="B815" s="79" t="s">
        <v>4558</v>
      </c>
      <c r="C815" s="80" t="s">
        <v>4481</v>
      </c>
      <c r="D815" s="80" t="s">
        <v>4482</v>
      </c>
      <c r="E815" s="80" t="s">
        <v>4483</v>
      </c>
      <c r="F815" s="82">
        <v>466.0</v>
      </c>
      <c r="G815" s="79" t="str">
        <f>IFERROR(__xludf.DUMMYFUNCTION("TRIM(REGEXREPLACE(C815, ""[0-9]+[a-f]?\."", """"))"),"That is the end of the survey. Thank you for your time.")</f>
        <v>That is the end of the survey. Thank you for your time.</v>
      </c>
      <c r="H815" s="79" t="str">
        <f>IFERROR(__xludf.DUMMYFUNCTION("TRIM(REGEXREPLACE(D815, ""[0-9]+[a-f]?\."", """"))"),"C'est la fin de l'enquête. Merci pour votre temps.")</f>
        <v>C'est la fin de l'enquête. Merci pour votre temps.</v>
      </c>
      <c r="I815" s="79" t="str">
        <f>IFERROR(__xludf.DUMMYFUNCTION("TRIM(REGEXREPLACE(E815, ""[0-9]+[a-f]?\."", """"))"),"Karshen tambayoyin kenan. Na gode da lokacin da kuka bani.")</f>
        <v>Karshen tambayoyin kenan. Na gode da lokacin da kuka bani.</v>
      </c>
      <c r="J815" s="79" t="s">
        <v>4560</v>
      </c>
      <c r="K815" s="79" t="s">
        <v>4561</v>
      </c>
      <c r="L815" s="79" t="s">
        <v>4562</v>
      </c>
    </row>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c r="C1001" s="80"/>
    </row>
    <row r="1002" hidden="1">
      <c r="C1002" s="80"/>
    </row>
    <row r="1003" hidden="1">
      <c r="C1003" s="80"/>
    </row>
    <row r="1004" hidden="1">
      <c r="C1004" s="80"/>
    </row>
    <row r="1005" hidden="1">
      <c r="C1005" s="80"/>
    </row>
    <row r="1006" hidden="1">
      <c r="C1006" s="80"/>
    </row>
    <row r="1007" hidden="1">
      <c r="C1007" s="80"/>
    </row>
    <row r="1008" hidden="1">
      <c r="C1008" s="80"/>
    </row>
    <row r="1009" hidden="1">
      <c r="C1009" s="80"/>
    </row>
    <row r="1010" hidden="1">
      <c r="C1010" s="80"/>
    </row>
    <row r="1011" hidden="1">
      <c r="C1011" s="80"/>
    </row>
    <row r="1012" hidden="1">
      <c r="C1012" s="80"/>
    </row>
    <row r="1013" hidden="1">
      <c r="C1013" s="80"/>
    </row>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sheetData>
  <autoFilter ref="$A$1:$A$2000">
    <filterColumn colId="0">
      <filters>
        <filter val="select_one agree_likert"/>
        <filter val="select_one towns"/>
        <filter val="select_one region"/>
        <filter val="integer"/>
        <filter val="select_multiple emergency"/>
        <filter val="select_one yesno"/>
        <filter val="select_one unit"/>
        <filter val="select_multiple cons_week"/>
        <filter val="select_one round"/>
        <filter val="select_one husbandwife"/>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one enum"/>
        <filter val="select_one yesnodk"/>
        <filter val="select_multiple cons_month"/>
        <filter val="select_one countries"/>
        <filter val="select_one education"/>
        <filter val="decimal"/>
        <filter val="select_one freq"/>
        <filter val="select_one resp"/>
        <filter val="note"/>
        <filter val="select_one worries"/>
        <filter val="select_one id"/>
        <filter val="select_one sex"/>
        <filter val="select_multiple changes"/>
        <filter val="select_one team"/>
        <filter val="select_one relation"/>
        <filter val="select_one commune"/>
        <filter val="select_multiple goods_transfer"/>
        <filter val="select_one schools"/>
        <filter val="select_one call"/>
        <filter val="select_one patient"/>
        <filter val="select_multiple illness"/>
        <filter val="select_multiple support"/>
        <filter val="select_multiple countries"/>
        <filter val="select_one contact_relation"/>
        <filter val="select_one health"/>
        <filter val="select_one whyno_in"/>
        <filter val="select_multiple region"/>
        <filter val="select_multiple livestock"/>
        <filter val="select_multiple savings"/>
        <filter val="select_one comprehension"/>
        <filter val="select_one activities"/>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4" t="s">
        <v>3867</v>
      </c>
      <c r="B1" s="6"/>
      <c r="C1" s="11"/>
      <c r="D1" s="11"/>
      <c r="E1" s="11"/>
      <c r="F1" s="11"/>
      <c r="G1" s="11"/>
      <c r="H1" s="11"/>
      <c r="I1" s="11"/>
      <c r="J1" s="11"/>
      <c r="K1" s="11"/>
      <c r="L1" s="11"/>
      <c r="M1" s="11"/>
      <c r="N1" s="11"/>
      <c r="O1" s="11"/>
      <c r="P1" s="11"/>
      <c r="Q1" s="11"/>
      <c r="R1" s="11"/>
      <c r="S1" s="11"/>
      <c r="T1" s="11"/>
      <c r="U1" s="11"/>
      <c r="V1" s="11"/>
      <c r="W1" s="11"/>
      <c r="X1" s="11"/>
      <c r="Y1" s="11"/>
      <c r="Z1" s="11"/>
    </row>
    <row r="2" ht="18.0" customHeight="1">
      <c r="A2" s="306"/>
      <c r="B2" s="307"/>
      <c r="C2" s="11"/>
      <c r="D2" s="11"/>
      <c r="E2" s="11"/>
      <c r="F2" s="11"/>
      <c r="G2" s="11"/>
      <c r="H2" s="11"/>
      <c r="I2" s="11"/>
      <c r="J2" s="11"/>
      <c r="K2" s="11"/>
      <c r="L2" s="11"/>
      <c r="M2" s="11"/>
      <c r="N2" s="11"/>
      <c r="O2" s="11"/>
      <c r="P2" s="11"/>
      <c r="Q2" s="11"/>
      <c r="R2" s="11"/>
      <c r="S2" s="11"/>
      <c r="T2" s="11"/>
      <c r="U2" s="11"/>
      <c r="V2" s="11"/>
      <c r="W2" s="11"/>
      <c r="X2" s="11"/>
      <c r="Y2" s="11"/>
      <c r="Z2" s="11"/>
    </row>
    <row r="3" ht="36.0" customHeight="1">
      <c r="A3" s="29" t="s">
        <v>3882</v>
      </c>
      <c r="B3" s="23"/>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308" t="s">
        <v>3895</v>
      </c>
      <c r="B4" s="23"/>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308" t="s">
        <v>3906</v>
      </c>
      <c r="B5" s="23"/>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8" t="s">
        <v>3914</v>
      </c>
      <c r="B6" s="40"/>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309" t="s">
        <v>1</v>
      </c>
      <c r="B8" s="309" t="s">
        <v>16</v>
      </c>
      <c r="C8" s="310" t="s">
        <v>10</v>
      </c>
      <c r="D8" s="310" t="s">
        <v>58</v>
      </c>
      <c r="E8" s="309" t="s">
        <v>26</v>
      </c>
      <c r="F8" s="309" t="s">
        <v>3940</v>
      </c>
      <c r="G8" s="309" t="s">
        <v>28</v>
      </c>
      <c r="H8" s="58"/>
      <c r="I8" s="58"/>
      <c r="J8" s="58"/>
      <c r="K8" s="58"/>
      <c r="L8" s="58"/>
      <c r="M8" s="58"/>
      <c r="N8" s="58"/>
      <c r="O8" s="58"/>
      <c r="P8" s="58"/>
      <c r="Q8" s="58"/>
      <c r="R8" s="58"/>
      <c r="S8" s="58"/>
      <c r="T8" s="58"/>
      <c r="U8" s="58"/>
      <c r="V8" s="58"/>
      <c r="W8" s="58"/>
      <c r="X8" s="58"/>
      <c r="Y8" s="58"/>
      <c r="Z8" s="58"/>
    </row>
    <row r="9" ht="15.75" customHeight="1">
      <c r="A9" s="311" t="s">
        <v>3944</v>
      </c>
      <c r="B9" s="311" t="s">
        <v>3948</v>
      </c>
      <c r="C9" s="311" t="s">
        <v>3952</v>
      </c>
      <c r="D9" s="311" t="s">
        <v>3954</v>
      </c>
      <c r="E9" s="311" t="s">
        <v>3955</v>
      </c>
      <c r="F9" s="311" t="s">
        <v>3957</v>
      </c>
      <c r="G9" s="311" t="s">
        <v>3960</v>
      </c>
      <c r="H9" s="311"/>
      <c r="I9" s="312"/>
      <c r="J9" s="312"/>
      <c r="K9" s="312"/>
      <c r="L9" s="312"/>
      <c r="M9" s="312"/>
      <c r="N9" s="312"/>
      <c r="O9" s="312"/>
      <c r="P9" s="312"/>
      <c r="Q9" s="312"/>
      <c r="R9" s="312"/>
      <c r="S9" s="312"/>
      <c r="T9" s="312"/>
      <c r="U9" s="312"/>
      <c r="V9" s="312"/>
      <c r="W9" s="312"/>
      <c r="X9" s="312"/>
      <c r="Y9" s="312"/>
      <c r="Z9" s="312"/>
    </row>
    <row r="10" ht="15.75" customHeight="1">
      <c r="A10" s="315"/>
      <c r="B10" s="315"/>
      <c r="C10" s="315"/>
      <c r="D10" s="319" t="s">
        <v>108</v>
      </c>
      <c r="E10" s="320" t="s">
        <v>127</v>
      </c>
      <c r="F10" s="315"/>
      <c r="G10" s="320" t="s">
        <v>132</v>
      </c>
      <c r="H10" s="315"/>
      <c r="I10" s="315"/>
      <c r="J10" s="315"/>
      <c r="K10" s="315"/>
      <c r="L10" s="315"/>
      <c r="M10" s="315"/>
      <c r="N10" s="315"/>
      <c r="O10" s="315"/>
      <c r="P10" s="315"/>
      <c r="Q10" s="315"/>
      <c r="R10" s="315"/>
      <c r="S10" s="315"/>
      <c r="T10" s="315"/>
      <c r="U10" s="315"/>
      <c r="V10" s="315"/>
      <c r="W10" s="315"/>
      <c r="X10" s="315"/>
      <c r="Y10" s="315"/>
      <c r="Z10" s="31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321" t="s">
        <v>4191</v>
      </c>
      <c r="B1" s="322"/>
      <c r="C1" s="323"/>
      <c r="D1" s="323"/>
      <c r="E1" s="323"/>
      <c r="F1" s="323"/>
      <c r="G1" s="11"/>
      <c r="H1" s="11"/>
      <c r="I1" s="11"/>
      <c r="J1" s="11"/>
      <c r="K1" s="11"/>
      <c r="L1" s="11"/>
      <c r="M1" s="11"/>
      <c r="N1" s="11"/>
      <c r="O1" s="11"/>
      <c r="P1" s="11"/>
      <c r="Q1" s="11"/>
      <c r="R1" s="11"/>
      <c r="S1" s="11"/>
      <c r="T1" s="11"/>
      <c r="U1" s="11"/>
      <c r="V1" s="11"/>
      <c r="W1" s="11"/>
      <c r="X1" s="11"/>
      <c r="Y1" s="11"/>
      <c r="Z1" s="11"/>
    </row>
    <row r="2" ht="15.75" customHeight="1">
      <c r="A2" s="324"/>
      <c r="B2" s="325"/>
      <c r="C2" s="323"/>
      <c r="D2" s="323"/>
      <c r="E2" s="323"/>
      <c r="F2" s="323"/>
      <c r="G2" s="11"/>
      <c r="H2" s="11"/>
      <c r="I2" s="11"/>
      <c r="J2" s="11"/>
      <c r="K2" s="11"/>
      <c r="L2" s="11"/>
      <c r="M2" s="11"/>
      <c r="N2" s="11"/>
      <c r="O2" s="11"/>
      <c r="P2" s="11"/>
      <c r="Q2" s="11"/>
      <c r="R2" s="11"/>
      <c r="S2" s="11"/>
      <c r="T2" s="11"/>
      <c r="U2" s="11"/>
      <c r="V2" s="11"/>
      <c r="W2" s="11"/>
      <c r="X2" s="11"/>
      <c r="Y2" s="11"/>
      <c r="Z2" s="11"/>
    </row>
    <row r="3" ht="54.75" customHeight="1">
      <c r="A3" s="326" t="s">
        <v>4211</v>
      </c>
      <c r="B3" s="327"/>
      <c r="C3" s="323"/>
      <c r="D3" s="323"/>
      <c r="E3" s="323"/>
      <c r="F3" s="323"/>
      <c r="G3" s="11"/>
      <c r="H3" s="11"/>
      <c r="I3" s="11"/>
      <c r="J3" s="11"/>
      <c r="K3" s="11"/>
      <c r="L3" s="11"/>
      <c r="M3" s="11"/>
      <c r="N3" s="11"/>
      <c r="O3" s="11"/>
      <c r="P3" s="11"/>
      <c r="Q3" s="11"/>
      <c r="R3" s="11"/>
      <c r="S3" s="11"/>
      <c r="T3" s="11"/>
      <c r="U3" s="11"/>
      <c r="V3" s="11"/>
      <c r="W3" s="11"/>
      <c r="X3" s="11"/>
      <c r="Y3" s="11"/>
      <c r="Z3" s="11"/>
    </row>
    <row r="4" ht="15.75" customHeight="1">
      <c r="A4" s="323"/>
      <c r="B4" s="323"/>
      <c r="C4" s="323"/>
      <c r="D4" s="323"/>
      <c r="E4" s="323"/>
      <c r="F4" s="323"/>
      <c r="G4" s="11"/>
      <c r="H4" s="11"/>
      <c r="I4" s="11"/>
      <c r="J4" s="11"/>
      <c r="K4" s="11"/>
      <c r="L4" s="11"/>
      <c r="M4" s="11"/>
      <c r="N4" s="11"/>
      <c r="O4" s="11"/>
      <c r="P4" s="11"/>
      <c r="Q4" s="11"/>
      <c r="R4" s="11"/>
      <c r="S4" s="11"/>
      <c r="T4" s="11"/>
      <c r="U4" s="11"/>
      <c r="V4" s="11"/>
      <c r="W4" s="11"/>
      <c r="X4" s="11"/>
      <c r="Y4" s="11"/>
      <c r="Z4" s="11"/>
    </row>
    <row r="5" ht="18.0" customHeight="1">
      <c r="A5" s="328" t="s">
        <v>0</v>
      </c>
      <c r="B5" s="328" t="s">
        <v>3</v>
      </c>
      <c r="C5" s="328" t="s">
        <v>5</v>
      </c>
      <c r="D5" s="328" t="s">
        <v>7</v>
      </c>
      <c r="E5" s="328" t="s">
        <v>8</v>
      </c>
      <c r="F5" s="329" t="s">
        <v>9</v>
      </c>
      <c r="G5" s="330"/>
      <c r="H5" s="331"/>
      <c r="I5" s="330"/>
      <c r="J5" s="330"/>
      <c r="K5" s="330"/>
      <c r="L5" s="330"/>
      <c r="M5" s="330"/>
      <c r="N5" s="330"/>
      <c r="O5" s="330"/>
      <c r="P5" s="330"/>
      <c r="Q5" s="330"/>
      <c r="R5" s="330"/>
      <c r="S5" s="330"/>
      <c r="T5" s="330"/>
      <c r="U5" s="330"/>
      <c r="V5" s="330"/>
      <c r="W5" s="330"/>
      <c r="X5" s="330"/>
      <c r="Y5" s="330"/>
      <c r="Z5" s="330"/>
    </row>
    <row r="6" ht="15.75" customHeight="1">
      <c r="A6" s="59" t="s">
        <v>4257</v>
      </c>
      <c r="B6" s="59" t="s">
        <v>4258</v>
      </c>
      <c r="C6" s="59" t="s">
        <v>4259</v>
      </c>
      <c r="D6" s="59" t="s">
        <v>4263</v>
      </c>
      <c r="E6" s="59" t="s">
        <v>4264</v>
      </c>
      <c r="F6" s="59" t="s">
        <v>4265</v>
      </c>
      <c r="G6" s="69"/>
      <c r="H6" s="69"/>
      <c r="I6" s="69"/>
      <c r="J6" s="69"/>
      <c r="K6" s="69"/>
      <c r="L6" s="69"/>
      <c r="M6" s="69"/>
      <c r="N6" s="69"/>
      <c r="O6" s="69"/>
      <c r="P6" s="69"/>
      <c r="Q6" s="69"/>
      <c r="R6" s="69"/>
      <c r="S6" s="69"/>
      <c r="T6" s="69"/>
      <c r="U6" s="69"/>
      <c r="V6" s="69"/>
      <c r="W6" s="69"/>
      <c r="X6" s="69"/>
      <c r="Y6" s="69"/>
      <c r="Z6" s="69"/>
    </row>
    <row r="7" ht="15.75" customHeight="1">
      <c r="A7" s="83" t="s">
        <v>4276</v>
      </c>
      <c r="B7" s="332"/>
      <c r="C7" s="83" t="s">
        <v>4284</v>
      </c>
      <c r="D7" s="83" t="s">
        <v>142</v>
      </c>
      <c r="E7" s="83" t="s">
        <v>142</v>
      </c>
      <c r="F7" s="83" t="s">
        <v>108</v>
      </c>
      <c r="G7" s="69"/>
      <c r="H7" s="69"/>
      <c r="I7" s="69"/>
      <c r="J7" s="69"/>
      <c r="K7" s="69"/>
      <c r="L7" s="69"/>
      <c r="M7" s="69"/>
      <c r="N7" s="69"/>
      <c r="O7" s="69"/>
      <c r="P7" s="69"/>
      <c r="Q7" s="69"/>
      <c r="R7" s="69"/>
      <c r="S7" s="69"/>
      <c r="T7" s="69"/>
      <c r="U7" s="69"/>
      <c r="V7" s="69"/>
      <c r="W7" s="69"/>
      <c r="X7" s="69"/>
      <c r="Y7" s="69"/>
      <c r="Z7" s="69"/>
    </row>
    <row r="8" ht="15.75" customHeight="1">
      <c r="A8" s="334"/>
      <c r="B8" s="334"/>
      <c r="C8" s="334"/>
      <c r="D8" s="334"/>
      <c r="E8" s="334"/>
      <c r="F8" s="33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