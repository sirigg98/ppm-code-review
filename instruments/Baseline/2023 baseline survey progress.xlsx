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 Progress" sheetId="1" r:id="rId5"/>
    <sheet state="visible" name="IDs" sheetId="2" r:id="rId6"/>
    <sheet state="visible" name="Enumerators" sheetId="3" r:id="rId7"/>
    <sheet state="visible" name="Duration" sheetId="4" r:id="rId8"/>
    <sheet state="visible" name="Tabs" sheetId="5" r:id="rId9"/>
    <sheet state="visible" name="_durationdata" sheetId="6" r:id="rId10"/>
  </sheets>
  <definedNames/>
  <calcPr/>
</workbook>
</file>

<file path=xl/sharedStrings.xml><?xml version="1.0" encoding="utf-8"?>
<sst xmlns="http://schemas.openxmlformats.org/spreadsheetml/2006/main" count="217" uniqueCount="71">
  <si>
    <t>Summary</t>
  </si>
  <si>
    <t>Submitted Surveys</t>
  </si>
  <si>
    <t>Survey Duration by Enumerator</t>
  </si>
  <si>
    <t>Total Surveys Submitted</t>
  </si>
  <si>
    <t>Total Surveys Attempted</t>
  </si>
  <si>
    <t># Eligible</t>
  </si>
  <si>
    <t>Average Duration (min)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</si>
  <si>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</si>
  <si>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</si>
  <si>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</si>
  <si>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</si>
  <si>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</si>
  <si>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</si>
  <si>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</si>
  <si>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</si>
  <si>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</si>
  <si>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</si>
  <si>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</si>
  <si>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Screening &amp; HHH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</si>
  <si>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</si>
  <si>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</si>
  <si>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</si>
  <si>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</si>
  <si>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</si>
  <si>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</si>
  <si>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</si>
  <si>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Imarane Issa Rabo</t>
  </si>
  <si>
    <t>IDs</t>
  </si>
  <si>
    <t>PM</t>
  </si>
  <si>
    <t>Screening</t>
  </si>
  <si>
    <t>Woman</t>
  </si>
  <si>
    <t>Summary By Day: Completed</t>
  </si>
  <si>
    <t>GRAY = Ineligible HH</t>
  </si>
  <si>
    <t>Total</t>
  </si>
  <si>
    <t>GREEN = Eligible HH &amp; PM, ALL Surveys complete</t>
  </si>
  <si>
    <t>RED = Eligible HH &amp; PM, Some surveys incomplete</t>
  </si>
  <si>
    <t>Summary by Area</t>
  </si>
  <si>
    <t>Gado Abdoul Aziz</t>
  </si>
  <si>
    <t>https://docs.google.com/spreadsheets/d/1tU4Qo2DtF9Xe5S6gIoKHsRfFV726hJmY9lYRofmirHo/edit#gid=1181262859</t>
  </si>
  <si>
    <t>https://docs.google.com/spreadsheets/d/1fFfESj3oIQjwk2c8HB-TSt4vyYGbHLlIzmuzmUq6cT0/edit?usp=sharing</t>
  </si>
  <si>
    <t>https://docs.google.com/spreadsheets/d/1l38eTowlS5apPQYieM_wB7W_mVwZRvoVp75QAurEFbw/edit?usp=sharing</t>
  </si>
  <si>
    <t>SHM</t>
  </si>
  <si>
    <t>https://docs.google.com/spreadsheets/d/1vLOhdr9eYys_lGrQi_ovg7Sm2aCQ0dqPoIjaEOBAc3k/edit?usp=sharing</t>
  </si>
  <si>
    <t>Ngoua Madou</t>
  </si>
  <si>
    <t>Aboubacar Tchoutchana Hassia</t>
  </si>
  <si>
    <t>Tabs of important variables</t>
  </si>
  <si>
    <t>hh_eligible</t>
  </si>
  <si>
    <t>Mean</t>
  </si>
  <si>
    <t>SD</t>
  </si>
  <si>
    <t>Eligible</t>
  </si>
  <si>
    <t>TOTAL</t>
  </si>
  <si>
    <t>Quartier Dabgaoua</t>
  </si>
  <si>
    <t>Quartier Noma</t>
  </si>
  <si>
    <t>Kamado I</t>
  </si>
  <si>
    <t>Tchiga Sedentaire</t>
  </si>
  <si>
    <t>Quartier Moulela</t>
  </si>
  <si>
    <t>Quartier N'wala</t>
  </si>
  <si>
    <t>Garadoua</t>
  </si>
  <si>
    <t>Diallo Ali Badara Kadidiatou</t>
  </si>
  <si>
    <t>Moreye et Amani</t>
  </si>
  <si>
    <t>(if hh_eligible=1)</t>
  </si>
  <si>
    <t>pm_head</t>
  </si>
  <si>
    <t>pm_eligible</t>
  </si>
  <si>
    <t>pm_married</t>
  </si>
  <si>
    <t>interview_pm</t>
  </si>
  <si>
    <t>secondary_avail</t>
  </si>
  <si>
    <t>Armadan Chegou Indi Gana</t>
  </si>
  <si>
    <t>Oumou Elher Sadi</t>
  </si>
  <si>
    <t>Fatchima Tanko</t>
  </si>
  <si>
    <t>Issaka Ali Ibrahim</t>
  </si>
  <si>
    <t>Alkamissa Karimoune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</si>
</sst>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sz val="11.0"/>
      <color rgb="FF000000"/>
      <name val="Inconsolata"/>
    </font>
    <font>
      <b/>
      <i/>
      <u/>
      <color theme="1"/>
      <name val="Arial"/>
      <scheme val="minor"/>
    </font>
    <font>
      <b/>
      <i/>
      <u/>
      <color theme="1"/>
      <name val="Arial"/>
      <scheme val="minor"/>
    </font>
    <font>
      <color theme="0"/>
      <name val="Arial"/>
      <scheme val="minor"/>
    </font>
    <font>
      <u/>
      <sz val="11.0"/>
      <color rgb="FF008000"/>
      <name val="Inconsolata"/>
    </font>
    <font>
      <u/>
      <color rgb="FF1155CC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5" numFmtId="49" xfId="0" applyAlignment="1" applyFont="1" applyNumberFormat="1">
      <alignment readingOrder="0" shrinkToFit="0" wrapText="1"/>
    </xf>
    <xf borderId="0" fillId="0" fontId="1" numFmtId="0" xfId="0" applyFont="1"/>
    <xf borderId="0" fillId="2" fontId="4" numFmtId="0" xfId="0" applyFont="1"/>
    <xf borderId="0" fillId="0" fontId="4" numFmtId="0" xfId="0" applyFont="1"/>
    <xf borderId="0" fillId="2" fontId="2" numFmtId="0" xfId="0" applyFont="1"/>
    <xf borderId="0" fillId="2" fontId="1" numFmtId="0" xfId="0" applyFont="1"/>
    <xf borderId="0" fillId="2" fontId="4" numFmtId="49" xfId="0" applyAlignment="1" applyFont="1" applyNumberFormat="1">
      <alignment readingOrder="0"/>
    </xf>
    <xf borderId="0" fillId="0" fontId="2" numFmtId="49" xfId="0" applyFont="1" applyNumberFormat="1"/>
    <xf borderId="0" fillId="0" fontId="6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1" numFmtId="49" xfId="0" applyFont="1" applyNumberFormat="1"/>
    <xf borderId="0" fillId="0" fontId="2" numFmtId="2" xfId="0" applyFont="1" applyNumberFormat="1"/>
    <xf borderId="0" fillId="3" fontId="7" numFmtId="0" xfId="0" applyFill="1" applyFont="1"/>
    <xf borderId="1" fillId="0" fontId="8" numFmtId="49" xfId="0" applyAlignment="1" applyBorder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4" numFmtId="49" xfId="0" applyAlignment="1" applyFont="1" applyNumberFormat="1">
      <alignment readingOrder="0"/>
    </xf>
    <xf borderId="0" fillId="0" fontId="6" numFmtId="49" xfId="0" applyAlignment="1" applyFont="1" applyNumberFormat="1">
      <alignment readingOrder="0" vertical="bottom"/>
    </xf>
    <xf borderId="2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10" numFmtId="0" xfId="0" applyFont="1"/>
    <xf borderId="0" fillId="0" fontId="6" numFmtId="0" xfId="0" applyAlignment="1" applyFont="1">
      <alignment vertical="bottom"/>
    </xf>
    <xf borderId="2" fillId="3" fontId="7" numFmtId="164" xfId="0" applyBorder="1" applyFont="1" applyNumberFormat="1"/>
    <xf borderId="0" fillId="0" fontId="2" numFmtId="49" xfId="0" applyAlignment="1" applyFont="1" applyNumberFormat="1">
      <alignment readingOrder="0"/>
    </xf>
    <xf borderId="2" fillId="3" fontId="7" numFmtId="0" xfId="0" applyBorder="1" applyFont="1"/>
    <xf borderId="0" fillId="4" fontId="2" numFmtId="49" xfId="0" applyAlignment="1" applyFill="1" applyFont="1" applyNumberFormat="1">
      <alignment readingOrder="0"/>
    </xf>
    <xf borderId="2" fillId="0" fontId="2" numFmtId="0" xfId="0" applyBorder="1" applyFont="1"/>
    <xf borderId="0" fillId="0" fontId="6" numFmtId="0" xfId="0" applyAlignment="1" applyFont="1">
      <alignment vertical="bottom"/>
    </xf>
    <xf borderId="0" fillId="3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3" fontId="7" numFmtId="164" xfId="0" applyFont="1" applyNumberForma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4" numFmtId="1" xfId="0" applyFont="1" applyNumberFormat="1"/>
    <xf borderId="0" fillId="3" fontId="7" numFmtId="2" xfId="0" applyFont="1" applyNumberFormat="1"/>
    <xf borderId="0" fillId="0" fontId="2" numFmtId="1" xfId="0" applyFont="1" applyNumberFormat="1"/>
    <xf borderId="0" fillId="0" fontId="4" numFmtId="1" xfId="0" applyAlignment="1" applyFont="1" applyNumberFormat="1">
      <alignment readingOrder="0"/>
    </xf>
    <xf borderId="2" fillId="0" fontId="3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U4Qo2DtF9Xe5S6gIoKHsRfFV726hJmY9lYRofmirHo/edit" TargetMode="External"/><Relationship Id="rId2" Type="http://schemas.openxmlformats.org/officeDocument/2006/relationships/hyperlink" Target="https://docs.google.com/spreadsheets/d/1fFfESj3oIQjwk2c8HB-TSt4vyYGbHLlIzmuzmUq6cT0/edit?usp=sharing" TargetMode="External"/><Relationship Id="rId3" Type="http://schemas.openxmlformats.org/officeDocument/2006/relationships/hyperlink" Target="https://docs.google.com/spreadsheets/d/1l38eTowlS5apPQYieM_wB7W_mVwZRvoVp75QAurEFbw/edit?usp=sharing" TargetMode="External"/><Relationship Id="rId4" Type="http://schemas.openxmlformats.org/officeDocument/2006/relationships/hyperlink" Target="https://docs.google.com/spreadsheets/d/1vLOhdr9eYys_lGrQi_ovg7Sm2aCQ0dqPoIjaEOBAc3k/edit?usp=sharin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0.38"/>
    <col customWidth="1" min="3" max="3" width="20.5"/>
    <col customWidth="1" min="4" max="4" width="20.88"/>
    <col customWidth="1" min="5" max="5" width="15.25"/>
    <col customWidth="1" min="6" max="6" width="19.38"/>
    <col customWidth="1" min="7" max="7" width="13.13"/>
  </cols>
  <sheetData>
    <row r="1">
      <c r="A1" s="1" t="s">
        <v>0</v>
      </c>
      <c r="B1" s="2"/>
      <c r="C1" s="2"/>
      <c r="D1" s="2"/>
    </row>
    <row r="2">
      <c r="A2" s="4"/>
      <c r="B2" s="6" t="s">
        <v>3</v>
      </c>
      <c r="C2" s="6" t="s">
        <v>4</v>
      </c>
      <c r="D2" s="6" t="s">
        <v>5</v>
      </c>
      <c r="E2" s="6" t="s">
        <v>6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2" t="s">
        <v>18</v>
      </c>
      <c r="B3" s="16">
        <f>IFERROR(__xludf.DUMMYFUNCTION("COUNTA(IMPORTRANGE($B$32, ""data!E2:E800""))"),799.0)</f>
        <v>799</v>
      </c>
      <c r="C3" s="16">
        <f t="shared" ref="C3:C5" si="1">B3</f>
        <v>799</v>
      </c>
      <c r="D3" s="16">
        <f>IFERROR(__xludf.DUMMYFUNCTION("COUNTIF(IMPORTRANGE($B$32, ""data!P2:P800""), ""=1"")"),0.0)</f>
        <v>0</v>
      </c>
      <c r="E3" s="19" t="str">
        <f>IFERROR(__xludf.DUMMYFUNCTION("AVERAGE(IMPORTRANGE($B32, ""Q:Q""))/60"),"#DIV/0!")</f>
        <v>#DIV/0!</v>
      </c>
    </row>
    <row r="4">
      <c r="A4" s="2" t="s">
        <v>28</v>
      </c>
      <c r="B4" s="16">
        <f>IFERROR(__xludf.DUMMYFUNCTION("COUNTA(IMPORTRANGE($B$33, ""data!E2:E800""))"),799.0)</f>
        <v>799</v>
      </c>
      <c r="C4" s="16">
        <f t="shared" si="1"/>
        <v>799</v>
      </c>
      <c r="D4" s="16">
        <f>IFERROR(__xludf.DUMMYFUNCTION("COUNTIFS(IMPORTRANGE($B$33, ""data!K2:K800""), ""=1"")"),0.0)</f>
        <v>0</v>
      </c>
      <c r="E4" s="19" t="str">
        <f>IFERROR(__xludf.DUMMYFUNCTION("AVERAGE(IMPORTRANGE($B33, ""M:M""))/60"),"#DIV/0!")</f>
        <v>#DIV/0!</v>
      </c>
    </row>
    <row r="5">
      <c r="A5" s="2" t="s">
        <v>30</v>
      </c>
      <c r="B5" s="16">
        <f>IFERROR(__xludf.DUMMYFUNCTION("COUNTA(IMPORTRANGE($B$34, ""data!E2:E800""))"),799.0)</f>
        <v>799</v>
      </c>
      <c r="C5" s="16">
        <f t="shared" si="1"/>
        <v>799</v>
      </c>
      <c r="D5" s="16">
        <f>IFERROR(__xludf.DUMMYFUNCTION("COUNTIF(IMPORTRANGE($B$34, ""data!K2:K800""), ""=1"")"),0.0)</f>
        <v>0</v>
      </c>
      <c r="E5" s="19" t="str">
        <f>IFERROR(__xludf.DUMMYFUNCTION("AVERAGE(IMPORTRANGE($B34, ""M:M""))/60"),"#DIV/0!")</f>
        <v>#DIV/0!</v>
      </c>
    </row>
    <row r="7">
      <c r="A7" s="1" t="s">
        <v>31</v>
      </c>
    </row>
    <row r="8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1"/>
      <c r="W8" s="11"/>
      <c r="X8" s="11"/>
      <c r="Y8" s="11"/>
      <c r="Z8" s="11"/>
      <c r="AA8" s="11"/>
      <c r="AB8" s="11"/>
    </row>
    <row r="9">
      <c r="A9" s="2" t="s">
        <v>18</v>
      </c>
      <c r="B9" s="16">
        <f>IFERROR(__xludf.DUMMYFUNCTION("COUNTIF(IMPORTRANGE($B$32, ""data!S2:S800""), ""*""&amp;B$8&amp;""*"")"),0.0)</f>
        <v>0</v>
      </c>
      <c r="C9" s="16">
        <f>IFERROR(__xludf.DUMMYFUNCTION("COUNTIF(IMPORTRANGE($B$32, ""data!S2:S800""), ""*""&amp;C$8&amp;""*"")"),0.0)</f>
        <v>0</v>
      </c>
      <c r="D9" s="16">
        <f>IFERROR(__xludf.DUMMYFUNCTION("COUNTIF(IMPORTRANGE($B$32, ""data!S2:S800""), ""*""&amp;D$8&amp;""*"")"),0.0)</f>
        <v>0</v>
      </c>
      <c r="E9" s="16">
        <f>IFERROR(__xludf.DUMMYFUNCTION("COUNTIF(IMPORTRANGE($B$32, ""data!S2:S800""), ""*""&amp;E$8&amp;""*"")"),0.0)</f>
        <v>0</v>
      </c>
      <c r="F9" s="16">
        <f>IFERROR(__xludf.DUMMYFUNCTION("COUNTIF(IMPORTRANGE($B$32, ""data!S2:S800""), ""*""&amp;F$8&amp;""*"")"),0.0)</f>
        <v>0</v>
      </c>
      <c r="G9" s="16">
        <f>IFERROR(__xludf.DUMMYFUNCTION("COUNTIF(IMPORTRANGE($B$32, ""data!S2:S800""), ""*""&amp;G$8&amp;""*"")"),0.0)</f>
        <v>0</v>
      </c>
      <c r="H9" s="16">
        <f>IFERROR(__xludf.DUMMYFUNCTION("COUNTIF(IMPORTRANGE($B$32, ""data!S2:S800""), ""*""&amp;H$8&amp;""*"")"),0.0)</f>
        <v>0</v>
      </c>
      <c r="I9" s="16">
        <f>IFERROR(__xludf.DUMMYFUNCTION("COUNTIF(IMPORTRANGE($B$32, ""data!S2:S800""), ""*""&amp;I$8&amp;""*"")"),0.0)</f>
        <v>0</v>
      </c>
      <c r="J9" s="16">
        <f>IFERROR(__xludf.DUMMYFUNCTION("COUNTIF(IMPORTRANGE($B$32, ""data!S2:S800""), ""*""&amp;J$8&amp;""*"")"),0.0)</f>
        <v>0</v>
      </c>
      <c r="K9" s="16">
        <f>IFERROR(__xludf.DUMMYFUNCTION("COUNTIF(IMPORTRANGE($B$32, ""data!S2:S800""), ""*""&amp;K$8&amp;""*"")"),0.0)</f>
        <v>0</v>
      </c>
      <c r="L9" s="16">
        <f>IFERROR(__xludf.DUMMYFUNCTION("COUNTIF(IMPORTRANGE($B$32, ""data!S2:S800""), ""*""&amp;L$8&amp;""*"")"),0.0)</f>
        <v>0</v>
      </c>
      <c r="M9" s="16">
        <f>IFERROR(__xludf.DUMMYFUNCTION("COUNTIF(IMPORTRANGE($B$32, ""data!S2:S800""), ""*""&amp;M$8&amp;""*"")"),0.0)</f>
        <v>0</v>
      </c>
      <c r="N9" s="16">
        <f>IFERROR(__xludf.DUMMYFUNCTION("COUNTIF(IMPORTRANGE($B$32, ""data!S2:S800""), ""*""&amp;N$8&amp;""*"")"),0.0)</f>
        <v>0</v>
      </c>
      <c r="O9" s="16">
        <f>IFERROR(__xludf.DUMMYFUNCTION("COUNTIF(IMPORTRANGE($B$32, ""data!S2:S800""), ""*""&amp;O$8&amp;""*"")"),0.0)</f>
        <v>0</v>
      </c>
      <c r="P9" s="16">
        <f>IFERROR(__xludf.DUMMYFUNCTION("COUNTIF(IMPORTRANGE($B$32, ""data!S2:S800""), ""*""&amp;P$8&amp;""*"")"),0.0)</f>
        <v>0</v>
      </c>
      <c r="Q9" s="16">
        <f>IFERROR(__xludf.DUMMYFUNCTION("COUNTIF(IMPORTRANGE($B$32, ""data!S2:S800""), ""*""&amp;Q$8&amp;""*"")"),0.0)</f>
        <v>0</v>
      </c>
    </row>
    <row r="10">
      <c r="A10" s="2" t="s">
        <v>28</v>
      </c>
      <c r="B10" s="16">
        <f>IFERROR(__xludf.DUMMYFUNCTION("COUNTIF(IMPORTRANGE($B$33, ""data!O2:O800""), ""*""&amp;B$8&amp;""*"")"),0.0)</f>
        <v>0</v>
      </c>
      <c r="C10" s="16">
        <f>IFERROR(__xludf.DUMMYFUNCTION("COUNTIF(IMPORTRANGE($B$33, ""data!O2:O800""), ""*""&amp;C$8&amp;""*"")"),0.0)</f>
        <v>0</v>
      </c>
      <c r="D10" s="16">
        <f>IFERROR(__xludf.DUMMYFUNCTION("COUNTIF(IMPORTRANGE($B$33, ""data!O2:O800""), ""*""&amp;D$8&amp;""*"")"),0.0)</f>
        <v>0</v>
      </c>
      <c r="E10" s="16">
        <f>IFERROR(__xludf.DUMMYFUNCTION("COUNTIF(IMPORTRANGE($B$33, ""data!O2:O800""), ""*""&amp;E$8&amp;""*"")"),0.0)</f>
        <v>0</v>
      </c>
      <c r="F10" s="16">
        <f>IFERROR(__xludf.DUMMYFUNCTION("COUNTIF(IMPORTRANGE($B$33, ""data!O2:O800""), ""*""&amp;F$8&amp;""*"")"),0.0)</f>
        <v>0</v>
      </c>
      <c r="G10" s="16">
        <f>IFERROR(__xludf.DUMMYFUNCTION("COUNTIF(IMPORTRANGE($B$33, ""data!O2:O800""), ""*""&amp;G$8&amp;""*"")"),0.0)</f>
        <v>0</v>
      </c>
      <c r="H10" s="16">
        <f>IFERROR(__xludf.DUMMYFUNCTION("COUNTIF(IMPORTRANGE($B$33, ""data!O2:O800""), ""*""&amp;H$8&amp;""*"")"),0.0)</f>
        <v>0</v>
      </c>
      <c r="I10" s="16">
        <f>IFERROR(__xludf.DUMMYFUNCTION("COUNTIF(IMPORTRANGE($B$33, ""data!O2:O800""), ""*""&amp;I$8&amp;""*"")"),0.0)</f>
        <v>0</v>
      </c>
      <c r="J10" s="16">
        <f>IFERROR(__xludf.DUMMYFUNCTION("COUNTIF(IMPORTRANGE($B$33, ""data!O2:O800""), ""*""&amp;J$8&amp;""*"")"),0.0)</f>
        <v>0</v>
      </c>
      <c r="K10" s="16">
        <f>IFERROR(__xludf.DUMMYFUNCTION("COUNTIF(IMPORTRANGE($B$33, ""data!O2:O800""), ""*""&amp;K$8&amp;""*"")"),0.0)</f>
        <v>0</v>
      </c>
      <c r="L10" s="16">
        <f>IFERROR(__xludf.DUMMYFUNCTION("COUNTIF(IMPORTRANGE($B$33, ""data!O2:O800""), ""*""&amp;L$8&amp;""*"")"),0.0)</f>
        <v>0</v>
      </c>
      <c r="M10" s="16">
        <f>IFERROR(__xludf.DUMMYFUNCTION("COUNTIF(IMPORTRANGE($B$33, ""data!O2:O800""), ""*""&amp;M$8&amp;""*"")"),0.0)</f>
        <v>0</v>
      </c>
      <c r="N10" s="16">
        <f>IFERROR(__xludf.DUMMYFUNCTION("COUNTIF(IMPORTRANGE($B$33, ""data!O2:O800""), ""*""&amp;N$8&amp;""*"")"),0.0)</f>
        <v>0</v>
      </c>
      <c r="O10" s="16">
        <f>IFERROR(__xludf.DUMMYFUNCTION("COUNTIF(IMPORTRANGE($B$33, ""data!O2:O800""), ""*""&amp;O$8&amp;""*"")"),0.0)</f>
        <v>0</v>
      </c>
      <c r="P10" s="16">
        <f>IFERROR(__xludf.DUMMYFUNCTION("COUNTIF(IMPORTRANGE($B$33, ""data!O2:O800""), ""*""&amp;P$8&amp;""*"")"),0.0)</f>
        <v>0</v>
      </c>
      <c r="Q10" s="16">
        <f>IFERROR(__xludf.DUMMYFUNCTION("COUNTIF(IMPORTRANGE($B$33, ""data!O2:O800""), ""*""&amp;Q$8&amp;""*"")"),0.0)</f>
        <v>0</v>
      </c>
    </row>
    <row r="11">
      <c r="A11" s="2" t="s">
        <v>30</v>
      </c>
      <c r="B11" s="16">
        <f>IFERROR(__xludf.DUMMYFUNCTION("COUNTIF(IMPORTRANGE($B$34, ""data!O2:O800""), ""*""&amp;B$8&amp;""*"")"),0.0)</f>
        <v>0</v>
      </c>
      <c r="C11" s="16">
        <f>IFERROR(__xludf.DUMMYFUNCTION("COUNTIF(IMPORTRANGE($B$34, ""data!O2:O800""), ""*""&amp;C$8&amp;""*"")"),0.0)</f>
        <v>0</v>
      </c>
      <c r="D11" s="16">
        <f>IFERROR(__xludf.DUMMYFUNCTION("COUNTIF(IMPORTRANGE($B$34, ""data!O2:O800""), ""*""&amp;D$8&amp;""*"")"),0.0)</f>
        <v>0</v>
      </c>
      <c r="E11" s="16">
        <f>IFERROR(__xludf.DUMMYFUNCTION("COUNTIF(IMPORTRANGE($B$34, ""data!O2:O800""), ""*""&amp;E$8&amp;""*"")"),0.0)</f>
        <v>0</v>
      </c>
      <c r="F11" s="16">
        <f>IFERROR(__xludf.DUMMYFUNCTION("COUNTIF(IMPORTRANGE($B$34, ""data!O2:O800""), ""*""&amp;F$8&amp;""*"")"),0.0)</f>
        <v>0</v>
      </c>
      <c r="G11" s="16">
        <f>IFERROR(__xludf.DUMMYFUNCTION("COUNTIF(IMPORTRANGE($B$34, ""data!O2:O800""), ""*""&amp;G$8&amp;""*"")"),0.0)</f>
        <v>0</v>
      </c>
      <c r="H11" s="16">
        <f>IFERROR(__xludf.DUMMYFUNCTION("COUNTIF(IMPORTRANGE($B$34, ""data!O2:O800""), ""*""&amp;H$8&amp;""*"")"),0.0)</f>
        <v>0</v>
      </c>
      <c r="I11" s="16">
        <f>IFERROR(__xludf.DUMMYFUNCTION("COUNTIF(IMPORTRANGE($B$34, ""data!O2:O800""), ""*""&amp;I$8&amp;""*"")"),0.0)</f>
        <v>0</v>
      </c>
      <c r="J11" s="16">
        <f>IFERROR(__xludf.DUMMYFUNCTION("COUNTIF(IMPORTRANGE($B$34, ""data!O2:O800""), ""*""&amp;J$8&amp;""*"")"),0.0)</f>
        <v>0</v>
      </c>
      <c r="K11" s="16">
        <f>IFERROR(__xludf.DUMMYFUNCTION("COUNTIF(IMPORTRANGE($B$34, ""data!O2:O800""), ""*""&amp;K$8&amp;""*"")"),0.0)</f>
        <v>0</v>
      </c>
      <c r="L11" s="16">
        <f>IFERROR(__xludf.DUMMYFUNCTION("COUNTIF(IMPORTRANGE($B$34, ""data!O2:O800""), ""*""&amp;L$8&amp;""*"")"),0.0)</f>
        <v>0</v>
      </c>
      <c r="M11" s="16">
        <f>IFERROR(__xludf.DUMMYFUNCTION("COUNTIF(IMPORTRANGE($B$34, ""data!O2:O800""), ""*""&amp;M$8&amp;""*"")"),0.0)</f>
        <v>0</v>
      </c>
      <c r="N11" s="16">
        <f>IFERROR(__xludf.DUMMYFUNCTION("COUNTIF(IMPORTRANGE($B$34, ""data!O2:O800""), ""*""&amp;N$8&amp;""*"")"),0.0)</f>
        <v>0</v>
      </c>
      <c r="O11" s="16">
        <f>IFERROR(__xludf.DUMMYFUNCTION("COUNTIF(IMPORTRANGE($B$34, ""data!O2:O800""), ""*""&amp;O$8&amp;""*"")"),0.0)</f>
        <v>0</v>
      </c>
      <c r="P11" s="16">
        <f>IFERROR(__xludf.DUMMYFUNCTION("COUNTIF(IMPORTRANGE($B$34, ""data!O2:O800""), ""*""&amp;P$8&amp;""*"")"),0.0)</f>
        <v>0</v>
      </c>
      <c r="Q11" s="16">
        <f>IFERROR(__xludf.DUMMYFUNCTION("COUNTIF(IMPORTRANGE($B$34, ""data!O2:O800""), ""*""&amp;Q$8&amp;""*"")"),0.0)</f>
        <v>0</v>
      </c>
    </row>
    <row r="12">
      <c r="A12" s="5" t="s">
        <v>33</v>
      </c>
      <c r="B12" s="10">
        <f t="shared" ref="B12:Q12" si="2">SUM(B9:B11)</f>
        <v>0</v>
      </c>
      <c r="C12" s="10">
        <f t="shared" si="2"/>
        <v>0</v>
      </c>
      <c r="D12" s="10">
        <f t="shared" si="2"/>
        <v>0</v>
      </c>
      <c r="E12" s="10">
        <f t="shared" si="2"/>
        <v>0</v>
      </c>
      <c r="F12" s="10">
        <f t="shared" si="2"/>
        <v>0</v>
      </c>
      <c r="G12" s="10">
        <f t="shared" si="2"/>
        <v>0</v>
      </c>
      <c r="H12" s="10">
        <f t="shared" si="2"/>
        <v>0</v>
      </c>
      <c r="I12" s="10">
        <f t="shared" si="2"/>
        <v>0</v>
      </c>
      <c r="J12" s="10">
        <f t="shared" si="2"/>
        <v>0</v>
      </c>
      <c r="K12" s="10">
        <f t="shared" si="2"/>
        <v>0</v>
      </c>
      <c r="L12" s="10">
        <f t="shared" si="2"/>
        <v>0</v>
      </c>
      <c r="M12" s="10">
        <f t="shared" si="2"/>
        <v>0</v>
      </c>
      <c r="N12" s="10">
        <f t="shared" si="2"/>
        <v>0</v>
      </c>
      <c r="O12" s="10">
        <f t="shared" si="2"/>
        <v>0</v>
      </c>
      <c r="P12" s="10">
        <f t="shared" si="2"/>
        <v>0</v>
      </c>
      <c r="Q12" s="10">
        <f t="shared" si="2"/>
        <v>0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4">
      <c r="A14" s="1" t="s">
        <v>36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2" t="s">
        <v>18</v>
      </c>
      <c r="B16" s="16">
        <f>IFERROR(__xludf.DUMMYFUNCTION("COUNTIF(IMPORTRANGE($B32, ""data!G2:G800""), ""1"")"),788.0)</f>
        <v>788</v>
      </c>
      <c r="C16" s="16">
        <f>IFERROR(__xludf.DUMMYFUNCTION("COUNTIF(IMPORTRANGE($B32, ""data!G2:G800""), ""2"")"),0.0)</f>
        <v>0</v>
      </c>
      <c r="D16" s="16">
        <f>IFERROR(__xludf.DUMMYFUNCTION("COUNTIF(IMPORTRANGE($B32, ""data!G2:G800""), ""3"")"),0.0)</f>
        <v>0</v>
      </c>
      <c r="E16" s="16">
        <f>IFERROR(__xludf.DUMMYFUNCTION("COUNTIF(IMPORTRANGE($B32, ""data!G2:G800""), ""4"")"),0.0)</f>
        <v>0</v>
      </c>
      <c r="F16" s="16">
        <f>IFERROR(__xludf.DUMMYFUNCTION("COUNTIF(IMPORTRANGE($B32, ""data!G2:G800""), ""5"")"),0.0)</f>
        <v>0</v>
      </c>
      <c r="G16" s="16">
        <f>IFERROR(__xludf.DUMMYFUNCTION("COUNTIF(IMPORTRANGE($B32, ""data!G2:G800""), ""6"")"),0.0)</f>
        <v>0</v>
      </c>
      <c r="H16" s="16">
        <f>IFERROR(__xludf.DUMMYFUNCTION("COUNTIF(IMPORTRANGE($B32, ""data!G2:G800""), ""7"")"),0.0)</f>
        <v>0</v>
      </c>
      <c r="I16" s="16">
        <f>IFERROR(__xludf.DUMMYFUNCTION("COUNTIF(IMPORTRANGE($B32, ""data!G2:G800""), ""8"")"),0.0)</f>
        <v>0</v>
      </c>
    </row>
    <row r="17">
      <c r="A17" s="2" t="s">
        <v>28</v>
      </c>
      <c r="B17" s="16">
        <f>IFERROR(__xludf.DUMMYFUNCTION("COUNTIF(IMPORTRANGE($B33, ""data!G2:G800""), ""1"")"),799.0)</f>
        <v>799</v>
      </c>
      <c r="C17" s="16">
        <f>IFERROR(__xludf.DUMMYFUNCTION("COUNTIF(IMPORTRANGE($B33, ""data!G2:G800""), ""2"")"),0.0)</f>
        <v>0</v>
      </c>
      <c r="D17" s="16">
        <f>IFERROR(__xludf.DUMMYFUNCTION("COUNTIF(IMPORTRANGE($B33, ""data!G2:G800""), ""3"")"),0.0)</f>
        <v>0</v>
      </c>
      <c r="E17" s="16">
        <f>IFERROR(__xludf.DUMMYFUNCTION("COUNTIF(IMPORTRANGE($B33, ""data!G2:G800""), ""4"")"),0.0)</f>
        <v>0</v>
      </c>
      <c r="F17" s="16">
        <f>IFERROR(__xludf.DUMMYFUNCTION("COUNTIF(IMPORTRANGE($B33, ""data!G2:G800""), ""5"")"),0.0)</f>
        <v>0</v>
      </c>
      <c r="G17" s="16">
        <f>IFERROR(__xludf.DUMMYFUNCTION("COUNTIF(IMPORTRANGE($B33, ""data!G2:G800""), ""6"")"),0.0)</f>
        <v>0</v>
      </c>
      <c r="H17" s="16">
        <f>IFERROR(__xludf.DUMMYFUNCTION("COUNTIF(IMPORTRANGE($B33, ""data!G2:G800""), ""7"")"),0.0)</f>
        <v>0</v>
      </c>
      <c r="I17" s="16">
        <f>IFERROR(__xludf.DUMMYFUNCTION("COUNTIF(IMPORTRANGE($B33, ""data!G2:G800""), ""8"")"),0.0)</f>
        <v>0</v>
      </c>
    </row>
    <row r="18">
      <c r="A18" s="2" t="s">
        <v>30</v>
      </c>
      <c r="B18" s="16">
        <f>IFERROR(__xludf.DUMMYFUNCTION("COUNTIF(IMPORTRANGE($B34, ""data!G2:G800""), ""1"")"),0.0)</f>
        <v>0</v>
      </c>
      <c r="C18" s="16">
        <f>IFERROR(__xludf.DUMMYFUNCTION("COUNTIF(IMPORTRANGE($B34, ""data!G2:G800""), ""2"")"),0.0)</f>
        <v>0</v>
      </c>
      <c r="D18" s="16">
        <f>IFERROR(__xludf.DUMMYFUNCTION("COUNTIF(IMPORTRANGE($B34, ""data!G2:G800""), ""3"")"),0.0)</f>
        <v>0</v>
      </c>
      <c r="E18" s="16">
        <f>IFERROR(__xludf.DUMMYFUNCTION("COUNTIF(IMPORTRANGE($B34, ""data!G2:G800""), ""4"")"),0.0)</f>
        <v>0</v>
      </c>
      <c r="F18" s="16">
        <f>IFERROR(__xludf.DUMMYFUNCTION("COUNTIF(IMPORTRANGE($B34, ""data!G2:G800""), ""5"")"),0.0)</f>
        <v>0</v>
      </c>
      <c r="G18" s="16">
        <f>IFERROR(__xludf.DUMMYFUNCTION("COUNTIF(IMPORTRANGE($B34, ""data!G2:G800""), ""6"")"),0.0)</f>
        <v>0</v>
      </c>
      <c r="H18" s="16">
        <f>IFERROR(__xludf.DUMMYFUNCTION("COUNTIF(IMPORTRANGE($B34, ""data!G2:G800""), ""7"")"),0.0)</f>
        <v>0</v>
      </c>
      <c r="I18" s="16">
        <f>IFERROR(__xludf.DUMMYFUNCTION("COUNTIF(IMPORTRANGE($B34, ""data!G2:G800""), ""8"")"),0.0)</f>
        <v>0</v>
      </c>
    </row>
    <row r="19">
      <c r="A19" s="5" t="s">
        <v>33</v>
      </c>
      <c r="B19" s="10">
        <f t="shared" ref="B19:I19" si="3">SUM(B16:B18)</f>
        <v>1587</v>
      </c>
      <c r="C19" s="10">
        <f t="shared" si="3"/>
        <v>0</v>
      </c>
      <c r="D19" s="10">
        <f t="shared" si="3"/>
        <v>0</v>
      </c>
      <c r="E19" s="10">
        <f t="shared" si="3"/>
        <v>0</v>
      </c>
      <c r="F19" s="10">
        <f t="shared" si="3"/>
        <v>0</v>
      </c>
      <c r="G19" s="10">
        <f t="shared" si="3"/>
        <v>0</v>
      </c>
      <c r="H19" s="10">
        <f t="shared" si="3"/>
        <v>0</v>
      </c>
      <c r="I19" s="10">
        <f t="shared" si="3"/>
        <v>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32">
      <c r="A32" s="34" t="s">
        <v>29</v>
      </c>
      <c r="B32" s="35" t="s">
        <v>38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2" t="s">
        <v>28</v>
      </c>
      <c r="B33" s="36" t="s">
        <v>39</v>
      </c>
    </row>
    <row r="34">
      <c r="A34" s="2" t="s">
        <v>30</v>
      </c>
      <c r="B34" s="36" t="s">
        <v>40</v>
      </c>
    </row>
    <row r="35">
      <c r="A35" s="2" t="s">
        <v>41</v>
      </c>
      <c r="B35" s="37" t="s">
        <v>42</v>
      </c>
    </row>
  </sheetData>
  <hyperlinks>
    <hyperlink r:id="rId1" location="gid=1181262859" ref="B32"/>
    <hyperlink r:id="rId2" ref="B33"/>
    <hyperlink r:id="rId3" ref="B34"/>
    <hyperlink r:id="rId4" ref="B3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8" max="8" width="25.13"/>
  </cols>
  <sheetData>
    <row r="1">
      <c r="A1" s="7" t="str">
        <f>CONCAT("Completed households: ", COUNTIF(E6:E500, "=1"))</f>
        <v>Completed households: 0</v>
      </c>
      <c r="D1" s="7"/>
      <c r="F1" s="14"/>
    </row>
    <row r="2">
      <c r="A2" s="7" t="str">
        <f>CONCAT("Incomplete eligible households: ", COUNTIFS(E6:E500, "=0", A6:A500, "&lt;&gt;"&amp;""))</f>
        <v>Incomplete eligible households: 1</v>
      </c>
      <c r="E2" s="15"/>
      <c r="F2" s="14"/>
    </row>
    <row r="3">
      <c r="A3" s="7" t="str">
        <f>CONCAT("Ineligible households: ", COUNTIF(B6:B205, "Ineligible"))</f>
        <v>Ineligible households: 0</v>
      </c>
      <c r="E3" s="15"/>
      <c r="F3" s="14"/>
    </row>
    <row r="4">
      <c r="A4" s="18"/>
      <c r="B4" s="1"/>
      <c r="C4" s="1"/>
      <c r="D4" s="1"/>
      <c r="E4" s="15"/>
      <c r="F4" s="14"/>
    </row>
    <row r="5">
      <c r="A5" s="21" t="s">
        <v>27</v>
      </c>
      <c r="B5" s="22" t="s">
        <v>29</v>
      </c>
      <c r="C5" s="22" t="s">
        <v>28</v>
      </c>
      <c r="D5" s="22" t="s">
        <v>30</v>
      </c>
      <c r="E5" s="15"/>
      <c r="F5" s="23"/>
    </row>
    <row r="6">
      <c r="A6" s="24">
        <f>IFERROR(__xludf.DUMMYFUNCTION("UNIQUE(IMPORTRANGE('Survey Progress'!$B$32, ""data!H2:H800""))"),0.0)</f>
        <v>0</v>
      </c>
      <c r="B6" s="16" t="str">
        <f>IFERROR(__xludf.DUMMYFUNCTION("IF(ISERROR(VLOOKUP(A6, IMPORTRANGE('Survey Progress'!$B$32, ""data!H2:M800""), 5, FALSE)), """", IF(VLOOKUP(A6, IMPORTRANGE('Survey Progress'!$B$32, ""data!H2:M800""), 5, FALSE) = 1, ""Eligible"", ""Ineligible""))"),"Eligible")</f>
        <v>Eligible</v>
      </c>
      <c r="C6" s="15" t="str">
        <f>IFERROR(__xludf.DUMMYFUNCTION("IF(A6="""", """", IF(ISERROR(VLOOKUP(A6, IMPORTRANGE('Survey Progress'!$B$33, ""data!I2:L800""), 1, FALSE)), ""No Survey"", IF(VLOOKUP(A6, IMPORTRANGE('Survey Progress'!$B$33, ""data!I2:L800""), 2, FALSE) = 0, ""Incomplete"", ""Complete"")))"),"No Survey")</f>
        <v>No Survey</v>
      </c>
      <c r="D6" s="15" t="str">
        <f>IFERROR(__xludf.DUMMYFUNCTION("IF(A6="""", """", IF(ISERROR(VLOOKUP(A6, IMPORTRANGE('Survey Progress'!$B$34, ""data!I2:L800""), 1, FALSE)), ""No Survey"", IF(VLOOKUP(A6, IMPORTRANGE('Survey Progress'!$B$34, ""data!I2:L800""), 2, FALSE) = 0, ""Incomplete"", ""Complete"")))"),"Complete")</f>
        <v>Complete</v>
      </c>
      <c r="E6" s="27">
        <f t="shared" ref="E6:E400" si="1">IF(B6="Ineligible", 2, IF(AND(C6="Complete", D6="Complete"), 1, 0))</f>
        <v>0</v>
      </c>
      <c r="F6" s="24"/>
      <c r="G6" s="28"/>
      <c r="H6" s="28"/>
      <c r="I6" s="28"/>
    </row>
    <row r="7">
      <c r="A7" s="24"/>
      <c r="B7" s="16" t="str">
        <f>IFERROR(__xludf.DUMMYFUNCTION("IF(ISERROR(VLOOKUP(A7, IMPORTRANGE('Survey Progress'!$B$32, ""data!H2:M800""), 5, FALSE)), """", IF(VLOOKUP(A7, IMPORTRANGE('Survey Progress'!$B$32, ""data!H2:M800""), 5, FALSE) = 1, ""Eligible"", ""Ineligible""))"),"Eligible")</f>
        <v>Eligible</v>
      </c>
      <c r="C7" s="15" t="str">
        <f>IFERROR(__xludf.DUMMYFUNCTION("IF(A7="""", """", IF(ISERROR(VLOOKUP(A7, IMPORTRANGE('Survey Progress'!$B$33, ""data!I2:L800""), 1, FALSE)), ""No Survey"", IF(VLOOKUP(A7, IMPORTRANGE('Survey Progress'!$B$33, ""data!I2:L800""), 2, FALSE) = 0, ""Incomplete"", ""Complete"")))"),"")</f>
        <v/>
      </c>
      <c r="D7" s="15" t="str">
        <f>IFERROR(__xludf.DUMMYFUNCTION("IF(A7="""", """", IF(ISERROR(VLOOKUP(A7, IMPORTRANGE('Survey Progress'!$B$34, ""data!I2:L800""), 1, FALSE)), ""No Survey"", IF(VLOOKUP(A7, IMPORTRANGE('Survey Progress'!$B$34, ""data!I2:L800""), 2, FALSE) = 0, ""Incomplete"", ""Complete"")))"),"")</f>
        <v/>
      </c>
      <c r="E7" s="27">
        <f t="shared" si="1"/>
        <v>0</v>
      </c>
      <c r="F7" s="30"/>
      <c r="H7" s="2" t="s">
        <v>32</v>
      </c>
    </row>
    <row r="8">
      <c r="A8" s="24"/>
      <c r="B8" s="16" t="str">
        <f>IFERROR(__xludf.DUMMYFUNCTION("IF(ISERROR(VLOOKUP(A8, IMPORTRANGE('Survey Progress'!$B$32, ""data!H2:M800""), 5, FALSE)), """", IF(VLOOKUP(A8, IMPORTRANGE('Survey Progress'!$B$32, ""data!H2:M800""), 5, FALSE) = 1, ""Eligible"", ""Ineligible""))"),"Eligible")</f>
        <v>Eligible</v>
      </c>
      <c r="C8" s="15" t="str">
        <f>IFERROR(__xludf.DUMMYFUNCTION("IF(A8="""", """", IF(ISERROR(VLOOKUP(A8, IMPORTRANGE('Survey Progress'!$B$33, ""data!I2:L800""), 1, FALSE)), ""No Survey"", IF(VLOOKUP(A8, IMPORTRANGE('Survey Progress'!$B$33, ""data!I2:L800""), 2, FALSE) = 0, ""Incomplete"", ""Complete"")))"),"")</f>
        <v/>
      </c>
      <c r="D8" s="15" t="str">
        <f>IFERROR(__xludf.DUMMYFUNCTION("IF(A8="""", """", IF(ISERROR(VLOOKUP(A8, IMPORTRANGE('Survey Progress'!$B$34, ""data!I2:L800""), 1, FALSE)), ""No Survey"", IF(VLOOKUP(A8, IMPORTRANGE('Survey Progress'!$B$34, ""data!I2:L800""), 2, FALSE) = 0, ""Incomplete"", ""Complete"")))"),"")</f>
        <v/>
      </c>
      <c r="E8" s="27">
        <f t="shared" si="1"/>
        <v>0</v>
      </c>
      <c r="F8" s="30"/>
      <c r="G8" s="15"/>
      <c r="H8" s="2" t="s">
        <v>34</v>
      </c>
    </row>
    <row r="9">
      <c r="A9" s="24"/>
      <c r="B9" s="16" t="str">
        <f>IFERROR(__xludf.DUMMYFUNCTION("IF(ISERROR(VLOOKUP(A9, IMPORTRANGE('Survey Progress'!$B$32, ""data!H2:M800""), 5, FALSE)), """", IF(VLOOKUP(A9, IMPORTRANGE('Survey Progress'!$B$32, ""data!H2:M800""), 5, FALSE) = 1, ""Eligible"", ""Ineligible""))"),"Eligible")</f>
        <v>Eligible</v>
      </c>
      <c r="C9" s="15" t="str">
        <f>IFERROR(__xludf.DUMMYFUNCTION("IF(A9="""", """", IF(ISERROR(VLOOKUP(A9, IMPORTRANGE('Survey Progress'!$B$33, ""data!I2:L800""), 1, FALSE)), ""No Survey"", IF(VLOOKUP(A9, IMPORTRANGE('Survey Progress'!$B$33, ""data!I2:L800""), 2, FALSE) = 0, ""Incomplete"", ""Complete"")))"),"")</f>
        <v/>
      </c>
      <c r="D9" s="15" t="str">
        <f>IFERROR(__xludf.DUMMYFUNCTION("IF(A9="""", """", IF(ISERROR(VLOOKUP(A9, IMPORTRANGE('Survey Progress'!$B$34, ""data!I2:L800""), 1, FALSE)), ""No Survey"", IF(VLOOKUP(A9, IMPORTRANGE('Survey Progress'!$B$34, ""data!I2:L800""), 2, FALSE) = 0, ""Incomplete"", ""Complete"")))"),"")</f>
        <v/>
      </c>
      <c r="E9" s="27">
        <f t="shared" si="1"/>
        <v>0</v>
      </c>
      <c r="F9" s="30"/>
      <c r="H9" s="2" t="s">
        <v>35</v>
      </c>
    </row>
    <row r="10">
      <c r="A10" s="24"/>
      <c r="B10" s="16" t="str">
        <f>IFERROR(__xludf.DUMMYFUNCTION("IF(ISERROR(VLOOKUP(A10, IMPORTRANGE('Survey Progress'!$B$32, ""data!H2:M800""), 5, FALSE)), """", IF(VLOOKUP(A10, IMPORTRANGE('Survey Progress'!$B$32, ""data!H2:M800""), 5, FALSE) = 1, ""Eligible"", ""Ineligible""))"),"Eligible")</f>
        <v>Eligible</v>
      </c>
      <c r="C10" s="15" t="str">
        <f>IFERROR(__xludf.DUMMYFUNCTION("IF(A10="""", """", IF(ISERROR(VLOOKUP(A10, IMPORTRANGE('Survey Progress'!$B$33, ""data!I2:L800""), 1, FALSE)), ""No Survey"", IF(VLOOKUP(A10, IMPORTRANGE('Survey Progress'!$B$33, ""data!I2:L800""), 2, FALSE) = 0, ""Incomplete"", ""Complete"")))"),"")</f>
        <v/>
      </c>
      <c r="D10" s="15" t="str">
        <f>IFERROR(__xludf.DUMMYFUNCTION("IF(A10="""", """", IF(ISERROR(VLOOKUP(A10, IMPORTRANGE('Survey Progress'!$B$34, ""data!I2:L800""), 1, FALSE)), ""No Survey"", IF(VLOOKUP(A10, IMPORTRANGE('Survey Progress'!$B$34, ""data!I2:L800""), 2, FALSE) = 0, ""Incomplete"", ""Complete"")))"),"")</f>
        <v/>
      </c>
      <c r="E10" s="27">
        <f t="shared" si="1"/>
        <v>0</v>
      </c>
      <c r="F10" s="30"/>
    </row>
    <row r="11">
      <c r="A11" s="24"/>
      <c r="B11" s="16" t="str">
        <f>IFERROR(__xludf.DUMMYFUNCTION("IF(ISERROR(VLOOKUP(A11, IMPORTRANGE('Survey Progress'!$B$32, ""data!H2:M800""), 5, FALSE)), """", IF(VLOOKUP(A11, IMPORTRANGE('Survey Progress'!$B$32, ""data!H2:M800""), 5, FALSE) = 1, ""Eligible"", ""Ineligible""))"),"Eligible")</f>
        <v>Eligible</v>
      </c>
      <c r="C11" s="15" t="str">
        <f>IFERROR(__xludf.DUMMYFUNCTION("IF(A11="""", """", IF(ISERROR(VLOOKUP(A11, IMPORTRANGE('Survey Progress'!$B$33, ""data!I2:L800""), 1, FALSE)), ""No Survey"", IF(VLOOKUP(A11, IMPORTRANGE('Survey Progress'!$B$33, ""data!I2:L800""), 2, FALSE) = 0, ""Incomplete"", ""Complete"")))"),"")</f>
        <v/>
      </c>
      <c r="D11" s="15" t="str">
        <f>IFERROR(__xludf.DUMMYFUNCTION("IF(A11="""", """", IF(ISERROR(VLOOKUP(A11, IMPORTRANGE('Survey Progress'!$B$34, ""data!I2:L800""), 1, FALSE)), ""No Survey"", IF(VLOOKUP(A11, IMPORTRANGE('Survey Progress'!$B$34, ""data!I2:L800""), 2, FALSE) = 0, ""Incomplete"", ""Complete"")))"),"")</f>
        <v/>
      </c>
      <c r="E11" s="27">
        <f t="shared" si="1"/>
        <v>0</v>
      </c>
      <c r="F11" s="30"/>
    </row>
    <row r="12">
      <c r="A12" s="24"/>
      <c r="B12" s="16" t="str">
        <f>IFERROR(__xludf.DUMMYFUNCTION("IF(ISERROR(VLOOKUP(A12, IMPORTRANGE('Survey Progress'!$B$32, ""data!H2:M800""), 5, FALSE)), """", IF(VLOOKUP(A12, IMPORTRANGE('Survey Progress'!$B$32, ""data!H2:M800""), 5, FALSE) = 1, ""Eligible"", ""Ineligible""))"),"Eligible")</f>
        <v>Eligible</v>
      </c>
      <c r="C12" s="15" t="str">
        <f>IFERROR(__xludf.DUMMYFUNCTION("IF(A12="""", """", IF(ISERROR(VLOOKUP(A12, IMPORTRANGE('Survey Progress'!$B$33, ""data!I2:L800""), 1, FALSE)), ""No Survey"", IF(VLOOKUP(A12, IMPORTRANGE('Survey Progress'!$B$33, ""data!I2:L800""), 2, FALSE) = 0, ""Incomplete"", ""Complete"")))"),"")</f>
        <v/>
      </c>
      <c r="D12" s="15" t="str">
        <f>IFERROR(__xludf.DUMMYFUNCTION("IF(A12="""", """", IF(ISERROR(VLOOKUP(A12, IMPORTRANGE('Survey Progress'!$B$34, ""data!I2:L800""), 1, FALSE)), ""No Survey"", IF(VLOOKUP(A12, IMPORTRANGE('Survey Progress'!$B$34, ""data!I2:L800""), 2, FALSE) = 0, ""Incomplete"", ""Complete"")))"),"")</f>
        <v/>
      </c>
      <c r="E12" s="27">
        <f t="shared" si="1"/>
        <v>0</v>
      </c>
      <c r="F12" s="32"/>
    </row>
    <row r="13">
      <c r="A13" s="24"/>
      <c r="B13" s="16" t="str">
        <f>IFERROR(__xludf.DUMMYFUNCTION("IF(ISERROR(VLOOKUP(A13, IMPORTRANGE('Survey Progress'!$B$32, ""data!H2:M800""), 5, FALSE)), """", IF(VLOOKUP(A13, IMPORTRANGE('Survey Progress'!$B$32, ""data!H2:M800""), 5, FALSE) = 1, ""Eligible"", ""Ineligible""))"),"Eligible")</f>
        <v>Eligible</v>
      </c>
      <c r="C13" s="15" t="str">
        <f>IFERROR(__xludf.DUMMYFUNCTION("IF(A13="""", """", IF(ISERROR(VLOOKUP(A13, IMPORTRANGE('Survey Progress'!$B$33, ""data!I2:L800""), 1, FALSE)), ""No Survey"", IF(VLOOKUP(A13, IMPORTRANGE('Survey Progress'!$B$33, ""data!I2:L800""), 2, FALSE) = 0, ""Incomplete"", ""Complete"")))"),"")</f>
        <v/>
      </c>
      <c r="D13" s="15" t="str">
        <f>IFERROR(__xludf.DUMMYFUNCTION("IF(A13="""", """", IF(ISERROR(VLOOKUP(A13, IMPORTRANGE('Survey Progress'!$B$34, ""data!I2:L800""), 1, FALSE)), ""No Survey"", IF(VLOOKUP(A13, IMPORTRANGE('Survey Progress'!$B$34, ""data!I2:L800""), 2, FALSE) = 0, ""Incomplete"", ""Complete"")))"),"")</f>
        <v/>
      </c>
      <c r="E13" s="27">
        <f t="shared" si="1"/>
        <v>0</v>
      </c>
      <c r="F13" s="30"/>
    </row>
    <row r="14">
      <c r="A14" s="24"/>
      <c r="B14" s="16" t="str">
        <f>IFERROR(__xludf.DUMMYFUNCTION("IF(ISERROR(VLOOKUP(A14, IMPORTRANGE('Survey Progress'!$B$32, ""data!H2:M800""), 5, FALSE)), """", IF(VLOOKUP(A14, IMPORTRANGE('Survey Progress'!$B$32, ""data!H2:M800""), 5, FALSE) = 1, ""Eligible"", ""Ineligible""))"),"Eligible")</f>
        <v>Eligible</v>
      </c>
      <c r="C14" s="15" t="str">
        <f>IFERROR(__xludf.DUMMYFUNCTION("IF(A14="""", """", IF(ISERROR(VLOOKUP(A14, IMPORTRANGE('Survey Progress'!$B$33, ""data!I2:L800""), 1, FALSE)), ""No Survey"", IF(VLOOKUP(A14, IMPORTRANGE('Survey Progress'!$B$33, ""data!I2:L800""), 2, FALSE) = 0, ""Incomplete"", ""Complete"")))"),"")</f>
        <v/>
      </c>
      <c r="D14" s="15" t="str">
        <f>IFERROR(__xludf.DUMMYFUNCTION("IF(A14="""", """", IF(ISERROR(VLOOKUP(A14, IMPORTRANGE('Survey Progress'!$B$34, ""data!I2:L800""), 1, FALSE)), ""No Survey"", IF(VLOOKUP(A14, IMPORTRANGE('Survey Progress'!$B$34, ""data!I2:L800""), 2, FALSE) = 0, ""Incomplete"", ""Complete"")))"),"")</f>
        <v/>
      </c>
      <c r="E14" s="27">
        <f t="shared" si="1"/>
        <v>0</v>
      </c>
      <c r="F14" s="32"/>
    </row>
    <row r="15">
      <c r="A15" s="24"/>
      <c r="B15" s="16" t="str">
        <f>IFERROR(__xludf.DUMMYFUNCTION("IF(ISERROR(VLOOKUP(A15, IMPORTRANGE('Survey Progress'!$B$32, ""data!H2:M800""), 5, FALSE)), """", IF(VLOOKUP(A15, IMPORTRANGE('Survey Progress'!$B$32, ""data!H2:M800""), 5, FALSE) = 1, ""Eligible"", ""Ineligible""))"),"Eligible")</f>
        <v>Eligible</v>
      </c>
      <c r="C15" s="15" t="str">
        <f>IFERROR(__xludf.DUMMYFUNCTION("IF(A15="""", """", IF(ISERROR(VLOOKUP(A15, IMPORTRANGE('Survey Progress'!$B$33, ""data!I2:L800""), 1, FALSE)), ""No Survey"", IF(VLOOKUP(A15, IMPORTRANGE('Survey Progress'!$B$33, ""data!I2:L800""), 2, FALSE) = 0, ""Incomplete"", ""Complete"")))"),"")</f>
        <v/>
      </c>
      <c r="D15" s="15" t="str">
        <f>IFERROR(__xludf.DUMMYFUNCTION("IF(A15="""", """", IF(ISERROR(VLOOKUP(A15, IMPORTRANGE('Survey Progress'!$B$34, ""data!I2:L800""), 1, FALSE)), ""No Survey"", IF(VLOOKUP(A15, IMPORTRANGE('Survey Progress'!$B$34, ""data!I2:L800""), 2, FALSE) = 0, ""Incomplete"", ""Complete"")))"),"")</f>
        <v/>
      </c>
      <c r="E15" s="27">
        <f t="shared" si="1"/>
        <v>0</v>
      </c>
      <c r="F15" s="32"/>
    </row>
    <row r="16">
      <c r="A16" s="24"/>
      <c r="B16" s="16" t="str">
        <f>IFERROR(__xludf.DUMMYFUNCTION("IF(ISERROR(VLOOKUP(A16, IMPORTRANGE('Survey Progress'!$B$32, ""data!H2:M800""), 5, FALSE)), """", IF(VLOOKUP(A16, IMPORTRANGE('Survey Progress'!$B$32, ""data!H2:M800""), 5, FALSE) = 1, ""Eligible"", ""Ineligible""))"),"Eligible")</f>
        <v>Eligible</v>
      </c>
      <c r="C16" s="15" t="str">
        <f>IFERROR(__xludf.DUMMYFUNCTION("IF(A16="""", """", IF(ISERROR(VLOOKUP(A16, IMPORTRANGE('Survey Progress'!$B$33, ""data!I2:L800""), 1, FALSE)), ""No Survey"", IF(VLOOKUP(A16, IMPORTRANGE('Survey Progress'!$B$33, ""data!I2:L800""), 2, FALSE) = 0, ""Incomplete"", ""Complete"")))"),"")</f>
        <v/>
      </c>
      <c r="D16" s="15" t="str">
        <f>IFERROR(__xludf.DUMMYFUNCTION("IF(A16="""", """", IF(ISERROR(VLOOKUP(A16, IMPORTRANGE('Survey Progress'!$B$34, ""data!I2:L800""), 1, FALSE)), ""No Survey"", IF(VLOOKUP(A16, IMPORTRANGE('Survey Progress'!$B$34, ""data!I2:L800""), 2, FALSE) = 0, ""Incomplete"", ""Complete"")))"),"")</f>
        <v/>
      </c>
      <c r="E16" s="27">
        <f t="shared" si="1"/>
        <v>0</v>
      </c>
      <c r="F16" s="32"/>
    </row>
    <row r="17">
      <c r="A17" s="24"/>
      <c r="B17" s="16" t="str">
        <f>IFERROR(__xludf.DUMMYFUNCTION("IF(ISERROR(VLOOKUP(A17, IMPORTRANGE('Survey Progress'!$B$32, ""data!H2:M800""), 5, FALSE)), """", IF(VLOOKUP(A17, IMPORTRANGE('Survey Progress'!$B$32, ""data!H2:M800""), 5, FALSE) = 1, ""Eligible"", ""Ineligible""))"),"Eligible")</f>
        <v>Eligible</v>
      </c>
      <c r="C17" s="15" t="str">
        <f>IFERROR(__xludf.DUMMYFUNCTION("IF(A17="""", """", IF(ISERROR(VLOOKUP(A17, IMPORTRANGE('Survey Progress'!$B$33, ""data!I2:L800""), 1, FALSE)), ""No Survey"", IF(VLOOKUP(A17, IMPORTRANGE('Survey Progress'!$B$33, ""data!I2:L800""), 2, FALSE) = 0, ""Incomplete"", ""Complete"")))"),"")</f>
        <v/>
      </c>
      <c r="D17" s="15" t="str">
        <f>IFERROR(__xludf.DUMMYFUNCTION("IF(A17="""", """", IF(ISERROR(VLOOKUP(A17, IMPORTRANGE('Survey Progress'!$B$34, ""data!I2:L800""), 1, FALSE)), ""No Survey"", IF(VLOOKUP(A17, IMPORTRANGE('Survey Progress'!$B$34, ""data!I2:L800""), 2, FALSE) = 0, ""Incomplete"", ""Complete"")))"),"")</f>
        <v/>
      </c>
      <c r="E17" s="27">
        <f t="shared" si="1"/>
        <v>0</v>
      </c>
      <c r="F17" s="30"/>
    </row>
    <row r="18">
      <c r="A18" s="24"/>
      <c r="B18" s="16" t="str">
        <f>IFERROR(__xludf.DUMMYFUNCTION("IF(ISERROR(VLOOKUP(A18, IMPORTRANGE('Survey Progress'!$B$32, ""data!H2:M800""), 5, FALSE)), """", IF(VLOOKUP(A18, IMPORTRANGE('Survey Progress'!$B$32, ""data!H2:M800""), 5, FALSE) = 1, ""Eligible"", ""Ineligible""))"),"Eligible")</f>
        <v>Eligible</v>
      </c>
      <c r="C18" s="15" t="str">
        <f>IFERROR(__xludf.DUMMYFUNCTION("IF(A18="""", """", IF(ISERROR(VLOOKUP(A18, IMPORTRANGE('Survey Progress'!$B$33, ""data!I2:L800""), 1, FALSE)), ""No Survey"", IF(VLOOKUP(A18, IMPORTRANGE('Survey Progress'!$B$33, ""data!I2:L800""), 2, FALSE) = 0, ""Incomplete"", ""Complete"")))"),"")</f>
        <v/>
      </c>
      <c r="D18" s="15" t="str">
        <f>IFERROR(__xludf.DUMMYFUNCTION("IF(A18="""", """", IF(ISERROR(VLOOKUP(A18, IMPORTRANGE('Survey Progress'!$B$34, ""data!I2:L800""), 1, FALSE)), ""No Survey"", IF(VLOOKUP(A18, IMPORTRANGE('Survey Progress'!$B$34, ""data!I2:L800""), 2, FALSE) = 0, ""Incomplete"", ""Complete"")))"),"")</f>
        <v/>
      </c>
      <c r="E18" s="27">
        <f t="shared" si="1"/>
        <v>0</v>
      </c>
      <c r="F18" s="30"/>
    </row>
    <row r="19">
      <c r="A19" s="24"/>
      <c r="B19" s="16" t="str">
        <f>IFERROR(__xludf.DUMMYFUNCTION("IF(ISERROR(VLOOKUP(A19, IMPORTRANGE('Survey Progress'!$B$32, ""data!H2:M800""), 5, FALSE)), """", IF(VLOOKUP(A19, IMPORTRANGE('Survey Progress'!$B$32, ""data!H2:M800""), 5, FALSE) = 1, ""Eligible"", ""Ineligible""))"),"Eligible")</f>
        <v>Eligible</v>
      </c>
      <c r="C19" s="15" t="str">
        <f>IFERROR(__xludf.DUMMYFUNCTION("IF(A19="""", """", IF(ISERROR(VLOOKUP(A19, IMPORTRANGE('Survey Progress'!$B$33, ""data!I2:L800""), 1, FALSE)), ""No Survey"", IF(VLOOKUP(A19, IMPORTRANGE('Survey Progress'!$B$33, ""data!I2:L800""), 2, FALSE) = 0, ""Incomplete"", ""Complete"")))"),"")</f>
        <v/>
      </c>
      <c r="D19" s="15" t="str">
        <f>IFERROR(__xludf.DUMMYFUNCTION("IF(A19="""", """", IF(ISERROR(VLOOKUP(A19, IMPORTRANGE('Survey Progress'!$B$34, ""data!I2:L800""), 1, FALSE)), ""No Survey"", IF(VLOOKUP(A19, IMPORTRANGE('Survey Progress'!$B$34, ""data!I2:L800""), 2, FALSE) = 0, ""Incomplete"", ""Complete"")))"),"")</f>
        <v/>
      </c>
      <c r="E19" s="27">
        <f t="shared" si="1"/>
        <v>0</v>
      </c>
      <c r="F19" s="30"/>
    </row>
    <row r="20">
      <c r="A20" s="24"/>
      <c r="B20" s="16" t="str">
        <f>IFERROR(__xludf.DUMMYFUNCTION("IF(ISERROR(VLOOKUP(A20, IMPORTRANGE('Survey Progress'!$B$32, ""data!H2:M800""), 5, FALSE)), """", IF(VLOOKUP(A20, IMPORTRANGE('Survey Progress'!$B$32, ""data!H2:M800""), 5, FALSE) = 1, ""Eligible"", ""Ineligible""))"),"Eligible")</f>
        <v>Eligible</v>
      </c>
      <c r="C20" s="15" t="str">
        <f>IFERROR(__xludf.DUMMYFUNCTION("IF(A20="""", """", IF(ISERROR(VLOOKUP(A20, IMPORTRANGE('Survey Progress'!$B$33, ""data!I2:L800""), 1, FALSE)), ""No Survey"", IF(VLOOKUP(A20, IMPORTRANGE('Survey Progress'!$B$33, ""data!I2:L800""), 2, FALSE) = 0, ""Incomplete"", ""Complete"")))"),"")</f>
        <v/>
      </c>
      <c r="D20" s="15" t="str">
        <f>IFERROR(__xludf.DUMMYFUNCTION("IF(A20="""", """", IF(ISERROR(VLOOKUP(A20, IMPORTRANGE('Survey Progress'!$B$34, ""data!I2:L800""), 1, FALSE)), ""No Survey"", IF(VLOOKUP(A20, IMPORTRANGE('Survey Progress'!$B$34, ""data!I2:L800""), 2, FALSE) = 0, ""Incomplete"", ""Complete"")))"),"")</f>
        <v/>
      </c>
      <c r="E20" s="27">
        <f t="shared" si="1"/>
        <v>0</v>
      </c>
      <c r="F20" s="30"/>
    </row>
    <row r="21">
      <c r="A21" s="14"/>
      <c r="B21" s="16" t="str">
        <f>IFERROR(__xludf.DUMMYFUNCTION("IF(ISERROR(VLOOKUP(A21, IMPORTRANGE('Survey Progress'!$B$32, ""data!H2:M800""), 5, FALSE)), """", IF(VLOOKUP(A21, IMPORTRANGE('Survey Progress'!$B$32, ""data!H2:M800""), 5, FALSE) = 1, ""Eligible"", ""Ineligible""))"),"Eligible")</f>
        <v>Eligible</v>
      </c>
      <c r="C21" s="15" t="str">
        <f>IFERROR(__xludf.DUMMYFUNCTION("IF(A21="""", """", IF(ISERROR(VLOOKUP(A21, IMPORTRANGE('Survey Progress'!$B$33, ""data!I2:L800""), 1, FALSE)), ""No Survey"", IF(VLOOKUP(A21, IMPORTRANGE('Survey Progress'!$B$33, ""data!I2:L800""), 2, FALSE) = 0, ""Incomplete"", ""Complete"")))"),"")</f>
        <v/>
      </c>
      <c r="D21" s="15" t="str">
        <f>IFERROR(__xludf.DUMMYFUNCTION("IF(A21="""", """", IF(ISERROR(VLOOKUP(A21, IMPORTRANGE('Survey Progress'!$B$34, ""data!I2:L800""), 1, FALSE)), ""No Survey"", IF(VLOOKUP(A21, IMPORTRANGE('Survey Progress'!$B$34, ""data!I2:L800""), 2, FALSE) = 0, ""Incomplete"", ""Complete"")))"),"")</f>
        <v/>
      </c>
      <c r="E21" s="27">
        <f t="shared" si="1"/>
        <v>0</v>
      </c>
      <c r="F21" s="30"/>
    </row>
    <row r="22">
      <c r="A22" s="14"/>
      <c r="B22" s="16" t="str">
        <f>IFERROR(__xludf.DUMMYFUNCTION("IF(ISERROR(VLOOKUP(A22, IMPORTRANGE('Survey Progress'!$B$32, ""data!H2:M800""), 5, FALSE)), """", IF(VLOOKUP(A22, IMPORTRANGE('Survey Progress'!$B$32, ""data!H2:M800""), 5, FALSE) = 1, ""Eligible"", ""Ineligible""))"),"Eligible")</f>
        <v>Eligible</v>
      </c>
      <c r="C22" s="15" t="str">
        <f>IFERROR(__xludf.DUMMYFUNCTION("IF(A22="""", """", IF(ISERROR(VLOOKUP(A22, IMPORTRANGE('Survey Progress'!$B$33, ""data!I2:L800""), 1, FALSE)), ""No Survey"", IF(VLOOKUP(A22, IMPORTRANGE('Survey Progress'!$B$33, ""data!I2:L800""), 2, FALSE) = 0, ""Incomplete"", ""Complete"")))"),"")</f>
        <v/>
      </c>
      <c r="D22" s="15" t="str">
        <f>IFERROR(__xludf.DUMMYFUNCTION("IF(A22="""", """", IF(ISERROR(VLOOKUP(A22, IMPORTRANGE('Survey Progress'!$B$34, ""data!I2:L800""), 1, FALSE)), ""No Survey"", IF(VLOOKUP(A22, IMPORTRANGE('Survey Progress'!$B$34, ""data!I2:L800""), 2, FALSE) = 0, ""Incomplete"", ""Complete"")))"),"")</f>
        <v/>
      </c>
      <c r="E22" s="27">
        <f t="shared" si="1"/>
        <v>0</v>
      </c>
      <c r="F22" s="30"/>
    </row>
    <row r="23">
      <c r="A23" s="14"/>
      <c r="B23" s="16" t="str">
        <f>IFERROR(__xludf.DUMMYFUNCTION("IF(ISERROR(VLOOKUP(A23, IMPORTRANGE('Survey Progress'!$B$32, ""data!H2:M800""), 5, FALSE)), """", IF(VLOOKUP(A23, IMPORTRANGE('Survey Progress'!$B$32, ""data!H2:M800""), 5, FALSE) = 1, ""Eligible"", ""Ineligible""))"),"Eligible")</f>
        <v>Eligible</v>
      </c>
      <c r="C23" s="15" t="str">
        <f>IFERROR(__xludf.DUMMYFUNCTION("IF(A23="""", """", IF(ISERROR(VLOOKUP(A23, IMPORTRANGE('Survey Progress'!$B$33, ""data!I2:L800""), 1, FALSE)), ""No Survey"", IF(VLOOKUP(A23, IMPORTRANGE('Survey Progress'!$B$33, ""data!I2:L800""), 2, FALSE) = 0, ""Incomplete"", ""Complete"")))"),"")</f>
        <v/>
      </c>
      <c r="D23" s="15" t="str">
        <f>IFERROR(__xludf.DUMMYFUNCTION("IF(A23="""", """", IF(ISERROR(VLOOKUP(A23, IMPORTRANGE('Survey Progress'!$B$34, ""data!I2:L800""), 1, FALSE)), ""No Survey"", IF(VLOOKUP(A23, IMPORTRANGE('Survey Progress'!$B$34, ""data!I2:L800""), 2, FALSE) = 0, ""Incomplete"", ""Complete"")))"),"")</f>
        <v/>
      </c>
      <c r="E23" s="27">
        <f t="shared" si="1"/>
        <v>0</v>
      </c>
      <c r="F23" s="30"/>
    </row>
    <row r="24">
      <c r="A24" s="14"/>
      <c r="B24" s="16" t="str">
        <f>IFERROR(__xludf.DUMMYFUNCTION("IF(ISERROR(VLOOKUP(A24, IMPORTRANGE('Survey Progress'!$B$32, ""data!H2:M800""), 5, FALSE)), """", IF(VLOOKUP(A24, IMPORTRANGE('Survey Progress'!$B$32, ""data!H2:M800""), 5, FALSE) = 1, ""Eligible"", ""Ineligible""))"),"Eligible")</f>
        <v>Eligible</v>
      </c>
      <c r="C24" s="15" t="str">
        <f>IFERROR(__xludf.DUMMYFUNCTION("IF(A24="""", """", IF(ISERROR(VLOOKUP(A24, IMPORTRANGE('Survey Progress'!$B$33, ""data!I2:L800""), 1, FALSE)), ""No Survey"", IF(VLOOKUP(A24, IMPORTRANGE('Survey Progress'!$B$33, ""data!I2:L800""), 2, FALSE) = 0, ""Incomplete"", ""Complete"")))"),"")</f>
        <v/>
      </c>
      <c r="D24" s="15" t="str">
        <f>IFERROR(__xludf.DUMMYFUNCTION("IF(A24="""", """", IF(ISERROR(VLOOKUP(A24, IMPORTRANGE('Survey Progress'!$B$34, ""data!I2:L800""), 1, FALSE)), ""No Survey"", IF(VLOOKUP(A24, IMPORTRANGE('Survey Progress'!$B$34, ""data!I2:L800""), 2, FALSE) = 0, ""Incomplete"", ""Complete"")))"),"")</f>
        <v/>
      </c>
      <c r="E24" s="27">
        <f t="shared" si="1"/>
        <v>0</v>
      </c>
      <c r="F24" s="30"/>
    </row>
    <row r="25">
      <c r="A25" s="14"/>
      <c r="B25" s="16" t="str">
        <f>IFERROR(__xludf.DUMMYFUNCTION("IF(ISERROR(VLOOKUP(A25, IMPORTRANGE('Survey Progress'!$B$32, ""data!H2:M800""), 5, FALSE)), """", IF(VLOOKUP(A25, IMPORTRANGE('Survey Progress'!$B$32, ""data!H2:M800""), 5, FALSE) = 1, ""Eligible"", ""Ineligible""))"),"Eligible")</f>
        <v>Eligible</v>
      </c>
      <c r="C25" s="15" t="str">
        <f>IFERROR(__xludf.DUMMYFUNCTION("IF(A25="""", """", IF(ISERROR(VLOOKUP(A25, IMPORTRANGE('Survey Progress'!$B$33, ""data!I2:L800""), 1, FALSE)), ""No Survey"", IF(VLOOKUP(A25, IMPORTRANGE('Survey Progress'!$B$33, ""data!I2:L800""), 2, FALSE) = 0, ""Incomplete"", ""Complete"")))"),"")</f>
        <v/>
      </c>
      <c r="D25" s="15" t="str">
        <f>IFERROR(__xludf.DUMMYFUNCTION("IF(A25="""", """", IF(ISERROR(VLOOKUP(A25, IMPORTRANGE('Survey Progress'!$B$34, ""data!I2:L800""), 1, FALSE)), ""No Survey"", IF(VLOOKUP(A25, IMPORTRANGE('Survey Progress'!$B$34, ""data!I2:L800""), 2, FALSE) = 0, ""Incomplete"", ""Complete"")))"),"")</f>
        <v/>
      </c>
      <c r="E25" s="27">
        <f t="shared" si="1"/>
        <v>0</v>
      </c>
      <c r="F25" s="30"/>
    </row>
    <row r="26">
      <c r="A26" s="14"/>
      <c r="B26" s="16" t="str">
        <f>IFERROR(__xludf.DUMMYFUNCTION("IF(ISERROR(VLOOKUP(A26, IMPORTRANGE('Survey Progress'!$B$32, ""data!H2:M800""), 5, FALSE)), """", IF(VLOOKUP(A26, IMPORTRANGE('Survey Progress'!$B$32, ""data!H2:M800""), 5, FALSE) = 1, ""Eligible"", ""Ineligible""))"),"Eligible")</f>
        <v>Eligible</v>
      </c>
      <c r="C26" s="15" t="str">
        <f>IFERROR(__xludf.DUMMYFUNCTION("IF(A26="""", """", IF(ISERROR(VLOOKUP(A26, IMPORTRANGE('Survey Progress'!$B$33, ""data!I2:L800""), 1, FALSE)), ""No Survey"", IF(VLOOKUP(A26, IMPORTRANGE('Survey Progress'!$B$33, ""data!I2:L800""), 2, FALSE) = 0, ""Incomplete"", ""Complete"")))"),"")</f>
        <v/>
      </c>
      <c r="D26" s="15" t="str">
        <f>IFERROR(__xludf.DUMMYFUNCTION("IF(A26="""", """", IF(ISERROR(VLOOKUP(A26, IMPORTRANGE('Survey Progress'!$B$34, ""data!I2:L800""), 1, FALSE)), ""No Survey"", IF(VLOOKUP(A26, IMPORTRANGE('Survey Progress'!$B$34, ""data!I2:L800""), 2, FALSE) = 0, ""Incomplete"", ""Complete"")))"),"")</f>
        <v/>
      </c>
      <c r="E26" s="27">
        <f t="shared" si="1"/>
        <v>0</v>
      </c>
      <c r="F26" s="30"/>
    </row>
    <row r="27">
      <c r="A27" s="14"/>
      <c r="B27" s="16" t="str">
        <f>IFERROR(__xludf.DUMMYFUNCTION("IF(ISERROR(VLOOKUP(A27, IMPORTRANGE('Survey Progress'!$B$32, ""data!H2:M800""), 5, FALSE)), """", IF(VLOOKUP(A27, IMPORTRANGE('Survey Progress'!$B$32, ""data!H2:M800""), 5, FALSE) = 1, ""Eligible"", ""Ineligible""))"),"Eligible")</f>
        <v>Eligible</v>
      </c>
      <c r="C27" s="15" t="str">
        <f>IFERROR(__xludf.DUMMYFUNCTION("IF(A27="""", """", IF(ISERROR(VLOOKUP(A27, IMPORTRANGE('Survey Progress'!$B$33, ""data!I2:L800""), 1, FALSE)), ""No Survey"", IF(VLOOKUP(A27, IMPORTRANGE('Survey Progress'!$B$33, ""data!I2:L800""), 2, FALSE) = 0, ""Incomplete"", ""Complete"")))"),"")</f>
        <v/>
      </c>
      <c r="D27" s="15" t="str">
        <f>IFERROR(__xludf.DUMMYFUNCTION("IF(A27="""", """", IF(ISERROR(VLOOKUP(A27, IMPORTRANGE('Survey Progress'!$B$34, ""data!I2:L800""), 1, FALSE)), ""No Survey"", IF(VLOOKUP(A27, IMPORTRANGE('Survey Progress'!$B$34, ""data!I2:L800""), 2, FALSE) = 0, ""Incomplete"", ""Complete"")))"),"")</f>
        <v/>
      </c>
      <c r="E27" s="27">
        <f t="shared" si="1"/>
        <v>0</v>
      </c>
      <c r="F27" s="30"/>
    </row>
    <row r="28">
      <c r="A28" s="14"/>
      <c r="B28" s="16" t="str">
        <f>IFERROR(__xludf.DUMMYFUNCTION("IF(ISERROR(VLOOKUP(A28, IMPORTRANGE('Survey Progress'!$B$32, ""data!H2:M800""), 5, FALSE)), """", IF(VLOOKUP(A28, IMPORTRANGE('Survey Progress'!$B$32, ""data!H2:M800""), 5, FALSE) = 1, ""Eligible"", ""Ineligible""))"),"Eligible")</f>
        <v>Eligible</v>
      </c>
      <c r="C28" s="15" t="str">
        <f>IFERROR(__xludf.DUMMYFUNCTION("IF(A28="""", """", IF(ISERROR(VLOOKUP(A28, IMPORTRANGE('Survey Progress'!$B$33, ""data!I2:L800""), 1, FALSE)), ""No Survey"", IF(VLOOKUP(A28, IMPORTRANGE('Survey Progress'!$B$33, ""data!I2:L800""), 2, FALSE) = 0, ""Incomplete"", ""Complete"")))"),"")</f>
        <v/>
      </c>
      <c r="D28" s="15" t="str">
        <f>IFERROR(__xludf.DUMMYFUNCTION("IF(A28="""", """", IF(ISERROR(VLOOKUP(A28, IMPORTRANGE('Survey Progress'!$B$34, ""data!I2:L800""), 1, FALSE)), ""No Survey"", IF(VLOOKUP(A28, IMPORTRANGE('Survey Progress'!$B$34, ""data!I2:L800""), 2, FALSE) = 0, ""Incomplete"", ""Complete"")))"),"")</f>
        <v/>
      </c>
      <c r="E28" s="27">
        <f t="shared" si="1"/>
        <v>0</v>
      </c>
      <c r="F28" s="30"/>
    </row>
    <row r="29">
      <c r="A29" s="14"/>
      <c r="B29" s="16" t="str">
        <f>IFERROR(__xludf.DUMMYFUNCTION("IF(ISERROR(VLOOKUP(A29, IMPORTRANGE('Survey Progress'!$B$32, ""data!H2:M800""), 5, FALSE)), """", IF(VLOOKUP(A29, IMPORTRANGE('Survey Progress'!$B$32, ""data!H2:M800""), 5, FALSE) = 1, ""Eligible"", ""Ineligible""))"),"Eligible")</f>
        <v>Eligible</v>
      </c>
      <c r="C29" s="15" t="str">
        <f>IFERROR(__xludf.DUMMYFUNCTION("IF(A29="""", """", IF(ISERROR(VLOOKUP(A29, IMPORTRANGE('Survey Progress'!$B$33, ""data!I2:L800""), 1, FALSE)), ""No Survey"", IF(VLOOKUP(A29, IMPORTRANGE('Survey Progress'!$B$33, ""data!I2:L800""), 2, FALSE) = 0, ""Incomplete"", ""Complete"")))"),"")</f>
        <v/>
      </c>
      <c r="D29" s="15" t="str">
        <f>IFERROR(__xludf.DUMMYFUNCTION("IF(A29="""", """", IF(ISERROR(VLOOKUP(A29, IMPORTRANGE('Survey Progress'!$B$34, ""data!I2:L800""), 1, FALSE)), ""No Survey"", IF(VLOOKUP(A29, IMPORTRANGE('Survey Progress'!$B$34, ""data!I2:L800""), 2, FALSE) = 0, ""Incomplete"", ""Complete"")))"),"")</f>
        <v/>
      </c>
      <c r="E29" s="27">
        <f t="shared" si="1"/>
        <v>0</v>
      </c>
      <c r="F29" s="30"/>
    </row>
    <row r="30">
      <c r="A30" s="14"/>
      <c r="B30" s="16" t="str">
        <f>IFERROR(__xludf.DUMMYFUNCTION("IF(ISERROR(VLOOKUP(A30, IMPORTRANGE('Survey Progress'!$B$32, ""data!H2:M800""), 5, FALSE)), """", IF(VLOOKUP(A30, IMPORTRANGE('Survey Progress'!$B$32, ""data!H2:M800""), 5, FALSE) = 1, ""Eligible"", ""Ineligible""))"),"Eligible")</f>
        <v>Eligible</v>
      </c>
      <c r="C30" s="15" t="str">
        <f>IFERROR(__xludf.DUMMYFUNCTION("IF(A30="""", """", IF(ISERROR(VLOOKUP(A30, IMPORTRANGE('Survey Progress'!$B$33, ""data!I2:L800""), 1, FALSE)), ""No Survey"", IF(VLOOKUP(A30, IMPORTRANGE('Survey Progress'!$B$33, ""data!I2:L800""), 2, FALSE) = 0, ""Incomplete"", ""Complete"")))"),"")</f>
        <v/>
      </c>
      <c r="D30" s="15" t="str">
        <f>IFERROR(__xludf.DUMMYFUNCTION("IF(A30="""", """", IF(ISERROR(VLOOKUP(A30, IMPORTRANGE('Survey Progress'!$B$34, ""data!I2:L800""), 1, FALSE)), ""No Survey"", IF(VLOOKUP(A30, IMPORTRANGE('Survey Progress'!$B$34, ""data!I2:L800""), 2, FALSE) = 0, ""Incomplete"", ""Complete"")))"),"")</f>
        <v/>
      </c>
      <c r="E30" s="27">
        <f t="shared" si="1"/>
        <v>0</v>
      </c>
      <c r="F30" s="30"/>
    </row>
    <row r="31">
      <c r="A31" s="14"/>
      <c r="B31" s="16" t="str">
        <f>IFERROR(__xludf.DUMMYFUNCTION("IF(ISERROR(VLOOKUP(A31, IMPORTRANGE('Survey Progress'!$B$32, ""data!H2:M800""), 5, FALSE)), """", IF(VLOOKUP(A31, IMPORTRANGE('Survey Progress'!$B$32, ""data!H2:M800""), 5, FALSE) = 1, ""Eligible"", ""Ineligible""))"),"Eligible")</f>
        <v>Eligible</v>
      </c>
      <c r="C31" s="15" t="str">
        <f>IFERROR(__xludf.DUMMYFUNCTION("IF(A31="""", """", IF(ISERROR(VLOOKUP(A31, IMPORTRANGE('Survey Progress'!$B$33, ""data!I2:L800""), 1, FALSE)), ""No Survey"", IF(VLOOKUP(A31, IMPORTRANGE('Survey Progress'!$B$33, ""data!I2:L800""), 2, FALSE) = 0, ""Incomplete"", ""Complete"")))"),"")</f>
        <v/>
      </c>
      <c r="D31" s="15" t="str">
        <f>IFERROR(__xludf.DUMMYFUNCTION("IF(A31="""", """", IF(ISERROR(VLOOKUP(A31, IMPORTRANGE('Survey Progress'!$B$34, ""data!I2:L800""), 1, FALSE)), ""No Survey"", IF(VLOOKUP(A31, IMPORTRANGE('Survey Progress'!$B$34, ""data!I2:L800""), 2, FALSE) = 0, ""Incomplete"", ""Complete"")))"),"")</f>
        <v/>
      </c>
      <c r="E31" s="27">
        <f t="shared" si="1"/>
        <v>0</v>
      </c>
      <c r="F31" s="30"/>
    </row>
    <row r="32">
      <c r="A32" s="14"/>
      <c r="B32" s="16" t="str">
        <f>IFERROR(__xludf.DUMMYFUNCTION("IF(ISERROR(VLOOKUP(A32, IMPORTRANGE('Survey Progress'!$B$32, ""data!H2:M800""), 5, FALSE)), """", IF(VLOOKUP(A32, IMPORTRANGE('Survey Progress'!$B$32, ""data!H2:M800""), 5, FALSE) = 1, ""Eligible"", ""Ineligible""))"),"Eligible")</f>
        <v>Eligible</v>
      </c>
      <c r="C32" s="15" t="str">
        <f>IFERROR(__xludf.DUMMYFUNCTION("IF(A32="""", """", IF(ISERROR(VLOOKUP(A32, IMPORTRANGE('Survey Progress'!$B$33, ""data!I2:L800""), 1, FALSE)), ""No Survey"", IF(VLOOKUP(A32, IMPORTRANGE('Survey Progress'!$B$33, ""data!I2:L800""), 2, FALSE) = 0, ""Incomplete"", ""Complete"")))"),"")</f>
        <v/>
      </c>
      <c r="D32" s="15" t="str">
        <f>IFERROR(__xludf.DUMMYFUNCTION("IF(A32="""", """", IF(ISERROR(VLOOKUP(A32, IMPORTRANGE('Survey Progress'!$B$34, ""data!I2:L800""), 1, FALSE)), ""No Survey"", IF(VLOOKUP(A32, IMPORTRANGE('Survey Progress'!$B$34, ""data!I2:L800""), 2, FALSE) = 0, ""Incomplete"", ""Complete"")))"),"")</f>
        <v/>
      </c>
      <c r="E32" s="27">
        <f t="shared" si="1"/>
        <v>0</v>
      </c>
      <c r="F32" s="30"/>
    </row>
    <row r="33">
      <c r="A33" s="14"/>
      <c r="B33" s="16" t="str">
        <f>IFERROR(__xludf.DUMMYFUNCTION("IF(ISERROR(VLOOKUP(A33, IMPORTRANGE('Survey Progress'!$B$32, ""data!H2:M800""), 5, FALSE)), """", IF(VLOOKUP(A33, IMPORTRANGE('Survey Progress'!$B$32, ""data!H2:M800""), 5, FALSE) = 1, ""Eligible"", ""Ineligible""))"),"Eligible")</f>
        <v>Eligible</v>
      </c>
      <c r="C33" s="15" t="str">
        <f>IFERROR(__xludf.DUMMYFUNCTION("IF(A33="""", """", IF(ISERROR(VLOOKUP(A33, IMPORTRANGE('Survey Progress'!$B$33, ""data!I2:L800""), 1, FALSE)), ""No Survey"", IF(VLOOKUP(A33, IMPORTRANGE('Survey Progress'!$B$33, ""data!I2:L800""), 2, FALSE) = 0, ""Incomplete"", ""Complete"")))"),"")</f>
        <v/>
      </c>
      <c r="D33" s="15" t="str">
        <f>IFERROR(__xludf.DUMMYFUNCTION("IF(A33="""", """", IF(ISERROR(VLOOKUP(A33, IMPORTRANGE('Survey Progress'!$B$34, ""data!I2:L800""), 1, FALSE)), ""No Survey"", IF(VLOOKUP(A33, IMPORTRANGE('Survey Progress'!$B$34, ""data!I2:L800""), 2, FALSE) = 0, ""Incomplete"", ""Complete"")))"),"")</f>
        <v/>
      </c>
      <c r="E33" s="27">
        <f t="shared" si="1"/>
        <v>0</v>
      </c>
      <c r="F33" s="30"/>
    </row>
    <row r="34">
      <c r="A34" s="14"/>
      <c r="B34" s="16" t="str">
        <f>IFERROR(__xludf.DUMMYFUNCTION("IF(ISERROR(VLOOKUP(A34, IMPORTRANGE('Survey Progress'!$B$32, ""data!H2:M800""), 5, FALSE)), """", IF(VLOOKUP(A34, IMPORTRANGE('Survey Progress'!$B$32, ""data!H2:M800""), 5, FALSE) = 1, ""Eligible"", ""Ineligible""))"),"Eligible")</f>
        <v>Eligible</v>
      </c>
      <c r="C34" s="15" t="str">
        <f>IFERROR(__xludf.DUMMYFUNCTION("IF(A34="""", """", IF(ISERROR(VLOOKUP(A34, IMPORTRANGE('Survey Progress'!$B$33, ""data!I2:L800""), 1, FALSE)), ""No Survey"", IF(VLOOKUP(A34, IMPORTRANGE('Survey Progress'!$B$33, ""data!I2:L800""), 2, FALSE) = 0, ""Incomplete"", ""Complete"")))"),"")</f>
        <v/>
      </c>
      <c r="D34" s="15" t="str">
        <f>IFERROR(__xludf.DUMMYFUNCTION("IF(A34="""", """", IF(ISERROR(VLOOKUP(A34, IMPORTRANGE('Survey Progress'!$B$34, ""data!I2:L800""), 1, FALSE)), ""No Survey"", IF(VLOOKUP(A34, IMPORTRANGE('Survey Progress'!$B$34, ""data!I2:L800""), 2, FALSE) = 0, ""Incomplete"", ""Complete"")))"),"")</f>
        <v/>
      </c>
      <c r="E34" s="27">
        <f t="shared" si="1"/>
        <v>0</v>
      </c>
      <c r="F34" s="30"/>
    </row>
    <row r="35">
      <c r="A35" s="14"/>
      <c r="B35" s="16" t="str">
        <f>IFERROR(__xludf.DUMMYFUNCTION("IF(ISERROR(VLOOKUP(A35, IMPORTRANGE('Survey Progress'!$B$32, ""data!H2:M800""), 5, FALSE)), """", IF(VLOOKUP(A35, IMPORTRANGE('Survey Progress'!$B$32, ""data!H2:M800""), 5, FALSE) = 1, ""Eligible"", ""Ineligible""))"),"Eligible")</f>
        <v>Eligible</v>
      </c>
      <c r="C35" s="15" t="str">
        <f>IFERROR(__xludf.DUMMYFUNCTION("IF(A35="""", """", IF(ISERROR(VLOOKUP(A35, IMPORTRANGE('Survey Progress'!$B$33, ""data!I2:L800""), 1, FALSE)), ""No Survey"", IF(VLOOKUP(A35, IMPORTRANGE('Survey Progress'!$B$33, ""data!I2:L800""), 2, FALSE) = 0, ""Incomplete"", ""Complete"")))"),"")</f>
        <v/>
      </c>
      <c r="D35" s="15" t="str">
        <f>IFERROR(__xludf.DUMMYFUNCTION("IF(A35="""", """", IF(ISERROR(VLOOKUP(A35, IMPORTRANGE('Survey Progress'!$B$34, ""data!I2:L800""), 1, FALSE)), ""No Survey"", IF(VLOOKUP(A35, IMPORTRANGE('Survey Progress'!$B$34, ""data!I2:L800""), 2, FALSE) = 0, ""Incomplete"", ""Complete"")))"),"")</f>
        <v/>
      </c>
      <c r="E35" s="27">
        <f t="shared" si="1"/>
        <v>0</v>
      </c>
      <c r="F35" s="30"/>
    </row>
    <row r="36">
      <c r="A36" s="14"/>
      <c r="B36" s="16" t="str">
        <f>IFERROR(__xludf.DUMMYFUNCTION("IF(ISERROR(VLOOKUP(A36, IMPORTRANGE('Survey Progress'!$B$32, ""data!H2:M800""), 5, FALSE)), """", IF(VLOOKUP(A36, IMPORTRANGE('Survey Progress'!$B$32, ""data!H2:M800""), 5, FALSE) = 1, ""Eligible"", ""Ineligible""))"),"Eligible")</f>
        <v>Eligible</v>
      </c>
      <c r="C36" s="15" t="str">
        <f>IFERROR(__xludf.DUMMYFUNCTION("IF(A36="""", """", IF(ISERROR(VLOOKUP(A36, IMPORTRANGE('Survey Progress'!$B$33, ""data!I2:L800""), 1, FALSE)), ""No Survey"", IF(VLOOKUP(A36, IMPORTRANGE('Survey Progress'!$B$33, ""data!I2:L800""), 2, FALSE) = 0, ""Incomplete"", ""Complete"")))"),"")</f>
        <v/>
      </c>
      <c r="D36" s="15" t="str">
        <f>IFERROR(__xludf.DUMMYFUNCTION("IF(A36="""", """", IF(ISERROR(VLOOKUP(A36, IMPORTRANGE('Survey Progress'!$B$34, ""data!I2:L800""), 1, FALSE)), ""No Survey"", IF(VLOOKUP(A36, IMPORTRANGE('Survey Progress'!$B$34, ""data!I2:L800""), 2, FALSE) = 0, ""Incomplete"", ""Complete"")))"),"")</f>
        <v/>
      </c>
      <c r="E36" s="27">
        <f t="shared" si="1"/>
        <v>0</v>
      </c>
      <c r="F36" s="30"/>
    </row>
    <row r="37">
      <c r="A37" s="14"/>
      <c r="B37" s="16" t="str">
        <f>IFERROR(__xludf.DUMMYFUNCTION("IF(ISERROR(VLOOKUP(A37, IMPORTRANGE('Survey Progress'!$B$32, ""data!H2:M800""), 5, FALSE)), """", IF(VLOOKUP(A37, IMPORTRANGE('Survey Progress'!$B$32, ""data!H2:M800""), 5, FALSE) = 1, ""Eligible"", ""Ineligible""))"),"Eligible")</f>
        <v>Eligible</v>
      </c>
      <c r="C37" s="15" t="str">
        <f>IFERROR(__xludf.DUMMYFUNCTION("IF(A37="""", """", IF(ISERROR(VLOOKUP(A37, IMPORTRANGE('Survey Progress'!$B$33, ""data!I2:L800""), 1, FALSE)), ""No Survey"", IF(VLOOKUP(A37, IMPORTRANGE('Survey Progress'!$B$33, ""data!I2:L800""), 2, FALSE) = 0, ""Incomplete"", ""Complete"")))"),"")</f>
        <v/>
      </c>
      <c r="D37" s="15" t="str">
        <f>IFERROR(__xludf.DUMMYFUNCTION("IF(A37="""", """", IF(ISERROR(VLOOKUP(A37, IMPORTRANGE('Survey Progress'!$B$34, ""data!I2:L800""), 1, FALSE)), ""No Survey"", IF(VLOOKUP(A37, IMPORTRANGE('Survey Progress'!$B$34, ""data!I2:L800""), 2, FALSE) = 0, ""Incomplete"", ""Complete"")))"),"")</f>
        <v/>
      </c>
      <c r="E37" s="27">
        <f t="shared" si="1"/>
        <v>0</v>
      </c>
      <c r="F37" s="30"/>
    </row>
    <row r="38">
      <c r="A38" s="14"/>
      <c r="B38" s="16" t="str">
        <f>IFERROR(__xludf.DUMMYFUNCTION("IF(ISERROR(VLOOKUP(A38, IMPORTRANGE('Survey Progress'!$B$32, ""data!H2:M800""), 5, FALSE)), """", IF(VLOOKUP(A38, IMPORTRANGE('Survey Progress'!$B$32, ""data!H2:M800""), 5, FALSE) = 1, ""Eligible"", ""Ineligible""))"),"Eligible")</f>
        <v>Eligible</v>
      </c>
      <c r="C38" s="15" t="str">
        <f>IFERROR(__xludf.DUMMYFUNCTION("IF(A38="""", """", IF(ISERROR(VLOOKUP(A38, IMPORTRANGE('Survey Progress'!$B$33, ""data!I2:L800""), 1, FALSE)), ""No Survey"", IF(VLOOKUP(A38, IMPORTRANGE('Survey Progress'!$B$33, ""data!I2:L800""), 2, FALSE) = 0, ""Incomplete"", ""Complete"")))"),"")</f>
        <v/>
      </c>
      <c r="D38" s="15" t="str">
        <f>IFERROR(__xludf.DUMMYFUNCTION("IF(A38="""", """", IF(ISERROR(VLOOKUP(A38, IMPORTRANGE('Survey Progress'!$B$34, ""data!I2:L800""), 1, FALSE)), ""No Survey"", IF(VLOOKUP(A38, IMPORTRANGE('Survey Progress'!$B$34, ""data!I2:L800""), 2, FALSE) = 0, ""Incomplete"", ""Complete"")))"),"")</f>
        <v/>
      </c>
      <c r="E38" s="27">
        <f t="shared" si="1"/>
        <v>0</v>
      </c>
      <c r="F38" s="30"/>
    </row>
    <row r="39">
      <c r="A39" s="14"/>
      <c r="B39" s="16" t="str">
        <f>IFERROR(__xludf.DUMMYFUNCTION("IF(ISERROR(VLOOKUP(A39, IMPORTRANGE('Survey Progress'!$B$32, ""data!H2:M800""), 5, FALSE)), """", IF(VLOOKUP(A39, IMPORTRANGE('Survey Progress'!$B$32, ""data!H2:M800""), 5, FALSE) = 1, ""Eligible"", ""Ineligible""))"),"Eligible")</f>
        <v>Eligible</v>
      </c>
      <c r="C39" s="15" t="str">
        <f>IFERROR(__xludf.DUMMYFUNCTION("IF(A39="""", """", IF(ISERROR(VLOOKUP(A39, IMPORTRANGE('Survey Progress'!$B$33, ""data!I2:L800""), 1, FALSE)), ""No Survey"", IF(VLOOKUP(A39, IMPORTRANGE('Survey Progress'!$B$33, ""data!I2:L800""), 2, FALSE) = 0, ""Incomplete"", ""Complete"")))"),"")</f>
        <v/>
      </c>
      <c r="D39" s="15" t="str">
        <f>IFERROR(__xludf.DUMMYFUNCTION("IF(A39="""", """", IF(ISERROR(VLOOKUP(A39, IMPORTRANGE('Survey Progress'!$B$34, ""data!I2:L800""), 1, FALSE)), ""No Survey"", IF(VLOOKUP(A39, IMPORTRANGE('Survey Progress'!$B$34, ""data!I2:L800""), 2, FALSE) = 0, ""Incomplete"", ""Complete"")))"),"")</f>
        <v/>
      </c>
      <c r="E39" s="27">
        <f t="shared" si="1"/>
        <v>0</v>
      </c>
      <c r="F39" s="14"/>
    </row>
    <row r="40">
      <c r="A40" s="14"/>
      <c r="B40" s="16" t="str">
        <f>IFERROR(__xludf.DUMMYFUNCTION("IF(ISERROR(VLOOKUP(A40, IMPORTRANGE('Survey Progress'!$B$32, ""data!H2:M800""), 5, FALSE)), """", IF(VLOOKUP(A40, IMPORTRANGE('Survey Progress'!$B$32, ""data!H2:M800""), 5, FALSE) = 1, ""Eligible"", ""Ineligible""))"),"Eligible")</f>
        <v>Eligible</v>
      </c>
      <c r="C40" s="15" t="str">
        <f>IFERROR(__xludf.DUMMYFUNCTION("IF(A40="""", """", IF(ISERROR(VLOOKUP(A40, IMPORTRANGE('Survey Progress'!$B$33, ""data!I2:L800""), 1, FALSE)), ""No Survey"", IF(VLOOKUP(A40, IMPORTRANGE('Survey Progress'!$B$33, ""data!I2:L800""), 2, FALSE) = 0, ""Incomplete"", ""Complete"")))"),"")</f>
        <v/>
      </c>
      <c r="D40" s="15" t="str">
        <f>IFERROR(__xludf.DUMMYFUNCTION("IF(A40="""", """", IF(ISERROR(VLOOKUP(A40, IMPORTRANGE('Survey Progress'!$B$34, ""data!I2:L800""), 1, FALSE)), ""No Survey"", IF(VLOOKUP(A40, IMPORTRANGE('Survey Progress'!$B$34, ""data!I2:L800""), 2, FALSE) = 0, ""Incomplete"", ""Complete"")))"),"")</f>
        <v/>
      </c>
      <c r="E40" s="27">
        <f t="shared" si="1"/>
        <v>0</v>
      </c>
      <c r="F40" s="14"/>
    </row>
    <row r="41">
      <c r="A41" s="14"/>
      <c r="B41" s="16" t="str">
        <f>IFERROR(__xludf.DUMMYFUNCTION("IF(ISERROR(VLOOKUP(A41, IMPORTRANGE('Survey Progress'!$B$32, ""data!H2:M800""), 5, FALSE)), """", IF(VLOOKUP(A41, IMPORTRANGE('Survey Progress'!$B$32, ""data!H2:M800""), 5, FALSE) = 1, ""Eligible"", ""Ineligible""))"),"Eligible")</f>
        <v>Eligible</v>
      </c>
      <c r="C41" s="15" t="str">
        <f>IFERROR(__xludf.DUMMYFUNCTION("IF(A41="""", """", IF(ISERROR(VLOOKUP(A41, IMPORTRANGE('Survey Progress'!$B$33, ""data!I2:L800""), 1, FALSE)), ""No Survey"", IF(VLOOKUP(A41, IMPORTRANGE('Survey Progress'!$B$33, ""data!I2:L800""), 2, FALSE) = 0, ""Incomplete"", ""Complete"")))"),"")</f>
        <v/>
      </c>
      <c r="D41" s="15" t="str">
        <f>IFERROR(__xludf.DUMMYFUNCTION("IF(A41="""", """", IF(ISERROR(VLOOKUP(A41, IMPORTRANGE('Survey Progress'!$B$34, ""data!I2:L800""), 1, FALSE)), ""No Survey"", IF(VLOOKUP(A41, IMPORTRANGE('Survey Progress'!$B$34, ""data!I2:L800""), 2, FALSE) = 0, ""Incomplete"", ""Complete"")))"),"")</f>
        <v/>
      </c>
      <c r="E41" s="27">
        <f t="shared" si="1"/>
        <v>0</v>
      </c>
      <c r="F41" s="14"/>
    </row>
    <row r="42">
      <c r="A42" s="14"/>
      <c r="B42" s="16" t="str">
        <f>IFERROR(__xludf.DUMMYFUNCTION("IF(ISERROR(VLOOKUP(A42, IMPORTRANGE('Survey Progress'!$B$32, ""data!H2:M800""), 5, FALSE)), """", IF(VLOOKUP(A42, IMPORTRANGE('Survey Progress'!$B$32, ""data!H2:M800""), 5, FALSE) = 1, ""Eligible"", ""Ineligible""))"),"Eligible")</f>
        <v>Eligible</v>
      </c>
      <c r="C42" s="15" t="str">
        <f>IFERROR(__xludf.DUMMYFUNCTION("IF(A42="""", """", IF(ISERROR(VLOOKUP(A42, IMPORTRANGE('Survey Progress'!$B$33, ""data!I2:L800""), 1, FALSE)), ""No Survey"", IF(VLOOKUP(A42, IMPORTRANGE('Survey Progress'!$B$33, ""data!I2:L800""), 2, FALSE) = 0, ""Incomplete"", ""Complete"")))"),"")</f>
        <v/>
      </c>
      <c r="D42" s="15" t="str">
        <f>IFERROR(__xludf.DUMMYFUNCTION("IF(A42="""", """", IF(ISERROR(VLOOKUP(A42, IMPORTRANGE('Survey Progress'!$B$34, ""data!I2:L800""), 1, FALSE)), ""No Survey"", IF(VLOOKUP(A42, IMPORTRANGE('Survey Progress'!$B$34, ""data!I2:L800""), 2, FALSE) = 0, ""Incomplete"", ""Complete"")))"),"")</f>
        <v/>
      </c>
      <c r="E42" s="27">
        <f t="shared" si="1"/>
        <v>0</v>
      </c>
      <c r="F42" s="14"/>
    </row>
    <row r="43">
      <c r="A43" s="14"/>
      <c r="B43" s="16" t="str">
        <f>IFERROR(__xludf.DUMMYFUNCTION("IF(ISERROR(VLOOKUP(A43, IMPORTRANGE('Survey Progress'!$B$32, ""data!H2:M800""), 5, FALSE)), """", IF(VLOOKUP(A43, IMPORTRANGE('Survey Progress'!$B$32, ""data!H2:M800""), 5, FALSE) = 1, ""Eligible"", ""Ineligible""))"),"Eligible")</f>
        <v>Eligible</v>
      </c>
      <c r="C43" s="15" t="str">
        <f>IFERROR(__xludf.DUMMYFUNCTION("IF(A43="""", """", IF(ISERROR(VLOOKUP(A43, IMPORTRANGE('Survey Progress'!$B$33, ""data!I2:L800""), 1, FALSE)), ""No Survey"", IF(VLOOKUP(A43, IMPORTRANGE('Survey Progress'!$B$33, ""data!I2:L800""), 2, FALSE) = 0, ""Incomplete"", ""Complete"")))"),"")</f>
        <v/>
      </c>
      <c r="D43" s="15" t="str">
        <f>IFERROR(__xludf.DUMMYFUNCTION("IF(A43="""", """", IF(ISERROR(VLOOKUP(A43, IMPORTRANGE('Survey Progress'!$B$34, ""data!I2:L800""), 1, FALSE)), ""No Survey"", IF(VLOOKUP(A43, IMPORTRANGE('Survey Progress'!$B$34, ""data!I2:L800""), 2, FALSE) = 0, ""Incomplete"", ""Complete"")))"),"")</f>
        <v/>
      </c>
      <c r="E43" s="27">
        <f t="shared" si="1"/>
        <v>0</v>
      </c>
      <c r="F43" s="14"/>
    </row>
    <row r="44">
      <c r="A44" s="14"/>
      <c r="B44" s="16" t="str">
        <f>IFERROR(__xludf.DUMMYFUNCTION("IF(ISERROR(VLOOKUP(A44, IMPORTRANGE('Survey Progress'!$B$32, ""data!H2:M800""), 5, FALSE)), """", IF(VLOOKUP(A44, IMPORTRANGE('Survey Progress'!$B$32, ""data!H2:M800""), 5, FALSE) = 1, ""Eligible"", ""Ineligible""))"),"Eligible")</f>
        <v>Eligible</v>
      </c>
      <c r="C44" s="15" t="str">
        <f>IFERROR(__xludf.DUMMYFUNCTION("IF(A44="""", """", IF(ISERROR(VLOOKUP(A44, IMPORTRANGE('Survey Progress'!$B$33, ""data!I2:L800""), 1, FALSE)), ""No Survey"", IF(VLOOKUP(A44, IMPORTRANGE('Survey Progress'!$B$33, ""data!I2:L800""), 2, FALSE) = 0, ""Incomplete"", ""Complete"")))"),"")</f>
        <v/>
      </c>
      <c r="D44" s="15" t="str">
        <f>IFERROR(__xludf.DUMMYFUNCTION("IF(A44="""", """", IF(ISERROR(VLOOKUP(A44, IMPORTRANGE('Survey Progress'!$B$34, ""data!I2:L800""), 1, FALSE)), ""No Survey"", IF(VLOOKUP(A44, IMPORTRANGE('Survey Progress'!$B$34, ""data!I2:L800""), 2, FALSE) = 0, ""Incomplete"", ""Complete"")))"),"")</f>
        <v/>
      </c>
      <c r="E44" s="27">
        <f t="shared" si="1"/>
        <v>0</v>
      </c>
      <c r="F44" s="14"/>
    </row>
    <row r="45">
      <c r="A45" s="14"/>
      <c r="B45" s="16" t="str">
        <f>IFERROR(__xludf.DUMMYFUNCTION("IF(ISERROR(VLOOKUP(A45, IMPORTRANGE('Survey Progress'!$B$32, ""data!H2:M800""), 5, FALSE)), """", IF(VLOOKUP(A45, IMPORTRANGE('Survey Progress'!$B$32, ""data!H2:M800""), 5, FALSE) = 1, ""Eligible"", ""Ineligible""))"),"Eligible")</f>
        <v>Eligible</v>
      </c>
      <c r="C45" s="15" t="str">
        <f>IFERROR(__xludf.DUMMYFUNCTION("IF(A45="""", """", IF(ISERROR(VLOOKUP(A45, IMPORTRANGE('Survey Progress'!$B$33, ""data!I2:L800""), 1, FALSE)), ""No Survey"", IF(VLOOKUP(A45, IMPORTRANGE('Survey Progress'!$B$33, ""data!I2:L800""), 2, FALSE) = 0, ""Incomplete"", ""Complete"")))"),"")</f>
        <v/>
      </c>
      <c r="D45" s="15" t="str">
        <f>IFERROR(__xludf.DUMMYFUNCTION("IF(A45="""", """", IF(ISERROR(VLOOKUP(A45, IMPORTRANGE('Survey Progress'!$B$34, ""data!I2:L800""), 1, FALSE)), ""No Survey"", IF(VLOOKUP(A45, IMPORTRANGE('Survey Progress'!$B$34, ""data!I2:L800""), 2, FALSE) = 0, ""Incomplete"", ""Complete"")))"),"")</f>
        <v/>
      </c>
      <c r="E45" s="27">
        <f t="shared" si="1"/>
        <v>0</v>
      </c>
      <c r="F45" s="14"/>
    </row>
    <row r="46">
      <c r="A46" s="14"/>
      <c r="B46" s="16" t="str">
        <f>IFERROR(__xludf.DUMMYFUNCTION("IF(ISERROR(VLOOKUP(A46, IMPORTRANGE('Survey Progress'!$B$32, ""data!H2:M800""), 5, FALSE)), """", IF(VLOOKUP(A46, IMPORTRANGE('Survey Progress'!$B$32, ""data!H2:M800""), 5, FALSE) = 1, ""Eligible"", ""Ineligible""))"),"Eligible")</f>
        <v>Eligible</v>
      </c>
      <c r="C46" s="15" t="str">
        <f>IFERROR(__xludf.DUMMYFUNCTION("IF(A46="""", """", IF(ISERROR(VLOOKUP(A46, IMPORTRANGE('Survey Progress'!$B$33, ""data!I2:L800""), 1, FALSE)), ""No Survey"", IF(VLOOKUP(A46, IMPORTRANGE('Survey Progress'!$B$33, ""data!I2:L800""), 2, FALSE) = 0, ""Incomplete"", ""Complete"")))"),"")</f>
        <v/>
      </c>
      <c r="D46" s="15" t="str">
        <f>IFERROR(__xludf.DUMMYFUNCTION("IF(A46="""", """", IF(ISERROR(VLOOKUP(A46, IMPORTRANGE('Survey Progress'!$B$34, ""data!I2:L800""), 1, FALSE)), ""No Survey"", IF(VLOOKUP(A46, IMPORTRANGE('Survey Progress'!$B$34, ""data!I2:L800""), 2, FALSE) = 0, ""Incomplete"", ""Complete"")))"),"")</f>
        <v/>
      </c>
      <c r="E46" s="27">
        <f t="shared" si="1"/>
        <v>0</v>
      </c>
      <c r="F46" s="14"/>
    </row>
    <row r="47">
      <c r="A47" s="14"/>
      <c r="B47" s="16" t="str">
        <f>IFERROR(__xludf.DUMMYFUNCTION("IF(ISERROR(VLOOKUP(A47, IMPORTRANGE('Survey Progress'!$B$32, ""data!H2:M800""), 5, FALSE)), """", IF(VLOOKUP(A47, IMPORTRANGE('Survey Progress'!$B$32, ""data!H2:M800""), 5, FALSE) = 1, ""Eligible"", ""Ineligible""))"),"Eligible")</f>
        <v>Eligible</v>
      </c>
      <c r="C47" s="15" t="str">
        <f>IFERROR(__xludf.DUMMYFUNCTION("IF(A47="""", """", IF(ISERROR(VLOOKUP(A47, IMPORTRANGE('Survey Progress'!$B$33, ""data!I2:L800""), 1, FALSE)), ""No Survey"", IF(VLOOKUP(A47, IMPORTRANGE('Survey Progress'!$B$33, ""data!I2:L800""), 2, FALSE) = 0, ""Incomplete"", ""Complete"")))"),"")</f>
        <v/>
      </c>
      <c r="D47" s="15" t="str">
        <f>IFERROR(__xludf.DUMMYFUNCTION("IF(A47="""", """", IF(ISERROR(VLOOKUP(A47, IMPORTRANGE('Survey Progress'!$B$34, ""data!I2:L800""), 1, FALSE)), ""No Survey"", IF(VLOOKUP(A47, IMPORTRANGE('Survey Progress'!$B$34, ""data!I2:L800""), 2, FALSE) = 0, ""Incomplete"", ""Complete"")))"),"")</f>
        <v/>
      </c>
      <c r="E47" s="27">
        <f t="shared" si="1"/>
        <v>0</v>
      </c>
      <c r="F47" s="14"/>
    </row>
    <row r="48">
      <c r="A48" s="14"/>
      <c r="B48" s="16" t="str">
        <f>IFERROR(__xludf.DUMMYFUNCTION("IF(ISERROR(VLOOKUP(A48, IMPORTRANGE('Survey Progress'!$B$32, ""data!H2:M800""), 5, FALSE)), """", IF(VLOOKUP(A48, IMPORTRANGE('Survey Progress'!$B$32, ""data!H2:M800""), 5, FALSE) = 1, ""Eligible"", ""Ineligible""))"),"Eligible")</f>
        <v>Eligible</v>
      </c>
      <c r="C48" s="15" t="str">
        <f>IFERROR(__xludf.DUMMYFUNCTION("IF(A48="""", """", IF(ISERROR(VLOOKUP(A48, IMPORTRANGE('Survey Progress'!$B$33, ""data!I2:L800""), 1, FALSE)), ""No Survey"", IF(VLOOKUP(A48, IMPORTRANGE('Survey Progress'!$B$33, ""data!I2:L800""), 2, FALSE) = 0, ""Incomplete"", ""Complete"")))"),"")</f>
        <v/>
      </c>
      <c r="D48" s="15" t="str">
        <f>IFERROR(__xludf.DUMMYFUNCTION("IF(A48="""", """", IF(ISERROR(VLOOKUP(A48, IMPORTRANGE('Survey Progress'!$B$34, ""data!I2:L800""), 1, FALSE)), ""No Survey"", IF(VLOOKUP(A48, IMPORTRANGE('Survey Progress'!$B$34, ""data!I2:L800""), 2, FALSE) = 0, ""Incomplete"", ""Complete"")))"),"")</f>
        <v/>
      </c>
      <c r="E48" s="27">
        <f t="shared" si="1"/>
        <v>0</v>
      </c>
      <c r="F48" s="14"/>
    </row>
    <row r="49">
      <c r="A49" s="14"/>
      <c r="B49" s="16" t="str">
        <f>IFERROR(__xludf.DUMMYFUNCTION("IF(ISERROR(VLOOKUP(A49, IMPORTRANGE('Survey Progress'!$B$32, ""data!H2:M800""), 5, FALSE)), """", IF(VLOOKUP(A49, IMPORTRANGE('Survey Progress'!$B$32, ""data!H2:M800""), 5, FALSE) = 1, ""Eligible"", ""Ineligible""))"),"Eligible")</f>
        <v>Eligible</v>
      </c>
      <c r="C49" s="15" t="str">
        <f>IFERROR(__xludf.DUMMYFUNCTION("IF(A49="""", """", IF(ISERROR(VLOOKUP(A49, IMPORTRANGE('Survey Progress'!$B$33, ""data!I2:L800""), 1, FALSE)), ""No Survey"", IF(VLOOKUP(A49, IMPORTRANGE('Survey Progress'!$B$33, ""data!I2:L800""), 2, FALSE) = 0, ""Incomplete"", ""Complete"")))"),"")</f>
        <v/>
      </c>
      <c r="D49" s="15" t="str">
        <f>IFERROR(__xludf.DUMMYFUNCTION("IF(A49="""", """", IF(ISERROR(VLOOKUP(A49, IMPORTRANGE('Survey Progress'!$B$34, ""data!I2:L800""), 1, FALSE)), ""No Survey"", IF(VLOOKUP(A49, IMPORTRANGE('Survey Progress'!$B$34, ""data!I2:L800""), 2, FALSE) = 0, ""Incomplete"", ""Complete"")))"),"")</f>
        <v/>
      </c>
      <c r="E49" s="27">
        <f t="shared" si="1"/>
        <v>0</v>
      </c>
      <c r="F49" s="14"/>
    </row>
    <row r="50">
      <c r="A50" s="14"/>
      <c r="B50" s="16" t="str">
        <f>IFERROR(__xludf.DUMMYFUNCTION("IF(ISERROR(VLOOKUP(A50, IMPORTRANGE('Survey Progress'!$B$32, ""data!H2:M800""), 5, FALSE)), """", IF(VLOOKUP(A50, IMPORTRANGE('Survey Progress'!$B$32, ""data!H2:M800""), 5, FALSE) = 1, ""Eligible"", ""Ineligible""))"),"Eligible")</f>
        <v>Eligible</v>
      </c>
      <c r="C50" s="15" t="str">
        <f>IFERROR(__xludf.DUMMYFUNCTION("IF(A50="""", """", IF(ISERROR(VLOOKUP(A50, IMPORTRANGE('Survey Progress'!$B$33, ""data!I2:L800""), 1, FALSE)), ""No Survey"", IF(VLOOKUP(A50, IMPORTRANGE('Survey Progress'!$B$33, ""data!I2:L800""), 2, FALSE) = 0, ""Incomplete"", ""Complete"")))"),"")</f>
        <v/>
      </c>
      <c r="D50" s="15" t="str">
        <f>IFERROR(__xludf.DUMMYFUNCTION("IF(A50="""", """", IF(ISERROR(VLOOKUP(A50, IMPORTRANGE('Survey Progress'!$B$34, ""data!I2:L800""), 1, FALSE)), ""No Survey"", IF(VLOOKUP(A50, IMPORTRANGE('Survey Progress'!$B$34, ""data!I2:L800""), 2, FALSE) = 0, ""Incomplete"", ""Complete"")))"),"")</f>
        <v/>
      </c>
      <c r="E50" s="27">
        <f t="shared" si="1"/>
        <v>0</v>
      </c>
      <c r="F50" s="14"/>
    </row>
    <row r="51">
      <c r="A51" s="14"/>
      <c r="B51" s="16" t="str">
        <f>IFERROR(__xludf.DUMMYFUNCTION("IF(ISERROR(VLOOKUP(A51, IMPORTRANGE('Survey Progress'!$B$32, ""data!H2:M800""), 5, FALSE)), """", IF(VLOOKUP(A51, IMPORTRANGE('Survey Progress'!$B$32, ""data!H2:M800""), 5, FALSE) = 1, ""Eligible"", ""Ineligible""))"),"Eligible")</f>
        <v>Eligible</v>
      </c>
      <c r="C51" s="15" t="str">
        <f>IFERROR(__xludf.DUMMYFUNCTION("IF(A51="""", """", IF(ISERROR(VLOOKUP(A51, IMPORTRANGE('Survey Progress'!$B$33, ""data!I2:L800""), 1, FALSE)), ""No Survey"", IF(VLOOKUP(A51, IMPORTRANGE('Survey Progress'!$B$33, ""data!I2:L800""), 2, FALSE) = 0, ""Incomplete"", ""Complete"")))"),"")</f>
        <v/>
      </c>
      <c r="D51" s="15" t="str">
        <f>IFERROR(__xludf.DUMMYFUNCTION("IF(A51="""", """", IF(ISERROR(VLOOKUP(A51, IMPORTRANGE('Survey Progress'!$B$34, ""data!I2:L800""), 1, FALSE)), ""No Survey"", IF(VLOOKUP(A51, IMPORTRANGE('Survey Progress'!$B$34, ""data!I2:L800""), 2, FALSE) = 0, ""Incomplete"", ""Complete"")))"),"")</f>
        <v/>
      </c>
      <c r="E51" s="27">
        <f t="shared" si="1"/>
        <v>0</v>
      </c>
      <c r="F51" s="14"/>
    </row>
    <row r="52">
      <c r="A52" s="14"/>
      <c r="B52" s="16" t="str">
        <f>IFERROR(__xludf.DUMMYFUNCTION("IF(ISERROR(VLOOKUP(A52, IMPORTRANGE('Survey Progress'!$B$32, ""data!H2:M800""), 5, FALSE)), """", IF(VLOOKUP(A52, IMPORTRANGE('Survey Progress'!$B$32, ""data!H2:M800""), 5, FALSE) = 1, ""Eligible"", ""Ineligible""))"),"Eligible")</f>
        <v>Eligible</v>
      </c>
      <c r="C52" s="15" t="str">
        <f>IFERROR(__xludf.DUMMYFUNCTION("IF(A52="""", """", IF(ISERROR(VLOOKUP(A52, IMPORTRANGE('Survey Progress'!$B$33, ""data!I2:L800""), 1, FALSE)), ""No Survey"", IF(VLOOKUP(A52, IMPORTRANGE('Survey Progress'!$B$33, ""data!I2:L800""), 2, FALSE) = 0, ""Incomplete"", ""Complete"")))"),"")</f>
        <v/>
      </c>
      <c r="D52" s="15" t="str">
        <f>IFERROR(__xludf.DUMMYFUNCTION("IF(A52="""", """", IF(ISERROR(VLOOKUP(A52, IMPORTRANGE('Survey Progress'!$B$34, ""data!I2:L800""), 1, FALSE)), ""No Survey"", IF(VLOOKUP(A52, IMPORTRANGE('Survey Progress'!$B$34, ""data!I2:L800""), 2, FALSE) = 0, ""Incomplete"", ""Complete"")))"),"")</f>
        <v/>
      </c>
      <c r="E52" s="27">
        <f t="shared" si="1"/>
        <v>0</v>
      </c>
      <c r="F52" s="14"/>
    </row>
    <row r="53">
      <c r="A53" s="14"/>
      <c r="B53" s="16" t="str">
        <f>IFERROR(__xludf.DUMMYFUNCTION("IF(ISERROR(VLOOKUP(A53, IMPORTRANGE('Survey Progress'!$B$32, ""data!H2:M800""), 5, FALSE)), """", IF(VLOOKUP(A53, IMPORTRANGE('Survey Progress'!$B$32, ""data!H2:M800""), 5, FALSE) = 1, ""Eligible"", ""Ineligible""))"),"Eligible")</f>
        <v>Eligible</v>
      </c>
      <c r="C53" s="15" t="str">
        <f>IFERROR(__xludf.DUMMYFUNCTION("IF(A53="""", """", IF(ISERROR(VLOOKUP(A53, IMPORTRANGE('Survey Progress'!$B$33, ""data!I2:L800""), 1, FALSE)), ""No Survey"", IF(VLOOKUP(A53, IMPORTRANGE('Survey Progress'!$B$33, ""data!I2:L800""), 2, FALSE) = 0, ""Incomplete"", ""Complete"")))"),"")</f>
        <v/>
      </c>
      <c r="D53" s="15" t="str">
        <f>IFERROR(__xludf.DUMMYFUNCTION("IF(A53="""", """", IF(ISERROR(VLOOKUP(A53, IMPORTRANGE('Survey Progress'!$B$34, ""data!I2:L800""), 1, FALSE)), ""No Survey"", IF(VLOOKUP(A53, IMPORTRANGE('Survey Progress'!$B$34, ""data!I2:L800""), 2, FALSE) = 0, ""Incomplete"", ""Complete"")))"),"")</f>
        <v/>
      </c>
      <c r="E53" s="27">
        <f t="shared" si="1"/>
        <v>0</v>
      </c>
      <c r="F53" s="14"/>
    </row>
    <row r="54">
      <c r="A54" s="14"/>
      <c r="B54" s="16" t="str">
        <f>IFERROR(__xludf.DUMMYFUNCTION("IF(ISERROR(VLOOKUP(A54, IMPORTRANGE('Survey Progress'!$B$32, ""data!H2:M800""), 5, FALSE)), """", IF(VLOOKUP(A54, IMPORTRANGE('Survey Progress'!$B$32, ""data!H2:M800""), 5, FALSE) = 1, ""Eligible"", ""Ineligible""))"),"Eligible")</f>
        <v>Eligible</v>
      </c>
      <c r="C54" s="15" t="str">
        <f>IFERROR(__xludf.DUMMYFUNCTION("IF(A54="""", """", IF(ISERROR(VLOOKUP(A54, IMPORTRANGE('Survey Progress'!$B$33, ""data!I2:L800""), 1, FALSE)), ""No Survey"", IF(VLOOKUP(A54, IMPORTRANGE('Survey Progress'!$B$33, ""data!I2:L800""), 2, FALSE) = 0, ""Incomplete"", ""Complete"")))"),"")</f>
        <v/>
      </c>
      <c r="D54" s="15" t="str">
        <f>IFERROR(__xludf.DUMMYFUNCTION("IF(A54="""", """", IF(ISERROR(VLOOKUP(A54, IMPORTRANGE('Survey Progress'!$B$34, ""data!I2:L800""), 1, FALSE)), ""No Survey"", IF(VLOOKUP(A54, IMPORTRANGE('Survey Progress'!$B$34, ""data!I2:L800""), 2, FALSE) = 0, ""Incomplete"", ""Complete"")))"),"")</f>
        <v/>
      </c>
      <c r="E54" s="27">
        <f t="shared" si="1"/>
        <v>0</v>
      </c>
      <c r="F54" s="14"/>
    </row>
    <row r="55">
      <c r="A55" s="14"/>
      <c r="B55" s="16" t="str">
        <f>IFERROR(__xludf.DUMMYFUNCTION("IF(ISERROR(VLOOKUP(A55, IMPORTRANGE('Survey Progress'!$B$32, ""data!H2:M800""), 5, FALSE)), """", IF(VLOOKUP(A55, IMPORTRANGE('Survey Progress'!$B$32, ""data!H2:M800""), 5, FALSE) = 1, ""Eligible"", ""Ineligible""))"),"Eligible")</f>
        <v>Eligible</v>
      </c>
      <c r="C55" s="15" t="str">
        <f>IFERROR(__xludf.DUMMYFUNCTION("IF(A55="""", """", IF(ISERROR(VLOOKUP(A55, IMPORTRANGE('Survey Progress'!$B$33, ""data!I2:L800""), 1, FALSE)), ""No Survey"", IF(VLOOKUP(A55, IMPORTRANGE('Survey Progress'!$B$33, ""data!I2:L800""), 2, FALSE) = 0, ""Incomplete"", ""Complete"")))"),"")</f>
        <v/>
      </c>
      <c r="D55" s="15" t="str">
        <f>IFERROR(__xludf.DUMMYFUNCTION("IF(A55="""", """", IF(ISERROR(VLOOKUP(A55, IMPORTRANGE('Survey Progress'!$B$34, ""data!I2:L800""), 1, FALSE)), ""No Survey"", IF(VLOOKUP(A55, IMPORTRANGE('Survey Progress'!$B$34, ""data!I2:L800""), 2, FALSE) = 0, ""Incomplete"", ""Complete"")))"),"")</f>
        <v/>
      </c>
      <c r="E55" s="27">
        <f t="shared" si="1"/>
        <v>0</v>
      </c>
      <c r="F55" s="14"/>
    </row>
    <row r="56">
      <c r="A56" s="14"/>
      <c r="B56" s="16" t="str">
        <f>IFERROR(__xludf.DUMMYFUNCTION("IF(ISERROR(VLOOKUP(A56, IMPORTRANGE('Survey Progress'!$B$32, ""data!H2:M800""), 5, FALSE)), """", IF(VLOOKUP(A56, IMPORTRANGE('Survey Progress'!$B$32, ""data!H2:M800""), 5, FALSE) = 1, ""Eligible"", ""Ineligible""))"),"Eligible")</f>
        <v>Eligible</v>
      </c>
      <c r="C56" s="15" t="str">
        <f>IFERROR(__xludf.DUMMYFUNCTION("IF(A56="""", """", IF(ISERROR(VLOOKUP(A56, IMPORTRANGE('Survey Progress'!$B$33, ""data!I2:L800""), 1, FALSE)), ""No Survey"", IF(VLOOKUP(A56, IMPORTRANGE('Survey Progress'!$B$33, ""data!I2:L800""), 2, FALSE) = 0, ""Incomplete"", ""Complete"")))"),"")</f>
        <v/>
      </c>
      <c r="D56" s="15" t="str">
        <f>IFERROR(__xludf.DUMMYFUNCTION("IF(A56="""", """", IF(ISERROR(VLOOKUP(A56, IMPORTRANGE('Survey Progress'!$B$34, ""data!I2:L800""), 1, FALSE)), ""No Survey"", IF(VLOOKUP(A56, IMPORTRANGE('Survey Progress'!$B$34, ""data!I2:L800""), 2, FALSE) = 0, ""Incomplete"", ""Complete"")))"),"")</f>
        <v/>
      </c>
      <c r="E56" s="27">
        <f t="shared" si="1"/>
        <v>0</v>
      </c>
      <c r="F56" s="14"/>
    </row>
    <row r="57">
      <c r="A57" s="14"/>
      <c r="B57" s="16" t="str">
        <f>IFERROR(__xludf.DUMMYFUNCTION("IF(ISERROR(VLOOKUP(A57, IMPORTRANGE('Survey Progress'!$B$32, ""data!H2:M800""), 5, FALSE)), """", IF(VLOOKUP(A57, IMPORTRANGE('Survey Progress'!$B$32, ""data!H2:M800""), 5, FALSE) = 1, ""Eligible"", ""Ineligible""))"),"Eligible")</f>
        <v>Eligible</v>
      </c>
      <c r="C57" s="15" t="str">
        <f>IFERROR(__xludf.DUMMYFUNCTION("IF(A57="""", """", IF(ISERROR(VLOOKUP(A57, IMPORTRANGE('Survey Progress'!$B$33, ""data!I2:L800""), 1, FALSE)), ""No Survey"", IF(VLOOKUP(A57, IMPORTRANGE('Survey Progress'!$B$33, ""data!I2:L800""), 2, FALSE) = 0, ""Incomplete"", ""Complete"")))"),"")</f>
        <v/>
      </c>
      <c r="D57" s="15" t="str">
        <f>IFERROR(__xludf.DUMMYFUNCTION("IF(A57="""", """", IF(ISERROR(VLOOKUP(A57, IMPORTRANGE('Survey Progress'!$B$34, ""data!I2:L800""), 1, FALSE)), ""No Survey"", IF(VLOOKUP(A57, IMPORTRANGE('Survey Progress'!$B$34, ""data!I2:L800""), 2, FALSE) = 0, ""Incomplete"", ""Complete"")))"),"")</f>
        <v/>
      </c>
      <c r="E57" s="27">
        <f t="shared" si="1"/>
        <v>0</v>
      </c>
      <c r="F57" s="14"/>
    </row>
    <row r="58">
      <c r="A58" s="14"/>
      <c r="B58" s="16" t="str">
        <f>IFERROR(__xludf.DUMMYFUNCTION("IF(ISERROR(VLOOKUP(A58, IMPORTRANGE('Survey Progress'!$B$32, ""data!H2:M800""), 5, FALSE)), """", IF(VLOOKUP(A58, IMPORTRANGE('Survey Progress'!$B$32, ""data!H2:M800""), 5, FALSE) = 1, ""Eligible"", ""Ineligible""))"),"Eligible")</f>
        <v>Eligible</v>
      </c>
      <c r="C58" s="15" t="str">
        <f>IFERROR(__xludf.DUMMYFUNCTION("IF(A58="""", """", IF(ISERROR(VLOOKUP(A58, IMPORTRANGE('Survey Progress'!$B$33, ""data!I2:L800""), 1, FALSE)), ""No Survey"", IF(VLOOKUP(A58, IMPORTRANGE('Survey Progress'!$B$33, ""data!I2:L800""), 2, FALSE) = 0, ""Incomplete"", ""Complete"")))"),"")</f>
        <v/>
      </c>
      <c r="D58" s="15" t="str">
        <f>IFERROR(__xludf.DUMMYFUNCTION("IF(A58="""", """", IF(ISERROR(VLOOKUP(A58, IMPORTRANGE('Survey Progress'!$B$34, ""data!I2:L800""), 1, FALSE)), ""No Survey"", IF(VLOOKUP(A58, IMPORTRANGE('Survey Progress'!$B$34, ""data!I2:L800""), 2, FALSE) = 0, ""Incomplete"", ""Complete"")))"),"")</f>
        <v/>
      </c>
      <c r="E58" s="27">
        <f t="shared" si="1"/>
        <v>0</v>
      </c>
      <c r="F58" s="14"/>
    </row>
    <row r="59">
      <c r="A59" s="14"/>
      <c r="B59" s="16" t="str">
        <f>IFERROR(__xludf.DUMMYFUNCTION("IF(ISERROR(VLOOKUP(A59, IMPORTRANGE('Survey Progress'!$B$32, ""data!H2:M800""), 5, FALSE)), """", IF(VLOOKUP(A59, IMPORTRANGE('Survey Progress'!$B$32, ""data!H2:M800""), 5, FALSE) = 1, ""Eligible"", ""Ineligible""))"),"Eligible")</f>
        <v>Eligible</v>
      </c>
      <c r="C59" s="15" t="str">
        <f>IFERROR(__xludf.DUMMYFUNCTION("IF(A59="""", """", IF(ISERROR(VLOOKUP(A59, IMPORTRANGE('Survey Progress'!$B$33, ""data!I2:L800""), 1, FALSE)), ""No Survey"", IF(VLOOKUP(A59, IMPORTRANGE('Survey Progress'!$B$33, ""data!I2:L800""), 2, FALSE) = 0, ""Incomplete"", ""Complete"")))"),"")</f>
        <v/>
      </c>
      <c r="D59" s="15" t="str">
        <f>IFERROR(__xludf.DUMMYFUNCTION("IF(A59="""", """", IF(ISERROR(VLOOKUP(A59, IMPORTRANGE('Survey Progress'!$B$34, ""data!I2:L800""), 1, FALSE)), ""No Survey"", IF(VLOOKUP(A59, IMPORTRANGE('Survey Progress'!$B$34, ""data!I2:L800""), 2, FALSE) = 0, ""Incomplete"", ""Complete"")))"),"")</f>
        <v/>
      </c>
      <c r="E59" s="27">
        <f t="shared" si="1"/>
        <v>0</v>
      </c>
      <c r="F59" s="14"/>
    </row>
    <row r="60">
      <c r="A60" s="14"/>
      <c r="B60" s="16" t="str">
        <f>IFERROR(__xludf.DUMMYFUNCTION("IF(ISERROR(VLOOKUP(A60, IMPORTRANGE('Survey Progress'!$B$32, ""data!H2:M800""), 5, FALSE)), """", IF(VLOOKUP(A60, IMPORTRANGE('Survey Progress'!$B$32, ""data!H2:M800""), 5, FALSE) = 1, ""Eligible"", ""Ineligible""))"),"Eligible")</f>
        <v>Eligible</v>
      </c>
      <c r="C60" s="15" t="str">
        <f>IFERROR(__xludf.DUMMYFUNCTION("IF(A60="""", """", IF(ISERROR(VLOOKUP(A60, IMPORTRANGE('Survey Progress'!$B$33, ""data!I2:L800""), 1, FALSE)), ""No Survey"", IF(VLOOKUP(A60, IMPORTRANGE('Survey Progress'!$B$33, ""data!I2:L800""), 2, FALSE) = 0, ""Incomplete"", ""Complete"")))"),"")</f>
        <v/>
      </c>
      <c r="D60" s="15" t="str">
        <f>IFERROR(__xludf.DUMMYFUNCTION("IF(A60="""", """", IF(ISERROR(VLOOKUP(A60, IMPORTRANGE('Survey Progress'!$B$34, ""data!I2:L800""), 1, FALSE)), ""No Survey"", IF(VLOOKUP(A60, IMPORTRANGE('Survey Progress'!$B$34, ""data!I2:L800""), 2, FALSE) = 0, ""Incomplete"", ""Complete"")))"),"")</f>
        <v/>
      </c>
      <c r="E60" s="27">
        <f t="shared" si="1"/>
        <v>0</v>
      </c>
      <c r="F60" s="14"/>
    </row>
    <row r="61">
      <c r="A61" s="14"/>
      <c r="B61" s="16" t="str">
        <f>IFERROR(__xludf.DUMMYFUNCTION("IF(ISERROR(VLOOKUP(A61, IMPORTRANGE('Survey Progress'!$B$32, ""data!H2:M800""), 5, FALSE)), """", IF(VLOOKUP(A61, IMPORTRANGE('Survey Progress'!$B$32, ""data!H2:M800""), 5, FALSE) = 1, ""Eligible"", ""Ineligible""))"),"Eligible")</f>
        <v>Eligible</v>
      </c>
      <c r="C61" s="15" t="str">
        <f>IFERROR(__xludf.DUMMYFUNCTION("IF(A61="""", """", IF(ISERROR(VLOOKUP(A61, IMPORTRANGE('Survey Progress'!$B$33, ""data!I2:L800""), 1, FALSE)), ""No Survey"", IF(VLOOKUP(A61, IMPORTRANGE('Survey Progress'!$B$33, ""data!I2:L800""), 2, FALSE) = 0, ""Incomplete"", ""Complete"")))"),"")</f>
        <v/>
      </c>
      <c r="D61" s="15" t="str">
        <f>IFERROR(__xludf.DUMMYFUNCTION("IF(A61="""", """", IF(ISERROR(VLOOKUP(A61, IMPORTRANGE('Survey Progress'!$B$34, ""data!I2:L800""), 1, FALSE)), ""No Survey"", IF(VLOOKUP(A61, IMPORTRANGE('Survey Progress'!$B$34, ""data!I2:L800""), 2, FALSE) = 0, ""Incomplete"", ""Complete"")))"),"")</f>
        <v/>
      </c>
      <c r="E61" s="27">
        <f t="shared" si="1"/>
        <v>0</v>
      </c>
      <c r="F61" s="14"/>
    </row>
    <row r="62">
      <c r="A62" s="14"/>
      <c r="B62" s="16" t="str">
        <f>IFERROR(__xludf.DUMMYFUNCTION("IF(ISERROR(VLOOKUP(A62, IMPORTRANGE('Survey Progress'!$B$32, ""data!H2:M800""), 5, FALSE)), """", IF(VLOOKUP(A62, IMPORTRANGE('Survey Progress'!$B$32, ""data!H2:M800""), 5, FALSE) = 1, ""Eligible"", ""Ineligible""))"),"Eligible")</f>
        <v>Eligible</v>
      </c>
      <c r="C62" s="15" t="str">
        <f>IFERROR(__xludf.DUMMYFUNCTION("IF(A62="""", """", IF(ISERROR(VLOOKUP(A62, IMPORTRANGE('Survey Progress'!$B$33, ""data!I2:L800""), 1, FALSE)), ""No Survey"", IF(VLOOKUP(A62, IMPORTRANGE('Survey Progress'!$B$33, ""data!I2:L800""), 2, FALSE) = 0, ""Incomplete"", ""Complete"")))"),"")</f>
        <v/>
      </c>
      <c r="D62" s="15" t="str">
        <f>IFERROR(__xludf.DUMMYFUNCTION("IF(A62="""", """", IF(ISERROR(VLOOKUP(A62, IMPORTRANGE('Survey Progress'!$B$34, ""data!I2:L800""), 1, FALSE)), ""No Survey"", IF(VLOOKUP(A62, IMPORTRANGE('Survey Progress'!$B$34, ""data!I2:L800""), 2, FALSE) = 0, ""Incomplete"", ""Complete"")))"),"")</f>
        <v/>
      </c>
      <c r="E62" s="27">
        <f t="shared" si="1"/>
        <v>0</v>
      </c>
      <c r="F62" s="14"/>
    </row>
    <row r="63">
      <c r="A63" s="14"/>
      <c r="B63" s="16" t="str">
        <f>IFERROR(__xludf.DUMMYFUNCTION("IF(ISERROR(VLOOKUP(A63, IMPORTRANGE('Survey Progress'!$B$32, ""data!H2:M800""), 5, FALSE)), """", IF(VLOOKUP(A63, IMPORTRANGE('Survey Progress'!$B$32, ""data!H2:M800""), 5, FALSE) = 1, ""Eligible"", ""Ineligible""))"),"Eligible")</f>
        <v>Eligible</v>
      </c>
      <c r="C63" s="15" t="str">
        <f>IFERROR(__xludf.DUMMYFUNCTION("IF(A63="""", """", IF(ISERROR(VLOOKUP(A63, IMPORTRANGE('Survey Progress'!$B$33, ""data!I2:L800""), 1, FALSE)), ""No Survey"", IF(VLOOKUP(A63, IMPORTRANGE('Survey Progress'!$B$33, ""data!I2:L800""), 2, FALSE) = 0, ""Incomplete"", ""Complete"")))"),"")</f>
        <v/>
      </c>
      <c r="D63" s="15" t="str">
        <f>IFERROR(__xludf.DUMMYFUNCTION("IF(A63="""", """", IF(ISERROR(VLOOKUP(A63, IMPORTRANGE('Survey Progress'!$B$34, ""data!I2:L800""), 1, FALSE)), ""No Survey"", IF(VLOOKUP(A63, IMPORTRANGE('Survey Progress'!$B$34, ""data!I2:L800""), 2, FALSE) = 0, ""Incomplete"", ""Complete"")))"),"")</f>
        <v/>
      </c>
      <c r="E63" s="27">
        <f t="shared" si="1"/>
        <v>0</v>
      </c>
      <c r="F63" s="14"/>
    </row>
    <row r="64">
      <c r="A64" s="14"/>
      <c r="B64" s="16" t="str">
        <f>IFERROR(__xludf.DUMMYFUNCTION("IF(ISERROR(VLOOKUP(A64, IMPORTRANGE('Survey Progress'!$B$32, ""data!H2:M800""), 5, FALSE)), """", IF(VLOOKUP(A64, IMPORTRANGE('Survey Progress'!$B$32, ""data!H2:M800""), 5, FALSE) = 1, ""Eligible"", ""Ineligible""))"),"Eligible")</f>
        <v>Eligible</v>
      </c>
      <c r="C64" s="15" t="str">
        <f>IFERROR(__xludf.DUMMYFUNCTION("IF(A64="""", """", IF(ISERROR(VLOOKUP(A64, IMPORTRANGE('Survey Progress'!$B$33, ""data!I2:L800""), 1, FALSE)), ""No Survey"", IF(VLOOKUP(A64, IMPORTRANGE('Survey Progress'!$B$33, ""data!I2:L800""), 2, FALSE) = 0, ""Incomplete"", ""Complete"")))"),"")</f>
        <v/>
      </c>
      <c r="D64" s="15" t="str">
        <f>IFERROR(__xludf.DUMMYFUNCTION("IF(A64="""", """", IF(ISERROR(VLOOKUP(A64, IMPORTRANGE('Survey Progress'!$B$34, ""data!I2:L800""), 1, FALSE)), ""No Survey"", IF(VLOOKUP(A64, IMPORTRANGE('Survey Progress'!$B$34, ""data!I2:L800""), 2, FALSE) = 0, ""Incomplete"", ""Complete"")))"),"")</f>
        <v/>
      </c>
      <c r="E64" s="27">
        <f t="shared" si="1"/>
        <v>0</v>
      </c>
      <c r="F64" s="14"/>
    </row>
    <row r="65">
      <c r="A65" s="14"/>
      <c r="B65" s="16" t="str">
        <f>IFERROR(__xludf.DUMMYFUNCTION("IF(ISERROR(VLOOKUP(A65, IMPORTRANGE('Survey Progress'!$B$32, ""data!H2:M800""), 5, FALSE)), """", IF(VLOOKUP(A65, IMPORTRANGE('Survey Progress'!$B$32, ""data!H2:M800""), 5, FALSE) = 1, ""Eligible"", ""Ineligible""))"),"Eligible")</f>
        <v>Eligible</v>
      </c>
      <c r="C65" s="15" t="str">
        <f>IFERROR(__xludf.DUMMYFUNCTION("IF(A65="""", """", IF(ISERROR(VLOOKUP(A65, IMPORTRANGE('Survey Progress'!$B$33, ""data!I2:L800""), 1, FALSE)), ""No Survey"", IF(VLOOKUP(A65, IMPORTRANGE('Survey Progress'!$B$33, ""data!I2:L800""), 2, FALSE) = 0, ""Incomplete"", ""Complete"")))"),"")</f>
        <v/>
      </c>
      <c r="D65" s="15" t="str">
        <f>IFERROR(__xludf.DUMMYFUNCTION("IF(A65="""", """", IF(ISERROR(VLOOKUP(A65, IMPORTRANGE('Survey Progress'!$B$34, ""data!I2:L800""), 1, FALSE)), ""No Survey"", IF(VLOOKUP(A65, IMPORTRANGE('Survey Progress'!$B$34, ""data!I2:L800""), 2, FALSE) = 0, ""Incomplete"", ""Complete"")))"),"")</f>
        <v/>
      </c>
      <c r="E65" s="27">
        <f t="shared" si="1"/>
        <v>0</v>
      </c>
      <c r="F65" s="14"/>
    </row>
    <row r="66">
      <c r="A66" s="14"/>
      <c r="B66" s="16" t="str">
        <f>IFERROR(__xludf.DUMMYFUNCTION("IF(ISERROR(VLOOKUP(A66, IMPORTRANGE('Survey Progress'!$B$32, ""data!H2:M800""), 5, FALSE)), """", IF(VLOOKUP(A66, IMPORTRANGE('Survey Progress'!$B$32, ""data!H2:M800""), 5, FALSE) = 1, ""Eligible"", ""Ineligible""))"),"Eligible")</f>
        <v>Eligible</v>
      </c>
      <c r="C66" s="15" t="str">
        <f>IFERROR(__xludf.DUMMYFUNCTION("IF(A66="""", """", IF(ISERROR(VLOOKUP(A66, IMPORTRANGE('Survey Progress'!$B$33, ""data!I2:L800""), 1, FALSE)), ""No Survey"", IF(VLOOKUP(A66, IMPORTRANGE('Survey Progress'!$B$33, ""data!I2:L800""), 2, FALSE) = 0, ""Incomplete"", ""Complete"")))"),"")</f>
        <v/>
      </c>
      <c r="D66" s="15" t="str">
        <f>IFERROR(__xludf.DUMMYFUNCTION("IF(A66="""", """", IF(ISERROR(VLOOKUP(A66, IMPORTRANGE('Survey Progress'!$B$34, ""data!I2:L800""), 1, FALSE)), ""No Survey"", IF(VLOOKUP(A66, IMPORTRANGE('Survey Progress'!$B$34, ""data!I2:L800""), 2, FALSE) = 0, ""Incomplete"", ""Complete"")))"),"")</f>
        <v/>
      </c>
      <c r="E66" s="27">
        <f t="shared" si="1"/>
        <v>0</v>
      </c>
      <c r="F66" s="14"/>
    </row>
    <row r="67">
      <c r="A67" s="14"/>
      <c r="B67" s="16" t="str">
        <f>IFERROR(__xludf.DUMMYFUNCTION("IF(ISERROR(VLOOKUP(A67, IMPORTRANGE('Survey Progress'!$B$32, ""data!H2:M800""), 5, FALSE)), """", IF(VLOOKUP(A67, IMPORTRANGE('Survey Progress'!$B$32, ""data!H2:M800""), 5, FALSE) = 1, ""Eligible"", ""Ineligible""))"),"Eligible")</f>
        <v>Eligible</v>
      </c>
      <c r="C67" s="15" t="str">
        <f>IFERROR(__xludf.DUMMYFUNCTION("IF(A67="""", """", IF(ISERROR(VLOOKUP(A67, IMPORTRANGE('Survey Progress'!$B$33, ""data!I2:L800""), 1, FALSE)), ""No Survey"", IF(VLOOKUP(A67, IMPORTRANGE('Survey Progress'!$B$33, ""data!I2:L800""), 2, FALSE) = 0, ""Incomplete"", ""Complete"")))"),"")</f>
        <v/>
      </c>
      <c r="D67" s="15" t="str">
        <f>IFERROR(__xludf.DUMMYFUNCTION("IF(A67="""", """", IF(ISERROR(VLOOKUP(A67, IMPORTRANGE('Survey Progress'!$B$34, ""data!I2:L800""), 1, FALSE)), ""No Survey"", IF(VLOOKUP(A67, IMPORTRANGE('Survey Progress'!$B$34, ""data!I2:L800""), 2, FALSE) = 0, ""Incomplete"", ""Complete"")))"),"")</f>
        <v/>
      </c>
      <c r="E67" s="27">
        <f t="shared" si="1"/>
        <v>0</v>
      </c>
      <c r="F67" s="14"/>
    </row>
    <row r="68">
      <c r="A68" s="14"/>
      <c r="B68" s="16" t="str">
        <f>IFERROR(__xludf.DUMMYFUNCTION("IF(ISERROR(VLOOKUP(A68, IMPORTRANGE('Survey Progress'!$B$32, ""data!H2:M800""), 5, FALSE)), """", IF(VLOOKUP(A68, IMPORTRANGE('Survey Progress'!$B$32, ""data!H2:M800""), 5, FALSE) = 1, ""Eligible"", ""Ineligible""))"),"Eligible")</f>
        <v>Eligible</v>
      </c>
      <c r="C68" s="15" t="str">
        <f>IFERROR(__xludf.DUMMYFUNCTION("IF(A68="""", """", IF(ISERROR(VLOOKUP(A68, IMPORTRANGE('Survey Progress'!$B$33, ""data!I2:L800""), 1, FALSE)), ""No Survey"", IF(VLOOKUP(A68, IMPORTRANGE('Survey Progress'!$B$33, ""data!I2:L800""), 2, FALSE) = 0, ""Incomplete"", ""Complete"")))"),"")</f>
        <v/>
      </c>
      <c r="D68" s="15" t="str">
        <f>IFERROR(__xludf.DUMMYFUNCTION("IF(A68="""", """", IF(ISERROR(VLOOKUP(A68, IMPORTRANGE('Survey Progress'!$B$34, ""data!I2:L800""), 1, FALSE)), ""No Survey"", IF(VLOOKUP(A68, IMPORTRANGE('Survey Progress'!$B$34, ""data!I2:L800""), 2, FALSE) = 0, ""Incomplete"", ""Complete"")))"),"")</f>
        <v/>
      </c>
      <c r="E68" s="27">
        <f t="shared" si="1"/>
        <v>0</v>
      </c>
      <c r="F68" s="14"/>
    </row>
    <row r="69">
      <c r="A69" s="14"/>
      <c r="B69" s="16" t="str">
        <f>IFERROR(__xludf.DUMMYFUNCTION("IF(ISERROR(VLOOKUP(A69, IMPORTRANGE('Survey Progress'!$B$32, ""data!H2:M800""), 5, FALSE)), """", IF(VLOOKUP(A69, IMPORTRANGE('Survey Progress'!$B$32, ""data!H2:M800""), 5, FALSE) = 1, ""Eligible"", ""Ineligible""))"),"Eligible")</f>
        <v>Eligible</v>
      </c>
      <c r="C69" s="15" t="str">
        <f>IFERROR(__xludf.DUMMYFUNCTION("IF(A69="""", """", IF(ISERROR(VLOOKUP(A69, IMPORTRANGE('Survey Progress'!$B$33, ""data!I2:L800""), 1, FALSE)), ""No Survey"", IF(VLOOKUP(A69, IMPORTRANGE('Survey Progress'!$B$33, ""data!I2:L800""), 2, FALSE) = 0, ""Incomplete"", ""Complete"")))"),"")</f>
        <v/>
      </c>
      <c r="D69" s="15" t="str">
        <f>IFERROR(__xludf.DUMMYFUNCTION("IF(A69="""", """", IF(ISERROR(VLOOKUP(A69, IMPORTRANGE('Survey Progress'!$B$34, ""data!I2:L800""), 1, FALSE)), ""No Survey"", IF(VLOOKUP(A69, IMPORTRANGE('Survey Progress'!$B$34, ""data!I2:L800""), 2, FALSE) = 0, ""Incomplete"", ""Complete"")))"),"")</f>
        <v/>
      </c>
      <c r="E69" s="27">
        <f t="shared" si="1"/>
        <v>0</v>
      </c>
      <c r="F69" s="14"/>
    </row>
    <row r="70">
      <c r="A70" s="14"/>
      <c r="B70" s="16" t="str">
        <f>IFERROR(__xludf.DUMMYFUNCTION("IF(ISERROR(VLOOKUP(A70, IMPORTRANGE('Survey Progress'!$B$32, ""data!H2:M800""), 5, FALSE)), """", IF(VLOOKUP(A70, IMPORTRANGE('Survey Progress'!$B$32, ""data!H2:M800""), 5, FALSE) = 1, ""Eligible"", ""Ineligible""))"),"Eligible")</f>
        <v>Eligible</v>
      </c>
      <c r="C70" s="15" t="str">
        <f>IFERROR(__xludf.DUMMYFUNCTION("IF(A70="""", """", IF(ISERROR(VLOOKUP(A70, IMPORTRANGE('Survey Progress'!$B$33, ""data!I2:L800""), 1, FALSE)), ""No Survey"", IF(VLOOKUP(A70, IMPORTRANGE('Survey Progress'!$B$33, ""data!I2:L800""), 2, FALSE) = 0, ""Incomplete"", ""Complete"")))"),"")</f>
        <v/>
      </c>
      <c r="D70" s="15" t="str">
        <f>IFERROR(__xludf.DUMMYFUNCTION("IF(A70="""", """", IF(ISERROR(VLOOKUP(A70, IMPORTRANGE('Survey Progress'!$B$34, ""data!I2:L800""), 1, FALSE)), ""No Survey"", IF(VLOOKUP(A70, IMPORTRANGE('Survey Progress'!$B$34, ""data!I2:L800""), 2, FALSE) = 0, ""Incomplete"", ""Complete"")))"),"")</f>
        <v/>
      </c>
      <c r="E70" s="27">
        <f t="shared" si="1"/>
        <v>0</v>
      </c>
      <c r="F70" s="14"/>
    </row>
    <row r="71">
      <c r="A71" s="14"/>
      <c r="B71" s="16" t="str">
        <f>IFERROR(__xludf.DUMMYFUNCTION("IF(ISERROR(VLOOKUP(A71, IMPORTRANGE('Survey Progress'!$B$32, ""data!H2:M800""), 5, FALSE)), """", IF(VLOOKUP(A71, IMPORTRANGE('Survey Progress'!$B$32, ""data!H2:M800""), 5, FALSE) = 1, ""Eligible"", ""Ineligible""))"),"Eligible")</f>
        <v>Eligible</v>
      </c>
      <c r="C71" s="15" t="str">
        <f>IFERROR(__xludf.DUMMYFUNCTION("IF(A71="""", """", IF(ISERROR(VLOOKUP(A71, IMPORTRANGE('Survey Progress'!$B$33, ""data!I2:L800""), 1, FALSE)), ""No Survey"", IF(VLOOKUP(A71, IMPORTRANGE('Survey Progress'!$B$33, ""data!I2:L800""), 2, FALSE) = 0, ""Incomplete"", ""Complete"")))"),"")</f>
        <v/>
      </c>
      <c r="D71" s="15" t="str">
        <f>IFERROR(__xludf.DUMMYFUNCTION("IF(A71="""", """", IF(ISERROR(VLOOKUP(A71, IMPORTRANGE('Survey Progress'!$B$34, ""data!I2:L800""), 1, FALSE)), ""No Survey"", IF(VLOOKUP(A71, IMPORTRANGE('Survey Progress'!$B$34, ""data!I2:L800""), 2, FALSE) = 0, ""Incomplete"", ""Complete"")))"),"")</f>
        <v/>
      </c>
      <c r="E71" s="27">
        <f t="shared" si="1"/>
        <v>0</v>
      </c>
      <c r="F71" s="14"/>
    </row>
    <row r="72">
      <c r="A72" s="14"/>
      <c r="B72" s="16" t="str">
        <f>IFERROR(__xludf.DUMMYFUNCTION("IF(ISERROR(VLOOKUP(A72, IMPORTRANGE('Survey Progress'!$B$32, ""data!H2:M800""), 5, FALSE)), """", IF(VLOOKUP(A72, IMPORTRANGE('Survey Progress'!$B$32, ""data!H2:M800""), 5, FALSE) = 1, ""Eligible"", ""Ineligible""))"),"Eligible")</f>
        <v>Eligible</v>
      </c>
      <c r="C72" s="15" t="str">
        <f>IFERROR(__xludf.DUMMYFUNCTION("IF(A72="""", """", IF(ISERROR(VLOOKUP(A72, IMPORTRANGE('Survey Progress'!$B$33, ""data!I2:L800""), 1, FALSE)), ""No Survey"", IF(VLOOKUP(A72, IMPORTRANGE('Survey Progress'!$B$33, ""data!I2:L800""), 2, FALSE) = 0, ""Incomplete"", ""Complete"")))"),"")</f>
        <v/>
      </c>
      <c r="D72" s="15" t="str">
        <f>IFERROR(__xludf.DUMMYFUNCTION("IF(A72="""", """", IF(ISERROR(VLOOKUP(A72, IMPORTRANGE('Survey Progress'!$B$34, ""data!I2:L800""), 1, FALSE)), ""No Survey"", IF(VLOOKUP(A72, IMPORTRANGE('Survey Progress'!$B$34, ""data!I2:L800""), 2, FALSE) = 0, ""Incomplete"", ""Complete"")))"),"")</f>
        <v/>
      </c>
      <c r="E72" s="27">
        <f t="shared" si="1"/>
        <v>0</v>
      </c>
      <c r="F72" s="14"/>
    </row>
    <row r="73">
      <c r="A73" s="14"/>
      <c r="B73" s="16" t="str">
        <f>IFERROR(__xludf.DUMMYFUNCTION("IF(ISERROR(VLOOKUP(A73, IMPORTRANGE('Survey Progress'!$B$32, ""data!H2:M800""), 5, FALSE)), """", IF(VLOOKUP(A73, IMPORTRANGE('Survey Progress'!$B$32, ""data!H2:M800""), 5, FALSE) = 1, ""Eligible"", ""Ineligible""))"),"Eligible")</f>
        <v>Eligible</v>
      </c>
      <c r="C73" s="15" t="str">
        <f>IFERROR(__xludf.DUMMYFUNCTION("IF(A73="""", """", IF(ISERROR(VLOOKUP(A73, IMPORTRANGE('Survey Progress'!$B$33, ""data!I2:L800""), 1, FALSE)), ""No Survey"", IF(VLOOKUP(A73, IMPORTRANGE('Survey Progress'!$B$33, ""data!I2:L800""), 2, FALSE) = 0, ""Incomplete"", ""Complete"")))"),"")</f>
        <v/>
      </c>
      <c r="D73" s="15" t="str">
        <f>IFERROR(__xludf.DUMMYFUNCTION("IF(A73="""", """", IF(ISERROR(VLOOKUP(A73, IMPORTRANGE('Survey Progress'!$B$34, ""data!I2:L800""), 1, FALSE)), ""No Survey"", IF(VLOOKUP(A73, IMPORTRANGE('Survey Progress'!$B$34, ""data!I2:L800""), 2, FALSE) = 0, ""Incomplete"", ""Complete"")))"),"")</f>
        <v/>
      </c>
      <c r="E73" s="27">
        <f t="shared" si="1"/>
        <v>0</v>
      </c>
      <c r="F73" s="14"/>
    </row>
    <row r="74">
      <c r="A74" s="14"/>
      <c r="B74" s="16" t="str">
        <f>IFERROR(__xludf.DUMMYFUNCTION("IF(ISERROR(VLOOKUP(A74, IMPORTRANGE('Survey Progress'!$B$32, ""data!H2:M800""), 5, FALSE)), """", IF(VLOOKUP(A74, IMPORTRANGE('Survey Progress'!$B$32, ""data!H2:M800""), 5, FALSE) = 1, ""Eligible"", ""Ineligible""))"),"Eligible")</f>
        <v>Eligible</v>
      </c>
      <c r="C74" s="15" t="str">
        <f>IFERROR(__xludf.DUMMYFUNCTION("IF(A74="""", """", IF(ISERROR(VLOOKUP(A74, IMPORTRANGE('Survey Progress'!$B$33, ""data!I2:L800""), 1, FALSE)), ""No Survey"", IF(VLOOKUP(A74, IMPORTRANGE('Survey Progress'!$B$33, ""data!I2:L800""), 2, FALSE) = 0, ""Incomplete"", ""Complete"")))"),"")</f>
        <v/>
      </c>
      <c r="D74" s="15" t="str">
        <f>IFERROR(__xludf.DUMMYFUNCTION("IF(A74="""", """", IF(ISERROR(VLOOKUP(A74, IMPORTRANGE('Survey Progress'!$B$34, ""data!I2:L800""), 1, FALSE)), ""No Survey"", IF(VLOOKUP(A74, IMPORTRANGE('Survey Progress'!$B$34, ""data!I2:L800""), 2, FALSE) = 0, ""Incomplete"", ""Complete"")))"),"")</f>
        <v/>
      </c>
      <c r="E74" s="27">
        <f t="shared" si="1"/>
        <v>0</v>
      </c>
      <c r="F74" s="14"/>
    </row>
    <row r="75">
      <c r="A75" s="14"/>
      <c r="B75" s="16" t="str">
        <f>IFERROR(__xludf.DUMMYFUNCTION("IF(ISERROR(VLOOKUP(A75, IMPORTRANGE('Survey Progress'!$B$32, ""data!H2:M800""), 5, FALSE)), """", IF(VLOOKUP(A75, IMPORTRANGE('Survey Progress'!$B$32, ""data!H2:M800""), 5, FALSE) = 1, ""Eligible"", ""Ineligible""))"),"Eligible")</f>
        <v>Eligible</v>
      </c>
      <c r="C75" s="15" t="str">
        <f>IFERROR(__xludf.DUMMYFUNCTION("IF(A75="""", """", IF(ISERROR(VLOOKUP(A75, IMPORTRANGE('Survey Progress'!$B$33, ""data!I2:L800""), 1, FALSE)), ""No Survey"", IF(VLOOKUP(A75, IMPORTRANGE('Survey Progress'!$B$33, ""data!I2:L800""), 2, FALSE) = 0, ""Incomplete"", ""Complete"")))"),"")</f>
        <v/>
      </c>
      <c r="D75" s="15" t="str">
        <f>IFERROR(__xludf.DUMMYFUNCTION("IF(A75="""", """", IF(ISERROR(VLOOKUP(A75, IMPORTRANGE('Survey Progress'!$B$34, ""data!I2:L800""), 1, FALSE)), ""No Survey"", IF(VLOOKUP(A75, IMPORTRANGE('Survey Progress'!$B$34, ""data!I2:L800""), 2, FALSE) = 0, ""Incomplete"", ""Complete"")))"),"")</f>
        <v/>
      </c>
      <c r="E75" s="27">
        <f t="shared" si="1"/>
        <v>0</v>
      </c>
      <c r="F75" s="14"/>
    </row>
    <row r="76">
      <c r="A76" s="14"/>
      <c r="B76" s="16" t="str">
        <f>IFERROR(__xludf.DUMMYFUNCTION("IF(ISERROR(VLOOKUP(A76, IMPORTRANGE('Survey Progress'!$B$32, ""data!H2:M800""), 5, FALSE)), """", IF(VLOOKUP(A76, IMPORTRANGE('Survey Progress'!$B$32, ""data!H2:M800""), 5, FALSE) = 1, ""Eligible"", ""Ineligible""))"),"Eligible")</f>
        <v>Eligible</v>
      </c>
      <c r="C76" s="15" t="str">
        <f>IFERROR(__xludf.DUMMYFUNCTION("IF(A76="""", """", IF(ISERROR(VLOOKUP(A76, IMPORTRANGE('Survey Progress'!$B$33, ""data!I2:L800""), 1, FALSE)), ""No Survey"", IF(VLOOKUP(A76, IMPORTRANGE('Survey Progress'!$B$33, ""data!I2:L800""), 2, FALSE) = 0, ""Incomplete"", ""Complete"")))"),"")</f>
        <v/>
      </c>
      <c r="D76" s="15" t="str">
        <f>IFERROR(__xludf.DUMMYFUNCTION("IF(A76="""", """", IF(ISERROR(VLOOKUP(A76, IMPORTRANGE('Survey Progress'!$B$34, ""data!I2:L800""), 1, FALSE)), ""No Survey"", IF(VLOOKUP(A76, IMPORTRANGE('Survey Progress'!$B$34, ""data!I2:L800""), 2, FALSE) = 0, ""Incomplete"", ""Complete"")))"),"")</f>
        <v/>
      </c>
      <c r="E76" s="27">
        <f t="shared" si="1"/>
        <v>0</v>
      </c>
      <c r="F76" s="14"/>
    </row>
    <row r="77">
      <c r="A77" s="14"/>
      <c r="B77" s="16" t="str">
        <f>IFERROR(__xludf.DUMMYFUNCTION("IF(ISERROR(VLOOKUP(A77, IMPORTRANGE('Survey Progress'!$B$32, ""data!H2:M800""), 5, FALSE)), """", IF(VLOOKUP(A77, IMPORTRANGE('Survey Progress'!$B$32, ""data!H2:M800""), 5, FALSE) = 1, ""Eligible"", ""Ineligible""))"),"Eligible")</f>
        <v>Eligible</v>
      </c>
      <c r="C77" s="15" t="str">
        <f>IFERROR(__xludf.DUMMYFUNCTION("IF(A77="""", """", IF(ISERROR(VLOOKUP(A77, IMPORTRANGE('Survey Progress'!$B$33, ""data!I2:L800""), 1, FALSE)), ""No Survey"", IF(VLOOKUP(A77, IMPORTRANGE('Survey Progress'!$B$33, ""data!I2:L800""), 2, FALSE) = 0, ""Incomplete"", ""Complete"")))"),"")</f>
        <v/>
      </c>
      <c r="D77" s="15" t="str">
        <f>IFERROR(__xludf.DUMMYFUNCTION("IF(A77="""", """", IF(ISERROR(VLOOKUP(A77, IMPORTRANGE('Survey Progress'!$B$34, ""data!I2:L800""), 1, FALSE)), ""No Survey"", IF(VLOOKUP(A77, IMPORTRANGE('Survey Progress'!$B$34, ""data!I2:L800""), 2, FALSE) = 0, ""Incomplete"", ""Complete"")))"),"")</f>
        <v/>
      </c>
      <c r="E77" s="27">
        <f t="shared" si="1"/>
        <v>0</v>
      </c>
      <c r="F77" s="14"/>
    </row>
    <row r="78">
      <c r="A78" s="14"/>
      <c r="B78" s="16" t="str">
        <f>IFERROR(__xludf.DUMMYFUNCTION("IF(ISERROR(VLOOKUP(A78, IMPORTRANGE('Survey Progress'!$B$32, ""data!H2:M800""), 5, FALSE)), """", IF(VLOOKUP(A78, IMPORTRANGE('Survey Progress'!$B$32, ""data!H2:M800""), 5, FALSE) = 1, ""Eligible"", ""Ineligible""))"),"Eligible")</f>
        <v>Eligible</v>
      </c>
      <c r="C78" s="15" t="str">
        <f>IFERROR(__xludf.DUMMYFUNCTION("IF(A78="""", """", IF(ISERROR(VLOOKUP(A78, IMPORTRANGE('Survey Progress'!$B$33, ""data!I2:L800""), 1, FALSE)), ""No Survey"", IF(VLOOKUP(A78, IMPORTRANGE('Survey Progress'!$B$33, ""data!I2:L800""), 2, FALSE) = 0, ""Incomplete"", ""Complete"")))"),"")</f>
        <v/>
      </c>
      <c r="D78" s="15" t="str">
        <f>IFERROR(__xludf.DUMMYFUNCTION("IF(A78="""", """", IF(ISERROR(VLOOKUP(A78, IMPORTRANGE('Survey Progress'!$B$34, ""data!I2:L800""), 1, FALSE)), ""No Survey"", IF(VLOOKUP(A78, IMPORTRANGE('Survey Progress'!$B$34, ""data!I2:L800""), 2, FALSE) = 0, ""Incomplete"", ""Complete"")))"),"")</f>
        <v/>
      </c>
      <c r="E78" s="27">
        <f t="shared" si="1"/>
        <v>0</v>
      </c>
      <c r="F78" s="14"/>
    </row>
    <row r="79">
      <c r="A79" s="14"/>
      <c r="B79" s="16" t="str">
        <f>IFERROR(__xludf.DUMMYFUNCTION("IF(ISERROR(VLOOKUP(A79, IMPORTRANGE('Survey Progress'!$B$32, ""data!H2:M800""), 5, FALSE)), """", IF(VLOOKUP(A79, IMPORTRANGE('Survey Progress'!$B$32, ""data!H2:M800""), 5, FALSE) = 1, ""Eligible"", ""Ineligible""))"),"Eligible")</f>
        <v>Eligible</v>
      </c>
      <c r="C79" s="15" t="str">
        <f>IFERROR(__xludf.DUMMYFUNCTION("IF(A79="""", """", IF(ISERROR(VLOOKUP(A79, IMPORTRANGE('Survey Progress'!$B$33, ""data!I2:L800""), 1, FALSE)), ""No Survey"", IF(VLOOKUP(A79, IMPORTRANGE('Survey Progress'!$B$33, ""data!I2:L800""), 2, FALSE) = 0, ""Incomplete"", ""Complete"")))"),"")</f>
        <v/>
      </c>
      <c r="D79" s="15" t="str">
        <f>IFERROR(__xludf.DUMMYFUNCTION("IF(A79="""", """", IF(ISERROR(VLOOKUP(A79, IMPORTRANGE('Survey Progress'!$B$34, ""data!I2:L800""), 1, FALSE)), ""No Survey"", IF(VLOOKUP(A79, IMPORTRANGE('Survey Progress'!$B$34, ""data!I2:L800""), 2, FALSE) = 0, ""Incomplete"", ""Complete"")))"),"")</f>
        <v/>
      </c>
      <c r="E79" s="27">
        <f t="shared" si="1"/>
        <v>0</v>
      </c>
      <c r="F79" s="14"/>
    </row>
    <row r="80">
      <c r="A80" s="14"/>
      <c r="B80" s="16" t="str">
        <f>IFERROR(__xludf.DUMMYFUNCTION("IF(ISERROR(VLOOKUP(A80, IMPORTRANGE('Survey Progress'!$B$32, ""data!H2:M800""), 5, FALSE)), """", IF(VLOOKUP(A80, IMPORTRANGE('Survey Progress'!$B$32, ""data!H2:M800""), 5, FALSE) = 1, ""Eligible"", ""Ineligible""))"),"Eligible")</f>
        <v>Eligible</v>
      </c>
      <c r="C80" s="15" t="str">
        <f>IFERROR(__xludf.DUMMYFUNCTION("IF(A80="""", """", IF(ISERROR(VLOOKUP(A80, IMPORTRANGE('Survey Progress'!$B$33, ""data!I2:L800""), 1, FALSE)), ""No Survey"", IF(VLOOKUP(A80, IMPORTRANGE('Survey Progress'!$B$33, ""data!I2:L800""), 2, FALSE) = 0, ""Incomplete"", ""Complete"")))"),"")</f>
        <v/>
      </c>
      <c r="D80" s="15" t="str">
        <f>IFERROR(__xludf.DUMMYFUNCTION("IF(A80="""", """", IF(ISERROR(VLOOKUP(A80, IMPORTRANGE('Survey Progress'!$B$34, ""data!I2:L800""), 1, FALSE)), ""No Survey"", IF(VLOOKUP(A80, IMPORTRANGE('Survey Progress'!$B$34, ""data!I2:L800""), 2, FALSE) = 0, ""Incomplete"", ""Complete"")))"),"")</f>
        <v/>
      </c>
      <c r="E80" s="27">
        <f t="shared" si="1"/>
        <v>0</v>
      </c>
      <c r="F80" s="14"/>
    </row>
    <row r="81">
      <c r="A81" s="14"/>
      <c r="B81" s="16" t="str">
        <f>IFERROR(__xludf.DUMMYFUNCTION("IF(ISERROR(VLOOKUP(A81, IMPORTRANGE('Survey Progress'!$B$32, ""data!H2:M800""), 5, FALSE)), """", IF(VLOOKUP(A81, IMPORTRANGE('Survey Progress'!$B$32, ""data!H2:M800""), 5, FALSE) = 1, ""Eligible"", ""Ineligible""))"),"Eligible")</f>
        <v>Eligible</v>
      </c>
      <c r="C81" s="15" t="str">
        <f>IFERROR(__xludf.DUMMYFUNCTION("IF(A81="""", """", IF(ISERROR(VLOOKUP(A81, IMPORTRANGE('Survey Progress'!$B$33, ""data!I2:L800""), 1, FALSE)), ""No Survey"", IF(VLOOKUP(A81, IMPORTRANGE('Survey Progress'!$B$33, ""data!I2:L800""), 2, FALSE) = 0, ""Incomplete"", ""Complete"")))"),"")</f>
        <v/>
      </c>
      <c r="D81" s="15" t="str">
        <f>IFERROR(__xludf.DUMMYFUNCTION("IF(A81="""", """", IF(ISERROR(VLOOKUP(A81, IMPORTRANGE('Survey Progress'!$B$34, ""data!I2:L800""), 1, FALSE)), ""No Survey"", IF(VLOOKUP(A81, IMPORTRANGE('Survey Progress'!$B$34, ""data!I2:L800""), 2, FALSE) = 0, ""Incomplete"", ""Complete"")))"),"")</f>
        <v/>
      </c>
      <c r="E81" s="27">
        <f t="shared" si="1"/>
        <v>0</v>
      </c>
      <c r="F81" s="14"/>
    </row>
    <row r="82">
      <c r="A82" s="14"/>
      <c r="B82" s="16" t="str">
        <f>IFERROR(__xludf.DUMMYFUNCTION("IF(ISERROR(VLOOKUP(A82, IMPORTRANGE('Survey Progress'!$B$32, ""data!H2:M800""), 5, FALSE)), """", IF(VLOOKUP(A82, IMPORTRANGE('Survey Progress'!$B$32, ""data!H2:M800""), 5, FALSE) = 1, ""Eligible"", ""Ineligible""))"),"Eligible")</f>
        <v>Eligible</v>
      </c>
      <c r="C82" s="15" t="str">
        <f>IFERROR(__xludf.DUMMYFUNCTION("IF(A82="""", """", IF(ISERROR(VLOOKUP(A82, IMPORTRANGE('Survey Progress'!$B$33, ""data!I2:L800""), 1, FALSE)), ""No Survey"", IF(VLOOKUP(A82, IMPORTRANGE('Survey Progress'!$B$33, ""data!I2:L800""), 2, FALSE) = 0, ""Incomplete"", ""Complete"")))"),"")</f>
        <v/>
      </c>
      <c r="D82" s="15" t="str">
        <f>IFERROR(__xludf.DUMMYFUNCTION("IF(A82="""", """", IF(ISERROR(VLOOKUP(A82, IMPORTRANGE('Survey Progress'!$B$34, ""data!I2:L800""), 1, FALSE)), ""No Survey"", IF(VLOOKUP(A82, IMPORTRANGE('Survey Progress'!$B$34, ""data!I2:L800""), 2, FALSE) = 0, ""Incomplete"", ""Complete"")))"),"")</f>
        <v/>
      </c>
      <c r="E82" s="27">
        <f t="shared" si="1"/>
        <v>0</v>
      </c>
      <c r="F82" s="14"/>
    </row>
    <row r="83">
      <c r="A83" s="14"/>
      <c r="B83" s="16" t="str">
        <f>IFERROR(__xludf.DUMMYFUNCTION("IF(ISERROR(VLOOKUP(A83, IMPORTRANGE('Survey Progress'!$B$32, ""data!H2:M800""), 5, FALSE)), """", IF(VLOOKUP(A83, IMPORTRANGE('Survey Progress'!$B$32, ""data!H2:M800""), 5, FALSE) = 1, ""Eligible"", ""Ineligible""))"),"Eligible")</f>
        <v>Eligible</v>
      </c>
      <c r="C83" s="15" t="str">
        <f>IFERROR(__xludf.DUMMYFUNCTION("IF(A83="""", """", IF(ISERROR(VLOOKUP(A83, IMPORTRANGE('Survey Progress'!$B$33, ""data!I2:L800""), 1, FALSE)), ""No Survey"", IF(VLOOKUP(A83, IMPORTRANGE('Survey Progress'!$B$33, ""data!I2:L800""), 2, FALSE) = 0, ""Incomplete"", ""Complete"")))"),"")</f>
        <v/>
      </c>
      <c r="D83" s="15" t="str">
        <f>IFERROR(__xludf.DUMMYFUNCTION("IF(A83="""", """", IF(ISERROR(VLOOKUP(A83, IMPORTRANGE('Survey Progress'!$B$34, ""data!I2:L800""), 1, FALSE)), ""No Survey"", IF(VLOOKUP(A83, IMPORTRANGE('Survey Progress'!$B$34, ""data!I2:L800""), 2, FALSE) = 0, ""Incomplete"", ""Complete"")))"),"")</f>
        <v/>
      </c>
      <c r="E83" s="27">
        <f t="shared" si="1"/>
        <v>0</v>
      </c>
      <c r="F83" s="14"/>
    </row>
    <row r="84">
      <c r="A84" s="14"/>
      <c r="B84" s="16" t="str">
        <f>IFERROR(__xludf.DUMMYFUNCTION("IF(ISERROR(VLOOKUP(A84, IMPORTRANGE('Survey Progress'!$B$32, ""data!H2:M800""), 5, FALSE)), """", IF(VLOOKUP(A84, IMPORTRANGE('Survey Progress'!$B$32, ""data!H2:M800""), 5, FALSE) = 1, ""Eligible"", ""Ineligible""))"),"Eligible")</f>
        <v>Eligible</v>
      </c>
      <c r="C84" s="15" t="str">
        <f>IFERROR(__xludf.DUMMYFUNCTION("IF(A84="""", """", IF(ISERROR(VLOOKUP(A84, IMPORTRANGE('Survey Progress'!$B$33, ""data!I2:L800""), 1, FALSE)), ""No Survey"", IF(VLOOKUP(A84, IMPORTRANGE('Survey Progress'!$B$33, ""data!I2:L800""), 2, FALSE) = 0, ""Incomplete"", ""Complete"")))"),"")</f>
        <v/>
      </c>
      <c r="D84" s="15" t="str">
        <f>IFERROR(__xludf.DUMMYFUNCTION("IF(A84="""", """", IF(ISERROR(VLOOKUP(A84, IMPORTRANGE('Survey Progress'!$B$34, ""data!I2:L800""), 1, FALSE)), ""No Survey"", IF(VLOOKUP(A84, IMPORTRANGE('Survey Progress'!$B$34, ""data!I2:L800""), 2, FALSE) = 0, ""Incomplete"", ""Complete"")))"),"")</f>
        <v/>
      </c>
      <c r="E84" s="27">
        <f t="shared" si="1"/>
        <v>0</v>
      </c>
      <c r="F84" s="14"/>
    </row>
    <row r="85">
      <c r="A85" s="14"/>
      <c r="B85" s="16" t="str">
        <f>IFERROR(__xludf.DUMMYFUNCTION("IF(ISERROR(VLOOKUP(A85, IMPORTRANGE('Survey Progress'!$B$32, ""data!H2:M800""), 5, FALSE)), """", IF(VLOOKUP(A85, IMPORTRANGE('Survey Progress'!$B$32, ""data!H2:M800""), 5, FALSE) = 1, ""Eligible"", ""Ineligible""))"),"Eligible")</f>
        <v>Eligible</v>
      </c>
      <c r="C85" s="15" t="str">
        <f>IFERROR(__xludf.DUMMYFUNCTION("IF(A85="""", """", IF(ISERROR(VLOOKUP(A85, IMPORTRANGE('Survey Progress'!$B$33, ""data!I2:L800""), 1, FALSE)), ""No Survey"", IF(VLOOKUP(A85, IMPORTRANGE('Survey Progress'!$B$33, ""data!I2:L800""), 2, FALSE) = 0, ""Incomplete"", ""Complete"")))"),"")</f>
        <v/>
      </c>
      <c r="D85" s="15" t="str">
        <f>IFERROR(__xludf.DUMMYFUNCTION("IF(A85="""", """", IF(ISERROR(VLOOKUP(A85, IMPORTRANGE('Survey Progress'!$B$34, ""data!I2:L800""), 1, FALSE)), ""No Survey"", IF(VLOOKUP(A85, IMPORTRANGE('Survey Progress'!$B$34, ""data!I2:L800""), 2, FALSE) = 0, ""Incomplete"", ""Complete"")))"),"")</f>
        <v/>
      </c>
      <c r="E85" s="27">
        <f t="shared" si="1"/>
        <v>0</v>
      </c>
      <c r="F85" s="14"/>
    </row>
    <row r="86">
      <c r="A86" s="14"/>
      <c r="B86" s="16" t="str">
        <f>IFERROR(__xludf.DUMMYFUNCTION("IF(ISERROR(VLOOKUP(A86, IMPORTRANGE('Survey Progress'!$B$32, ""data!H2:M800""), 5, FALSE)), """", IF(VLOOKUP(A86, IMPORTRANGE('Survey Progress'!$B$32, ""data!H2:M800""), 5, FALSE) = 1, ""Eligible"", ""Ineligible""))"),"Eligible")</f>
        <v>Eligible</v>
      </c>
      <c r="C86" s="15" t="str">
        <f>IFERROR(__xludf.DUMMYFUNCTION("IF(A86="""", """", IF(ISERROR(VLOOKUP(A86, IMPORTRANGE('Survey Progress'!$B$33, ""data!I2:L800""), 1, FALSE)), ""No Survey"", IF(VLOOKUP(A86, IMPORTRANGE('Survey Progress'!$B$33, ""data!I2:L800""), 2, FALSE) = 0, ""Incomplete"", ""Complete"")))"),"")</f>
        <v/>
      </c>
      <c r="D86" s="15" t="str">
        <f>IFERROR(__xludf.DUMMYFUNCTION("IF(A86="""", """", IF(ISERROR(VLOOKUP(A86, IMPORTRANGE('Survey Progress'!$B$34, ""data!I2:L800""), 1, FALSE)), ""No Survey"", IF(VLOOKUP(A86, IMPORTRANGE('Survey Progress'!$B$34, ""data!I2:L800""), 2, FALSE) = 0, ""Incomplete"", ""Complete"")))"),"")</f>
        <v/>
      </c>
      <c r="E86" s="27">
        <f t="shared" si="1"/>
        <v>0</v>
      </c>
      <c r="F86" s="14"/>
    </row>
    <row r="87">
      <c r="A87" s="14"/>
      <c r="B87" s="16" t="str">
        <f>IFERROR(__xludf.DUMMYFUNCTION("IF(ISERROR(VLOOKUP(A87, IMPORTRANGE('Survey Progress'!$B$32, ""data!H2:M800""), 5, FALSE)), """", IF(VLOOKUP(A87, IMPORTRANGE('Survey Progress'!$B$32, ""data!H2:M800""), 5, FALSE) = 1, ""Eligible"", ""Ineligible""))"),"Eligible")</f>
        <v>Eligible</v>
      </c>
      <c r="C87" s="15" t="str">
        <f>IFERROR(__xludf.DUMMYFUNCTION("IF(A87="""", """", IF(ISERROR(VLOOKUP(A87, IMPORTRANGE('Survey Progress'!$B$33, ""data!I2:L800""), 1, FALSE)), ""No Survey"", IF(VLOOKUP(A87, IMPORTRANGE('Survey Progress'!$B$33, ""data!I2:L800""), 2, FALSE) = 0, ""Incomplete"", ""Complete"")))"),"")</f>
        <v/>
      </c>
      <c r="D87" s="15" t="str">
        <f>IFERROR(__xludf.DUMMYFUNCTION("IF(A87="""", """", IF(ISERROR(VLOOKUP(A87, IMPORTRANGE('Survey Progress'!$B$34, ""data!I2:L800""), 1, FALSE)), ""No Survey"", IF(VLOOKUP(A87, IMPORTRANGE('Survey Progress'!$B$34, ""data!I2:L800""), 2, FALSE) = 0, ""Incomplete"", ""Complete"")))"),"")</f>
        <v/>
      </c>
      <c r="E87" s="27">
        <f t="shared" si="1"/>
        <v>0</v>
      </c>
      <c r="F87" s="14"/>
    </row>
    <row r="88">
      <c r="A88" s="14"/>
      <c r="B88" s="16" t="str">
        <f>IFERROR(__xludf.DUMMYFUNCTION("IF(ISERROR(VLOOKUP(A88, IMPORTRANGE('Survey Progress'!$B$32, ""data!H2:M800""), 5, FALSE)), """", IF(VLOOKUP(A88, IMPORTRANGE('Survey Progress'!$B$32, ""data!H2:M800""), 5, FALSE) = 1, ""Eligible"", ""Ineligible""))"),"Eligible")</f>
        <v>Eligible</v>
      </c>
      <c r="C88" s="15" t="str">
        <f>IFERROR(__xludf.DUMMYFUNCTION("IF(A88="""", """", IF(ISERROR(VLOOKUP(A88, IMPORTRANGE('Survey Progress'!$B$33, ""data!I2:L800""), 1, FALSE)), ""No Survey"", IF(VLOOKUP(A88, IMPORTRANGE('Survey Progress'!$B$33, ""data!I2:L800""), 2, FALSE) = 0, ""Incomplete"", ""Complete"")))"),"")</f>
        <v/>
      </c>
      <c r="D88" s="15" t="str">
        <f>IFERROR(__xludf.DUMMYFUNCTION("IF(A88="""", """", IF(ISERROR(VLOOKUP(A88, IMPORTRANGE('Survey Progress'!$B$34, ""data!I2:L800""), 1, FALSE)), ""No Survey"", IF(VLOOKUP(A88, IMPORTRANGE('Survey Progress'!$B$34, ""data!I2:L800""), 2, FALSE) = 0, ""Incomplete"", ""Complete"")))"),"")</f>
        <v/>
      </c>
      <c r="E88" s="27">
        <f t="shared" si="1"/>
        <v>0</v>
      </c>
      <c r="F88" s="14"/>
    </row>
    <row r="89">
      <c r="A89" s="14"/>
      <c r="B89" s="16" t="str">
        <f>IFERROR(__xludf.DUMMYFUNCTION("IF(ISERROR(VLOOKUP(A89, IMPORTRANGE('Survey Progress'!$B$32, ""data!H2:M800""), 5, FALSE)), """", IF(VLOOKUP(A89, IMPORTRANGE('Survey Progress'!$B$32, ""data!H2:M800""), 5, FALSE) = 1, ""Eligible"", ""Ineligible""))"),"Eligible")</f>
        <v>Eligible</v>
      </c>
      <c r="C89" s="15" t="str">
        <f>IFERROR(__xludf.DUMMYFUNCTION("IF(A89="""", """", IF(ISERROR(VLOOKUP(A89, IMPORTRANGE('Survey Progress'!$B$33, ""data!I2:L800""), 1, FALSE)), ""No Survey"", IF(VLOOKUP(A89, IMPORTRANGE('Survey Progress'!$B$33, ""data!I2:L800""), 2, FALSE) = 0, ""Incomplete"", ""Complete"")))"),"")</f>
        <v/>
      </c>
      <c r="D89" s="15" t="str">
        <f>IFERROR(__xludf.DUMMYFUNCTION("IF(A89="""", """", IF(ISERROR(VLOOKUP(A89, IMPORTRANGE('Survey Progress'!$B$34, ""data!I2:L800""), 1, FALSE)), ""No Survey"", IF(VLOOKUP(A89, IMPORTRANGE('Survey Progress'!$B$34, ""data!I2:L800""), 2, FALSE) = 0, ""Incomplete"", ""Complete"")))"),"")</f>
        <v/>
      </c>
      <c r="E89" s="27">
        <f t="shared" si="1"/>
        <v>0</v>
      </c>
      <c r="F89" s="14"/>
    </row>
    <row r="90">
      <c r="A90" s="14"/>
      <c r="B90" s="16" t="str">
        <f>IFERROR(__xludf.DUMMYFUNCTION("IF(ISERROR(VLOOKUP(A90, IMPORTRANGE('Survey Progress'!$B$32, ""data!H2:M800""), 5, FALSE)), """", IF(VLOOKUP(A90, IMPORTRANGE('Survey Progress'!$B$32, ""data!H2:M800""), 5, FALSE) = 1, ""Eligible"", ""Ineligible""))"),"Eligible")</f>
        <v>Eligible</v>
      </c>
      <c r="C90" s="15" t="str">
        <f>IFERROR(__xludf.DUMMYFUNCTION("IF(A90="""", """", IF(ISERROR(VLOOKUP(A90, IMPORTRANGE('Survey Progress'!$B$33, ""data!I2:L800""), 1, FALSE)), ""No Survey"", IF(VLOOKUP(A90, IMPORTRANGE('Survey Progress'!$B$33, ""data!I2:L800""), 2, FALSE) = 0, ""Incomplete"", ""Complete"")))"),"")</f>
        <v/>
      </c>
      <c r="D90" s="15" t="str">
        <f>IFERROR(__xludf.DUMMYFUNCTION("IF(A90="""", """", IF(ISERROR(VLOOKUP(A90, IMPORTRANGE('Survey Progress'!$B$34, ""data!I2:L800""), 1, FALSE)), ""No Survey"", IF(VLOOKUP(A90, IMPORTRANGE('Survey Progress'!$B$34, ""data!I2:L800""), 2, FALSE) = 0, ""Incomplete"", ""Complete"")))"),"")</f>
        <v/>
      </c>
      <c r="E90" s="27">
        <f t="shared" si="1"/>
        <v>0</v>
      </c>
      <c r="F90" s="14"/>
    </row>
    <row r="91">
      <c r="A91" s="14"/>
      <c r="B91" s="16" t="str">
        <f>IFERROR(__xludf.DUMMYFUNCTION("IF(ISERROR(VLOOKUP(A91, IMPORTRANGE('Survey Progress'!$B$32, ""data!H2:M800""), 5, FALSE)), """", IF(VLOOKUP(A91, IMPORTRANGE('Survey Progress'!$B$32, ""data!H2:M800""), 5, FALSE) = 1, ""Eligible"", ""Ineligible""))"),"Eligible")</f>
        <v>Eligible</v>
      </c>
      <c r="C91" s="15" t="str">
        <f>IFERROR(__xludf.DUMMYFUNCTION("IF(A91="""", """", IF(ISERROR(VLOOKUP(A91, IMPORTRANGE('Survey Progress'!$B$33, ""data!I2:L800""), 1, FALSE)), ""No Survey"", IF(VLOOKUP(A91, IMPORTRANGE('Survey Progress'!$B$33, ""data!I2:L800""), 2, FALSE) = 0, ""Incomplete"", ""Complete"")))"),"")</f>
        <v/>
      </c>
      <c r="D91" s="15" t="str">
        <f>IFERROR(__xludf.DUMMYFUNCTION("IF(A91="""", """", IF(ISERROR(VLOOKUP(A91, IMPORTRANGE('Survey Progress'!$B$34, ""data!I2:L800""), 1, FALSE)), ""No Survey"", IF(VLOOKUP(A91, IMPORTRANGE('Survey Progress'!$B$34, ""data!I2:L800""), 2, FALSE) = 0, ""Incomplete"", ""Complete"")))"),"")</f>
        <v/>
      </c>
      <c r="E91" s="27">
        <f t="shared" si="1"/>
        <v>0</v>
      </c>
      <c r="F91" s="14"/>
    </row>
    <row r="92">
      <c r="A92" s="14"/>
      <c r="B92" s="16" t="str">
        <f>IFERROR(__xludf.DUMMYFUNCTION("IF(ISERROR(VLOOKUP(A92, IMPORTRANGE('Survey Progress'!$B$32, ""data!H2:M800""), 5, FALSE)), """", IF(VLOOKUP(A92, IMPORTRANGE('Survey Progress'!$B$32, ""data!H2:M800""), 5, FALSE) = 1, ""Eligible"", ""Ineligible""))"),"Eligible")</f>
        <v>Eligible</v>
      </c>
      <c r="C92" s="15" t="str">
        <f>IFERROR(__xludf.DUMMYFUNCTION("IF(A92="""", """", IF(ISERROR(VLOOKUP(A92, IMPORTRANGE('Survey Progress'!$B$33, ""data!I2:L800""), 1, FALSE)), ""No Survey"", IF(VLOOKUP(A92, IMPORTRANGE('Survey Progress'!$B$33, ""data!I2:L800""), 2, FALSE) = 0, ""Incomplete"", ""Complete"")))"),"")</f>
        <v/>
      </c>
      <c r="D92" s="15" t="str">
        <f>IFERROR(__xludf.DUMMYFUNCTION("IF(A92="""", """", IF(ISERROR(VLOOKUP(A92, IMPORTRANGE('Survey Progress'!$B$34, ""data!I2:L800""), 1, FALSE)), ""No Survey"", IF(VLOOKUP(A92, IMPORTRANGE('Survey Progress'!$B$34, ""data!I2:L800""), 2, FALSE) = 0, ""Incomplete"", ""Complete"")))"),"")</f>
        <v/>
      </c>
      <c r="E92" s="27">
        <f t="shared" si="1"/>
        <v>0</v>
      </c>
      <c r="F92" s="14"/>
    </row>
    <row r="93">
      <c r="A93" s="14"/>
      <c r="B93" s="16" t="str">
        <f>IFERROR(__xludf.DUMMYFUNCTION("IF(ISERROR(VLOOKUP(A93, IMPORTRANGE('Survey Progress'!$B$32, ""data!H2:M800""), 5, FALSE)), """", IF(VLOOKUP(A93, IMPORTRANGE('Survey Progress'!$B$32, ""data!H2:M800""), 5, FALSE) = 1, ""Eligible"", ""Ineligible""))"),"Eligible")</f>
        <v>Eligible</v>
      </c>
      <c r="C93" s="15" t="str">
        <f>IFERROR(__xludf.DUMMYFUNCTION("IF(A93="""", """", IF(ISERROR(VLOOKUP(A93, IMPORTRANGE('Survey Progress'!$B$33, ""data!I2:L800""), 1, FALSE)), ""No Survey"", IF(VLOOKUP(A93, IMPORTRANGE('Survey Progress'!$B$33, ""data!I2:L800""), 2, FALSE) = 0, ""Incomplete"", ""Complete"")))"),"")</f>
        <v/>
      </c>
      <c r="D93" s="15" t="str">
        <f>IFERROR(__xludf.DUMMYFUNCTION("IF(A93="""", """", IF(ISERROR(VLOOKUP(A93, IMPORTRANGE('Survey Progress'!$B$34, ""data!I2:L800""), 1, FALSE)), ""No Survey"", IF(VLOOKUP(A93, IMPORTRANGE('Survey Progress'!$B$34, ""data!I2:L800""), 2, FALSE) = 0, ""Incomplete"", ""Complete"")))"),"")</f>
        <v/>
      </c>
      <c r="E93" s="27">
        <f t="shared" si="1"/>
        <v>0</v>
      </c>
      <c r="F93" s="14"/>
    </row>
    <row r="94">
      <c r="A94" s="14"/>
      <c r="B94" s="16" t="str">
        <f>IFERROR(__xludf.DUMMYFUNCTION("IF(ISERROR(VLOOKUP(A94, IMPORTRANGE('Survey Progress'!$B$32, ""data!H2:M800""), 5, FALSE)), """", IF(VLOOKUP(A94, IMPORTRANGE('Survey Progress'!$B$32, ""data!H2:M800""), 5, FALSE) = 1, ""Eligible"", ""Ineligible""))"),"Eligible")</f>
        <v>Eligible</v>
      </c>
      <c r="C94" s="15" t="str">
        <f>IFERROR(__xludf.DUMMYFUNCTION("IF(A94="""", """", IF(ISERROR(VLOOKUP(A94, IMPORTRANGE('Survey Progress'!$B$33, ""data!I2:L800""), 1, FALSE)), ""No Survey"", IF(VLOOKUP(A94, IMPORTRANGE('Survey Progress'!$B$33, ""data!I2:L800""), 2, FALSE) = 0, ""Incomplete"", ""Complete"")))"),"")</f>
        <v/>
      </c>
      <c r="D94" s="15" t="str">
        <f>IFERROR(__xludf.DUMMYFUNCTION("IF(A94="""", """", IF(ISERROR(VLOOKUP(A94, IMPORTRANGE('Survey Progress'!$B$34, ""data!I2:L800""), 1, FALSE)), ""No Survey"", IF(VLOOKUP(A94, IMPORTRANGE('Survey Progress'!$B$34, ""data!I2:L800""), 2, FALSE) = 0, ""Incomplete"", ""Complete"")))"),"")</f>
        <v/>
      </c>
      <c r="E94" s="27">
        <f t="shared" si="1"/>
        <v>0</v>
      </c>
      <c r="F94" s="14"/>
    </row>
    <row r="95">
      <c r="A95" s="14"/>
      <c r="B95" s="16" t="str">
        <f>IFERROR(__xludf.DUMMYFUNCTION("IF(ISERROR(VLOOKUP(A95, IMPORTRANGE('Survey Progress'!$B$32, ""data!H2:M800""), 5, FALSE)), """", IF(VLOOKUP(A95, IMPORTRANGE('Survey Progress'!$B$32, ""data!H2:M800""), 5, FALSE) = 1, ""Eligible"", ""Ineligible""))"),"Eligible")</f>
        <v>Eligible</v>
      </c>
      <c r="C95" s="15" t="str">
        <f>IFERROR(__xludf.DUMMYFUNCTION("IF(A95="""", """", IF(ISERROR(VLOOKUP(A95, IMPORTRANGE('Survey Progress'!$B$33, ""data!I2:L800""), 1, FALSE)), ""No Survey"", IF(VLOOKUP(A95, IMPORTRANGE('Survey Progress'!$B$33, ""data!I2:L800""), 2, FALSE) = 0, ""Incomplete"", ""Complete"")))"),"")</f>
        <v/>
      </c>
      <c r="D95" s="15" t="str">
        <f>IFERROR(__xludf.DUMMYFUNCTION("IF(A95="""", """", IF(ISERROR(VLOOKUP(A95, IMPORTRANGE('Survey Progress'!$B$34, ""data!I2:L800""), 1, FALSE)), ""No Survey"", IF(VLOOKUP(A95, IMPORTRANGE('Survey Progress'!$B$34, ""data!I2:L800""), 2, FALSE) = 0, ""Incomplete"", ""Complete"")))"),"")</f>
        <v/>
      </c>
      <c r="E95" s="27">
        <f t="shared" si="1"/>
        <v>0</v>
      </c>
      <c r="F95" s="14"/>
    </row>
    <row r="96">
      <c r="A96" s="14"/>
      <c r="B96" s="16" t="str">
        <f>IFERROR(__xludf.DUMMYFUNCTION("IF(ISERROR(VLOOKUP(A96, IMPORTRANGE('Survey Progress'!$B$32, ""data!H2:M800""), 5, FALSE)), """", IF(VLOOKUP(A96, IMPORTRANGE('Survey Progress'!$B$32, ""data!H2:M800""), 5, FALSE) = 1, ""Eligible"", ""Ineligible""))"),"Eligible")</f>
        <v>Eligible</v>
      </c>
      <c r="C96" s="15" t="str">
        <f>IFERROR(__xludf.DUMMYFUNCTION("IF(A96="""", """", IF(ISERROR(VLOOKUP(A96, IMPORTRANGE('Survey Progress'!$B$33, ""data!I2:L800""), 1, FALSE)), ""No Survey"", IF(VLOOKUP(A96, IMPORTRANGE('Survey Progress'!$B$33, ""data!I2:L800""), 2, FALSE) = 0, ""Incomplete"", ""Complete"")))"),"")</f>
        <v/>
      </c>
      <c r="D96" s="15" t="str">
        <f>IFERROR(__xludf.DUMMYFUNCTION("IF(A96="""", """", IF(ISERROR(VLOOKUP(A96, IMPORTRANGE('Survey Progress'!$B$34, ""data!I2:L800""), 1, FALSE)), ""No Survey"", IF(VLOOKUP(A96, IMPORTRANGE('Survey Progress'!$B$34, ""data!I2:L800""), 2, FALSE) = 0, ""Incomplete"", ""Complete"")))"),"")</f>
        <v/>
      </c>
      <c r="E96" s="27">
        <f t="shared" si="1"/>
        <v>0</v>
      </c>
      <c r="F96" s="14"/>
    </row>
    <row r="97">
      <c r="A97" s="14"/>
      <c r="B97" s="16" t="str">
        <f>IFERROR(__xludf.DUMMYFUNCTION("IF(ISERROR(VLOOKUP(A97, IMPORTRANGE('Survey Progress'!$B$32, ""data!H2:M800""), 5, FALSE)), """", IF(VLOOKUP(A97, IMPORTRANGE('Survey Progress'!$B$32, ""data!H2:M800""), 5, FALSE) = 1, ""Eligible"", ""Ineligible""))"),"Eligible")</f>
        <v>Eligible</v>
      </c>
      <c r="C97" s="15" t="str">
        <f>IFERROR(__xludf.DUMMYFUNCTION("IF(A97="""", """", IF(ISERROR(VLOOKUP(A97, IMPORTRANGE('Survey Progress'!$B$33, ""data!I2:L800""), 1, FALSE)), ""No Survey"", IF(VLOOKUP(A97, IMPORTRANGE('Survey Progress'!$B$33, ""data!I2:L800""), 2, FALSE) = 0, ""Incomplete"", ""Complete"")))"),"")</f>
        <v/>
      </c>
      <c r="D97" s="15" t="str">
        <f>IFERROR(__xludf.DUMMYFUNCTION("IF(A97="""", """", IF(ISERROR(VLOOKUP(A97, IMPORTRANGE('Survey Progress'!$B$34, ""data!I2:L800""), 1, FALSE)), ""No Survey"", IF(VLOOKUP(A97, IMPORTRANGE('Survey Progress'!$B$34, ""data!I2:L800""), 2, FALSE) = 0, ""Incomplete"", ""Complete"")))"),"")</f>
        <v/>
      </c>
      <c r="E97" s="27">
        <f t="shared" si="1"/>
        <v>0</v>
      </c>
      <c r="F97" s="14"/>
    </row>
    <row r="98">
      <c r="A98" s="14"/>
      <c r="B98" s="16" t="str">
        <f>IFERROR(__xludf.DUMMYFUNCTION("IF(ISERROR(VLOOKUP(A98, IMPORTRANGE('Survey Progress'!$B$32, ""data!H2:M800""), 5, FALSE)), """", IF(VLOOKUP(A98, IMPORTRANGE('Survey Progress'!$B$32, ""data!H2:M800""), 5, FALSE) = 1, ""Eligible"", ""Ineligible""))"),"Eligible")</f>
        <v>Eligible</v>
      </c>
      <c r="C98" s="15" t="str">
        <f>IFERROR(__xludf.DUMMYFUNCTION("IF(A98="""", """", IF(ISERROR(VLOOKUP(A98, IMPORTRANGE('Survey Progress'!$B$33, ""data!I2:L800""), 1, FALSE)), ""No Survey"", IF(VLOOKUP(A98, IMPORTRANGE('Survey Progress'!$B$33, ""data!I2:L800""), 2, FALSE) = 0, ""Incomplete"", ""Complete"")))"),"")</f>
        <v/>
      </c>
      <c r="D98" s="15" t="str">
        <f>IFERROR(__xludf.DUMMYFUNCTION("IF(A98="""", """", IF(ISERROR(VLOOKUP(A98, IMPORTRANGE('Survey Progress'!$B$34, ""data!I2:L800""), 1, FALSE)), ""No Survey"", IF(VLOOKUP(A98, IMPORTRANGE('Survey Progress'!$B$34, ""data!I2:L800""), 2, FALSE) = 0, ""Incomplete"", ""Complete"")))"),"")</f>
        <v/>
      </c>
      <c r="E98" s="27">
        <f t="shared" si="1"/>
        <v>0</v>
      </c>
      <c r="F98" s="14"/>
    </row>
    <row r="99">
      <c r="A99" s="14"/>
      <c r="B99" s="16" t="str">
        <f>IFERROR(__xludf.DUMMYFUNCTION("IF(ISERROR(VLOOKUP(A99, IMPORTRANGE('Survey Progress'!$B$32, ""data!H2:M800""), 5, FALSE)), """", IF(VLOOKUP(A99, IMPORTRANGE('Survey Progress'!$B$32, ""data!H2:M800""), 5, FALSE) = 1, ""Eligible"", ""Ineligible""))"),"Eligible")</f>
        <v>Eligible</v>
      </c>
      <c r="C99" s="15" t="str">
        <f>IFERROR(__xludf.DUMMYFUNCTION("IF(A99="""", """", IF(ISERROR(VLOOKUP(A99, IMPORTRANGE('Survey Progress'!$B$33, ""data!I2:L800""), 1, FALSE)), ""No Survey"", IF(VLOOKUP(A99, IMPORTRANGE('Survey Progress'!$B$33, ""data!I2:L800""), 2, FALSE) = 0, ""Incomplete"", ""Complete"")))"),"")</f>
        <v/>
      </c>
      <c r="D99" s="15" t="str">
        <f>IFERROR(__xludf.DUMMYFUNCTION("IF(A99="""", """", IF(ISERROR(VLOOKUP(A99, IMPORTRANGE('Survey Progress'!$B$34, ""data!I2:L800""), 1, FALSE)), ""No Survey"", IF(VLOOKUP(A99, IMPORTRANGE('Survey Progress'!$B$34, ""data!I2:L800""), 2, FALSE) = 0, ""Incomplete"", ""Complete"")))"),"")</f>
        <v/>
      </c>
      <c r="E99" s="27">
        <f t="shared" si="1"/>
        <v>0</v>
      </c>
      <c r="F99" s="14"/>
    </row>
    <row r="100">
      <c r="A100" s="14"/>
      <c r="B100" s="16" t="str">
        <f>IFERROR(__xludf.DUMMYFUNCTION("IF(ISERROR(VLOOKUP(A100, IMPORTRANGE('Survey Progress'!$B$32, ""data!H2:M800""), 5, FALSE)), """", IF(VLOOKUP(A100, IMPORTRANGE('Survey Progress'!$B$32, ""data!H2:M800""), 5, FALSE) = 1, ""Eligible"", ""Ineligible""))"),"Eligible")</f>
        <v>Eligible</v>
      </c>
      <c r="C100" s="15" t="str">
        <f>IFERROR(__xludf.DUMMYFUNCTION("IF(A100="""", """", IF(ISERROR(VLOOKUP(A100, IMPORTRANGE('Survey Progress'!$B$33, ""data!I2:L800""), 1, FALSE)), ""No Survey"", IF(VLOOKUP(A100, IMPORTRANGE('Survey Progress'!$B$33, ""data!I2:L800""), 2, FALSE) = 0, ""Incomplete"", ""Complete"")))"),"")</f>
        <v/>
      </c>
      <c r="D100" s="15" t="str">
        <f>IFERROR(__xludf.DUMMYFUNCTION("IF(A100="""", """", IF(ISERROR(VLOOKUP(A100, IMPORTRANGE('Survey Progress'!$B$34, ""data!I2:L800""), 1, FALSE)), ""No Survey"", IF(VLOOKUP(A100, IMPORTRANGE('Survey Progress'!$B$34, ""data!I2:L800""), 2, FALSE) = 0, ""Incomplete"", ""Complete"")))"),"")</f>
        <v/>
      </c>
      <c r="E100" s="27">
        <f t="shared" si="1"/>
        <v>0</v>
      </c>
      <c r="F100" s="14"/>
    </row>
    <row r="101">
      <c r="A101" s="14"/>
      <c r="B101" s="16" t="str">
        <f>IFERROR(__xludf.DUMMYFUNCTION("IF(ISERROR(VLOOKUP(A101, IMPORTRANGE('Survey Progress'!$B$32, ""data!H2:M800""), 5, FALSE)), """", IF(VLOOKUP(A101, IMPORTRANGE('Survey Progress'!$B$32, ""data!H2:M800""), 5, FALSE) = 1, ""Eligible"", ""Ineligible""))"),"Eligible")</f>
        <v>Eligible</v>
      </c>
      <c r="C101" s="15" t="str">
        <f>IFERROR(__xludf.DUMMYFUNCTION("IF(A101="""", """", IF(ISERROR(VLOOKUP(A101, IMPORTRANGE('Survey Progress'!$B$33, ""data!I2:L800""), 1, FALSE)), ""No Survey"", IF(VLOOKUP(A101, IMPORTRANGE('Survey Progress'!$B$33, ""data!I2:L800""), 2, FALSE) = 0, ""Incomplete"", ""Complete"")))"),"")</f>
        <v/>
      </c>
      <c r="D101" s="15" t="str">
        <f>IFERROR(__xludf.DUMMYFUNCTION("IF(A101="""", """", IF(ISERROR(VLOOKUP(A101, IMPORTRANGE('Survey Progress'!$B$34, ""data!I2:L800""), 1, FALSE)), ""No Survey"", IF(VLOOKUP(A101, IMPORTRANGE('Survey Progress'!$B$34, ""data!I2:L800""), 2, FALSE) = 0, ""Incomplete"", ""Complete"")))"),"")</f>
        <v/>
      </c>
      <c r="E101" s="27">
        <f t="shared" si="1"/>
        <v>0</v>
      </c>
      <c r="F101" s="14"/>
    </row>
    <row r="102">
      <c r="A102" s="14"/>
      <c r="B102" s="16" t="str">
        <f>IFERROR(__xludf.DUMMYFUNCTION("IF(ISERROR(VLOOKUP(A102, IMPORTRANGE('Survey Progress'!$B$32, ""data!H2:M800""), 5, FALSE)), """", IF(VLOOKUP(A102, IMPORTRANGE('Survey Progress'!$B$32, ""data!H2:M800""), 5, FALSE) = 1, ""Eligible"", ""Ineligible""))"),"Eligible")</f>
        <v>Eligible</v>
      </c>
      <c r="C102" s="15" t="str">
        <f>IFERROR(__xludf.DUMMYFUNCTION("IF(A102="""", """", IF(ISERROR(VLOOKUP(A102, IMPORTRANGE('Survey Progress'!$B$33, ""data!I2:L800""), 1, FALSE)), ""No Survey"", IF(VLOOKUP(A102, IMPORTRANGE('Survey Progress'!$B$33, ""data!I2:L800""), 2, FALSE) = 0, ""Incomplete"", ""Complete"")))"),"")</f>
        <v/>
      </c>
      <c r="D102" s="15" t="str">
        <f>IFERROR(__xludf.DUMMYFUNCTION("IF(A102="""", """", IF(ISERROR(VLOOKUP(A102, IMPORTRANGE('Survey Progress'!$B$34, ""data!I2:L800""), 1, FALSE)), ""No Survey"", IF(VLOOKUP(A102, IMPORTRANGE('Survey Progress'!$B$34, ""data!I2:L800""), 2, FALSE) = 0, ""Incomplete"", ""Complete"")))"),"")</f>
        <v/>
      </c>
      <c r="E102" s="27">
        <f t="shared" si="1"/>
        <v>0</v>
      </c>
      <c r="F102" s="14"/>
    </row>
    <row r="103">
      <c r="A103" s="14"/>
      <c r="B103" s="16" t="str">
        <f>IFERROR(__xludf.DUMMYFUNCTION("IF(ISERROR(VLOOKUP(A103, IMPORTRANGE('Survey Progress'!$B$32, ""data!H2:M800""), 5, FALSE)), """", IF(VLOOKUP(A103, IMPORTRANGE('Survey Progress'!$B$32, ""data!H2:M800""), 5, FALSE) = 1, ""Eligible"", ""Ineligible""))"),"Eligible")</f>
        <v>Eligible</v>
      </c>
      <c r="C103" s="15" t="str">
        <f>IFERROR(__xludf.DUMMYFUNCTION("IF(A103="""", """", IF(ISERROR(VLOOKUP(A103, IMPORTRANGE('Survey Progress'!$B$33, ""data!I2:L800""), 1, FALSE)), ""No Survey"", IF(VLOOKUP(A103, IMPORTRANGE('Survey Progress'!$B$33, ""data!I2:L800""), 2, FALSE) = 0, ""Incomplete"", ""Complete"")))"),"")</f>
        <v/>
      </c>
      <c r="D103" s="15" t="str">
        <f>IFERROR(__xludf.DUMMYFUNCTION("IF(A103="""", """", IF(ISERROR(VLOOKUP(A103, IMPORTRANGE('Survey Progress'!$B$34, ""data!I2:L800""), 1, FALSE)), ""No Survey"", IF(VLOOKUP(A103, IMPORTRANGE('Survey Progress'!$B$34, ""data!I2:L800""), 2, FALSE) = 0, ""Incomplete"", ""Complete"")))"),"")</f>
        <v/>
      </c>
      <c r="E103" s="27">
        <f t="shared" si="1"/>
        <v>0</v>
      </c>
      <c r="F103" s="14"/>
    </row>
    <row r="104">
      <c r="A104" s="14"/>
      <c r="B104" s="16" t="str">
        <f>IFERROR(__xludf.DUMMYFUNCTION("IF(ISERROR(VLOOKUP(A104, IMPORTRANGE('Survey Progress'!$B$32, ""data!H2:M800""), 5, FALSE)), """", IF(VLOOKUP(A104, IMPORTRANGE('Survey Progress'!$B$32, ""data!H2:M800""), 5, FALSE) = 1, ""Eligible"", ""Ineligible""))"),"Eligible")</f>
        <v>Eligible</v>
      </c>
      <c r="C104" s="15" t="str">
        <f>IFERROR(__xludf.DUMMYFUNCTION("IF(A104="""", """", IF(ISERROR(VLOOKUP(A104, IMPORTRANGE('Survey Progress'!$B$33, ""data!I2:L800""), 1, FALSE)), ""No Survey"", IF(VLOOKUP(A104, IMPORTRANGE('Survey Progress'!$B$33, ""data!I2:L800""), 2, FALSE) = 0, ""Incomplete"", ""Complete"")))"),"")</f>
        <v/>
      </c>
      <c r="D104" s="15" t="str">
        <f>IFERROR(__xludf.DUMMYFUNCTION("IF(A104="""", """", IF(ISERROR(VLOOKUP(A104, IMPORTRANGE('Survey Progress'!$B$34, ""data!I2:L800""), 1, FALSE)), ""No Survey"", IF(VLOOKUP(A104, IMPORTRANGE('Survey Progress'!$B$34, ""data!I2:L800""), 2, FALSE) = 0, ""Incomplete"", ""Complete"")))"),"")</f>
        <v/>
      </c>
      <c r="E104" s="27">
        <f t="shared" si="1"/>
        <v>0</v>
      </c>
      <c r="F104" s="14"/>
    </row>
    <row r="105">
      <c r="A105" s="14"/>
      <c r="B105" s="16" t="str">
        <f>IFERROR(__xludf.DUMMYFUNCTION("IF(ISERROR(VLOOKUP(A105, IMPORTRANGE('Survey Progress'!$B$32, ""data!H2:M800""), 5, FALSE)), """", IF(VLOOKUP(A105, IMPORTRANGE('Survey Progress'!$B$32, ""data!H2:M800""), 5, FALSE) = 1, ""Eligible"", ""Ineligible""))"),"Eligible")</f>
        <v>Eligible</v>
      </c>
      <c r="C105" s="15" t="str">
        <f>IFERROR(__xludf.DUMMYFUNCTION("IF(A105="""", """", IF(ISERROR(VLOOKUP(A105, IMPORTRANGE('Survey Progress'!$B$33, ""data!I2:L800""), 1, FALSE)), ""No Survey"", IF(VLOOKUP(A105, IMPORTRANGE('Survey Progress'!$B$33, ""data!I2:L800""), 2, FALSE) = 0, ""Incomplete"", ""Complete"")))"),"")</f>
        <v/>
      </c>
      <c r="D105" s="15" t="str">
        <f>IFERROR(__xludf.DUMMYFUNCTION("IF(A105="""", """", IF(ISERROR(VLOOKUP(A105, IMPORTRANGE('Survey Progress'!$B$34, ""data!I2:L800""), 1, FALSE)), ""No Survey"", IF(VLOOKUP(A105, IMPORTRANGE('Survey Progress'!$B$34, ""data!I2:L800""), 2, FALSE) = 0, ""Incomplete"", ""Complete"")))"),"")</f>
        <v/>
      </c>
      <c r="E105" s="27">
        <f t="shared" si="1"/>
        <v>0</v>
      </c>
      <c r="F105" s="14"/>
    </row>
    <row r="106">
      <c r="A106" s="14"/>
      <c r="B106" s="16" t="str">
        <f>IFERROR(__xludf.DUMMYFUNCTION("IF(ISERROR(VLOOKUP(A106, IMPORTRANGE('Survey Progress'!$B$32, ""data!H2:M800""), 5, FALSE)), """", IF(VLOOKUP(A106, IMPORTRANGE('Survey Progress'!$B$32, ""data!H2:M800""), 5, FALSE) = 1, ""Eligible"", ""Ineligible""))"),"Eligible")</f>
        <v>Eligible</v>
      </c>
      <c r="C106" s="15" t="str">
        <f>IFERROR(__xludf.DUMMYFUNCTION("IF(A106="""", """", IF(ISERROR(VLOOKUP(A106, IMPORTRANGE('Survey Progress'!$B$33, ""data!I2:L800""), 1, FALSE)), ""No Survey"", IF(VLOOKUP(A106, IMPORTRANGE('Survey Progress'!$B$33, ""data!I2:L800""), 2, FALSE) = 0, ""Incomplete"", ""Complete"")))"),"")</f>
        <v/>
      </c>
      <c r="D106" s="15" t="str">
        <f>IFERROR(__xludf.DUMMYFUNCTION("IF(A106="""", """", IF(ISERROR(VLOOKUP(A106, IMPORTRANGE('Survey Progress'!$B$34, ""data!I2:L800""), 1, FALSE)), ""No Survey"", IF(VLOOKUP(A106, IMPORTRANGE('Survey Progress'!$B$34, ""data!I2:L800""), 2, FALSE) = 0, ""Incomplete"", ""Complete"")))"),"")</f>
        <v/>
      </c>
      <c r="E106" s="27">
        <f t="shared" si="1"/>
        <v>0</v>
      </c>
      <c r="F106" s="14"/>
    </row>
    <row r="107">
      <c r="A107" s="14"/>
      <c r="B107" s="16" t="str">
        <f>IFERROR(__xludf.DUMMYFUNCTION("IF(ISERROR(VLOOKUP(A107, IMPORTRANGE('Survey Progress'!$B$32, ""data!H2:M800""), 5, FALSE)), """", IF(VLOOKUP(A107, IMPORTRANGE('Survey Progress'!$B$32, ""data!H2:M800""), 5, FALSE) = 1, ""Eligible"", ""Ineligible""))"),"Eligible")</f>
        <v>Eligible</v>
      </c>
      <c r="C107" s="15" t="str">
        <f>IFERROR(__xludf.DUMMYFUNCTION("IF(A107="""", """", IF(ISERROR(VLOOKUP(A107, IMPORTRANGE('Survey Progress'!$B$33, ""data!I2:L800""), 1, FALSE)), ""No Survey"", IF(VLOOKUP(A107, IMPORTRANGE('Survey Progress'!$B$33, ""data!I2:L800""), 2, FALSE) = 0, ""Incomplete"", ""Complete"")))"),"")</f>
        <v/>
      </c>
      <c r="D107" s="15" t="str">
        <f>IFERROR(__xludf.DUMMYFUNCTION("IF(A107="""", """", IF(ISERROR(VLOOKUP(A107, IMPORTRANGE('Survey Progress'!$B$34, ""data!I2:L800""), 1, FALSE)), ""No Survey"", IF(VLOOKUP(A107, IMPORTRANGE('Survey Progress'!$B$34, ""data!I2:L800""), 2, FALSE) = 0, ""Incomplete"", ""Complete"")))"),"")</f>
        <v/>
      </c>
      <c r="E107" s="27">
        <f t="shared" si="1"/>
        <v>0</v>
      </c>
      <c r="F107" s="14"/>
    </row>
    <row r="108">
      <c r="A108" s="14"/>
      <c r="B108" s="16" t="str">
        <f>IFERROR(__xludf.DUMMYFUNCTION("IF(ISERROR(VLOOKUP(A108, IMPORTRANGE('Survey Progress'!$B$32, ""data!H2:M800""), 5, FALSE)), """", IF(VLOOKUP(A108, IMPORTRANGE('Survey Progress'!$B$32, ""data!H2:M800""), 5, FALSE) = 1, ""Eligible"", ""Ineligible""))"),"Eligible")</f>
        <v>Eligible</v>
      </c>
      <c r="C108" s="15" t="str">
        <f>IFERROR(__xludf.DUMMYFUNCTION("IF(A108="""", """", IF(ISERROR(VLOOKUP(A108, IMPORTRANGE('Survey Progress'!$B$33, ""data!I2:L800""), 1, FALSE)), ""No Survey"", IF(VLOOKUP(A108, IMPORTRANGE('Survey Progress'!$B$33, ""data!I2:L800""), 2, FALSE) = 0, ""Incomplete"", ""Complete"")))"),"")</f>
        <v/>
      </c>
      <c r="D108" s="15" t="str">
        <f>IFERROR(__xludf.DUMMYFUNCTION("IF(A108="""", """", IF(ISERROR(VLOOKUP(A108, IMPORTRANGE('Survey Progress'!$B$34, ""data!I2:L800""), 1, FALSE)), ""No Survey"", IF(VLOOKUP(A108, IMPORTRANGE('Survey Progress'!$B$34, ""data!I2:L800""), 2, FALSE) = 0, ""Incomplete"", ""Complete"")))"),"")</f>
        <v/>
      </c>
      <c r="E108" s="27">
        <f t="shared" si="1"/>
        <v>0</v>
      </c>
      <c r="F108" s="14"/>
    </row>
    <row r="109">
      <c r="A109" s="14"/>
      <c r="B109" s="16" t="str">
        <f>IFERROR(__xludf.DUMMYFUNCTION("IF(ISERROR(VLOOKUP(A109, IMPORTRANGE('Survey Progress'!$B$32, ""data!H2:M800""), 5, FALSE)), """", IF(VLOOKUP(A109, IMPORTRANGE('Survey Progress'!$B$32, ""data!H2:M800""), 5, FALSE) = 1, ""Eligible"", ""Ineligible""))"),"Eligible")</f>
        <v>Eligible</v>
      </c>
      <c r="C109" s="15" t="str">
        <f>IFERROR(__xludf.DUMMYFUNCTION("IF(A109="""", """", IF(ISERROR(VLOOKUP(A109, IMPORTRANGE('Survey Progress'!$B$33, ""data!I2:L800""), 1, FALSE)), ""No Survey"", IF(VLOOKUP(A109, IMPORTRANGE('Survey Progress'!$B$33, ""data!I2:L800""), 2, FALSE) = 0, ""Incomplete"", ""Complete"")))"),"")</f>
        <v/>
      </c>
      <c r="D109" s="15" t="str">
        <f>IFERROR(__xludf.DUMMYFUNCTION("IF(A109="""", """", IF(ISERROR(VLOOKUP(A109, IMPORTRANGE('Survey Progress'!$B$34, ""data!I2:L800""), 1, FALSE)), ""No Survey"", IF(VLOOKUP(A109, IMPORTRANGE('Survey Progress'!$B$34, ""data!I2:L800""), 2, FALSE) = 0, ""Incomplete"", ""Complete"")))"),"")</f>
        <v/>
      </c>
      <c r="E109" s="27">
        <f t="shared" si="1"/>
        <v>0</v>
      </c>
      <c r="F109" s="14"/>
    </row>
    <row r="110">
      <c r="A110" s="14"/>
      <c r="B110" s="16" t="str">
        <f>IFERROR(__xludf.DUMMYFUNCTION("IF(ISERROR(VLOOKUP(A110, IMPORTRANGE('Survey Progress'!$B$32, ""data!H2:M800""), 5, FALSE)), """", IF(VLOOKUP(A110, IMPORTRANGE('Survey Progress'!$B$32, ""data!H2:M800""), 5, FALSE) = 1, ""Eligible"", ""Ineligible""))"),"Eligible")</f>
        <v>Eligible</v>
      </c>
      <c r="C110" s="15" t="str">
        <f>IFERROR(__xludf.DUMMYFUNCTION("IF(A110="""", """", IF(ISERROR(VLOOKUP(A110, IMPORTRANGE('Survey Progress'!$B$33, ""data!I2:L800""), 1, FALSE)), ""No Survey"", IF(VLOOKUP(A110, IMPORTRANGE('Survey Progress'!$B$33, ""data!I2:L800""), 2, FALSE) = 0, ""Incomplete"", ""Complete"")))"),"")</f>
        <v/>
      </c>
      <c r="D110" s="15" t="str">
        <f>IFERROR(__xludf.DUMMYFUNCTION("IF(A110="""", """", IF(ISERROR(VLOOKUP(A110, IMPORTRANGE('Survey Progress'!$B$34, ""data!I2:L800""), 1, FALSE)), ""No Survey"", IF(VLOOKUP(A110, IMPORTRANGE('Survey Progress'!$B$34, ""data!I2:L800""), 2, FALSE) = 0, ""Incomplete"", ""Complete"")))"),"")</f>
        <v/>
      </c>
      <c r="E110" s="27">
        <f t="shared" si="1"/>
        <v>0</v>
      </c>
      <c r="F110" s="14"/>
    </row>
    <row r="111">
      <c r="A111" s="14"/>
      <c r="B111" s="16" t="str">
        <f>IFERROR(__xludf.DUMMYFUNCTION("IF(ISERROR(VLOOKUP(A111, IMPORTRANGE('Survey Progress'!$B$32, ""data!H2:M800""), 5, FALSE)), """", IF(VLOOKUP(A111, IMPORTRANGE('Survey Progress'!$B$32, ""data!H2:M800""), 5, FALSE) = 1, ""Eligible"", ""Ineligible""))"),"Eligible")</f>
        <v>Eligible</v>
      </c>
      <c r="C111" s="15" t="str">
        <f>IFERROR(__xludf.DUMMYFUNCTION("IF(A111="""", """", IF(ISERROR(VLOOKUP(A111, IMPORTRANGE('Survey Progress'!$B$33, ""data!I2:L800""), 1, FALSE)), ""No Survey"", IF(VLOOKUP(A111, IMPORTRANGE('Survey Progress'!$B$33, ""data!I2:L800""), 2, FALSE) = 0, ""Incomplete"", ""Complete"")))"),"")</f>
        <v/>
      </c>
      <c r="D111" s="15" t="str">
        <f>IFERROR(__xludf.DUMMYFUNCTION("IF(A111="""", """", IF(ISERROR(VLOOKUP(A111, IMPORTRANGE('Survey Progress'!$B$34, ""data!I2:L800""), 1, FALSE)), ""No Survey"", IF(VLOOKUP(A111, IMPORTRANGE('Survey Progress'!$B$34, ""data!I2:L800""), 2, FALSE) = 0, ""Incomplete"", ""Complete"")))"),"")</f>
        <v/>
      </c>
      <c r="E111" s="27">
        <f t="shared" si="1"/>
        <v>0</v>
      </c>
      <c r="F111" s="14"/>
    </row>
    <row r="112">
      <c r="A112" s="14"/>
      <c r="B112" s="16" t="str">
        <f>IFERROR(__xludf.DUMMYFUNCTION("IF(ISERROR(VLOOKUP(A112, IMPORTRANGE('Survey Progress'!$B$32, ""data!H2:M800""), 5, FALSE)), """", IF(VLOOKUP(A112, IMPORTRANGE('Survey Progress'!$B$32, ""data!H2:M800""), 5, FALSE) = 1, ""Eligible"", ""Ineligible""))"),"Eligible")</f>
        <v>Eligible</v>
      </c>
      <c r="C112" s="15" t="str">
        <f>IFERROR(__xludf.DUMMYFUNCTION("IF(A112="""", """", IF(ISERROR(VLOOKUP(A112, IMPORTRANGE('Survey Progress'!$B$33, ""data!I2:L800""), 1, FALSE)), ""No Survey"", IF(VLOOKUP(A112, IMPORTRANGE('Survey Progress'!$B$33, ""data!I2:L800""), 2, FALSE) = 0, ""Incomplete"", ""Complete"")))"),"")</f>
        <v/>
      </c>
      <c r="D112" s="15" t="str">
        <f>IFERROR(__xludf.DUMMYFUNCTION("IF(A112="""", """", IF(ISERROR(VLOOKUP(A112, IMPORTRANGE('Survey Progress'!$B$34, ""data!I2:L800""), 1, FALSE)), ""No Survey"", IF(VLOOKUP(A112, IMPORTRANGE('Survey Progress'!$B$34, ""data!I2:L800""), 2, FALSE) = 0, ""Incomplete"", ""Complete"")))"),"")</f>
        <v/>
      </c>
      <c r="E112" s="27">
        <f t="shared" si="1"/>
        <v>0</v>
      </c>
      <c r="F112" s="14"/>
    </row>
    <row r="113">
      <c r="A113" s="14"/>
      <c r="B113" s="16" t="str">
        <f>IFERROR(__xludf.DUMMYFUNCTION("IF(ISERROR(VLOOKUP(A113, IMPORTRANGE('Survey Progress'!$B$32, ""data!H2:M800""), 5, FALSE)), """", IF(VLOOKUP(A113, IMPORTRANGE('Survey Progress'!$B$32, ""data!H2:M800""), 5, FALSE) = 1, ""Eligible"", ""Ineligible""))"),"Eligible")</f>
        <v>Eligible</v>
      </c>
      <c r="C113" s="15" t="str">
        <f>IFERROR(__xludf.DUMMYFUNCTION("IF(A113="""", """", IF(ISERROR(VLOOKUP(A113, IMPORTRANGE('Survey Progress'!$B$33, ""data!I2:L800""), 1, FALSE)), ""No Survey"", IF(VLOOKUP(A113, IMPORTRANGE('Survey Progress'!$B$33, ""data!I2:L800""), 2, FALSE) = 0, ""Incomplete"", ""Complete"")))"),"")</f>
        <v/>
      </c>
      <c r="D113" s="15" t="str">
        <f>IFERROR(__xludf.DUMMYFUNCTION("IF(A113="""", """", IF(ISERROR(VLOOKUP(A113, IMPORTRANGE('Survey Progress'!$B$34, ""data!I2:L800""), 1, FALSE)), ""No Survey"", IF(VLOOKUP(A113, IMPORTRANGE('Survey Progress'!$B$34, ""data!I2:L800""), 2, FALSE) = 0, ""Incomplete"", ""Complete"")))"),"")</f>
        <v/>
      </c>
      <c r="E113" s="27">
        <f t="shared" si="1"/>
        <v>0</v>
      </c>
      <c r="F113" s="14"/>
    </row>
    <row r="114">
      <c r="A114" s="14"/>
      <c r="B114" s="16" t="str">
        <f>IFERROR(__xludf.DUMMYFUNCTION("IF(ISERROR(VLOOKUP(A114, IMPORTRANGE('Survey Progress'!$B$32, ""data!H2:M800""), 5, FALSE)), """", IF(VLOOKUP(A114, IMPORTRANGE('Survey Progress'!$B$32, ""data!H2:M800""), 5, FALSE) = 1, ""Eligible"", ""Ineligible""))"),"Eligible")</f>
        <v>Eligible</v>
      </c>
      <c r="C114" s="15" t="str">
        <f>IFERROR(__xludf.DUMMYFUNCTION("IF(A114="""", """", IF(ISERROR(VLOOKUP(A114, IMPORTRANGE('Survey Progress'!$B$33, ""data!I2:L800""), 1, FALSE)), ""No Survey"", IF(VLOOKUP(A114, IMPORTRANGE('Survey Progress'!$B$33, ""data!I2:L800""), 2, FALSE) = 0, ""Incomplete"", ""Complete"")))"),"")</f>
        <v/>
      </c>
      <c r="D114" s="15" t="str">
        <f>IFERROR(__xludf.DUMMYFUNCTION("IF(A114="""", """", IF(ISERROR(VLOOKUP(A114, IMPORTRANGE('Survey Progress'!$B$34, ""data!I2:L800""), 1, FALSE)), ""No Survey"", IF(VLOOKUP(A114, IMPORTRANGE('Survey Progress'!$B$34, ""data!I2:L800""), 2, FALSE) = 0, ""Incomplete"", ""Complete"")))"),"")</f>
        <v/>
      </c>
      <c r="E114" s="27">
        <f t="shared" si="1"/>
        <v>0</v>
      </c>
      <c r="F114" s="14"/>
    </row>
    <row r="115">
      <c r="A115" s="14"/>
      <c r="B115" s="16" t="str">
        <f>IFERROR(__xludf.DUMMYFUNCTION("IF(ISERROR(VLOOKUP(A115, IMPORTRANGE('Survey Progress'!$B$32, ""data!H2:M800""), 5, FALSE)), """", IF(VLOOKUP(A115, IMPORTRANGE('Survey Progress'!$B$32, ""data!H2:M800""), 5, FALSE) = 1, ""Eligible"", ""Ineligible""))"),"Eligible")</f>
        <v>Eligible</v>
      </c>
      <c r="C115" s="15" t="str">
        <f>IFERROR(__xludf.DUMMYFUNCTION("IF(A115="""", """", IF(ISERROR(VLOOKUP(A115, IMPORTRANGE('Survey Progress'!$B$33, ""data!I2:L800""), 1, FALSE)), ""No Survey"", IF(VLOOKUP(A115, IMPORTRANGE('Survey Progress'!$B$33, ""data!I2:L800""), 2, FALSE) = 0, ""Incomplete"", ""Complete"")))"),"")</f>
        <v/>
      </c>
      <c r="D115" s="15" t="str">
        <f>IFERROR(__xludf.DUMMYFUNCTION("IF(A115="""", """", IF(ISERROR(VLOOKUP(A115, IMPORTRANGE('Survey Progress'!$B$34, ""data!I2:L800""), 1, FALSE)), ""No Survey"", IF(VLOOKUP(A115, IMPORTRANGE('Survey Progress'!$B$34, ""data!I2:L800""), 2, FALSE) = 0, ""Incomplete"", ""Complete"")))"),"")</f>
        <v/>
      </c>
      <c r="E115" s="27">
        <f t="shared" si="1"/>
        <v>0</v>
      </c>
      <c r="F115" s="14"/>
    </row>
    <row r="116">
      <c r="A116" s="14"/>
      <c r="B116" s="16" t="str">
        <f>IFERROR(__xludf.DUMMYFUNCTION("IF(ISERROR(VLOOKUP(A116, IMPORTRANGE('Survey Progress'!$B$32, ""data!H2:M800""), 5, FALSE)), """", IF(VLOOKUP(A116, IMPORTRANGE('Survey Progress'!$B$32, ""data!H2:M800""), 5, FALSE) = 1, ""Eligible"", ""Ineligible""))"),"Eligible")</f>
        <v>Eligible</v>
      </c>
      <c r="C116" s="15" t="str">
        <f>IFERROR(__xludf.DUMMYFUNCTION("IF(A116="""", """", IF(ISERROR(VLOOKUP(A116, IMPORTRANGE('Survey Progress'!$B$33, ""data!I2:L800""), 1, FALSE)), ""No Survey"", IF(VLOOKUP(A116, IMPORTRANGE('Survey Progress'!$B$33, ""data!I2:L800""), 2, FALSE) = 0, ""Incomplete"", ""Complete"")))"),"")</f>
        <v/>
      </c>
      <c r="D116" s="15" t="str">
        <f>IFERROR(__xludf.DUMMYFUNCTION("IF(A116="""", """", IF(ISERROR(VLOOKUP(A116, IMPORTRANGE('Survey Progress'!$B$34, ""data!I2:L800""), 1, FALSE)), ""No Survey"", IF(VLOOKUP(A116, IMPORTRANGE('Survey Progress'!$B$34, ""data!I2:L800""), 2, FALSE) = 0, ""Incomplete"", ""Complete"")))"),"")</f>
        <v/>
      </c>
      <c r="E116" s="27">
        <f t="shared" si="1"/>
        <v>0</v>
      </c>
      <c r="F116" s="14"/>
    </row>
    <row r="117">
      <c r="A117" s="14"/>
      <c r="B117" s="16" t="str">
        <f>IFERROR(__xludf.DUMMYFUNCTION("IF(ISERROR(VLOOKUP(A117, IMPORTRANGE('Survey Progress'!$B$32, ""data!H2:M800""), 5, FALSE)), """", IF(VLOOKUP(A117, IMPORTRANGE('Survey Progress'!$B$32, ""data!H2:M800""), 5, FALSE) = 1, ""Eligible"", ""Ineligible""))"),"Eligible")</f>
        <v>Eligible</v>
      </c>
      <c r="C117" s="15" t="str">
        <f>IFERROR(__xludf.DUMMYFUNCTION("IF(A117="""", """", IF(ISERROR(VLOOKUP(A117, IMPORTRANGE('Survey Progress'!$B$33, ""data!I2:L800""), 1, FALSE)), ""No Survey"", IF(VLOOKUP(A117, IMPORTRANGE('Survey Progress'!$B$33, ""data!I2:L800""), 2, FALSE) = 0, ""Incomplete"", ""Complete"")))"),"")</f>
        <v/>
      </c>
      <c r="D117" s="15" t="str">
        <f>IFERROR(__xludf.DUMMYFUNCTION("IF(A117="""", """", IF(ISERROR(VLOOKUP(A117, IMPORTRANGE('Survey Progress'!$B$34, ""data!I2:L800""), 1, FALSE)), ""No Survey"", IF(VLOOKUP(A117, IMPORTRANGE('Survey Progress'!$B$34, ""data!I2:L800""), 2, FALSE) = 0, ""Incomplete"", ""Complete"")))"),"")</f>
        <v/>
      </c>
      <c r="E117" s="27">
        <f t="shared" si="1"/>
        <v>0</v>
      </c>
      <c r="F117" s="14"/>
    </row>
    <row r="118">
      <c r="A118" s="14"/>
      <c r="B118" s="16" t="str">
        <f>IFERROR(__xludf.DUMMYFUNCTION("IF(ISERROR(VLOOKUP(A118, IMPORTRANGE('Survey Progress'!$B$32, ""data!H2:M800""), 5, FALSE)), """", IF(VLOOKUP(A118, IMPORTRANGE('Survey Progress'!$B$32, ""data!H2:M800""), 5, FALSE) = 1, ""Eligible"", ""Ineligible""))"),"Eligible")</f>
        <v>Eligible</v>
      </c>
      <c r="C118" s="15" t="str">
        <f>IFERROR(__xludf.DUMMYFUNCTION("IF(A118="""", """", IF(ISERROR(VLOOKUP(A118, IMPORTRANGE('Survey Progress'!$B$33, ""data!I2:L800""), 1, FALSE)), ""No Survey"", IF(VLOOKUP(A118, IMPORTRANGE('Survey Progress'!$B$33, ""data!I2:L800""), 2, FALSE) = 0, ""Incomplete"", ""Complete"")))"),"")</f>
        <v/>
      </c>
      <c r="D118" s="15" t="str">
        <f>IFERROR(__xludf.DUMMYFUNCTION("IF(A118="""", """", IF(ISERROR(VLOOKUP(A118, IMPORTRANGE('Survey Progress'!$B$34, ""data!I2:L800""), 1, FALSE)), ""No Survey"", IF(VLOOKUP(A118, IMPORTRANGE('Survey Progress'!$B$34, ""data!I2:L800""), 2, FALSE) = 0, ""Incomplete"", ""Complete"")))"),"")</f>
        <v/>
      </c>
      <c r="E118" s="27">
        <f t="shared" si="1"/>
        <v>0</v>
      </c>
      <c r="F118" s="14"/>
    </row>
    <row r="119">
      <c r="A119" s="14"/>
      <c r="B119" s="16" t="str">
        <f>IFERROR(__xludf.DUMMYFUNCTION("IF(ISERROR(VLOOKUP(A119, IMPORTRANGE('Survey Progress'!$B$32, ""data!H2:M800""), 5, FALSE)), """", IF(VLOOKUP(A119, IMPORTRANGE('Survey Progress'!$B$32, ""data!H2:M800""), 5, FALSE) = 1, ""Eligible"", ""Ineligible""))"),"Eligible")</f>
        <v>Eligible</v>
      </c>
      <c r="C119" s="15" t="str">
        <f>IFERROR(__xludf.DUMMYFUNCTION("IF(A119="""", """", IF(ISERROR(VLOOKUP(A119, IMPORTRANGE('Survey Progress'!$B$33, ""data!I2:L800""), 1, FALSE)), ""No Survey"", IF(VLOOKUP(A119, IMPORTRANGE('Survey Progress'!$B$33, ""data!I2:L800""), 2, FALSE) = 0, ""Incomplete"", ""Complete"")))"),"")</f>
        <v/>
      </c>
      <c r="D119" s="15" t="str">
        <f>IFERROR(__xludf.DUMMYFUNCTION("IF(A119="""", """", IF(ISERROR(VLOOKUP(A119, IMPORTRANGE('Survey Progress'!$B$34, ""data!I2:L800""), 1, FALSE)), ""No Survey"", IF(VLOOKUP(A119, IMPORTRANGE('Survey Progress'!$B$34, ""data!I2:L800""), 2, FALSE) = 0, ""Incomplete"", ""Complete"")))"),"")</f>
        <v/>
      </c>
      <c r="E119" s="27">
        <f t="shared" si="1"/>
        <v>0</v>
      </c>
      <c r="F119" s="14"/>
    </row>
    <row r="120">
      <c r="A120" s="14"/>
      <c r="B120" s="16" t="str">
        <f>IFERROR(__xludf.DUMMYFUNCTION("IF(ISERROR(VLOOKUP(A120, IMPORTRANGE('Survey Progress'!$B$32, ""data!H2:M800""), 5, FALSE)), """", IF(VLOOKUP(A120, IMPORTRANGE('Survey Progress'!$B$32, ""data!H2:M800""), 5, FALSE) = 1, ""Eligible"", ""Ineligible""))"),"Eligible")</f>
        <v>Eligible</v>
      </c>
      <c r="C120" s="15" t="str">
        <f>IFERROR(__xludf.DUMMYFUNCTION("IF(A120="""", """", IF(ISERROR(VLOOKUP(A120, IMPORTRANGE('Survey Progress'!$B$33, ""data!I2:L800""), 1, FALSE)), ""No Survey"", IF(VLOOKUP(A120, IMPORTRANGE('Survey Progress'!$B$33, ""data!I2:L800""), 2, FALSE) = 0, ""Incomplete"", ""Complete"")))"),"")</f>
        <v/>
      </c>
      <c r="D120" s="15" t="str">
        <f>IFERROR(__xludf.DUMMYFUNCTION("IF(A120="""", """", IF(ISERROR(VLOOKUP(A120, IMPORTRANGE('Survey Progress'!$B$34, ""data!I2:L800""), 1, FALSE)), ""No Survey"", IF(VLOOKUP(A120, IMPORTRANGE('Survey Progress'!$B$34, ""data!I2:L800""), 2, FALSE) = 0, ""Incomplete"", ""Complete"")))"),"")</f>
        <v/>
      </c>
      <c r="E120" s="27">
        <f t="shared" si="1"/>
        <v>0</v>
      </c>
      <c r="F120" s="14"/>
    </row>
    <row r="121">
      <c r="A121" s="14"/>
      <c r="B121" s="16" t="str">
        <f>IFERROR(__xludf.DUMMYFUNCTION("IF(ISERROR(VLOOKUP(A121, IMPORTRANGE('Survey Progress'!$B$32, ""data!H2:M800""), 5, FALSE)), """", IF(VLOOKUP(A121, IMPORTRANGE('Survey Progress'!$B$32, ""data!H2:M800""), 5, FALSE) = 1, ""Eligible"", ""Ineligible""))"),"Eligible")</f>
        <v>Eligible</v>
      </c>
      <c r="C121" s="15" t="str">
        <f>IFERROR(__xludf.DUMMYFUNCTION("IF(A121="""", """", IF(ISERROR(VLOOKUP(A121, IMPORTRANGE('Survey Progress'!$B$33, ""data!I2:L800""), 1, FALSE)), ""No Survey"", IF(VLOOKUP(A121, IMPORTRANGE('Survey Progress'!$B$33, ""data!I2:L800""), 2, FALSE) = 0, ""Incomplete"", ""Complete"")))"),"")</f>
        <v/>
      </c>
      <c r="D121" s="15" t="str">
        <f>IFERROR(__xludf.DUMMYFUNCTION("IF(A121="""", """", IF(ISERROR(VLOOKUP(A121, IMPORTRANGE('Survey Progress'!$B$34, ""data!I2:L800""), 1, FALSE)), ""No Survey"", IF(VLOOKUP(A121, IMPORTRANGE('Survey Progress'!$B$34, ""data!I2:L800""), 2, FALSE) = 0, ""Incomplete"", ""Complete"")))"),"")</f>
        <v/>
      </c>
      <c r="E121" s="27">
        <f t="shared" si="1"/>
        <v>0</v>
      </c>
      <c r="F121" s="14"/>
    </row>
    <row r="122">
      <c r="A122" s="14"/>
      <c r="B122" s="16" t="str">
        <f>IFERROR(__xludf.DUMMYFUNCTION("IF(ISERROR(VLOOKUP(A122, IMPORTRANGE('Survey Progress'!$B$32, ""data!H2:M800""), 5, FALSE)), """", IF(VLOOKUP(A122, IMPORTRANGE('Survey Progress'!$B$32, ""data!H2:M800""), 5, FALSE) = 1, ""Eligible"", ""Ineligible""))"),"Eligible")</f>
        <v>Eligible</v>
      </c>
      <c r="C122" s="15" t="str">
        <f>IFERROR(__xludf.DUMMYFUNCTION("IF(A122="""", """", IF(ISERROR(VLOOKUP(A122, IMPORTRANGE('Survey Progress'!$B$33, ""data!I2:L800""), 1, FALSE)), ""No Survey"", IF(VLOOKUP(A122, IMPORTRANGE('Survey Progress'!$B$33, ""data!I2:L800""), 2, FALSE) = 0, ""Incomplete"", ""Complete"")))"),"")</f>
        <v/>
      </c>
      <c r="D122" s="15" t="str">
        <f>IFERROR(__xludf.DUMMYFUNCTION("IF(A122="""", """", IF(ISERROR(VLOOKUP(A122, IMPORTRANGE('Survey Progress'!$B$34, ""data!I2:L800""), 1, FALSE)), ""No Survey"", IF(VLOOKUP(A122, IMPORTRANGE('Survey Progress'!$B$34, ""data!I2:L800""), 2, FALSE) = 0, ""Incomplete"", ""Complete"")))"),"")</f>
        <v/>
      </c>
      <c r="E122" s="27">
        <f t="shared" si="1"/>
        <v>0</v>
      </c>
      <c r="F122" s="14"/>
    </row>
    <row r="123">
      <c r="A123" s="14"/>
      <c r="B123" s="16" t="str">
        <f>IFERROR(__xludf.DUMMYFUNCTION("IF(ISERROR(VLOOKUP(A123, IMPORTRANGE('Survey Progress'!$B$32, ""data!H2:M800""), 5, FALSE)), """", IF(VLOOKUP(A123, IMPORTRANGE('Survey Progress'!$B$32, ""data!H2:M800""), 5, FALSE) = 1, ""Eligible"", ""Ineligible""))"),"Eligible")</f>
        <v>Eligible</v>
      </c>
      <c r="C123" s="15" t="str">
        <f>IFERROR(__xludf.DUMMYFUNCTION("IF(A123="""", """", IF(ISERROR(VLOOKUP(A123, IMPORTRANGE('Survey Progress'!$B$33, ""data!I2:L800""), 1, FALSE)), ""No Survey"", IF(VLOOKUP(A123, IMPORTRANGE('Survey Progress'!$B$33, ""data!I2:L800""), 2, FALSE) = 0, ""Incomplete"", ""Complete"")))"),"")</f>
        <v/>
      </c>
      <c r="D123" s="15" t="str">
        <f>IFERROR(__xludf.DUMMYFUNCTION("IF(A123="""", """", IF(ISERROR(VLOOKUP(A123, IMPORTRANGE('Survey Progress'!$B$34, ""data!I2:L800""), 1, FALSE)), ""No Survey"", IF(VLOOKUP(A123, IMPORTRANGE('Survey Progress'!$B$34, ""data!I2:L800""), 2, FALSE) = 0, ""Incomplete"", ""Complete"")))"),"")</f>
        <v/>
      </c>
      <c r="E123" s="27">
        <f t="shared" si="1"/>
        <v>0</v>
      </c>
      <c r="F123" s="14"/>
    </row>
    <row r="124">
      <c r="A124" s="14"/>
      <c r="B124" s="16" t="str">
        <f>IFERROR(__xludf.DUMMYFUNCTION("IF(ISERROR(VLOOKUP(A124, IMPORTRANGE('Survey Progress'!$B$32, ""data!H2:M800""), 5, FALSE)), """", IF(VLOOKUP(A124, IMPORTRANGE('Survey Progress'!$B$32, ""data!H2:M800""), 5, FALSE) = 1, ""Eligible"", ""Ineligible""))"),"Eligible")</f>
        <v>Eligible</v>
      </c>
      <c r="C124" s="15" t="str">
        <f>IFERROR(__xludf.DUMMYFUNCTION("IF(A124="""", """", IF(ISERROR(VLOOKUP(A124, IMPORTRANGE('Survey Progress'!$B$33, ""data!I2:L800""), 1, FALSE)), ""No Survey"", IF(VLOOKUP(A124, IMPORTRANGE('Survey Progress'!$B$33, ""data!I2:L800""), 2, FALSE) = 0, ""Incomplete"", ""Complete"")))"),"")</f>
        <v/>
      </c>
      <c r="D124" s="15" t="str">
        <f>IFERROR(__xludf.DUMMYFUNCTION("IF(A124="""", """", IF(ISERROR(VLOOKUP(A124, IMPORTRANGE('Survey Progress'!$B$34, ""data!I2:L800""), 1, FALSE)), ""No Survey"", IF(VLOOKUP(A124, IMPORTRANGE('Survey Progress'!$B$34, ""data!I2:L800""), 2, FALSE) = 0, ""Incomplete"", ""Complete"")))"),"")</f>
        <v/>
      </c>
      <c r="E124" s="27">
        <f t="shared" si="1"/>
        <v>0</v>
      </c>
      <c r="F124" s="14"/>
    </row>
    <row r="125">
      <c r="A125" s="14"/>
      <c r="B125" s="16" t="str">
        <f>IFERROR(__xludf.DUMMYFUNCTION("IF(ISERROR(VLOOKUP(A125, IMPORTRANGE('Survey Progress'!$B$32, ""data!H2:M800""), 5, FALSE)), """", IF(VLOOKUP(A125, IMPORTRANGE('Survey Progress'!$B$32, ""data!H2:M800""), 5, FALSE) = 1, ""Eligible"", ""Ineligible""))"),"Eligible")</f>
        <v>Eligible</v>
      </c>
      <c r="C125" s="15" t="str">
        <f>IFERROR(__xludf.DUMMYFUNCTION("IF(A125="""", """", IF(ISERROR(VLOOKUP(A125, IMPORTRANGE('Survey Progress'!$B$33, ""data!I2:L800""), 1, FALSE)), ""No Survey"", IF(VLOOKUP(A125, IMPORTRANGE('Survey Progress'!$B$33, ""data!I2:L800""), 2, FALSE) = 0, ""Incomplete"", ""Complete"")))"),"")</f>
        <v/>
      </c>
      <c r="D125" s="15" t="str">
        <f>IFERROR(__xludf.DUMMYFUNCTION("IF(A125="""", """", IF(ISERROR(VLOOKUP(A125, IMPORTRANGE('Survey Progress'!$B$34, ""data!I2:L800""), 1, FALSE)), ""No Survey"", IF(VLOOKUP(A125, IMPORTRANGE('Survey Progress'!$B$34, ""data!I2:L800""), 2, FALSE) = 0, ""Incomplete"", ""Complete"")))"),"")</f>
        <v/>
      </c>
      <c r="E125" s="27">
        <f t="shared" si="1"/>
        <v>0</v>
      </c>
      <c r="F125" s="14"/>
    </row>
    <row r="126">
      <c r="A126" s="14"/>
      <c r="B126" s="16" t="str">
        <f>IFERROR(__xludf.DUMMYFUNCTION("IF(ISERROR(VLOOKUP(A126, IMPORTRANGE('Survey Progress'!$B$32, ""data!H2:M800""), 5, FALSE)), """", IF(VLOOKUP(A126, IMPORTRANGE('Survey Progress'!$B$32, ""data!H2:M800""), 5, FALSE) = 1, ""Eligible"", ""Ineligible""))"),"Eligible")</f>
        <v>Eligible</v>
      </c>
      <c r="C126" s="15" t="str">
        <f>IFERROR(__xludf.DUMMYFUNCTION("IF(A126="""", """", IF(ISERROR(VLOOKUP(A126, IMPORTRANGE('Survey Progress'!$B$33, ""data!I2:L800""), 1, FALSE)), ""No Survey"", IF(VLOOKUP(A126, IMPORTRANGE('Survey Progress'!$B$33, ""data!I2:L800""), 2, FALSE) = 0, ""Incomplete"", ""Complete"")))"),"")</f>
        <v/>
      </c>
      <c r="D126" s="15" t="str">
        <f>IFERROR(__xludf.DUMMYFUNCTION("IF(A126="""", """", IF(ISERROR(VLOOKUP(A126, IMPORTRANGE('Survey Progress'!$B$34, ""data!I2:L800""), 1, FALSE)), ""No Survey"", IF(VLOOKUP(A126, IMPORTRANGE('Survey Progress'!$B$34, ""data!I2:L800""), 2, FALSE) = 0, ""Incomplete"", ""Complete"")))"),"")</f>
        <v/>
      </c>
      <c r="E126" s="27">
        <f t="shared" si="1"/>
        <v>0</v>
      </c>
      <c r="F126" s="14"/>
    </row>
    <row r="127">
      <c r="A127" s="14"/>
      <c r="B127" s="16" t="str">
        <f>IFERROR(__xludf.DUMMYFUNCTION("IF(ISERROR(VLOOKUP(A127, IMPORTRANGE('Survey Progress'!$B$32, ""data!H2:M800""), 5, FALSE)), """", IF(VLOOKUP(A127, IMPORTRANGE('Survey Progress'!$B$32, ""data!H2:M800""), 5, FALSE) = 1, ""Eligible"", ""Ineligible""))"),"Eligible")</f>
        <v>Eligible</v>
      </c>
      <c r="C127" s="15" t="str">
        <f>IFERROR(__xludf.DUMMYFUNCTION("IF(A127="""", """", IF(ISERROR(VLOOKUP(A127, IMPORTRANGE('Survey Progress'!$B$33, ""data!I2:L800""), 1, FALSE)), ""No Survey"", IF(VLOOKUP(A127, IMPORTRANGE('Survey Progress'!$B$33, ""data!I2:L800""), 2, FALSE) = 0, ""Incomplete"", ""Complete"")))"),"")</f>
        <v/>
      </c>
      <c r="D127" s="15" t="str">
        <f>IFERROR(__xludf.DUMMYFUNCTION("IF(A127="""", """", IF(ISERROR(VLOOKUP(A127, IMPORTRANGE('Survey Progress'!$B$34, ""data!I2:L800""), 1, FALSE)), ""No Survey"", IF(VLOOKUP(A127, IMPORTRANGE('Survey Progress'!$B$34, ""data!I2:L800""), 2, FALSE) = 0, ""Incomplete"", ""Complete"")))"),"")</f>
        <v/>
      </c>
      <c r="E127" s="27">
        <f t="shared" si="1"/>
        <v>0</v>
      </c>
      <c r="F127" s="14"/>
    </row>
    <row r="128">
      <c r="A128" s="14"/>
      <c r="B128" s="16" t="str">
        <f>IFERROR(__xludf.DUMMYFUNCTION("IF(ISERROR(VLOOKUP(A128, IMPORTRANGE('Survey Progress'!$B$32, ""data!H2:M800""), 5, FALSE)), """", IF(VLOOKUP(A128, IMPORTRANGE('Survey Progress'!$B$32, ""data!H2:M800""), 5, FALSE) = 1, ""Eligible"", ""Ineligible""))"),"Eligible")</f>
        <v>Eligible</v>
      </c>
      <c r="C128" s="15" t="str">
        <f>IFERROR(__xludf.DUMMYFUNCTION("IF(A128="""", """", IF(ISERROR(VLOOKUP(A128, IMPORTRANGE('Survey Progress'!$B$33, ""data!I2:L800""), 1, FALSE)), ""No Survey"", IF(VLOOKUP(A128, IMPORTRANGE('Survey Progress'!$B$33, ""data!I2:L800""), 2, FALSE) = 0, ""Incomplete"", ""Complete"")))"),"")</f>
        <v/>
      </c>
      <c r="D128" s="15" t="str">
        <f>IFERROR(__xludf.DUMMYFUNCTION("IF(A128="""", """", IF(ISERROR(VLOOKUP(A128, IMPORTRANGE('Survey Progress'!$B$34, ""data!I2:L800""), 1, FALSE)), ""No Survey"", IF(VLOOKUP(A128, IMPORTRANGE('Survey Progress'!$B$34, ""data!I2:L800""), 2, FALSE) = 0, ""Incomplete"", ""Complete"")))"),"")</f>
        <v/>
      </c>
      <c r="E128" s="27">
        <f t="shared" si="1"/>
        <v>0</v>
      </c>
      <c r="F128" s="14"/>
    </row>
    <row r="129">
      <c r="A129" s="14"/>
      <c r="B129" s="16" t="str">
        <f>IFERROR(__xludf.DUMMYFUNCTION("IF(ISERROR(VLOOKUP(A129, IMPORTRANGE('Survey Progress'!$B$32, ""data!H2:M800""), 5, FALSE)), """", IF(VLOOKUP(A129, IMPORTRANGE('Survey Progress'!$B$32, ""data!H2:M800""), 5, FALSE) = 1, ""Eligible"", ""Ineligible""))"),"Eligible")</f>
        <v>Eligible</v>
      </c>
      <c r="C129" s="15" t="str">
        <f>IFERROR(__xludf.DUMMYFUNCTION("IF(A129="""", """", IF(ISERROR(VLOOKUP(A129, IMPORTRANGE('Survey Progress'!$B$33, ""data!I2:L800""), 1, FALSE)), ""No Survey"", IF(VLOOKUP(A129, IMPORTRANGE('Survey Progress'!$B$33, ""data!I2:L800""), 2, FALSE) = 0, ""Incomplete"", ""Complete"")))"),"")</f>
        <v/>
      </c>
      <c r="D129" s="15" t="str">
        <f>IFERROR(__xludf.DUMMYFUNCTION("IF(A129="""", """", IF(ISERROR(VLOOKUP(A129, IMPORTRANGE('Survey Progress'!$B$34, ""data!I2:L800""), 1, FALSE)), ""No Survey"", IF(VLOOKUP(A129, IMPORTRANGE('Survey Progress'!$B$34, ""data!I2:L800""), 2, FALSE) = 0, ""Incomplete"", ""Complete"")))"),"")</f>
        <v/>
      </c>
      <c r="E129" s="27">
        <f t="shared" si="1"/>
        <v>0</v>
      </c>
      <c r="F129" s="14"/>
    </row>
    <row r="130">
      <c r="A130" s="14"/>
      <c r="B130" s="16" t="str">
        <f>IFERROR(__xludf.DUMMYFUNCTION("IF(ISERROR(VLOOKUP(A130, IMPORTRANGE('Survey Progress'!$B$32, ""data!H2:M800""), 5, FALSE)), """", IF(VLOOKUP(A130, IMPORTRANGE('Survey Progress'!$B$32, ""data!H2:M800""), 5, FALSE) = 1, ""Eligible"", ""Ineligible""))"),"Eligible")</f>
        <v>Eligible</v>
      </c>
      <c r="C130" s="15" t="str">
        <f>IFERROR(__xludf.DUMMYFUNCTION("IF(A130="""", """", IF(ISERROR(VLOOKUP(A130, IMPORTRANGE('Survey Progress'!$B$33, ""data!I2:L800""), 1, FALSE)), ""No Survey"", IF(VLOOKUP(A130, IMPORTRANGE('Survey Progress'!$B$33, ""data!I2:L800""), 2, FALSE) = 0, ""Incomplete"", ""Complete"")))"),"")</f>
        <v/>
      </c>
      <c r="D130" s="15" t="str">
        <f>IFERROR(__xludf.DUMMYFUNCTION("IF(A130="""", """", IF(ISERROR(VLOOKUP(A130, IMPORTRANGE('Survey Progress'!$B$34, ""data!I2:L800""), 1, FALSE)), ""No Survey"", IF(VLOOKUP(A130, IMPORTRANGE('Survey Progress'!$B$34, ""data!I2:L800""), 2, FALSE) = 0, ""Incomplete"", ""Complete"")))"),"")</f>
        <v/>
      </c>
      <c r="E130" s="27">
        <f t="shared" si="1"/>
        <v>0</v>
      </c>
      <c r="F130" s="14"/>
    </row>
    <row r="131">
      <c r="A131" s="14"/>
      <c r="B131" s="16" t="str">
        <f>IFERROR(__xludf.DUMMYFUNCTION("IF(ISERROR(VLOOKUP(A131, IMPORTRANGE('Survey Progress'!$B$32, ""data!H2:M800""), 5, FALSE)), """", IF(VLOOKUP(A131, IMPORTRANGE('Survey Progress'!$B$32, ""data!H2:M800""), 5, FALSE) = 1, ""Eligible"", ""Ineligible""))"),"Eligible")</f>
        <v>Eligible</v>
      </c>
      <c r="C131" s="15" t="str">
        <f>IFERROR(__xludf.DUMMYFUNCTION("IF(A131="""", """", IF(ISERROR(VLOOKUP(A131, IMPORTRANGE('Survey Progress'!$B$33, ""data!I2:L800""), 1, FALSE)), ""No Survey"", IF(VLOOKUP(A131, IMPORTRANGE('Survey Progress'!$B$33, ""data!I2:L800""), 2, FALSE) = 0, ""Incomplete"", ""Complete"")))"),"")</f>
        <v/>
      </c>
      <c r="D131" s="15" t="str">
        <f>IFERROR(__xludf.DUMMYFUNCTION("IF(A131="""", """", IF(ISERROR(VLOOKUP(A131, IMPORTRANGE('Survey Progress'!$B$34, ""data!I2:L800""), 1, FALSE)), ""No Survey"", IF(VLOOKUP(A131, IMPORTRANGE('Survey Progress'!$B$34, ""data!I2:L800""), 2, FALSE) = 0, ""Incomplete"", ""Complete"")))"),"")</f>
        <v/>
      </c>
      <c r="E131" s="27">
        <f t="shared" si="1"/>
        <v>0</v>
      </c>
      <c r="F131" s="14"/>
    </row>
    <row r="132">
      <c r="A132" s="14"/>
      <c r="B132" s="16" t="str">
        <f>IFERROR(__xludf.DUMMYFUNCTION("IF(ISERROR(VLOOKUP(A132, IMPORTRANGE('Survey Progress'!$B$32, ""data!H2:M800""), 5, FALSE)), """", IF(VLOOKUP(A132, IMPORTRANGE('Survey Progress'!$B$32, ""data!H2:M800""), 5, FALSE) = 1, ""Eligible"", ""Ineligible""))"),"Eligible")</f>
        <v>Eligible</v>
      </c>
      <c r="C132" s="15" t="str">
        <f>IFERROR(__xludf.DUMMYFUNCTION("IF(A132="""", """", IF(ISERROR(VLOOKUP(A132, IMPORTRANGE('Survey Progress'!$B$33, ""data!I2:L800""), 1, FALSE)), ""No Survey"", IF(VLOOKUP(A132, IMPORTRANGE('Survey Progress'!$B$33, ""data!I2:L800""), 2, FALSE) = 0, ""Incomplete"", ""Complete"")))"),"")</f>
        <v/>
      </c>
      <c r="D132" s="15" t="str">
        <f>IFERROR(__xludf.DUMMYFUNCTION("IF(A132="""", """", IF(ISERROR(VLOOKUP(A132, IMPORTRANGE('Survey Progress'!$B$34, ""data!I2:L800""), 1, FALSE)), ""No Survey"", IF(VLOOKUP(A132, IMPORTRANGE('Survey Progress'!$B$34, ""data!I2:L800""), 2, FALSE) = 0, ""Incomplete"", ""Complete"")))"),"")</f>
        <v/>
      </c>
      <c r="E132" s="27">
        <f t="shared" si="1"/>
        <v>0</v>
      </c>
      <c r="F132" s="14"/>
    </row>
    <row r="133">
      <c r="A133" s="14"/>
      <c r="B133" s="16" t="str">
        <f>IFERROR(__xludf.DUMMYFUNCTION("IF(ISERROR(VLOOKUP(A133, IMPORTRANGE('Survey Progress'!$B$32, ""data!H2:M800""), 5, FALSE)), """", IF(VLOOKUP(A133, IMPORTRANGE('Survey Progress'!$B$32, ""data!H2:M800""), 5, FALSE) = 1, ""Eligible"", ""Ineligible""))"),"Eligible")</f>
        <v>Eligible</v>
      </c>
      <c r="C133" s="15" t="str">
        <f>IFERROR(__xludf.DUMMYFUNCTION("IF(A133="""", """", IF(ISERROR(VLOOKUP(A133, IMPORTRANGE('Survey Progress'!$B$33, ""data!I2:L800""), 1, FALSE)), ""No Survey"", IF(VLOOKUP(A133, IMPORTRANGE('Survey Progress'!$B$33, ""data!I2:L800""), 2, FALSE) = 0, ""Incomplete"", ""Complete"")))"),"")</f>
        <v/>
      </c>
      <c r="D133" s="15" t="str">
        <f>IFERROR(__xludf.DUMMYFUNCTION("IF(A133="""", """", IF(ISERROR(VLOOKUP(A133, IMPORTRANGE('Survey Progress'!$B$34, ""data!I2:L800""), 1, FALSE)), ""No Survey"", IF(VLOOKUP(A133, IMPORTRANGE('Survey Progress'!$B$34, ""data!I2:L800""), 2, FALSE) = 0, ""Incomplete"", ""Complete"")))"),"")</f>
        <v/>
      </c>
      <c r="E133" s="27">
        <f t="shared" si="1"/>
        <v>0</v>
      </c>
      <c r="F133" s="14"/>
    </row>
    <row r="134">
      <c r="A134" s="14"/>
      <c r="B134" s="16" t="str">
        <f>IFERROR(__xludf.DUMMYFUNCTION("IF(ISERROR(VLOOKUP(A134, IMPORTRANGE('Survey Progress'!$B$32, ""data!H2:M800""), 5, FALSE)), """", IF(VLOOKUP(A134, IMPORTRANGE('Survey Progress'!$B$32, ""data!H2:M800""), 5, FALSE) = 1, ""Eligible"", ""Ineligible""))"),"Eligible")</f>
        <v>Eligible</v>
      </c>
      <c r="C134" s="15" t="str">
        <f>IFERROR(__xludf.DUMMYFUNCTION("IF(A134="""", """", IF(ISERROR(VLOOKUP(A134, IMPORTRANGE('Survey Progress'!$B$33, ""data!I2:L800""), 1, FALSE)), ""No Survey"", IF(VLOOKUP(A134, IMPORTRANGE('Survey Progress'!$B$33, ""data!I2:L800""), 2, FALSE) = 0, ""Incomplete"", ""Complete"")))"),"")</f>
        <v/>
      </c>
      <c r="D134" s="15" t="str">
        <f>IFERROR(__xludf.DUMMYFUNCTION("IF(A134="""", """", IF(ISERROR(VLOOKUP(A134, IMPORTRANGE('Survey Progress'!$B$34, ""data!I2:L800""), 1, FALSE)), ""No Survey"", IF(VLOOKUP(A134, IMPORTRANGE('Survey Progress'!$B$34, ""data!I2:L800""), 2, FALSE) = 0, ""Incomplete"", ""Complete"")))"),"")</f>
        <v/>
      </c>
      <c r="E134" s="27">
        <f t="shared" si="1"/>
        <v>0</v>
      </c>
      <c r="F134" s="14"/>
    </row>
    <row r="135">
      <c r="A135" s="14"/>
      <c r="B135" s="16" t="str">
        <f>IFERROR(__xludf.DUMMYFUNCTION("IF(ISERROR(VLOOKUP(A135, IMPORTRANGE('Survey Progress'!$B$32, ""data!H2:M800""), 5, FALSE)), """", IF(VLOOKUP(A135, IMPORTRANGE('Survey Progress'!$B$32, ""data!H2:M800""), 5, FALSE) = 1, ""Eligible"", ""Ineligible""))"),"Eligible")</f>
        <v>Eligible</v>
      </c>
      <c r="C135" s="15" t="str">
        <f>IFERROR(__xludf.DUMMYFUNCTION("IF(A135="""", """", IF(ISERROR(VLOOKUP(A135, IMPORTRANGE('Survey Progress'!$B$33, ""data!I2:L800""), 1, FALSE)), ""No Survey"", IF(VLOOKUP(A135, IMPORTRANGE('Survey Progress'!$B$33, ""data!I2:L800""), 2, FALSE) = 0, ""Incomplete"", ""Complete"")))"),"")</f>
        <v/>
      </c>
      <c r="D135" s="15" t="str">
        <f>IFERROR(__xludf.DUMMYFUNCTION("IF(A135="""", """", IF(ISERROR(VLOOKUP(A135, IMPORTRANGE('Survey Progress'!$B$34, ""data!I2:L800""), 1, FALSE)), ""No Survey"", IF(VLOOKUP(A135, IMPORTRANGE('Survey Progress'!$B$34, ""data!I2:L800""), 2, FALSE) = 0, ""Incomplete"", ""Complete"")))"),"")</f>
        <v/>
      </c>
      <c r="E135" s="27">
        <f t="shared" si="1"/>
        <v>0</v>
      </c>
      <c r="F135" s="14"/>
    </row>
    <row r="136">
      <c r="A136" s="14"/>
      <c r="B136" s="16" t="str">
        <f>IFERROR(__xludf.DUMMYFUNCTION("IF(ISERROR(VLOOKUP(A136, IMPORTRANGE('Survey Progress'!$B$32, ""data!H2:M800""), 5, FALSE)), """", IF(VLOOKUP(A136, IMPORTRANGE('Survey Progress'!$B$32, ""data!H2:M800""), 5, FALSE) = 1, ""Eligible"", ""Ineligible""))"),"Eligible")</f>
        <v>Eligible</v>
      </c>
      <c r="C136" s="15" t="str">
        <f>IFERROR(__xludf.DUMMYFUNCTION("IF(A136="""", """", IF(ISERROR(VLOOKUP(A136, IMPORTRANGE('Survey Progress'!$B$33, ""data!I2:L800""), 1, FALSE)), ""No Survey"", IF(VLOOKUP(A136, IMPORTRANGE('Survey Progress'!$B$33, ""data!I2:L800""), 2, FALSE) = 0, ""Incomplete"", ""Complete"")))"),"")</f>
        <v/>
      </c>
      <c r="D136" s="15" t="str">
        <f>IFERROR(__xludf.DUMMYFUNCTION("IF(A136="""", """", IF(ISERROR(VLOOKUP(A136, IMPORTRANGE('Survey Progress'!$B$34, ""data!I2:L800""), 1, FALSE)), ""No Survey"", IF(VLOOKUP(A136, IMPORTRANGE('Survey Progress'!$B$34, ""data!I2:L800""), 2, FALSE) = 0, ""Incomplete"", ""Complete"")))"),"")</f>
        <v/>
      </c>
      <c r="E136" s="27">
        <f t="shared" si="1"/>
        <v>0</v>
      </c>
      <c r="F136" s="14"/>
    </row>
    <row r="137">
      <c r="A137" s="14"/>
      <c r="B137" s="16" t="str">
        <f>IFERROR(__xludf.DUMMYFUNCTION("IF(ISERROR(VLOOKUP(A137, IMPORTRANGE('Survey Progress'!$B$32, ""data!H2:M800""), 5, FALSE)), """", IF(VLOOKUP(A137, IMPORTRANGE('Survey Progress'!$B$32, ""data!H2:M800""), 5, FALSE) = 1, ""Eligible"", ""Ineligible""))"),"Eligible")</f>
        <v>Eligible</v>
      </c>
      <c r="C137" s="15" t="str">
        <f>IFERROR(__xludf.DUMMYFUNCTION("IF(A137="""", """", IF(ISERROR(VLOOKUP(A137, IMPORTRANGE('Survey Progress'!$B$33, ""data!I2:L800""), 1, FALSE)), ""No Survey"", IF(VLOOKUP(A137, IMPORTRANGE('Survey Progress'!$B$33, ""data!I2:L800""), 2, FALSE) = 0, ""Incomplete"", ""Complete"")))"),"")</f>
        <v/>
      </c>
      <c r="D137" s="15" t="str">
        <f>IFERROR(__xludf.DUMMYFUNCTION("IF(A137="""", """", IF(ISERROR(VLOOKUP(A137, IMPORTRANGE('Survey Progress'!$B$34, ""data!I2:L800""), 1, FALSE)), ""No Survey"", IF(VLOOKUP(A137, IMPORTRANGE('Survey Progress'!$B$34, ""data!I2:L800""), 2, FALSE) = 0, ""Incomplete"", ""Complete"")))"),"")</f>
        <v/>
      </c>
      <c r="E137" s="27">
        <f t="shared" si="1"/>
        <v>0</v>
      </c>
      <c r="F137" s="14"/>
    </row>
    <row r="138">
      <c r="A138" s="14"/>
      <c r="B138" s="16" t="str">
        <f>IFERROR(__xludf.DUMMYFUNCTION("IF(ISERROR(VLOOKUP(A138, IMPORTRANGE('Survey Progress'!$B$32, ""data!H2:M800""), 5, FALSE)), """", IF(VLOOKUP(A138, IMPORTRANGE('Survey Progress'!$B$32, ""data!H2:M800""), 5, FALSE) = 1, ""Eligible"", ""Ineligible""))"),"Eligible")</f>
        <v>Eligible</v>
      </c>
      <c r="C138" s="15" t="str">
        <f>IFERROR(__xludf.DUMMYFUNCTION("IF(A138="""", """", IF(ISERROR(VLOOKUP(A138, IMPORTRANGE('Survey Progress'!$B$33, ""data!I2:L800""), 1, FALSE)), ""No Survey"", IF(VLOOKUP(A138, IMPORTRANGE('Survey Progress'!$B$33, ""data!I2:L800""), 2, FALSE) = 0, ""Incomplete"", ""Complete"")))"),"")</f>
        <v/>
      </c>
      <c r="D138" s="15" t="str">
        <f>IFERROR(__xludf.DUMMYFUNCTION("IF(A138="""", """", IF(ISERROR(VLOOKUP(A138, IMPORTRANGE('Survey Progress'!$B$34, ""data!I2:L800""), 1, FALSE)), ""No Survey"", IF(VLOOKUP(A138, IMPORTRANGE('Survey Progress'!$B$34, ""data!I2:L800""), 2, FALSE) = 0, ""Incomplete"", ""Complete"")))"),"")</f>
        <v/>
      </c>
      <c r="E138" s="27">
        <f t="shared" si="1"/>
        <v>0</v>
      </c>
      <c r="F138" s="14"/>
    </row>
    <row r="139">
      <c r="A139" s="14"/>
      <c r="B139" s="16" t="str">
        <f>IFERROR(__xludf.DUMMYFUNCTION("IF(ISERROR(VLOOKUP(A139, IMPORTRANGE('Survey Progress'!$B$32, ""data!H2:M800""), 5, FALSE)), """", IF(VLOOKUP(A139, IMPORTRANGE('Survey Progress'!$B$32, ""data!H2:M800""), 5, FALSE) = 1, ""Eligible"", ""Ineligible""))"),"Eligible")</f>
        <v>Eligible</v>
      </c>
      <c r="C139" s="15" t="str">
        <f>IFERROR(__xludf.DUMMYFUNCTION("IF(A139="""", """", IF(ISERROR(VLOOKUP(A139, IMPORTRANGE('Survey Progress'!$B$33, ""data!I2:L800""), 1, FALSE)), ""No Survey"", IF(VLOOKUP(A139, IMPORTRANGE('Survey Progress'!$B$33, ""data!I2:L800""), 2, FALSE) = 0, ""Incomplete"", ""Complete"")))"),"")</f>
        <v/>
      </c>
      <c r="D139" s="15" t="str">
        <f>IFERROR(__xludf.DUMMYFUNCTION("IF(A139="""", """", IF(ISERROR(VLOOKUP(A139, IMPORTRANGE('Survey Progress'!$B$34, ""data!I2:L800""), 1, FALSE)), ""No Survey"", IF(VLOOKUP(A139, IMPORTRANGE('Survey Progress'!$B$34, ""data!I2:L800""), 2, FALSE) = 0, ""Incomplete"", ""Complete"")))"),"")</f>
        <v/>
      </c>
      <c r="E139" s="27">
        <f t="shared" si="1"/>
        <v>0</v>
      </c>
      <c r="F139" s="14"/>
    </row>
    <row r="140">
      <c r="A140" s="14"/>
      <c r="B140" s="16" t="str">
        <f>IFERROR(__xludf.DUMMYFUNCTION("IF(ISERROR(VLOOKUP(A140, IMPORTRANGE('Survey Progress'!$B$32, ""data!H2:M800""), 5, FALSE)), """", IF(VLOOKUP(A140, IMPORTRANGE('Survey Progress'!$B$32, ""data!H2:M800""), 5, FALSE) = 1, ""Eligible"", ""Ineligible""))"),"Eligible")</f>
        <v>Eligible</v>
      </c>
      <c r="C140" s="15" t="str">
        <f>IFERROR(__xludf.DUMMYFUNCTION("IF(A140="""", """", IF(ISERROR(VLOOKUP(A140, IMPORTRANGE('Survey Progress'!$B$33, ""data!I2:L800""), 1, FALSE)), ""No Survey"", IF(VLOOKUP(A140, IMPORTRANGE('Survey Progress'!$B$33, ""data!I2:L800""), 2, FALSE) = 0, ""Incomplete"", ""Complete"")))"),"")</f>
        <v/>
      </c>
      <c r="D140" s="15" t="str">
        <f>IFERROR(__xludf.DUMMYFUNCTION("IF(A140="""", """", IF(ISERROR(VLOOKUP(A140, IMPORTRANGE('Survey Progress'!$B$34, ""data!I2:L800""), 1, FALSE)), ""No Survey"", IF(VLOOKUP(A140, IMPORTRANGE('Survey Progress'!$B$34, ""data!I2:L800""), 2, FALSE) = 0, ""Incomplete"", ""Complete"")))"),"")</f>
        <v/>
      </c>
      <c r="E140" s="27">
        <f t="shared" si="1"/>
        <v>0</v>
      </c>
      <c r="F140" s="14"/>
    </row>
    <row r="141">
      <c r="A141" s="14"/>
      <c r="B141" s="16" t="str">
        <f>IFERROR(__xludf.DUMMYFUNCTION("IF(ISERROR(VLOOKUP(A141, IMPORTRANGE('Survey Progress'!$B$32, ""data!H2:M800""), 5, FALSE)), """", IF(VLOOKUP(A141, IMPORTRANGE('Survey Progress'!$B$32, ""data!H2:M800""), 5, FALSE) = 1, ""Eligible"", ""Ineligible""))"),"Eligible")</f>
        <v>Eligible</v>
      </c>
      <c r="C141" s="15" t="str">
        <f>IFERROR(__xludf.DUMMYFUNCTION("IF(A141="""", """", IF(ISERROR(VLOOKUP(A141, IMPORTRANGE('Survey Progress'!$B$33, ""data!I2:L800""), 1, FALSE)), ""No Survey"", IF(VLOOKUP(A141, IMPORTRANGE('Survey Progress'!$B$33, ""data!I2:L800""), 2, FALSE) = 0, ""Incomplete"", ""Complete"")))"),"")</f>
        <v/>
      </c>
      <c r="D141" s="15" t="str">
        <f>IFERROR(__xludf.DUMMYFUNCTION("IF(A141="""", """", IF(ISERROR(VLOOKUP(A141, IMPORTRANGE('Survey Progress'!$B$34, ""data!I2:L800""), 1, FALSE)), ""No Survey"", IF(VLOOKUP(A141, IMPORTRANGE('Survey Progress'!$B$34, ""data!I2:L800""), 2, FALSE) = 0, ""Incomplete"", ""Complete"")))"),"")</f>
        <v/>
      </c>
      <c r="E141" s="27">
        <f t="shared" si="1"/>
        <v>0</v>
      </c>
      <c r="F141" s="14"/>
    </row>
    <row r="142">
      <c r="A142" s="14"/>
      <c r="B142" s="16" t="str">
        <f>IFERROR(__xludf.DUMMYFUNCTION("IF(ISERROR(VLOOKUP(A142, IMPORTRANGE('Survey Progress'!$B$32, ""data!H2:M800""), 5, FALSE)), """", IF(VLOOKUP(A142, IMPORTRANGE('Survey Progress'!$B$32, ""data!H2:M800""), 5, FALSE) = 1, ""Eligible"", ""Ineligible""))"),"Eligible")</f>
        <v>Eligible</v>
      </c>
      <c r="C142" s="15" t="str">
        <f>IFERROR(__xludf.DUMMYFUNCTION("IF(A142="""", """", IF(ISERROR(VLOOKUP(A142, IMPORTRANGE('Survey Progress'!$B$33, ""data!I2:L800""), 1, FALSE)), ""No Survey"", IF(VLOOKUP(A142, IMPORTRANGE('Survey Progress'!$B$33, ""data!I2:L800""), 2, FALSE) = 0, ""Incomplete"", ""Complete"")))"),"")</f>
        <v/>
      </c>
      <c r="D142" s="15" t="str">
        <f>IFERROR(__xludf.DUMMYFUNCTION("IF(A142="""", """", IF(ISERROR(VLOOKUP(A142, IMPORTRANGE('Survey Progress'!$B$34, ""data!I2:L800""), 1, FALSE)), ""No Survey"", IF(VLOOKUP(A142, IMPORTRANGE('Survey Progress'!$B$34, ""data!I2:L800""), 2, FALSE) = 0, ""Incomplete"", ""Complete"")))"),"")</f>
        <v/>
      </c>
      <c r="E142" s="27">
        <f t="shared" si="1"/>
        <v>0</v>
      </c>
      <c r="F142" s="14"/>
    </row>
    <row r="143">
      <c r="A143" s="14"/>
      <c r="B143" s="16" t="str">
        <f>IFERROR(__xludf.DUMMYFUNCTION("IF(ISERROR(VLOOKUP(A143, IMPORTRANGE('Survey Progress'!$B$32, ""data!H2:M800""), 5, FALSE)), """", IF(VLOOKUP(A143, IMPORTRANGE('Survey Progress'!$B$32, ""data!H2:M800""), 5, FALSE) = 1, ""Eligible"", ""Ineligible""))"),"Eligible")</f>
        <v>Eligible</v>
      </c>
      <c r="C143" s="15" t="str">
        <f>IFERROR(__xludf.DUMMYFUNCTION("IF(A143="""", """", IF(ISERROR(VLOOKUP(A143, IMPORTRANGE('Survey Progress'!$B$33, ""data!I2:L800""), 1, FALSE)), ""No Survey"", IF(VLOOKUP(A143, IMPORTRANGE('Survey Progress'!$B$33, ""data!I2:L800""), 2, FALSE) = 0, ""Incomplete"", ""Complete"")))"),"")</f>
        <v/>
      </c>
      <c r="D143" s="15" t="str">
        <f>IFERROR(__xludf.DUMMYFUNCTION("IF(A143="""", """", IF(ISERROR(VLOOKUP(A143, IMPORTRANGE('Survey Progress'!$B$34, ""data!I2:L800""), 1, FALSE)), ""No Survey"", IF(VLOOKUP(A143, IMPORTRANGE('Survey Progress'!$B$34, ""data!I2:L800""), 2, FALSE) = 0, ""Incomplete"", ""Complete"")))"),"")</f>
        <v/>
      </c>
      <c r="E143" s="27">
        <f t="shared" si="1"/>
        <v>0</v>
      </c>
      <c r="F143" s="14"/>
    </row>
    <row r="144">
      <c r="A144" s="14"/>
      <c r="B144" s="16" t="str">
        <f>IFERROR(__xludf.DUMMYFUNCTION("IF(ISERROR(VLOOKUP(A144, IMPORTRANGE('Survey Progress'!$B$32, ""data!H2:M800""), 5, FALSE)), """", IF(VLOOKUP(A144, IMPORTRANGE('Survey Progress'!$B$32, ""data!H2:M800""), 5, FALSE) = 1, ""Eligible"", ""Ineligible""))"),"Eligible")</f>
        <v>Eligible</v>
      </c>
      <c r="C144" s="15" t="str">
        <f>IFERROR(__xludf.DUMMYFUNCTION("IF(A144="""", """", IF(ISERROR(VLOOKUP(A144, IMPORTRANGE('Survey Progress'!$B$33, ""data!I2:L800""), 1, FALSE)), ""No Survey"", IF(VLOOKUP(A144, IMPORTRANGE('Survey Progress'!$B$33, ""data!I2:L800""), 2, FALSE) = 0, ""Incomplete"", ""Complete"")))"),"")</f>
        <v/>
      </c>
      <c r="D144" s="15" t="str">
        <f>IFERROR(__xludf.DUMMYFUNCTION("IF(A144="""", """", IF(ISERROR(VLOOKUP(A144, IMPORTRANGE('Survey Progress'!$B$34, ""data!I2:L800""), 1, FALSE)), ""No Survey"", IF(VLOOKUP(A144, IMPORTRANGE('Survey Progress'!$B$34, ""data!I2:L800""), 2, FALSE) = 0, ""Incomplete"", ""Complete"")))"),"")</f>
        <v/>
      </c>
      <c r="E144" s="27">
        <f t="shared" si="1"/>
        <v>0</v>
      </c>
      <c r="F144" s="14"/>
    </row>
    <row r="145">
      <c r="A145" s="14"/>
      <c r="B145" s="16" t="str">
        <f>IFERROR(__xludf.DUMMYFUNCTION("IF(ISERROR(VLOOKUP(A145, IMPORTRANGE('Survey Progress'!$B$32, ""data!H2:M800""), 5, FALSE)), """", IF(VLOOKUP(A145, IMPORTRANGE('Survey Progress'!$B$32, ""data!H2:M800""), 5, FALSE) = 1, ""Eligible"", ""Ineligible""))"),"Eligible")</f>
        <v>Eligible</v>
      </c>
      <c r="C145" s="15" t="str">
        <f>IFERROR(__xludf.DUMMYFUNCTION("IF(A145="""", """", IF(ISERROR(VLOOKUP(A145, IMPORTRANGE('Survey Progress'!$B$33, ""data!I2:L800""), 1, FALSE)), ""No Survey"", IF(VLOOKUP(A145, IMPORTRANGE('Survey Progress'!$B$33, ""data!I2:L800""), 2, FALSE) = 0, ""Incomplete"", ""Complete"")))"),"")</f>
        <v/>
      </c>
      <c r="D145" s="15" t="str">
        <f>IFERROR(__xludf.DUMMYFUNCTION("IF(A145="""", """", IF(ISERROR(VLOOKUP(A145, IMPORTRANGE('Survey Progress'!$B$34, ""data!I2:L800""), 1, FALSE)), ""No Survey"", IF(VLOOKUP(A145, IMPORTRANGE('Survey Progress'!$B$34, ""data!I2:L800""), 2, FALSE) = 0, ""Incomplete"", ""Complete"")))"),"")</f>
        <v/>
      </c>
      <c r="E145" s="27">
        <f t="shared" si="1"/>
        <v>0</v>
      </c>
      <c r="F145" s="14"/>
    </row>
    <row r="146">
      <c r="A146" s="14"/>
      <c r="B146" s="16" t="str">
        <f>IFERROR(__xludf.DUMMYFUNCTION("IF(ISERROR(VLOOKUP(A146, IMPORTRANGE('Survey Progress'!$B$32, ""data!H2:M800""), 5, FALSE)), """", IF(VLOOKUP(A146, IMPORTRANGE('Survey Progress'!$B$32, ""data!H2:M800""), 5, FALSE) = 1, ""Eligible"", ""Ineligible""))"),"Eligible")</f>
        <v>Eligible</v>
      </c>
      <c r="C146" s="15" t="str">
        <f>IFERROR(__xludf.DUMMYFUNCTION("IF(A146="""", """", IF(ISERROR(VLOOKUP(A146, IMPORTRANGE('Survey Progress'!$B$33, ""data!I2:L800""), 1, FALSE)), ""No Survey"", IF(VLOOKUP(A146, IMPORTRANGE('Survey Progress'!$B$33, ""data!I2:L800""), 2, FALSE) = 0, ""Incomplete"", ""Complete"")))"),"")</f>
        <v/>
      </c>
      <c r="D146" s="15" t="str">
        <f>IFERROR(__xludf.DUMMYFUNCTION("IF(A146="""", """", IF(ISERROR(VLOOKUP(A146, IMPORTRANGE('Survey Progress'!$B$34, ""data!I2:L800""), 1, FALSE)), ""No Survey"", IF(VLOOKUP(A146, IMPORTRANGE('Survey Progress'!$B$34, ""data!I2:L800""), 2, FALSE) = 0, ""Incomplete"", ""Complete"")))"),"")</f>
        <v/>
      </c>
      <c r="E146" s="27">
        <f t="shared" si="1"/>
        <v>0</v>
      </c>
      <c r="F146" s="14"/>
    </row>
    <row r="147">
      <c r="A147" s="14"/>
      <c r="B147" s="16" t="str">
        <f>IFERROR(__xludf.DUMMYFUNCTION("IF(ISERROR(VLOOKUP(A147, IMPORTRANGE('Survey Progress'!$B$32, ""data!H2:M800""), 5, FALSE)), """", IF(VLOOKUP(A147, IMPORTRANGE('Survey Progress'!$B$32, ""data!H2:M800""), 5, FALSE) = 1, ""Eligible"", ""Ineligible""))"),"Eligible")</f>
        <v>Eligible</v>
      </c>
      <c r="C147" s="15" t="str">
        <f>IFERROR(__xludf.DUMMYFUNCTION("IF(A147="""", """", IF(ISERROR(VLOOKUP(A147, IMPORTRANGE('Survey Progress'!$B$33, ""data!I2:L800""), 1, FALSE)), ""No Survey"", IF(VLOOKUP(A147, IMPORTRANGE('Survey Progress'!$B$33, ""data!I2:L800""), 2, FALSE) = 0, ""Incomplete"", ""Complete"")))"),"")</f>
        <v/>
      </c>
      <c r="D147" s="15" t="str">
        <f>IFERROR(__xludf.DUMMYFUNCTION("IF(A147="""", """", IF(ISERROR(VLOOKUP(A147, IMPORTRANGE('Survey Progress'!$B$34, ""data!I2:L800""), 1, FALSE)), ""No Survey"", IF(VLOOKUP(A147, IMPORTRANGE('Survey Progress'!$B$34, ""data!I2:L800""), 2, FALSE) = 0, ""Incomplete"", ""Complete"")))"),"")</f>
        <v/>
      </c>
      <c r="E147" s="27">
        <f t="shared" si="1"/>
        <v>0</v>
      </c>
      <c r="F147" s="14"/>
    </row>
    <row r="148">
      <c r="A148" s="14"/>
      <c r="B148" s="16" t="str">
        <f>IFERROR(__xludf.DUMMYFUNCTION("IF(ISERROR(VLOOKUP(A148, IMPORTRANGE('Survey Progress'!$B$32, ""data!H2:M800""), 5, FALSE)), """", IF(VLOOKUP(A148, IMPORTRANGE('Survey Progress'!$B$32, ""data!H2:M800""), 5, FALSE) = 1, ""Eligible"", ""Ineligible""))"),"Eligible")</f>
        <v>Eligible</v>
      </c>
      <c r="C148" s="15" t="str">
        <f>IFERROR(__xludf.DUMMYFUNCTION("IF(A148="""", """", IF(ISERROR(VLOOKUP(A148, IMPORTRANGE('Survey Progress'!$B$33, ""data!I2:L800""), 1, FALSE)), ""No Survey"", IF(VLOOKUP(A148, IMPORTRANGE('Survey Progress'!$B$33, ""data!I2:L800""), 2, FALSE) = 0, ""Incomplete"", ""Complete"")))"),"")</f>
        <v/>
      </c>
      <c r="D148" s="15" t="str">
        <f>IFERROR(__xludf.DUMMYFUNCTION("IF(A148="""", """", IF(ISERROR(VLOOKUP(A148, IMPORTRANGE('Survey Progress'!$B$34, ""data!I2:L800""), 1, FALSE)), ""No Survey"", IF(VLOOKUP(A148, IMPORTRANGE('Survey Progress'!$B$34, ""data!I2:L800""), 2, FALSE) = 0, ""Incomplete"", ""Complete"")))"),"")</f>
        <v/>
      </c>
      <c r="E148" s="27">
        <f t="shared" si="1"/>
        <v>0</v>
      </c>
      <c r="F148" s="14"/>
    </row>
    <row r="149">
      <c r="A149" s="14"/>
      <c r="B149" s="16" t="str">
        <f>IFERROR(__xludf.DUMMYFUNCTION("IF(ISERROR(VLOOKUP(A149, IMPORTRANGE('Survey Progress'!$B$32, ""data!H2:M800""), 5, FALSE)), """", IF(VLOOKUP(A149, IMPORTRANGE('Survey Progress'!$B$32, ""data!H2:M800""), 5, FALSE) = 1, ""Eligible"", ""Ineligible""))"),"Eligible")</f>
        <v>Eligible</v>
      </c>
      <c r="C149" s="15" t="str">
        <f>IFERROR(__xludf.DUMMYFUNCTION("IF(A149="""", """", IF(ISERROR(VLOOKUP(A149, IMPORTRANGE('Survey Progress'!$B$33, ""data!I2:L800""), 1, FALSE)), ""No Survey"", IF(VLOOKUP(A149, IMPORTRANGE('Survey Progress'!$B$33, ""data!I2:L800""), 2, FALSE) = 0, ""Incomplete"", ""Complete"")))"),"")</f>
        <v/>
      </c>
      <c r="D149" s="15" t="str">
        <f>IFERROR(__xludf.DUMMYFUNCTION("IF(A149="""", """", IF(ISERROR(VLOOKUP(A149, IMPORTRANGE('Survey Progress'!$B$34, ""data!I2:L800""), 1, FALSE)), ""No Survey"", IF(VLOOKUP(A149, IMPORTRANGE('Survey Progress'!$B$34, ""data!I2:L800""), 2, FALSE) = 0, ""Incomplete"", ""Complete"")))"),"")</f>
        <v/>
      </c>
      <c r="E149" s="27">
        <f t="shared" si="1"/>
        <v>0</v>
      </c>
      <c r="F149" s="14"/>
    </row>
    <row r="150">
      <c r="A150" s="14"/>
      <c r="B150" s="16" t="str">
        <f>IFERROR(__xludf.DUMMYFUNCTION("IF(ISERROR(VLOOKUP(A150, IMPORTRANGE('Survey Progress'!$B$32, ""data!H2:M800""), 5, FALSE)), """", IF(VLOOKUP(A150, IMPORTRANGE('Survey Progress'!$B$32, ""data!H2:M800""), 5, FALSE) = 1, ""Eligible"", ""Ineligible""))"),"Eligible")</f>
        <v>Eligible</v>
      </c>
      <c r="C150" s="15" t="str">
        <f>IFERROR(__xludf.DUMMYFUNCTION("IF(A150="""", """", IF(ISERROR(VLOOKUP(A150, IMPORTRANGE('Survey Progress'!$B$33, ""data!I2:L800""), 1, FALSE)), ""No Survey"", IF(VLOOKUP(A150, IMPORTRANGE('Survey Progress'!$B$33, ""data!I2:L800""), 2, FALSE) = 0, ""Incomplete"", ""Complete"")))"),"")</f>
        <v/>
      </c>
      <c r="D150" s="15" t="str">
        <f>IFERROR(__xludf.DUMMYFUNCTION("IF(A150="""", """", IF(ISERROR(VLOOKUP(A150, IMPORTRANGE('Survey Progress'!$B$34, ""data!I2:L800""), 1, FALSE)), ""No Survey"", IF(VLOOKUP(A150, IMPORTRANGE('Survey Progress'!$B$34, ""data!I2:L800""), 2, FALSE) = 0, ""Incomplete"", ""Complete"")))"),"")</f>
        <v/>
      </c>
      <c r="E150" s="27">
        <f t="shared" si="1"/>
        <v>0</v>
      </c>
      <c r="F150" s="14"/>
    </row>
    <row r="151">
      <c r="A151" s="14"/>
      <c r="B151" s="16" t="str">
        <f>IFERROR(__xludf.DUMMYFUNCTION("IF(ISERROR(VLOOKUP(A151, IMPORTRANGE('Survey Progress'!$B$32, ""data!H2:M800""), 5, FALSE)), """", IF(VLOOKUP(A151, IMPORTRANGE('Survey Progress'!$B$32, ""data!H2:M800""), 5, FALSE) = 1, ""Eligible"", ""Ineligible""))"),"Eligible")</f>
        <v>Eligible</v>
      </c>
      <c r="C151" s="15" t="str">
        <f>IFERROR(__xludf.DUMMYFUNCTION("IF(A151="""", """", IF(ISERROR(VLOOKUP(A151, IMPORTRANGE('Survey Progress'!$B$33, ""data!I2:L800""), 1, FALSE)), ""No Survey"", IF(VLOOKUP(A151, IMPORTRANGE('Survey Progress'!$B$33, ""data!I2:L800""), 2, FALSE) = 0, ""Incomplete"", ""Complete"")))"),"")</f>
        <v/>
      </c>
      <c r="D151" s="15" t="str">
        <f>IFERROR(__xludf.DUMMYFUNCTION("IF(A151="""", """", IF(ISERROR(VLOOKUP(A151, IMPORTRANGE('Survey Progress'!$B$34, ""data!I2:L800""), 1, FALSE)), ""No Survey"", IF(VLOOKUP(A151, IMPORTRANGE('Survey Progress'!$B$34, ""data!I2:L800""), 2, FALSE) = 0, ""Incomplete"", ""Complete"")))"),"")</f>
        <v/>
      </c>
      <c r="E151" s="27">
        <f t="shared" si="1"/>
        <v>0</v>
      </c>
      <c r="F151" s="14"/>
    </row>
    <row r="152">
      <c r="A152" s="14"/>
      <c r="B152" s="16" t="str">
        <f>IFERROR(__xludf.DUMMYFUNCTION("IF(ISERROR(VLOOKUP(A152, IMPORTRANGE('Survey Progress'!$B$32, ""data!H2:M800""), 5, FALSE)), """", IF(VLOOKUP(A152, IMPORTRANGE('Survey Progress'!$B$32, ""data!H2:M800""), 5, FALSE) = 1, ""Eligible"", ""Ineligible""))"),"Eligible")</f>
        <v>Eligible</v>
      </c>
      <c r="C152" s="15" t="str">
        <f>IFERROR(__xludf.DUMMYFUNCTION("IF(A152="""", """", IF(ISERROR(VLOOKUP(A152, IMPORTRANGE('Survey Progress'!$B$33, ""data!I2:L800""), 1, FALSE)), ""No Survey"", IF(VLOOKUP(A152, IMPORTRANGE('Survey Progress'!$B$33, ""data!I2:L800""), 2, FALSE) = 0, ""Incomplete"", ""Complete"")))"),"")</f>
        <v/>
      </c>
      <c r="D152" s="15" t="str">
        <f>IFERROR(__xludf.DUMMYFUNCTION("IF(A152="""", """", IF(ISERROR(VLOOKUP(A152, IMPORTRANGE('Survey Progress'!$B$34, ""data!I2:L800""), 1, FALSE)), ""No Survey"", IF(VLOOKUP(A152, IMPORTRANGE('Survey Progress'!$B$34, ""data!I2:L800""), 2, FALSE) = 0, ""Incomplete"", ""Complete"")))"),"")</f>
        <v/>
      </c>
      <c r="E152" s="27">
        <f t="shared" si="1"/>
        <v>0</v>
      </c>
      <c r="F152" s="14"/>
    </row>
    <row r="153">
      <c r="A153" s="14"/>
      <c r="B153" s="16" t="str">
        <f>IFERROR(__xludf.DUMMYFUNCTION("IF(ISERROR(VLOOKUP(A153, IMPORTRANGE('Survey Progress'!$B$32, ""data!H2:M800""), 5, FALSE)), """", IF(VLOOKUP(A153, IMPORTRANGE('Survey Progress'!$B$32, ""data!H2:M800""), 5, FALSE) = 1, ""Eligible"", ""Ineligible""))"),"Eligible")</f>
        <v>Eligible</v>
      </c>
      <c r="C153" s="15" t="str">
        <f>IFERROR(__xludf.DUMMYFUNCTION("IF(A153="""", """", IF(ISERROR(VLOOKUP(A153, IMPORTRANGE('Survey Progress'!$B$33, ""data!I2:L800""), 1, FALSE)), ""No Survey"", IF(VLOOKUP(A153, IMPORTRANGE('Survey Progress'!$B$33, ""data!I2:L800""), 2, FALSE) = 0, ""Incomplete"", ""Complete"")))"),"")</f>
        <v/>
      </c>
      <c r="D153" s="15" t="str">
        <f>IFERROR(__xludf.DUMMYFUNCTION("IF(A153="""", """", IF(ISERROR(VLOOKUP(A153, IMPORTRANGE('Survey Progress'!$B$34, ""data!I2:L800""), 1, FALSE)), ""No Survey"", IF(VLOOKUP(A153, IMPORTRANGE('Survey Progress'!$B$34, ""data!I2:L800""), 2, FALSE) = 0, ""Incomplete"", ""Complete"")))"),"")</f>
        <v/>
      </c>
      <c r="E153" s="27">
        <f t="shared" si="1"/>
        <v>0</v>
      </c>
      <c r="F153" s="14"/>
    </row>
    <row r="154">
      <c r="A154" s="14"/>
      <c r="B154" s="16" t="str">
        <f>IFERROR(__xludf.DUMMYFUNCTION("IF(ISERROR(VLOOKUP(A154, IMPORTRANGE('Survey Progress'!$B$32, ""data!H2:M800""), 5, FALSE)), """", IF(VLOOKUP(A154, IMPORTRANGE('Survey Progress'!$B$32, ""data!H2:M800""), 5, FALSE) = 1, ""Eligible"", ""Ineligible""))"),"Eligible")</f>
        <v>Eligible</v>
      </c>
      <c r="C154" s="15" t="str">
        <f>IFERROR(__xludf.DUMMYFUNCTION("IF(A154="""", """", IF(ISERROR(VLOOKUP(A154, IMPORTRANGE('Survey Progress'!$B$33, ""data!I2:L800""), 1, FALSE)), ""No Survey"", IF(VLOOKUP(A154, IMPORTRANGE('Survey Progress'!$B$33, ""data!I2:L800""), 2, FALSE) = 0, ""Incomplete"", ""Complete"")))"),"")</f>
        <v/>
      </c>
      <c r="D154" s="15" t="str">
        <f>IFERROR(__xludf.DUMMYFUNCTION("IF(A154="""", """", IF(ISERROR(VLOOKUP(A154, IMPORTRANGE('Survey Progress'!$B$34, ""data!I2:L800""), 1, FALSE)), ""No Survey"", IF(VLOOKUP(A154, IMPORTRANGE('Survey Progress'!$B$34, ""data!I2:L800""), 2, FALSE) = 0, ""Incomplete"", ""Complete"")))"),"")</f>
        <v/>
      </c>
      <c r="E154" s="27">
        <f t="shared" si="1"/>
        <v>0</v>
      </c>
      <c r="F154" s="14"/>
    </row>
    <row r="155">
      <c r="A155" s="14"/>
      <c r="B155" s="16" t="str">
        <f>IFERROR(__xludf.DUMMYFUNCTION("IF(ISERROR(VLOOKUP(A155, IMPORTRANGE('Survey Progress'!$B$32, ""data!H2:M800""), 5, FALSE)), """", IF(VLOOKUP(A155, IMPORTRANGE('Survey Progress'!$B$32, ""data!H2:M800""), 5, FALSE) = 1, ""Eligible"", ""Ineligible""))"),"Eligible")</f>
        <v>Eligible</v>
      </c>
      <c r="C155" s="15" t="str">
        <f>IFERROR(__xludf.DUMMYFUNCTION("IF(A155="""", """", IF(ISERROR(VLOOKUP(A155, IMPORTRANGE('Survey Progress'!$B$33, ""data!I2:L800""), 1, FALSE)), ""No Survey"", IF(VLOOKUP(A155, IMPORTRANGE('Survey Progress'!$B$33, ""data!I2:L800""), 2, FALSE) = 0, ""Incomplete"", ""Complete"")))"),"")</f>
        <v/>
      </c>
      <c r="D155" s="15" t="str">
        <f>IFERROR(__xludf.DUMMYFUNCTION("IF(A155="""", """", IF(ISERROR(VLOOKUP(A155, IMPORTRANGE('Survey Progress'!$B$34, ""data!I2:L800""), 1, FALSE)), ""No Survey"", IF(VLOOKUP(A155, IMPORTRANGE('Survey Progress'!$B$34, ""data!I2:L800""), 2, FALSE) = 0, ""Incomplete"", ""Complete"")))"),"")</f>
        <v/>
      </c>
      <c r="E155" s="27">
        <f t="shared" si="1"/>
        <v>0</v>
      </c>
      <c r="F155" s="14"/>
    </row>
    <row r="156">
      <c r="A156" s="14"/>
      <c r="B156" s="16" t="str">
        <f>IFERROR(__xludf.DUMMYFUNCTION("IF(ISERROR(VLOOKUP(A156, IMPORTRANGE('Survey Progress'!$B$32, ""data!H2:M800""), 5, FALSE)), """", IF(VLOOKUP(A156, IMPORTRANGE('Survey Progress'!$B$32, ""data!H2:M800""), 5, FALSE) = 1, ""Eligible"", ""Ineligible""))"),"Eligible")</f>
        <v>Eligible</v>
      </c>
      <c r="C156" s="15" t="str">
        <f>IFERROR(__xludf.DUMMYFUNCTION("IF(A156="""", """", IF(ISERROR(VLOOKUP(A156, IMPORTRANGE('Survey Progress'!$B$33, ""data!I2:L800""), 1, FALSE)), ""No Survey"", IF(VLOOKUP(A156, IMPORTRANGE('Survey Progress'!$B$33, ""data!I2:L800""), 2, FALSE) = 0, ""Incomplete"", ""Complete"")))"),"")</f>
        <v/>
      </c>
      <c r="D156" s="15" t="str">
        <f>IFERROR(__xludf.DUMMYFUNCTION("IF(A156="""", """", IF(ISERROR(VLOOKUP(A156, IMPORTRANGE('Survey Progress'!$B$34, ""data!I2:L800""), 1, FALSE)), ""No Survey"", IF(VLOOKUP(A156, IMPORTRANGE('Survey Progress'!$B$34, ""data!I2:L800""), 2, FALSE) = 0, ""Incomplete"", ""Complete"")))"),"")</f>
        <v/>
      </c>
      <c r="E156" s="27">
        <f t="shared" si="1"/>
        <v>0</v>
      </c>
      <c r="F156" s="14"/>
    </row>
    <row r="157">
      <c r="A157" s="14"/>
      <c r="B157" s="16" t="str">
        <f>IFERROR(__xludf.DUMMYFUNCTION("IF(ISERROR(VLOOKUP(A157, IMPORTRANGE('Survey Progress'!$B$32, ""data!H2:M800""), 5, FALSE)), """", IF(VLOOKUP(A157, IMPORTRANGE('Survey Progress'!$B$32, ""data!H2:M800""), 5, FALSE) = 1, ""Eligible"", ""Ineligible""))"),"Eligible")</f>
        <v>Eligible</v>
      </c>
      <c r="C157" s="15" t="str">
        <f>IFERROR(__xludf.DUMMYFUNCTION("IF(A157="""", """", IF(ISERROR(VLOOKUP(A157, IMPORTRANGE('Survey Progress'!$B$33, ""data!I2:L800""), 1, FALSE)), ""No Survey"", IF(VLOOKUP(A157, IMPORTRANGE('Survey Progress'!$B$33, ""data!I2:L800""), 2, FALSE) = 0, ""Incomplete"", ""Complete"")))"),"")</f>
        <v/>
      </c>
      <c r="D157" s="15" t="str">
        <f>IFERROR(__xludf.DUMMYFUNCTION("IF(A157="""", """", IF(ISERROR(VLOOKUP(A157, IMPORTRANGE('Survey Progress'!$B$34, ""data!I2:L800""), 1, FALSE)), ""No Survey"", IF(VLOOKUP(A157, IMPORTRANGE('Survey Progress'!$B$34, ""data!I2:L800""), 2, FALSE) = 0, ""Incomplete"", ""Complete"")))"),"")</f>
        <v/>
      </c>
      <c r="E157" s="27">
        <f t="shared" si="1"/>
        <v>0</v>
      </c>
      <c r="F157" s="14"/>
    </row>
    <row r="158">
      <c r="A158" s="14"/>
      <c r="B158" s="16" t="str">
        <f>IFERROR(__xludf.DUMMYFUNCTION("IF(ISERROR(VLOOKUP(A158, IMPORTRANGE('Survey Progress'!$B$32, ""data!H2:M800""), 5, FALSE)), """", IF(VLOOKUP(A158, IMPORTRANGE('Survey Progress'!$B$32, ""data!H2:M800""), 5, FALSE) = 1, ""Eligible"", ""Ineligible""))"),"Eligible")</f>
        <v>Eligible</v>
      </c>
      <c r="C158" s="15" t="str">
        <f>IFERROR(__xludf.DUMMYFUNCTION("IF(A158="""", """", IF(ISERROR(VLOOKUP(A158, IMPORTRANGE('Survey Progress'!$B$33, ""data!I2:L800""), 1, FALSE)), ""No Survey"", IF(VLOOKUP(A158, IMPORTRANGE('Survey Progress'!$B$33, ""data!I2:L800""), 2, FALSE) = 0, ""Incomplete"", ""Complete"")))"),"")</f>
        <v/>
      </c>
      <c r="D158" s="15" t="str">
        <f>IFERROR(__xludf.DUMMYFUNCTION("IF(A158="""", """", IF(ISERROR(VLOOKUP(A158, IMPORTRANGE('Survey Progress'!$B$34, ""data!I2:L800""), 1, FALSE)), ""No Survey"", IF(VLOOKUP(A158, IMPORTRANGE('Survey Progress'!$B$34, ""data!I2:L800""), 2, FALSE) = 0, ""Incomplete"", ""Complete"")))"),"")</f>
        <v/>
      </c>
      <c r="E158" s="27">
        <f t="shared" si="1"/>
        <v>0</v>
      </c>
      <c r="F158" s="14"/>
    </row>
    <row r="159">
      <c r="A159" s="14"/>
      <c r="B159" s="16" t="str">
        <f>IFERROR(__xludf.DUMMYFUNCTION("IF(ISERROR(VLOOKUP(A159, IMPORTRANGE('Survey Progress'!$B$32, ""data!H2:M800""), 5, FALSE)), """", IF(VLOOKUP(A159, IMPORTRANGE('Survey Progress'!$B$32, ""data!H2:M800""), 5, FALSE) = 1, ""Eligible"", ""Ineligible""))"),"Eligible")</f>
        <v>Eligible</v>
      </c>
      <c r="C159" s="15" t="str">
        <f>IFERROR(__xludf.DUMMYFUNCTION("IF(A159="""", """", IF(ISERROR(VLOOKUP(A159, IMPORTRANGE('Survey Progress'!$B$33, ""data!I2:L800""), 1, FALSE)), ""No Survey"", IF(VLOOKUP(A159, IMPORTRANGE('Survey Progress'!$B$33, ""data!I2:L800""), 2, FALSE) = 0, ""Incomplete"", ""Complete"")))"),"")</f>
        <v/>
      </c>
      <c r="D159" s="15" t="str">
        <f>IFERROR(__xludf.DUMMYFUNCTION("IF(A159="""", """", IF(ISERROR(VLOOKUP(A159, IMPORTRANGE('Survey Progress'!$B$34, ""data!I2:L800""), 1, FALSE)), ""No Survey"", IF(VLOOKUP(A159, IMPORTRANGE('Survey Progress'!$B$34, ""data!I2:L800""), 2, FALSE) = 0, ""Incomplete"", ""Complete"")))"),"")</f>
        <v/>
      </c>
      <c r="E159" s="27">
        <f t="shared" si="1"/>
        <v>0</v>
      </c>
      <c r="F159" s="14"/>
    </row>
    <row r="160">
      <c r="A160" s="14"/>
      <c r="B160" s="16" t="str">
        <f>IFERROR(__xludf.DUMMYFUNCTION("IF(ISERROR(VLOOKUP(A160, IMPORTRANGE('Survey Progress'!$B$32, ""data!H2:M800""), 5, FALSE)), """", IF(VLOOKUP(A160, IMPORTRANGE('Survey Progress'!$B$32, ""data!H2:M800""), 5, FALSE) = 1, ""Eligible"", ""Ineligible""))"),"Eligible")</f>
        <v>Eligible</v>
      </c>
      <c r="C160" s="15" t="str">
        <f>IFERROR(__xludf.DUMMYFUNCTION("IF(A160="""", """", IF(ISERROR(VLOOKUP(A160, IMPORTRANGE('Survey Progress'!$B$33, ""data!I2:L800""), 1, FALSE)), ""No Survey"", IF(VLOOKUP(A160, IMPORTRANGE('Survey Progress'!$B$33, ""data!I2:L800""), 2, FALSE) = 0, ""Incomplete"", ""Complete"")))"),"")</f>
        <v/>
      </c>
      <c r="D160" s="15" t="str">
        <f>IFERROR(__xludf.DUMMYFUNCTION("IF(A160="""", """", IF(ISERROR(VLOOKUP(A160, IMPORTRANGE('Survey Progress'!$B$34, ""data!I2:L800""), 1, FALSE)), ""No Survey"", IF(VLOOKUP(A160, IMPORTRANGE('Survey Progress'!$B$34, ""data!I2:L800""), 2, FALSE) = 0, ""Incomplete"", ""Complete"")))"),"")</f>
        <v/>
      </c>
      <c r="E160" s="27">
        <f t="shared" si="1"/>
        <v>0</v>
      </c>
      <c r="F160" s="14"/>
    </row>
    <row r="161">
      <c r="A161" s="14"/>
      <c r="B161" s="16" t="str">
        <f>IFERROR(__xludf.DUMMYFUNCTION("IF(ISERROR(VLOOKUP(A161, IMPORTRANGE('Survey Progress'!$B$32, ""data!H2:M800""), 5, FALSE)), """", IF(VLOOKUP(A161, IMPORTRANGE('Survey Progress'!$B$32, ""data!H2:M800""), 5, FALSE) = 1, ""Eligible"", ""Ineligible""))"),"Eligible")</f>
        <v>Eligible</v>
      </c>
      <c r="C161" s="15" t="str">
        <f>IFERROR(__xludf.DUMMYFUNCTION("IF(A161="""", """", IF(ISERROR(VLOOKUP(A161, IMPORTRANGE('Survey Progress'!$B$33, ""data!I2:L800""), 1, FALSE)), ""No Survey"", IF(VLOOKUP(A161, IMPORTRANGE('Survey Progress'!$B$33, ""data!I2:L800""), 2, FALSE) = 0, ""Incomplete"", ""Complete"")))"),"")</f>
        <v/>
      </c>
      <c r="D161" s="15" t="str">
        <f>IFERROR(__xludf.DUMMYFUNCTION("IF(A161="""", """", IF(ISERROR(VLOOKUP(A161, IMPORTRANGE('Survey Progress'!$B$34, ""data!I2:L800""), 1, FALSE)), ""No Survey"", IF(VLOOKUP(A161, IMPORTRANGE('Survey Progress'!$B$34, ""data!I2:L800""), 2, FALSE) = 0, ""Incomplete"", ""Complete"")))"),"")</f>
        <v/>
      </c>
      <c r="E161" s="27">
        <f t="shared" si="1"/>
        <v>0</v>
      </c>
      <c r="F161" s="14"/>
    </row>
    <row r="162">
      <c r="A162" s="14"/>
      <c r="B162" s="16" t="str">
        <f>IFERROR(__xludf.DUMMYFUNCTION("IF(ISERROR(VLOOKUP(A162, IMPORTRANGE('Survey Progress'!$B$32, ""data!H2:M800""), 5, FALSE)), """", IF(VLOOKUP(A162, IMPORTRANGE('Survey Progress'!$B$32, ""data!H2:M800""), 5, FALSE) = 1, ""Eligible"", ""Ineligible""))"),"Eligible")</f>
        <v>Eligible</v>
      </c>
      <c r="C162" s="15" t="str">
        <f>IFERROR(__xludf.DUMMYFUNCTION("IF(A162="""", """", IF(ISERROR(VLOOKUP(A162, IMPORTRANGE('Survey Progress'!$B$33, ""data!I2:L800""), 1, FALSE)), ""No Survey"", IF(VLOOKUP(A162, IMPORTRANGE('Survey Progress'!$B$33, ""data!I2:L800""), 2, FALSE) = 0, ""Incomplete"", ""Complete"")))"),"")</f>
        <v/>
      </c>
      <c r="D162" s="15" t="str">
        <f>IFERROR(__xludf.DUMMYFUNCTION("IF(A162="""", """", IF(ISERROR(VLOOKUP(A162, IMPORTRANGE('Survey Progress'!$B$34, ""data!I2:L800""), 1, FALSE)), ""No Survey"", IF(VLOOKUP(A162, IMPORTRANGE('Survey Progress'!$B$34, ""data!I2:L800""), 2, FALSE) = 0, ""Incomplete"", ""Complete"")))"),"")</f>
        <v/>
      </c>
      <c r="E162" s="27">
        <f t="shared" si="1"/>
        <v>0</v>
      </c>
      <c r="F162" s="14"/>
    </row>
    <row r="163">
      <c r="A163" s="14"/>
      <c r="B163" s="16" t="str">
        <f>IFERROR(__xludf.DUMMYFUNCTION("IF(ISERROR(VLOOKUP(A163, IMPORTRANGE('Survey Progress'!$B$32, ""data!H2:M800""), 5, FALSE)), """", IF(VLOOKUP(A163, IMPORTRANGE('Survey Progress'!$B$32, ""data!H2:M800""), 5, FALSE) = 1, ""Eligible"", ""Ineligible""))"),"Eligible")</f>
        <v>Eligible</v>
      </c>
      <c r="C163" s="15" t="str">
        <f>IFERROR(__xludf.DUMMYFUNCTION("IF(A163="""", """", IF(ISERROR(VLOOKUP(A163, IMPORTRANGE('Survey Progress'!$B$33, ""data!I2:L800""), 1, FALSE)), ""No Survey"", IF(VLOOKUP(A163, IMPORTRANGE('Survey Progress'!$B$33, ""data!I2:L800""), 2, FALSE) = 0, ""Incomplete"", ""Complete"")))"),"")</f>
        <v/>
      </c>
      <c r="D163" s="15" t="str">
        <f>IFERROR(__xludf.DUMMYFUNCTION("IF(A163="""", """", IF(ISERROR(VLOOKUP(A163, IMPORTRANGE('Survey Progress'!$B$34, ""data!I2:L800""), 1, FALSE)), ""No Survey"", IF(VLOOKUP(A163, IMPORTRANGE('Survey Progress'!$B$34, ""data!I2:L800""), 2, FALSE) = 0, ""Incomplete"", ""Complete"")))"),"")</f>
        <v/>
      </c>
      <c r="E163" s="27">
        <f t="shared" si="1"/>
        <v>0</v>
      </c>
      <c r="F163" s="14"/>
    </row>
    <row r="164">
      <c r="A164" s="14"/>
      <c r="B164" s="16" t="str">
        <f>IFERROR(__xludf.DUMMYFUNCTION("IF(ISERROR(VLOOKUP(A164, IMPORTRANGE('Survey Progress'!$B$32, ""data!H2:M800""), 5, FALSE)), """", IF(VLOOKUP(A164, IMPORTRANGE('Survey Progress'!$B$32, ""data!H2:M800""), 5, FALSE) = 1, ""Eligible"", ""Ineligible""))"),"Eligible")</f>
        <v>Eligible</v>
      </c>
      <c r="C164" s="15" t="str">
        <f>IFERROR(__xludf.DUMMYFUNCTION("IF(A164="""", """", IF(ISERROR(VLOOKUP(A164, IMPORTRANGE('Survey Progress'!$B$33, ""data!I2:L800""), 1, FALSE)), ""No Survey"", IF(VLOOKUP(A164, IMPORTRANGE('Survey Progress'!$B$33, ""data!I2:L800""), 2, FALSE) = 0, ""Incomplete"", ""Complete"")))"),"")</f>
        <v/>
      </c>
      <c r="D164" s="15" t="str">
        <f>IFERROR(__xludf.DUMMYFUNCTION("IF(A164="""", """", IF(ISERROR(VLOOKUP(A164, IMPORTRANGE('Survey Progress'!$B$34, ""data!I2:L800""), 1, FALSE)), ""No Survey"", IF(VLOOKUP(A164, IMPORTRANGE('Survey Progress'!$B$34, ""data!I2:L800""), 2, FALSE) = 0, ""Incomplete"", ""Complete"")))"),"")</f>
        <v/>
      </c>
      <c r="E164" s="27">
        <f t="shared" si="1"/>
        <v>0</v>
      </c>
      <c r="F164" s="14"/>
    </row>
    <row r="165">
      <c r="A165" s="14"/>
      <c r="B165" s="16" t="str">
        <f>IFERROR(__xludf.DUMMYFUNCTION("IF(ISERROR(VLOOKUP(A165, IMPORTRANGE('Survey Progress'!$B$32, ""data!H2:M800""), 5, FALSE)), """", IF(VLOOKUP(A165, IMPORTRANGE('Survey Progress'!$B$32, ""data!H2:M800""), 5, FALSE) = 1, ""Eligible"", ""Ineligible""))"),"Eligible")</f>
        <v>Eligible</v>
      </c>
      <c r="C165" s="15" t="str">
        <f>IFERROR(__xludf.DUMMYFUNCTION("IF(A165="""", """", IF(ISERROR(VLOOKUP(A165, IMPORTRANGE('Survey Progress'!$B$33, ""data!I2:L800""), 1, FALSE)), ""No Survey"", IF(VLOOKUP(A165, IMPORTRANGE('Survey Progress'!$B$33, ""data!I2:L800""), 2, FALSE) = 0, ""Incomplete"", ""Complete"")))"),"")</f>
        <v/>
      </c>
      <c r="D165" s="15" t="str">
        <f>IFERROR(__xludf.DUMMYFUNCTION("IF(A165="""", """", IF(ISERROR(VLOOKUP(A165, IMPORTRANGE('Survey Progress'!$B$34, ""data!I2:L800""), 1, FALSE)), ""No Survey"", IF(VLOOKUP(A165, IMPORTRANGE('Survey Progress'!$B$34, ""data!I2:L800""), 2, FALSE) = 0, ""Incomplete"", ""Complete"")))"),"")</f>
        <v/>
      </c>
      <c r="E165" s="27">
        <f t="shared" si="1"/>
        <v>0</v>
      </c>
      <c r="F165" s="14"/>
    </row>
    <row r="166">
      <c r="A166" s="14"/>
      <c r="B166" s="16" t="str">
        <f>IFERROR(__xludf.DUMMYFUNCTION("IF(ISERROR(VLOOKUP(A166, IMPORTRANGE('Survey Progress'!$B$32, ""data!H2:M800""), 5, FALSE)), """", IF(VLOOKUP(A166, IMPORTRANGE('Survey Progress'!$B$32, ""data!H2:M800""), 5, FALSE) = 1, ""Eligible"", ""Ineligible""))"),"Eligible")</f>
        <v>Eligible</v>
      </c>
      <c r="C166" s="15" t="str">
        <f>IFERROR(__xludf.DUMMYFUNCTION("IF(A166="""", """", IF(ISERROR(VLOOKUP(A166, IMPORTRANGE('Survey Progress'!$B$33, ""data!I2:L800""), 1, FALSE)), ""No Survey"", IF(VLOOKUP(A166, IMPORTRANGE('Survey Progress'!$B$33, ""data!I2:L800""), 2, FALSE) = 0, ""Incomplete"", ""Complete"")))"),"")</f>
        <v/>
      </c>
      <c r="D166" s="15" t="str">
        <f>IFERROR(__xludf.DUMMYFUNCTION("IF(A166="""", """", IF(ISERROR(VLOOKUP(A166, IMPORTRANGE('Survey Progress'!$B$34, ""data!I2:L800""), 1, FALSE)), ""No Survey"", IF(VLOOKUP(A166, IMPORTRANGE('Survey Progress'!$B$34, ""data!I2:L800""), 2, FALSE) = 0, ""Incomplete"", ""Complete"")))"),"")</f>
        <v/>
      </c>
      <c r="E166" s="27">
        <f t="shared" si="1"/>
        <v>0</v>
      </c>
      <c r="F166" s="14"/>
    </row>
    <row r="167">
      <c r="A167" s="14"/>
      <c r="B167" s="16" t="str">
        <f>IFERROR(__xludf.DUMMYFUNCTION("IF(ISERROR(VLOOKUP(A167, IMPORTRANGE('Survey Progress'!$B$32, ""data!H2:M800""), 5, FALSE)), """", IF(VLOOKUP(A167, IMPORTRANGE('Survey Progress'!$B$32, ""data!H2:M800""), 5, FALSE) = 1, ""Eligible"", ""Ineligible""))"),"Eligible")</f>
        <v>Eligible</v>
      </c>
      <c r="C167" s="15" t="str">
        <f>IFERROR(__xludf.DUMMYFUNCTION("IF(A167="""", """", IF(ISERROR(VLOOKUP(A167, IMPORTRANGE('Survey Progress'!$B$33, ""data!I2:L800""), 1, FALSE)), ""No Survey"", IF(VLOOKUP(A167, IMPORTRANGE('Survey Progress'!$B$33, ""data!I2:L800""), 2, FALSE) = 0, ""Incomplete"", ""Complete"")))"),"")</f>
        <v/>
      </c>
      <c r="D167" s="15" t="str">
        <f>IFERROR(__xludf.DUMMYFUNCTION("IF(A167="""", """", IF(ISERROR(VLOOKUP(A167, IMPORTRANGE('Survey Progress'!$B$34, ""data!I2:L800""), 1, FALSE)), ""No Survey"", IF(VLOOKUP(A167, IMPORTRANGE('Survey Progress'!$B$34, ""data!I2:L800""), 2, FALSE) = 0, ""Incomplete"", ""Complete"")))"),"")</f>
        <v/>
      </c>
      <c r="E167" s="27">
        <f t="shared" si="1"/>
        <v>0</v>
      </c>
      <c r="F167" s="14"/>
    </row>
    <row r="168">
      <c r="A168" s="14"/>
      <c r="B168" s="16" t="str">
        <f>IFERROR(__xludf.DUMMYFUNCTION("IF(ISERROR(VLOOKUP(A168, IMPORTRANGE('Survey Progress'!$B$32, ""data!H2:M800""), 5, FALSE)), """", IF(VLOOKUP(A168, IMPORTRANGE('Survey Progress'!$B$32, ""data!H2:M800""), 5, FALSE) = 1, ""Eligible"", ""Ineligible""))"),"Eligible")</f>
        <v>Eligible</v>
      </c>
      <c r="C168" s="15" t="str">
        <f>IFERROR(__xludf.DUMMYFUNCTION("IF(A168="""", """", IF(ISERROR(VLOOKUP(A168, IMPORTRANGE('Survey Progress'!$B$33, ""data!I2:L800""), 1, FALSE)), ""No Survey"", IF(VLOOKUP(A168, IMPORTRANGE('Survey Progress'!$B$33, ""data!I2:L800""), 2, FALSE) = 0, ""Incomplete"", ""Complete"")))"),"")</f>
        <v/>
      </c>
      <c r="D168" s="15" t="str">
        <f>IFERROR(__xludf.DUMMYFUNCTION("IF(A168="""", """", IF(ISERROR(VLOOKUP(A168, IMPORTRANGE('Survey Progress'!$B$34, ""data!I2:L800""), 1, FALSE)), ""No Survey"", IF(VLOOKUP(A168, IMPORTRANGE('Survey Progress'!$B$34, ""data!I2:L800""), 2, FALSE) = 0, ""Incomplete"", ""Complete"")))"),"")</f>
        <v/>
      </c>
      <c r="E168" s="27">
        <f t="shared" si="1"/>
        <v>0</v>
      </c>
      <c r="F168" s="14"/>
    </row>
    <row r="169">
      <c r="A169" s="14"/>
      <c r="B169" s="16" t="str">
        <f>IFERROR(__xludf.DUMMYFUNCTION("IF(ISERROR(VLOOKUP(A169, IMPORTRANGE('Survey Progress'!$B$32, ""data!H2:M800""), 5, FALSE)), """", IF(VLOOKUP(A169, IMPORTRANGE('Survey Progress'!$B$32, ""data!H2:M800""), 5, FALSE) = 1, ""Eligible"", ""Ineligible""))"),"Eligible")</f>
        <v>Eligible</v>
      </c>
      <c r="C169" s="15" t="str">
        <f>IFERROR(__xludf.DUMMYFUNCTION("IF(A169="""", """", IF(ISERROR(VLOOKUP(A169, IMPORTRANGE('Survey Progress'!$B$33, ""data!I2:L800""), 1, FALSE)), ""No Survey"", IF(VLOOKUP(A169, IMPORTRANGE('Survey Progress'!$B$33, ""data!I2:L800""), 2, FALSE) = 0, ""Incomplete"", ""Complete"")))"),"")</f>
        <v/>
      </c>
      <c r="D169" s="15" t="str">
        <f>IFERROR(__xludf.DUMMYFUNCTION("IF(A169="""", """", IF(ISERROR(VLOOKUP(A169, IMPORTRANGE('Survey Progress'!$B$34, ""data!I2:L800""), 1, FALSE)), ""No Survey"", IF(VLOOKUP(A169, IMPORTRANGE('Survey Progress'!$B$34, ""data!I2:L800""), 2, FALSE) = 0, ""Incomplete"", ""Complete"")))"),"")</f>
        <v/>
      </c>
      <c r="E169" s="27">
        <f t="shared" si="1"/>
        <v>0</v>
      </c>
      <c r="F169" s="14"/>
    </row>
    <row r="170">
      <c r="A170" s="14"/>
      <c r="B170" s="16" t="str">
        <f>IFERROR(__xludf.DUMMYFUNCTION("IF(ISERROR(VLOOKUP(A170, IMPORTRANGE('Survey Progress'!$B$32, ""data!H2:M800""), 5, FALSE)), """", IF(VLOOKUP(A170, IMPORTRANGE('Survey Progress'!$B$32, ""data!H2:M800""), 5, FALSE) = 1, ""Eligible"", ""Ineligible""))"),"Eligible")</f>
        <v>Eligible</v>
      </c>
      <c r="C170" s="15" t="str">
        <f>IFERROR(__xludf.DUMMYFUNCTION("IF(A170="""", """", IF(ISERROR(VLOOKUP(A170, IMPORTRANGE('Survey Progress'!$B$33, ""data!I2:L800""), 1, FALSE)), ""No Survey"", IF(VLOOKUP(A170, IMPORTRANGE('Survey Progress'!$B$33, ""data!I2:L800""), 2, FALSE) = 0, ""Incomplete"", ""Complete"")))"),"")</f>
        <v/>
      </c>
      <c r="D170" s="15" t="str">
        <f>IFERROR(__xludf.DUMMYFUNCTION("IF(A170="""", """", IF(ISERROR(VLOOKUP(A170, IMPORTRANGE('Survey Progress'!$B$34, ""data!I2:L800""), 1, FALSE)), ""No Survey"", IF(VLOOKUP(A170, IMPORTRANGE('Survey Progress'!$B$34, ""data!I2:L800""), 2, FALSE) = 0, ""Incomplete"", ""Complete"")))"),"")</f>
        <v/>
      </c>
      <c r="E170" s="27">
        <f t="shared" si="1"/>
        <v>0</v>
      </c>
      <c r="F170" s="14"/>
    </row>
    <row r="171">
      <c r="A171" s="14"/>
      <c r="B171" s="16" t="str">
        <f>IFERROR(__xludf.DUMMYFUNCTION("IF(ISERROR(VLOOKUP(A171, IMPORTRANGE('Survey Progress'!$B$32, ""data!H2:M800""), 5, FALSE)), """", IF(VLOOKUP(A171, IMPORTRANGE('Survey Progress'!$B$32, ""data!H2:M800""), 5, FALSE) = 1, ""Eligible"", ""Ineligible""))"),"Eligible")</f>
        <v>Eligible</v>
      </c>
      <c r="C171" s="15" t="str">
        <f>IFERROR(__xludf.DUMMYFUNCTION("IF(A171="""", """", IF(ISERROR(VLOOKUP(A171, IMPORTRANGE('Survey Progress'!$B$33, ""data!I2:L800""), 1, FALSE)), ""No Survey"", IF(VLOOKUP(A171, IMPORTRANGE('Survey Progress'!$B$33, ""data!I2:L800""), 2, FALSE) = 0, ""Incomplete"", ""Complete"")))"),"")</f>
        <v/>
      </c>
      <c r="D171" s="15" t="str">
        <f>IFERROR(__xludf.DUMMYFUNCTION("IF(A171="""", """", IF(ISERROR(VLOOKUP(A171, IMPORTRANGE('Survey Progress'!$B$34, ""data!I2:L800""), 1, FALSE)), ""No Survey"", IF(VLOOKUP(A171, IMPORTRANGE('Survey Progress'!$B$34, ""data!I2:L800""), 2, FALSE) = 0, ""Incomplete"", ""Complete"")))"),"")</f>
        <v/>
      </c>
      <c r="E171" s="27">
        <f t="shared" si="1"/>
        <v>0</v>
      </c>
      <c r="F171" s="14"/>
    </row>
    <row r="172">
      <c r="A172" s="14"/>
      <c r="B172" s="16" t="str">
        <f>IFERROR(__xludf.DUMMYFUNCTION("IF(ISERROR(VLOOKUP(A172, IMPORTRANGE('Survey Progress'!$B$32, ""data!H2:M800""), 5, FALSE)), """", IF(VLOOKUP(A172, IMPORTRANGE('Survey Progress'!$B$32, ""data!H2:M800""), 5, FALSE) = 1, ""Eligible"", ""Ineligible""))"),"Eligible")</f>
        <v>Eligible</v>
      </c>
      <c r="C172" s="15" t="str">
        <f>IFERROR(__xludf.DUMMYFUNCTION("IF(A172="""", """", IF(ISERROR(VLOOKUP(A172, IMPORTRANGE('Survey Progress'!$B$33, ""data!I2:L800""), 1, FALSE)), ""No Survey"", IF(VLOOKUP(A172, IMPORTRANGE('Survey Progress'!$B$33, ""data!I2:L800""), 2, FALSE) = 0, ""Incomplete"", ""Complete"")))"),"")</f>
        <v/>
      </c>
      <c r="D172" s="15" t="str">
        <f>IFERROR(__xludf.DUMMYFUNCTION("IF(A172="""", """", IF(ISERROR(VLOOKUP(A172, IMPORTRANGE('Survey Progress'!$B$34, ""data!I2:L800""), 1, FALSE)), ""No Survey"", IF(VLOOKUP(A172, IMPORTRANGE('Survey Progress'!$B$34, ""data!I2:L800""), 2, FALSE) = 0, ""Incomplete"", ""Complete"")))"),"")</f>
        <v/>
      </c>
      <c r="E172" s="27">
        <f t="shared" si="1"/>
        <v>0</v>
      </c>
      <c r="F172" s="14"/>
    </row>
    <row r="173">
      <c r="A173" s="14"/>
      <c r="B173" s="16" t="str">
        <f>IFERROR(__xludf.DUMMYFUNCTION("IF(ISERROR(VLOOKUP(A173, IMPORTRANGE('Survey Progress'!$B$32, ""data!H2:M800""), 5, FALSE)), """", IF(VLOOKUP(A173, IMPORTRANGE('Survey Progress'!$B$32, ""data!H2:M800""), 5, FALSE) = 1, ""Eligible"", ""Ineligible""))"),"Eligible")</f>
        <v>Eligible</v>
      </c>
      <c r="C173" s="15" t="str">
        <f>IFERROR(__xludf.DUMMYFUNCTION("IF(A173="""", """", IF(ISERROR(VLOOKUP(A173, IMPORTRANGE('Survey Progress'!$B$33, ""data!I2:L800""), 1, FALSE)), ""No Survey"", IF(VLOOKUP(A173, IMPORTRANGE('Survey Progress'!$B$33, ""data!I2:L800""), 2, FALSE) = 0, ""Incomplete"", ""Complete"")))"),"")</f>
        <v/>
      </c>
      <c r="D173" s="15" t="str">
        <f>IFERROR(__xludf.DUMMYFUNCTION("IF(A173="""", """", IF(ISERROR(VLOOKUP(A173, IMPORTRANGE('Survey Progress'!$B$34, ""data!I2:L800""), 1, FALSE)), ""No Survey"", IF(VLOOKUP(A173, IMPORTRANGE('Survey Progress'!$B$34, ""data!I2:L800""), 2, FALSE) = 0, ""Incomplete"", ""Complete"")))"),"")</f>
        <v/>
      </c>
      <c r="E173" s="27">
        <f t="shared" si="1"/>
        <v>0</v>
      </c>
      <c r="F173" s="14"/>
    </row>
    <row r="174">
      <c r="A174" s="14"/>
      <c r="B174" s="16" t="str">
        <f>IFERROR(__xludf.DUMMYFUNCTION("IF(ISERROR(VLOOKUP(A174, IMPORTRANGE('Survey Progress'!$B$32, ""data!H2:M800""), 5, FALSE)), """", IF(VLOOKUP(A174, IMPORTRANGE('Survey Progress'!$B$32, ""data!H2:M800""), 5, FALSE) = 1, ""Eligible"", ""Ineligible""))"),"Eligible")</f>
        <v>Eligible</v>
      </c>
      <c r="C174" s="15" t="str">
        <f>IFERROR(__xludf.DUMMYFUNCTION("IF(A174="""", """", IF(ISERROR(VLOOKUP(A174, IMPORTRANGE('Survey Progress'!$B$33, ""data!I2:L800""), 1, FALSE)), ""No Survey"", IF(VLOOKUP(A174, IMPORTRANGE('Survey Progress'!$B$33, ""data!I2:L800""), 2, FALSE) = 0, ""Incomplete"", ""Complete"")))"),"")</f>
        <v/>
      </c>
      <c r="D174" s="15" t="str">
        <f>IFERROR(__xludf.DUMMYFUNCTION("IF(A174="""", """", IF(ISERROR(VLOOKUP(A174, IMPORTRANGE('Survey Progress'!$B$34, ""data!I2:L800""), 1, FALSE)), ""No Survey"", IF(VLOOKUP(A174, IMPORTRANGE('Survey Progress'!$B$34, ""data!I2:L800""), 2, FALSE) = 0, ""Incomplete"", ""Complete"")))"),"")</f>
        <v/>
      </c>
      <c r="E174" s="27">
        <f t="shared" si="1"/>
        <v>0</v>
      </c>
      <c r="F174" s="14"/>
    </row>
    <row r="175">
      <c r="A175" s="14"/>
      <c r="B175" s="16" t="str">
        <f>IFERROR(__xludf.DUMMYFUNCTION("IF(ISERROR(VLOOKUP(A175, IMPORTRANGE('Survey Progress'!$B$32, ""data!H2:M800""), 5, FALSE)), """", IF(VLOOKUP(A175, IMPORTRANGE('Survey Progress'!$B$32, ""data!H2:M800""), 5, FALSE) = 1, ""Eligible"", ""Ineligible""))"),"Eligible")</f>
        <v>Eligible</v>
      </c>
      <c r="C175" s="15" t="str">
        <f>IFERROR(__xludf.DUMMYFUNCTION("IF(A175="""", """", IF(ISERROR(VLOOKUP(A175, IMPORTRANGE('Survey Progress'!$B$33, ""data!I2:L800""), 1, FALSE)), ""No Survey"", IF(VLOOKUP(A175, IMPORTRANGE('Survey Progress'!$B$33, ""data!I2:L800""), 2, FALSE) = 0, ""Incomplete"", ""Complete"")))"),"")</f>
        <v/>
      </c>
      <c r="D175" s="15" t="str">
        <f>IFERROR(__xludf.DUMMYFUNCTION("IF(A175="""", """", IF(ISERROR(VLOOKUP(A175, IMPORTRANGE('Survey Progress'!$B$34, ""data!I2:L800""), 1, FALSE)), ""No Survey"", IF(VLOOKUP(A175, IMPORTRANGE('Survey Progress'!$B$34, ""data!I2:L800""), 2, FALSE) = 0, ""Incomplete"", ""Complete"")))"),"")</f>
        <v/>
      </c>
      <c r="E175" s="27">
        <f t="shared" si="1"/>
        <v>0</v>
      </c>
      <c r="F175" s="14"/>
    </row>
    <row r="176">
      <c r="A176" s="14"/>
      <c r="B176" s="16" t="str">
        <f>IFERROR(__xludf.DUMMYFUNCTION("IF(ISERROR(VLOOKUP(A176, IMPORTRANGE('Survey Progress'!$B$32, ""data!H2:M800""), 5, FALSE)), """", IF(VLOOKUP(A176, IMPORTRANGE('Survey Progress'!$B$32, ""data!H2:M800""), 5, FALSE) = 1, ""Eligible"", ""Ineligible""))"),"Eligible")</f>
        <v>Eligible</v>
      </c>
      <c r="C176" s="15" t="str">
        <f>IFERROR(__xludf.DUMMYFUNCTION("IF(A176="""", """", IF(ISERROR(VLOOKUP(A176, IMPORTRANGE('Survey Progress'!$B$33, ""data!I2:L800""), 1, FALSE)), ""No Survey"", IF(VLOOKUP(A176, IMPORTRANGE('Survey Progress'!$B$33, ""data!I2:L800""), 2, FALSE) = 0, ""Incomplete"", ""Complete"")))"),"")</f>
        <v/>
      </c>
      <c r="D176" s="15" t="str">
        <f>IFERROR(__xludf.DUMMYFUNCTION("IF(A176="""", """", IF(ISERROR(VLOOKUP(A176, IMPORTRANGE('Survey Progress'!$B$34, ""data!I2:L800""), 1, FALSE)), ""No Survey"", IF(VLOOKUP(A176, IMPORTRANGE('Survey Progress'!$B$34, ""data!I2:L800""), 2, FALSE) = 0, ""Incomplete"", ""Complete"")))"),"")</f>
        <v/>
      </c>
      <c r="E176" s="27">
        <f t="shared" si="1"/>
        <v>0</v>
      </c>
      <c r="F176" s="14"/>
    </row>
    <row r="177">
      <c r="A177" s="14"/>
      <c r="B177" s="16" t="str">
        <f>IFERROR(__xludf.DUMMYFUNCTION("IF(ISERROR(VLOOKUP(A177, IMPORTRANGE('Survey Progress'!$B$32, ""data!H2:M800""), 5, FALSE)), """", IF(VLOOKUP(A177, IMPORTRANGE('Survey Progress'!$B$32, ""data!H2:M800""), 5, FALSE) = 1, ""Eligible"", ""Ineligible""))"),"Eligible")</f>
        <v>Eligible</v>
      </c>
      <c r="C177" s="15" t="str">
        <f>IFERROR(__xludf.DUMMYFUNCTION("IF(A177="""", """", IF(ISERROR(VLOOKUP(A177, IMPORTRANGE('Survey Progress'!$B$33, ""data!I2:L800""), 1, FALSE)), ""No Survey"", IF(VLOOKUP(A177, IMPORTRANGE('Survey Progress'!$B$33, ""data!I2:L800""), 2, FALSE) = 0, ""Incomplete"", ""Complete"")))"),"")</f>
        <v/>
      </c>
      <c r="D177" s="15" t="str">
        <f>IFERROR(__xludf.DUMMYFUNCTION("IF(A177="""", """", IF(ISERROR(VLOOKUP(A177, IMPORTRANGE('Survey Progress'!$B$34, ""data!I2:L800""), 1, FALSE)), ""No Survey"", IF(VLOOKUP(A177, IMPORTRANGE('Survey Progress'!$B$34, ""data!I2:L800""), 2, FALSE) = 0, ""Incomplete"", ""Complete"")))"),"")</f>
        <v/>
      </c>
      <c r="E177" s="27">
        <f t="shared" si="1"/>
        <v>0</v>
      </c>
      <c r="F177" s="14"/>
    </row>
    <row r="178">
      <c r="A178" s="14"/>
      <c r="B178" s="16" t="str">
        <f>IFERROR(__xludf.DUMMYFUNCTION("IF(ISERROR(VLOOKUP(A178, IMPORTRANGE('Survey Progress'!$B$32, ""data!H2:M800""), 5, FALSE)), """", IF(VLOOKUP(A178, IMPORTRANGE('Survey Progress'!$B$32, ""data!H2:M800""), 5, FALSE) = 1, ""Eligible"", ""Ineligible""))"),"Eligible")</f>
        <v>Eligible</v>
      </c>
      <c r="C178" s="15" t="str">
        <f>IFERROR(__xludf.DUMMYFUNCTION("IF(A178="""", """", IF(ISERROR(VLOOKUP(A178, IMPORTRANGE('Survey Progress'!$B$33, ""data!I2:L800""), 1, FALSE)), ""No Survey"", IF(VLOOKUP(A178, IMPORTRANGE('Survey Progress'!$B$33, ""data!I2:L800""), 2, FALSE) = 0, ""Incomplete"", ""Complete"")))"),"")</f>
        <v/>
      </c>
      <c r="D178" s="15" t="str">
        <f>IFERROR(__xludf.DUMMYFUNCTION("IF(A178="""", """", IF(ISERROR(VLOOKUP(A178, IMPORTRANGE('Survey Progress'!$B$34, ""data!I2:L800""), 1, FALSE)), ""No Survey"", IF(VLOOKUP(A178, IMPORTRANGE('Survey Progress'!$B$34, ""data!I2:L800""), 2, FALSE) = 0, ""Incomplete"", ""Complete"")))"),"")</f>
        <v/>
      </c>
      <c r="E178" s="27">
        <f t="shared" si="1"/>
        <v>0</v>
      </c>
      <c r="F178" s="14"/>
    </row>
    <row r="179">
      <c r="A179" s="14"/>
      <c r="B179" s="16" t="str">
        <f>IFERROR(__xludf.DUMMYFUNCTION("IF(ISERROR(VLOOKUP(A179, IMPORTRANGE('Survey Progress'!$B$32, ""data!H2:M800""), 5, FALSE)), """", IF(VLOOKUP(A179, IMPORTRANGE('Survey Progress'!$B$32, ""data!H2:M800""), 5, FALSE) = 1, ""Eligible"", ""Ineligible""))"),"Eligible")</f>
        <v>Eligible</v>
      </c>
      <c r="C179" s="15" t="str">
        <f>IFERROR(__xludf.DUMMYFUNCTION("IF(A179="""", """", IF(ISERROR(VLOOKUP(A179, IMPORTRANGE('Survey Progress'!$B$33, ""data!I2:L800""), 1, FALSE)), ""No Survey"", IF(VLOOKUP(A179, IMPORTRANGE('Survey Progress'!$B$33, ""data!I2:L800""), 2, FALSE) = 0, ""Incomplete"", ""Complete"")))"),"")</f>
        <v/>
      </c>
      <c r="D179" s="15" t="str">
        <f>IFERROR(__xludf.DUMMYFUNCTION("IF(A179="""", """", IF(ISERROR(VLOOKUP(A179, IMPORTRANGE('Survey Progress'!$B$34, ""data!I2:L800""), 1, FALSE)), ""No Survey"", IF(VLOOKUP(A179, IMPORTRANGE('Survey Progress'!$B$34, ""data!I2:L800""), 2, FALSE) = 0, ""Incomplete"", ""Complete"")))"),"")</f>
        <v/>
      </c>
      <c r="E179" s="27">
        <f t="shared" si="1"/>
        <v>0</v>
      </c>
      <c r="F179" s="14"/>
    </row>
    <row r="180">
      <c r="A180" s="14"/>
      <c r="B180" s="16" t="str">
        <f>IFERROR(__xludf.DUMMYFUNCTION("IF(ISERROR(VLOOKUP(A180, IMPORTRANGE('Survey Progress'!$B$32, ""data!H2:M800""), 5, FALSE)), """", IF(VLOOKUP(A180, IMPORTRANGE('Survey Progress'!$B$32, ""data!H2:M800""), 5, FALSE) = 1, ""Eligible"", ""Ineligible""))"),"Eligible")</f>
        <v>Eligible</v>
      </c>
      <c r="C180" s="15" t="str">
        <f>IFERROR(__xludf.DUMMYFUNCTION("IF(A180="""", """", IF(ISERROR(VLOOKUP(A180, IMPORTRANGE('Survey Progress'!$B$33, ""data!I2:L800""), 1, FALSE)), ""No Survey"", IF(VLOOKUP(A180, IMPORTRANGE('Survey Progress'!$B$33, ""data!I2:L800""), 2, FALSE) = 0, ""Incomplete"", ""Complete"")))"),"")</f>
        <v/>
      </c>
      <c r="D180" s="15" t="str">
        <f>IFERROR(__xludf.DUMMYFUNCTION("IF(A180="""", """", IF(ISERROR(VLOOKUP(A180, IMPORTRANGE('Survey Progress'!$B$34, ""data!I2:L800""), 1, FALSE)), ""No Survey"", IF(VLOOKUP(A180, IMPORTRANGE('Survey Progress'!$B$34, ""data!I2:L800""), 2, FALSE) = 0, ""Incomplete"", ""Complete"")))"),"")</f>
        <v/>
      </c>
      <c r="E180" s="27">
        <f t="shared" si="1"/>
        <v>0</v>
      </c>
      <c r="F180" s="14"/>
    </row>
    <row r="181">
      <c r="A181" s="14"/>
      <c r="B181" s="16" t="str">
        <f>IFERROR(__xludf.DUMMYFUNCTION("IF(ISERROR(VLOOKUP(A181, IMPORTRANGE('Survey Progress'!$B$32, ""data!H2:M800""), 5, FALSE)), """", IF(VLOOKUP(A181, IMPORTRANGE('Survey Progress'!$B$32, ""data!H2:M800""), 5, FALSE) = 1, ""Eligible"", ""Ineligible""))"),"Eligible")</f>
        <v>Eligible</v>
      </c>
      <c r="C181" s="15" t="str">
        <f>IFERROR(__xludf.DUMMYFUNCTION("IF(A181="""", """", IF(ISERROR(VLOOKUP(A181, IMPORTRANGE('Survey Progress'!$B$33, ""data!I2:L800""), 1, FALSE)), ""No Survey"", IF(VLOOKUP(A181, IMPORTRANGE('Survey Progress'!$B$33, ""data!I2:L800""), 2, FALSE) = 0, ""Incomplete"", ""Complete"")))"),"")</f>
        <v/>
      </c>
      <c r="D181" s="15" t="str">
        <f>IFERROR(__xludf.DUMMYFUNCTION("IF(A181="""", """", IF(ISERROR(VLOOKUP(A181, IMPORTRANGE('Survey Progress'!$B$34, ""data!I2:L800""), 1, FALSE)), ""No Survey"", IF(VLOOKUP(A181, IMPORTRANGE('Survey Progress'!$B$34, ""data!I2:L800""), 2, FALSE) = 0, ""Incomplete"", ""Complete"")))"),"")</f>
        <v/>
      </c>
      <c r="E181" s="27">
        <f t="shared" si="1"/>
        <v>0</v>
      </c>
      <c r="F181" s="14"/>
    </row>
    <row r="182">
      <c r="A182" s="14"/>
      <c r="B182" s="16" t="str">
        <f>IFERROR(__xludf.DUMMYFUNCTION("IF(ISERROR(VLOOKUP(A182, IMPORTRANGE('Survey Progress'!$B$32, ""data!H2:M800""), 5, FALSE)), """", IF(VLOOKUP(A182, IMPORTRANGE('Survey Progress'!$B$32, ""data!H2:M800""), 5, FALSE) = 1, ""Eligible"", ""Ineligible""))"),"Eligible")</f>
        <v>Eligible</v>
      </c>
      <c r="C182" s="15" t="str">
        <f>IFERROR(__xludf.DUMMYFUNCTION("IF(A182="""", """", IF(ISERROR(VLOOKUP(A182, IMPORTRANGE('Survey Progress'!$B$33, ""data!I2:L800""), 1, FALSE)), ""No Survey"", IF(VLOOKUP(A182, IMPORTRANGE('Survey Progress'!$B$33, ""data!I2:L800""), 2, FALSE) = 0, ""Incomplete"", ""Complete"")))"),"")</f>
        <v/>
      </c>
      <c r="D182" s="15" t="str">
        <f>IFERROR(__xludf.DUMMYFUNCTION("IF(A182="""", """", IF(ISERROR(VLOOKUP(A182, IMPORTRANGE('Survey Progress'!$B$34, ""data!I2:L800""), 1, FALSE)), ""No Survey"", IF(VLOOKUP(A182, IMPORTRANGE('Survey Progress'!$B$34, ""data!I2:L800""), 2, FALSE) = 0, ""Incomplete"", ""Complete"")))"),"")</f>
        <v/>
      </c>
      <c r="E182" s="27">
        <f t="shared" si="1"/>
        <v>0</v>
      </c>
      <c r="F182" s="14"/>
    </row>
    <row r="183">
      <c r="A183" s="14"/>
      <c r="B183" s="16" t="str">
        <f>IFERROR(__xludf.DUMMYFUNCTION("IF(ISERROR(VLOOKUP(A183, IMPORTRANGE('Survey Progress'!$B$32, ""data!H2:M800""), 5, FALSE)), """", IF(VLOOKUP(A183, IMPORTRANGE('Survey Progress'!$B$32, ""data!H2:M800""), 5, FALSE) = 1, ""Eligible"", ""Ineligible""))"),"Eligible")</f>
        <v>Eligible</v>
      </c>
      <c r="C183" s="15" t="str">
        <f>IFERROR(__xludf.DUMMYFUNCTION("IF(A183="""", """", IF(ISERROR(VLOOKUP(A183, IMPORTRANGE('Survey Progress'!$B$33, ""data!I2:L800""), 1, FALSE)), ""No Survey"", IF(VLOOKUP(A183, IMPORTRANGE('Survey Progress'!$B$33, ""data!I2:L800""), 2, FALSE) = 0, ""Incomplete"", ""Complete"")))"),"")</f>
        <v/>
      </c>
      <c r="D183" s="15" t="str">
        <f>IFERROR(__xludf.DUMMYFUNCTION("IF(A183="""", """", IF(ISERROR(VLOOKUP(A183, IMPORTRANGE('Survey Progress'!$B$34, ""data!I2:L800""), 1, FALSE)), ""No Survey"", IF(VLOOKUP(A183, IMPORTRANGE('Survey Progress'!$B$34, ""data!I2:L800""), 2, FALSE) = 0, ""Incomplete"", ""Complete"")))"),"")</f>
        <v/>
      </c>
      <c r="E183" s="27">
        <f t="shared" si="1"/>
        <v>0</v>
      </c>
      <c r="F183" s="14"/>
    </row>
    <row r="184">
      <c r="A184" s="14"/>
      <c r="B184" s="16" t="str">
        <f>IFERROR(__xludf.DUMMYFUNCTION("IF(ISERROR(VLOOKUP(A184, IMPORTRANGE('Survey Progress'!$B$32, ""data!H2:M800""), 5, FALSE)), """", IF(VLOOKUP(A184, IMPORTRANGE('Survey Progress'!$B$32, ""data!H2:M800""), 5, FALSE) = 1, ""Eligible"", ""Ineligible""))"),"Eligible")</f>
        <v>Eligible</v>
      </c>
      <c r="C184" s="15" t="str">
        <f>IFERROR(__xludf.DUMMYFUNCTION("IF(A184="""", """", IF(ISERROR(VLOOKUP(A184, IMPORTRANGE('Survey Progress'!$B$33, ""data!I2:L800""), 1, FALSE)), ""No Survey"", IF(VLOOKUP(A184, IMPORTRANGE('Survey Progress'!$B$33, ""data!I2:L800""), 2, FALSE) = 0, ""Incomplete"", ""Complete"")))"),"")</f>
        <v/>
      </c>
      <c r="D184" s="15" t="str">
        <f>IFERROR(__xludf.DUMMYFUNCTION("IF(A184="""", """", IF(ISERROR(VLOOKUP(A184, IMPORTRANGE('Survey Progress'!$B$34, ""data!I2:L800""), 1, FALSE)), ""No Survey"", IF(VLOOKUP(A184, IMPORTRANGE('Survey Progress'!$B$34, ""data!I2:L800""), 2, FALSE) = 0, ""Incomplete"", ""Complete"")))"),"")</f>
        <v/>
      </c>
      <c r="E184" s="27">
        <f t="shared" si="1"/>
        <v>0</v>
      </c>
      <c r="F184" s="14"/>
    </row>
    <row r="185">
      <c r="A185" s="14"/>
      <c r="B185" s="16" t="str">
        <f>IFERROR(__xludf.DUMMYFUNCTION("IF(ISERROR(VLOOKUP(A185, IMPORTRANGE('Survey Progress'!$B$32, ""data!H2:M800""), 5, FALSE)), """", IF(VLOOKUP(A185, IMPORTRANGE('Survey Progress'!$B$32, ""data!H2:M800""), 5, FALSE) = 1, ""Eligible"", ""Ineligible""))"),"Eligible")</f>
        <v>Eligible</v>
      </c>
      <c r="C185" s="15" t="str">
        <f>IFERROR(__xludf.DUMMYFUNCTION("IF(A185="""", """", IF(ISERROR(VLOOKUP(A185, IMPORTRANGE('Survey Progress'!$B$33, ""data!I2:L800""), 1, FALSE)), ""No Survey"", IF(VLOOKUP(A185, IMPORTRANGE('Survey Progress'!$B$33, ""data!I2:L800""), 2, FALSE) = 0, ""Incomplete"", ""Complete"")))"),"")</f>
        <v/>
      </c>
      <c r="D185" s="15" t="str">
        <f>IFERROR(__xludf.DUMMYFUNCTION("IF(A185="""", """", IF(ISERROR(VLOOKUP(A185, IMPORTRANGE('Survey Progress'!$B$34, ""data!I2:L800""), 1, FALSE)), ""No Survey"", IF(VLOOKUP(A185, IMPORTRANGE('Survey Progress'!$B$34, ""data!I2:L800""), 2, FALSE) = 0, ""Incomplete"", ""Complete"")))"),"")</f>
        <v/>
      </c>
      <c r="E185" s="27">
        <f t="shared" si="1"/>
        <v>0</v>
      </c>
      <c r="F185" s="14"/>
    </row>
    <row r="186">
      <c r="A186" s="14"/>
      <c r="B186" s="16" t="str">
        <f>IFERROR(__xludf.DUMMYFUNCTION("IF(ISERROR(VLOOKUP(A186, IMPORTRANGE('Survey Progress'!$B$32, ""data!H2:M800""), 5, FALSE)), """", IF(VLOOKUP(A186, IMPORTRANGE('Survey Progress'!$B$32, ""data!H2:M800""), 5, FALSE) = 1, ""Eligible"", ""Ineligible""))"),"Eligible")</f>
        <v>Eligible</v>
      </c>
      <c r="C186" s="15" t="str">
        <f>IFERROR(__xludf.DUMMYFUNCTION("IF(A186="""", """", IF(ISERROR(VLOOKUP(A186, IMPORTRANGE('Survey Progress'!$B$33, ""data!I2:L800""), 1, FALSE)), ""No Survey"", IF(VLOOKUP(A186, IMPORTRANGE('Survey Progress'!$B$33, ""data!I2:L800""), 2, FALSE) = 0, ""Incomplete"", ""Complete"")))"),"")</f>
        <v/>
      </c>
      <c r="D186" s="15" t="str">
        <f>IFERROR(__xludf.DUMMYFUNCTION("IF(A186="""", """", IF(ISERROR(VLOOKUP(A186, IMPORTRANGE('Survey Progress'!$B$34, ""data!I2:L800""), 1, FALSE)), ""No Survey"", IF(VLOOKUP(A186, IMPORTRANGE('Survey Progress'!$B$34, ""data!I2:L800""), 2, FALSE) = 0, ""Incomplete"", ""Complete"")))"),"")</f>
        <v/>
      </c>
      <c r="E186" s="27">
        <f t="shared" si="1"/>
        <v>0</v>
      </c>
      <c r="F186" s="14"/>
    </row>
    <row r="187">
      <c r="A187" s="14"/>
      <c r="B187" s="16" t="str">
        <f>IFERROR(__xludf.DUMMYFUNCTION("IF(ISERROR(VLOOKUP(A187, IMPORTRANGE('Survey Progress'!$B$32, ""data!H2:M800""), 5, FALSE)), """", IF(VLOOKUP(A187, IMPORTRANGE('Survey Progress'!$B$32, ""data!H2:M800""), 5, FALSE) = 1, ""Eligible"", ""Ineligible""))"),"Eligible")</f>
        <v>Eligible</v>
      </c>
      <c r="C187" s="15" t="str">
        <f>IFERROR(__xludf.DUMMYFUNCTION("IF(A187="""", """", IF(ISERROR(VLOOKUP(A187, IMPORTRANGE('Survey Progress'!$B$33, ""data!I2:L800""), 1, FALSE)), ""No Survey"", IF(VLOOKUP(A187, IMPORTRANGE('Survey Progress'!$B$33, ""data!I2:L800""), 2, FALSE) = 0, ""Incomplete"", ""Complete"")))"),"")</f>
        <v/>
      </c>
      <c r="D187" s="15" t="str">
        <f>IFERROR(__xludf.DUMMYFUNCTION("IF(A187="""", """", IF(ISERROR(VLOOKUP(A187, IMPORTRANGE('Survey Progress'!$B$34, ""data!I2:L800""), 1, FALSE)), ""No Survey"", IF(VLOOKUP(A187, IMPORTRANGE('Survey Progress'!$B$34, ""data!I2:L800""), 2, FALSE) = 0, ""Incomplete"", ""Complete"")))"),"")</f>
        <v/>
      </c>
      <c r="E187" s="27">
        <f t="shared" si="1"/>
        <v>0</v>
      </c>
      <c r="F187" s="14"/>
    </row>
    <row r="188">
      <c r="A188" s="14"/>
      <c r="B188" s="16" t="str">
        <f>IFERROR(__xludf.DUMMYFUNCTION("IF(ISERROR(VLOOKUP(A188, IMPORTRANGE('Survey Progress'!$B$32, ""data!H2:M800""), 5, FALSE)), """", IF(VLOOKUP(A188, IMPORTRANGE('Survey Progress'!$B$32, ""data!H2:M800""), 5, FALSE) = 1, ""Eligible"", ""Ineligible""))"),"Eligible")</f>
        <v>Eligible</v>
      </c>
      <c r="C188" s="15" t="str">
        <f>IFERROR(__xludf.DUMMYFUNCTION("IF(A188="""", """", IF(ISERROR(VLOOKUP(A188, IMPORTRANGE('Survey Progress'!$B$33, ""data!I2:L800""), 1, FALSE)), ""No Survey"", IF(VLOOKUP(A188, IMPORTRANGE('Survey Progress'!$B$33, ""data!I2:L800""), 2, FALSE) = 0, ""Incomplete"", ""Complete"")))"),"")</f>
        <v/>
      </c>
      <c r="D188" s="15" t="str">
        <f>IFERROR(__xludf.DUMMYFUNCTION("IF(A188="""", """", IF(ISERROR(VLOOKUP(A188, IMPORTRANGE('Survey Progress'!$B$34, ""data!I2:L800""), 1, FALSE)), ""No Survey"", IF(VLOOKUP(A188, IMPORTRANGE('Survey Progress'!$B$34, ""data!I2:L800""), 2, FALSE) = 0, ""Incomplete"", ""Complete"")))"),"")</f>
        <v/>
      </c>
      <c r="E188" s="27">
        <f t="shared" si="1"/>
        <v>0</v>
      </c>
      <c r="F188" s="14"/>
    </row>
    <row r="189">
      <c r="A189" s="14"/>
      <c r="B189" s="16" t="str">
        <f>IFERROR(__xludf.DUMMYFUNCTION("IF(ISERROR(VLOOKUP(A189, IMPORTRANGE('Survey Progress'!$B$32, ""data!H2:M800""), 5, FALSE)), """", IF(VLOOKUP(A189, IMPORTRANGE('Survey Progress'!$B$32, ""data!H2:M800""), 5, FALSE) = 1, ""Eligible"", ""Ineligible""))"),"Eligible")</f>
        <v>Eligible</v>
      </c>
      <c r="C189" s="15" t="str">
        <f>IFERROR(__xludf.DUMMYFUNCTION("IF(A189="""", """", IF(ISERROR(VLOOKUP(A189, IMPORTRANGE('Survey Progress'!$B$33, ""data!I2:L800""), 1, FALSE)), ""No Survey"", IF(VLOOKUP(A189, IMPORTRANGE('Survey Progress'!$B$33, ""data!I2:L800""), 2, FALSE) = 0, ""Incomplete"", ""Complete"")))"),"")</f>
        <v/>
      </c>
      <c r="D189" s="15" t="str">
        <f>IFERROR(__xludf.DUMMYFUNCTION("IF(A189="""", """", IF(ISERROR(VLOOKUP(A189, IMPORTRANGE('Survey Progress'!$B$34, ""data!I2:L800""), 1, FALSE)), ""No Survey"", IF(VLOOKUP(A189, IMPORTRANGE('Survey Progress'!$B$34, ""data!I2:L800""), 2, FALSE) = 0, ""Incomplete"", ""Complete"")))"),"")</f>
        <v/>
      </c>
      <c r="E189" s="27">
        <f t="shared" si="1"/>
        <v>0</v>
      </c>
      <c r="F189" s="14"/>
    </row>
    <row r="190">
      <c r="A190" s="14"/>
      <c r="B190" s="16" t="str">
        <f>IFERROR(__xludf.DUMMYFUNCTION("IF(ISERROR(VLOOKUP(A190, IMPORTRANGE('Survey Progress'!$B$32, ""data!H2:M800""), 5, FALSE)), """", IF(VLOOKUP(A190, IMPORTRANGE('Survey Progress'!$B$32, ""data!H2:M800""), 5, FALSE) = 1, ""Eligible"", ""Ineligible""))"),"Eligible")</f>
        <v>Eligible</v>
      </c>
      <c r="C190" s="15" t="str">
        <f>IFERROR(__xludf.DUMMYFUNCTION("IF(A190="""", """", IF(ISERROR(VLOOKUP(A190, IMPORTRANGE('Survey Progress'!$B$33, ""data!I2:L800""), 1, FALSE)), ""No Survey"", IF(VLOOKUP(A190, IMPORTRANGE('Survey Progress'!$B$33, ""data!I2:L800""), 2, FALSE) = 0, ""Incomplete"", ""Complete"")))"),"")</f>
        <v/>
      </c>
      <c r="D190" s="15" t="str">
        <f>IFERROR(__xludf.DUMMYFUNCTION("IF(A190="""", """", IF(ISERROR(VLOOKUP(A190, IMPORTRANGE('Survey Progress'!$B$34, ""data!I2:L800""), 1, FALSE)), ""No Survey"", IF(VLOOKUP(A190, IMPORTRANGE('Survey Progress'!$B$34, ""data!I2:L800""), 2, FALSE) = 0, ""Incomplete"", ""Complete"")))"),"")</f>
        <v/>
      </c>
      <c r="E190" s="27">
        <f t="shared" si="1"/>
        <v>0</v>
      </c>
      <c r="F190" s="14"/>
    </row>
    <row r="191">
      <c r="A191" s="14"/>
      <c r="B191" s="16" t="str">
        <f>IFERROR(__xludf.DUMMYFUNCTION("IF(ISERROR(VLOOKUP(A191, IMPORTRANGE('Survey Progress'!$B$32, ""data!H2:M800""), 5, FALSE)), """", IF(VLOOKUP(A191, IMPORTRANGE('Survey Progress'!$B$32, ""data!H2:M800""), 5, FALSE) = 1, ""Eligible"", ""Ineligible""))"),"Eligible")</f>
        <v>Eligible</v>
      </c>
      <c r="C191" s="15" t="str">
        <f>IFERROR(__xludf.DUMMYFUNCTION("IF(A191="""", """", IF(ISERROR(VLOOKUP(A191, IMPORTRANGE('Survey Progress'!$B$33, ""data!I2:L800""), 1, FALSE)), ""No Survey"", IF(VLOOKUP(A191, IMPORTRANGE('Survey Progress'!$B$33, ""data!I2:L800""), 2, FALSE) = 0, ""Incomplete"", ""Complete"")))"),"")</f>
        <v/>
      </c>
      <c r="D191" s="15" t="str">
        <f>IFERROR(__xludf.DUMMYFUNCTION("IF(A191="""", """", IF(ISERROR(VLOOKUP(A191, IMPORTRANGE('Survey Progress'!$B$34, ""data!I2:L800""), 1, FALSE)), ""No Survey"", IF(VLOOKUP(A191, IMPORTRANGE('Survey Progress'!$B$34, ""data!I2:L800""), 2, FALSE) = 0, ""Incomplete"", ""Complete"")))"),"")</f>
        <v/>
      </c>
      <c r="E191" s="27">
        <f t="shared" si="1"/>
        <v>0</v>
      </c>
      <c r="F191" s="14"/>
    </row>
    <row r="192">
      <c r="A192" s="14"/>
      <c r="B192" s="16" t="str">
        <f>IFERROR(__xludf.DUMMYFUNCTION("IF(ISERROR(VLOOKUP(A192, IMPORTRANGE('Survey Progress'!$B$32, ""data!H2:M800""), 5, FALSE)), """", IF(VLOOKUP(A192, IMPORTRANGE('Survey Progress'!$B$32, ""data!H2:M800""), 5, FALSE) = 1, ""Eligible"", ""Ineligible""))"),"Eligible")</f>
        <v>Eligible</v>
      </c>
      <c r="C192" s="15" t="str">
        <f>IFERROR(__xludf.DUMMYFUNCTION("IF(A192="""", """", IF(ISERROR(VLOOKUP(A192, IMPORTRANGE('Survey Progress'!$B$33, ""data!I2:L800""), 1, FALSE)), ""No Survey"", IF(VLOOKUP(A192, IMPORTRANGE('Survey Progress'!$B$33, ""data!I2:L800""), 2, FALSE) = 0, ""Incomplete"", ""Complete"")))"),"")</f>
        <v/>
      </c>
      <c r="D192" s="15" t="str">
        <f>IFERROR(__xludf.DUMMYFUNCTION("IF(A192="""", """", IF(ISERROR(VLOOKUP(A192, IMPORTRANGE('Survey Progress'!$B$34, ""data!I2:L800""), 1, FALSE)), ""No Survey"", IF(VLOOKUP(A192, IMPORTRANGE('Survey Progress'!$B$34, ""data!I2:L800""), 2, FALSE) = 0, ""Incomplete"", ""Complete"")))"),"")</f>
        <v/>
      </c>
      <c r="E192" s="27">
        <f t="shared" si="1"/>
        <v>0</v>
      </c>
      <c r="F192" s="14"/>
    </row>
    <row r="193">
      <c r="A193" s="14"/>
      <c r="B193" s="16" t="str">
        <f>IFERROR(__xludf.DUMMYFUNCTION("IF(ISERROR(VLOOKUP(A193, IMPORTRANGE('Survey Progress'!$B$32, ""data!H2:M800""), 5, FALSE)), """", IF(VLOOKUP(A193, IMPORTRANGE('Survey Progress'!$B$32, ""data!H2:M800""), 5, FALSE) = 1, ""Eligible"", ""Ineligible""))"),"Eligible")</f>
        <v>Eligible</v>
      </c>
      <c r="C193" s="15" t="str">
        <f>IFERROR(__xludf.DUMMYFUNCTION("IF(A193="""", """", IF(ISERROR(VLOOKUP(A193, IMPORTRANGE('Survey Progress'!$B$33, ""data!I2:L800""), 1, FALSE)), ""No Survey"", IF(VLOOKUP(A193, IMPORTRANGE('Survey Progress'!$B$33, ""data!I2:L800""), 2, FALSE) = 0, ""Incomplete"", ""Complete"")))"),"")</f>
        <v/>
      </c>
      <c r="D193" s="15" t="str">
        <f>IFERROR(__xludf.DUMMYFUNCTION("IF(A193="""", """", IF(ISERROR(VLOOKUP(A193, IMPORTRANGE('Survey Progress'!$B$34, ""data!I2:L800""), 1, FALSE)), ""No Survey"", IF(VLOOKUP(A193, IMPORTRANGE('Survey Progress'!$B$34, ""data!I2:L800""), 2, FALSE) = 0, ""Incomplete"", ""Complete"")))"),"")</f>
        <v/>
      </c>
      <c r="E193" s="27">
        <f t="shared" si="1"/>
        <v>0</v>
      </c>
      <c r="F193" s="14"/>
    </row>
    <row r="194">
      <c r="A194" s="14"/>
      <c r="B194" s="16" t="str">
        <f>IFERROR(__xludf.DUMMYFUNCTION("IF(ISERROR(VLOOKUP(A194, IMPORTRANGE('Survey Progress'!$B$32, ""data!H2:M800""), 5, FALSE)), """", IF(VLOOKUP(A194, IMPORTRANGE('Survey Progress'!$B$32, ""data!H2:M800""), 5, FALSE) = 1, ""Eligible"", ""Ineligible""))"),"Eligible")</f>
        <v>Eligible</v>
      </c>
      <c r="C194" s="15" t="str">
        <f>IFERROR(__xludf.DUMMYFUNCTION("IF(A194="""", """", IF(ISERROR(VLOOKUP(A194, IMPORTRANGE('Survey Progress'!$B$33, ""data!I2:L800""), 1, FALSE)), ""No Survey"", IF(VLOOKUP(A194, IMPORTRANGE('Survey Progress'!$B$33, ""data!I2:L800""), 2, FALSE) = 0, ""Incomplete"", ""Complete"")))"),"")</f>
        <v/>
      </c>
      <c r="D194" s="15" t="str">
        <f>IFERROR(__xludf.DUMMYFUNCTION("IF(A194="""", """", IF(ISERROR(VLOOKUP(A194, IMPORTRANGE('Survey Progress'!$B$34, ""data!I2:L800""), 1, FALSE)), ""No Survey"", IF(VLOOKUP(A194, IMPORTRANGE('Survey Progress'!$B$34, ""data!I2:L800""), 2, FALSE) = 0, ""Incomplete"", ""Complete"")))"),"")</f>
        <v/>
      </c>
      <c r="E194" s="27">
        <f t="shared" si="1"/>
        <v>0</v>
      </c>
      <c r="F194" s="14"/>
    </row>
    <row r="195">
      <c r="A195" s="14"/>
      <c r="B195" s="16" t="str">
        <f>IFERROR(__xludf.DUMMYFUNCTION("IF(ISERROR(VLOOKUP(A195, IMPORTRANGE('Survey Progress'!$B$32, ""data!H2:M800""), 5, FALSE)), """", IF(VLOOKUP(A195, IMPORTRANGE('Survey Progress'!$B$32, ""data!H2:M800""), 5, FALSE) = 1, ""Eligible"", ""Ineligible""))"),"Eligible")</f>
        <v>Eligible</v>
      </c>
      <c r="C195" s="15" t="str">
        <f>IFERROR(__xludf.DUMMYFUNCTION("IF(A195="""", """", IF(ISERROR(VLOOKUP(A195, IMPORTRANGE('Survey Progress'!$B$33, ""data!I2:L800""), 1, FALSE)), ""No Survey"", IF(VLOOKUP(A195, IMPORTRANGE('Survey Progress'!$B$33, ""data!I2:L800""), 2, FALSE) = 0, ""Incomplete"", ""Complete"")))"),"")</f>
        <v/>
      </c>
      <c r="D195" s="15" t="str">
        <f>IFERROR(__xludf.DUMMYFUNCTION("IF(A195="""", """", IF(ISERROR(VLOOKUP(A195, IMPORTRANGE('Survey Progress'!$B$34, ""data!I2:L800""), 1, FALSE)), ""No Survey"", IF(VLOOKUP(A195, IMPORTRANGE('Survey Progress'!$B$34, ""data!I2:L800""), 2, FALSE) = 0, ""Incomplete"", ""Complete"")))"),"")</f>
        <v/>
      </c>
      <c r="E195" s="27">
        <f t="shared" si="1"/>
        <v>0</v>
      </c>
      <c r="F195" s="14"/>
    </row>
    <row r="196">
      <c r="A196" s="14"/>
      <c r="B196" s="16" t="str">
        <f>IFERROR(__xludf.DUMMYFUNCTION("IF(ISERROR(VLOOKUP(A196, IMPORTRANGE('Survey Progress'!$B$32, ""data!H2:M800""), 5, FALSE)), """", IF(VLOOKUP(A196, IMPORTRANGE('Survey Progress'!$B$32, ""data!H2:M800""), 5, FALSE) = 1, ""Eligible"", ""Ineligible""))"),"Eligible")</f>
        <v>Eligible</v>
      </c>
      <c r="C196" s="15" t="str">
        <f>IFERROR(__xludf.DUMMYFUNCTION("IF(A196="""", """", IF(ISERROR(VLOOKUP(A196, IMPORTRANGE('Survey Progress'!$B$33, ""data!I2:L800""), 1, FALSE)), ""No Survey"", IF(VLOOKUP(A196, IMPORTRANGE('Survey Progress'!$B$33, ""data!I2:L800""), 2, FALSE) = 0, ""Incomplete"", ""Complete"")))"),"")</f>
        <v/>
      </c>
      <c r="D196" s="15" t="str">
        <f>IFERROR(__xludf.DUMMYFUNCTION("IF(A196="""", """", IF(ISERROR(VLOOKUP(A196, IMPORTRANGE('Survey Progress'!$B$34, ""data!I2:L800""), 1, FALSE)), ""No Survey"", IF(VLOOKUP(A196, IMPORTRANGE('Survey Progress'!$B$34, ""data!I2:L800""), 2, FALSE) = 0, ""Incomplete"", ""Complete"")))"),"")</f>
        <v/>
      </c>
      <c r="E196" s="27">
        <f t="shared" si="1"/>
        <v>0</v>
      </c>
      <c r="F196" s="14"/>
    </row>
    <row r="197">
      <c r="A197" s="14"/>
      <c r="B197" s="16" t="str">
        <f>IFERROR(__xludf.DUMMYFUNCTION("IF(ISERROR(VLOOKUP(A197, IMPORTRANGE('Survey Progress'!$B$32, ""data!H2:M800""), 5, FALSE)), """", IF(VLOOKUP(A197, IMPORTRANGE('Survey Progress'!$B$32, ""data!H2:M800""), 5, FALSE) = 1, ""Eligible"", ""Ineligible""))"),"Eligible")</f>
        <v>Eligible</v>
      </c>
      <c r="C197" s="15" t="str">
        <f>IFERROR(__xludf.DUMMYFUNCTION("IF(A197="""", """", IF(ISERROR(VLOOKUP(A197, IMPORTRANGE('Survey Progress'!$B$33, ""data!I2:L800""), 1, FALSE)), ""No Survey"", IF(VLOOKUP(A197, IMPORTRANGE('Survey Progress'!$B$33, ""data!I2:L800""), 2, FALSE) = 0, ""Incomplete"", ""Complete"")))"),"")</f>
        <v/>
      </c>
      <c r="D197" s="15" t="str">
        <f>IFERROR(__xludf.DUMMYFUNCTION("IF(A197="""", """", IF(ISERROR(VLOOKUP(A197, IMPORTRANGE('Survey Progress'!$B$34, ""data!I2:L800""), 1, FALSE)), ""No Survey"", IF(VLOOKUP(A197, IMPORTRANGE('Survey Progress'!$B$34, ""data!I2:L800""), 2, FALSE) = 0, ""Incomplete"", ""Complete"")))"),"")</f>
        <v/>
      </c>
      <c r="E197" s="27">
        <f t="shared" si="1"/>
        <v>0</v>
      </c>
      <c r="F197" s="14"/>
    </row>
    <row r="198">
      <c r="A198" s="14"/>
      <c r="B198" s="16" t="str">
        <f>IFERROR(__xludf.DUMMYFUNCTION("IF(ISERROR(VLOOKUP(A198, IMPORTRANGE('Survey Progress'!$B$32, ""data!H2:M800""), 5, FALSE)), """", IF(VLOOKUP(A198, IMPORTRANGE('Survey Progress'!$B$32, ""data!H2:M800""), 5, FALSE) = 1, ""Eligible"", ""Ineligible""))"),"Eligible")</f>
        <v>Eligible</v>
      </c>
      <c r="C198" s="15" t="str">
        <f>IFERROR(__xludf.DUMMYFUNCTION("IF(A198="""", """", IF(ISERROR(VLOOKUP(A198, IMPORTRANGE('Survey Progress'!$B$33, ""data!I2:L800""), 1, FALSE)), ""No Survey"", IF(VLOOKUP(A198, IMPORTRANGE('Survey Progress'!$B$33, ""data!I2:L800""), 2, FALSE) = 0, ""Incomplete"", ""Complete"")))"),"")</f>
        <v/>
      </c>
      <c r="D198" s="15" t="str">
        <f>IFERROR(__xludf.DUMMYFUNCTION("IF(A198="""", """", IF(ISERROR(VLOOKUP(A198, IMPORTRANGE('Survey Progress'!$B$34, ""data!I2:L800""), 1, FALSE)), ""No Survey"", IF(VLOOKUP(A198, IMPORTRANGE('Survey Progress'!$B$34, ""data!I2:L800""), 2, FALSE) = 0, ""Incomplete"", ""Complete"")))"),"")</f>
        <v/>
      </c>
      <c r="E198" s="27">
        <f t="shared" si="1"/>
        <v>0</v>
      </c>
      <c r="F198" s="14"/>
    </row>
    <row r="199">
      <c r="A199" s="14"/>
      <c r="B199" s="16" t="str">
        <f>IFERROR(__xludf.DUMMYFUNCTION("IF(ISERROR(VLOOKUP(A199, IMPORTRANGE('Survey Progress'!$B$32, ""data!H2:M800""), 5, FALSE)), """", IF(VLOOKUP(A199, IMPORTRANGE('Survey Progress'!$B$32, ""data!H2:M800""), 5, FALSE) = 1, ""Eligible"", ""Ineligible""))"),"Eligible")</f>
        <v>Eligible</v>
      </c>
      <c r="C199" s="15" t="str">
        <f>IFERROR(__xludf.DUMMYFUNCTION("IF(A199="""", """", IF(ISERROR(VLOOKUP(A199, IMPORTRANGE('Survey Progress'!$B$33, ""data!I2:L800""), 1, FALSE)), ""No Survey"", IF(VLOOKUP(A199, IMPORTRANGE('Survey Progress'!$B$33, ""data!I2:L800""), 2, FALSE) = 0, ""Incomplete"", ""Complete"")))"),"")</f>
        <v/>
      </c>
      <c r="D199" s="15" t="str">
        <f>IFERROR(__xludf.DUMMYFUNCTION("IF(A199="""", """", IF(ISERROR(VLOOKUP(A199, IMPORTRANGE('Survey Progress'!$B$34, ""data!I2:L800""), 1, FALSE)), ""No Survey"", IF(VLOOKUP(A199, IMPORTRANGE('Survey Progress'!$B$34, ""data!I2:L800""), 2, FALSE) = 0, ""Incomplete"", ""Complete"")))"),"")</f>
        <v/>
      </c>
      <c r="E199" s="27">
        <f t="shared" si="1"/>
        <v>0</v>
      </c>
      <c r="F199" s="14"/>
    </row>
    <row r="200">
      <c r="A200" s="14"/>
      <c r="B200" s="16" t="str">
        <f>IFERROR(__xludf.DUMMYFUNCTION("IF(ISERROR(VLOOKUP(A200, IMPORTRANGE('Survey Progress'!$B$32, ""data!H2:M800""), 5, FALSE)), """", IF(VLOOKUP(A200, IMPORTRANGE('Survey Progress'!$B$32, ""data!H2:M800""), 5, FALSE) = 1, ""Eligible"", ""Ineligible""))"),"Eligible")</f>
        <v>Eligible</v>
      </c>
      <c r="C200" s="15" t="str">
        <f>IFERROR(__xludf.DUMMYFUNCTION("IF(A200="""", """", IF(ISERROR(VLOOKUP(A200, IMPORTRANGE('Survey Progress'!$B$33, ""data!I2:L800""), 1, FALSE)), ""No Survey"", IF(VLOOKUP(A200, IMPORTRANGE('Survey Progress'!$B$33, ""data!I2:L800""), 2, FALSE) = 0, ""Incomplete"", ""Complete"")))"),"")</f>
        <v/>
      </c>
      <c r="D200" s="15" t="str">
        <f>IFERROR(__xludf.DUMMYFUNCTION("IF(A200="""", """", IF(ISERROR(VLOOKUP(A200, IMPORTRANGE('Survey Progress'!$B$34, ""data!I2:L800""), 1, FALSE)), ""No Survey"", IF(VLOOKUP(A200, IMPORTRANGE('Survey Progress'!$B$34, ""data!I2:L800""), 2, FALSE) = 0, ""Incomplete"", ""Complete"")))"),"")</f>
        <v/>
      </c>
      <c r="E200" s="27">
        <f t="shared" si="1"/>
        <v>0</v>
      </c>
      <c r="F200" s="14"/>
    </row>
    <row r="201">
      <c r="A201" s="14"/>
      <c r="B201" s="16" t="str">
        <f>IFERROR(__xludf.DUMMYFUNCTION("IF(ISERROR(VLOOKUP(A201, IMPORTRANGE('Survey Progress'!$B$32, ""data!H2:M800""), 5, FALSE)), """", IF(VLOOKUP(A201, IMPORTRANGE('Survey Progress'!$B$32, ""data!H2:M800""), 5, FALSE) = 1, ""Eligible"", ""Ineligible""))"),"Eligible")</f>
        <v>Eligible</v>
      </c>
      <c r="C201" s="15" t="str">
        <f>IFERROR(__xludf.DUMMYFUNCTION("IF(A201="""", """", IF(ISERROR(VLOOKUP(A201, IMPORTRANGE('Survey Progress'!$B$33, ""data!I2:L800""), 1, FALSE)), ""No Survey"", IF(VLOOKUP(A201, IMPORTRANGE('Survey Progress'!$B$33, ""data!I2:L800""), 2, FALSE) = 0, ""Incomplete"", ""Complete"")))"),"")</f>
        <v/>
      </c>
      <c r="D201" s="15" t="str">
        <f>IFERROR(__xludf.DUMMYFUNCTION("IF(A201="""", """", IF(ISERROR(VLOOKUP(A201, IMPORTRANGE('Survey Progress'!$B$34, ""data!I2:L800""), 1, FALSE)), ""No Survey"", IF(VLOOKUP(A201, IMPORTRANGE('Survey Progress'!$B$34, ""data!I2:L800""), 2, FALSE) = 0, ""Incomplete"", ""Complete"")))"),"")</f>
        <v/>
      </c>
      <c r="E201" s="27">
        <f t="shared" si="1"/>
        <v>0</v>
      </c>
      <c r="F201" s="14"/>
    </row>
    <row r="202">
      <c r="A202" s="14"/>
      <c r="B202" s="16" t="str">
        <f>IFERROR(__xludf.DUMMYFUNCTION("IF(ISERROR(VLOOKUP(A202, IMPORTRANGE('Survey Progress'!$B$32, ""data!H2:M800""), 5, FALSE)), """", IF(VLOOKUP(A202, IMPORTRANGE('Survey Progress'!$B$32, ""data!H2:M800""), 5, FALSE) = 1, ""Eligible"", ""Ineligible""))"),"Eligible")</f>
        <v>Eligible</v>
      </c>
      <c r="C202" s="15" t="str">
        <f>IFERROR(__xludf.DUMMYFUNCTION("IF(A202="""", """", IF(ISERROR(VLOOKUP(A202, IMPORTRANGE('Survey Progress'!$B$33, ""data!I2:L800""), 1, FALSE)), ""No Survey"", IF(VLOOKUP(A202, IMPORTRANGE('Survey Progress'!$B$33, ""data!I2:L800""), 2, FALSE) = 0, ""Incomplete"", ""Complete"")))"),"")</f>
        <v/>
      </c>
      <c r="D202" s="15" t="str">
        <f>IFERROR(__xludf.DUMMYFUNCTION("IF(A202="""", """", IF(ISERROR(VLOOKUP(A202, IMPORTRANGE('Survey Progress'!$B$34, ""data!I2:L800""), 1, FALSE)), ""No Survey"", IF(VLOOKUP(A202, IMPORTRANGE('Survey Progress'!$B$34, ""data!I2:L800""), 2, FALSE) = 0, ""Incomplete"", ""Complete"")))"),"")</f>
        <v/>
      </c>
      <c r="E202" s="27">
        <f t="shared" si="1"/>
        <v>0</v>
      </c>
      <c r="F202" s="14"/>
    </row>
    <row r="203">
      <c r="A203" s="14"/>
      <c r="B203" s="16" t="str">
        <f>IFERROR(__xludf.DUMMYFUNCTION("IF(ISERROR(VLOOKUP(A203, IMPORTRANGE('Survey Progress'!$B$32, ""data!H2:M800""), 5, FALSE)), """", IF(VLOOKUP(A203, IMPORTRANGE('Survey Progress'!$B$32, ""data!H2:M800""), 5, FALSE) = 1, ""Eligible"", ""Ineligible""))"),"Eligible")</f>
        <v>Eligible</v>
      </c>
      <c r="C203" s="15" t="str">
        <f>IFERROR(__xludf.DUMMYFUNCTION("IF(A203="""", """", IF(ISERROR(VLOOKUP(A203, IMPORTRANGE('Survey Progress'!$B$33, ""data!I2:L800""), 1, FALSE)), ""No Survey"", IF(VLOOKUP(A203, IMPORTRANGE('Survey Progress'!$B$33, ""data!I2:L800""), 2, FALSE) = 0, ""Incomplete"", ""Complete"")))"),"")</f>
        <v/>
      </c>
      <c r="D203" s="15" t="str">
        <f>IFERROR(__xludf.DUMMYFUNCTION("IF(A203="""", """", IF(ISERROR(VLOOKUP(A203, IMPORTRANGE('Survey Progress'!$B$34, ""data!I2:L800""), 1, FALSE)), ""No Survey"", IF(VLOOKUP(A203, IMPORTRANGE('Survey Progress'!$B$34, ""data!I2:L800""), 2, FALSE) = 0, ""Incomplete"", ""Complete"")))"),"")</f>
        <v/>
      </c>
      <c r="E203" s="27">
        <f t="shared" si="1"/>
        <v>0</v>
      </c>
      <c r="F203" s="14"/>
    </row>
    <row r="204">
      <c r="A204" s="14"/>
      <c r="B204" s="16" t="str">
        <f>IFERROR(__xludf.DUMMYFUNCTION("IF(ISERROR(VLOOKUP(A204, IMPORTRANGE('Survey Progress'!$B$32, ""data!H2:M800""), 5, FALSE)), """", IF(VLOOKUP(A204, IMPORTRANGE('Survey Progress'!$B$32, ""data!H2:M800""), 5, FALSE) = 1, ""Eligible"", ""Ineligible""))"),"Eligible")</f>
        <v>Eligible</v>
      </c>
      <c r="C204" s="15" t="str">
        <f>IFERROR(__xludf.DUMMYFUNCTION("IF(A204="""", """", IF(ISERROR(VLOOKUP(A204, IMPORTRANGE('Survey Progress'!$B$33, ""data!I2:L800""), 1, FALSE)), ""No Survey"", IF(VLOOKUP(A204, IMPORTRANGE('Survey Progress'!$B$33, ""data!I2:L800""), 2, FALSE) = 0, ""Incomplete"", ""Complete"")))"),"")</f>
        <v/>
      </c>
      <c r="D204" s="15" t="str">
        <f>IFERROR(__xludf.DUMMYFUNCTION("IF(A204="""", """", IF(ISERROR(VLOOKUP(A204, IMPORTRANGE('Survey Progress'!$B$34, ""data!I2:L800""), 1, FALSE)), ""No Survey"", IF(VLOOKUP(A204, IMPORTRANGE('Survey Progress'!$B$34, ""data!I2:L800""), 2, FALSE) = 0, ""Incomplete"", ""Complete"")))"),"")</f>
        <v/>
      </c>
      <c r="E204" s="27">
        <f t="shared" si="1"/>
        <v>0</v>
      </c>
      <c r="F204" s="14"/>
    </row>
    <row r="205">
      <c r="A205" s="14"/>
      <c r="B205" s="16" t="str">
        <f>IFERROR(__xludf.DUMMYFUNCTION("IF(ISERROR(VLOOKUP(A205, IMPORTRANGE('Survey Progress'!$B$32, ""data!H2:M800""), 5, FALSE)), """", IF(VLOOKUP(A205, IMPORTRANGE('Survey Progress'!$B$32, ""data!H2:M800""), 5, FALSE) = 1, ""Eligible"", ""Ineligible""))"),"Eligible")</f>
        <v>Eligible</v>
      </c>
      <c r="C205" s="15" t="str">
        <f>IFERROR(__xludf.DUMMYFUNCTION("IF(A205="""", """", IF(ISERROR(VLOOKUP(A205, IMPORTRANGE('Survey Progress'!$B$33, ""data!I2:L800""), 1, FALSE)), ""No Survey"", IF(VLOOKUP(A205, IMPORTRANGE('Survey Progress'!$B$33, ""data!I2:L800""), 2, FALSE) = 0, ""Incomplete"", ""Complete"")))"),"")</f>
        <v/>
      </c>
      <c r="D205" s="15" t="str">
        <f>IFERROR(__xludf.DUMMYFUNCTION("IF(A205="""", """", IF(ISERROR(VLOOKUP(A205, IMPORTRANGE('Survey Progress'!$B$34, ""data!I2:L800""), 1, FALSE)), ""No Survey"", IF(VLOOKUP(A205, IMPORTRANGE('Survey Progress'!$B$34, ""data!I2:L800""), 2, FALSE) = 0, ""Incomplete"", ""Complete"")))"),"")</f>
        <v/>
      </c>
      <c r="E205" s="27">
        <f t="shared" si="1"/>
        <v>0</v>
      </c>
      <c r="F205" s="14"/>
    </row>
    <row r="206">
      <c r="A206" s="14"/>
      <c r="B206" s="16" t="str">
        <f>IFERROR(__xludf.DUMMYFUNCTION("IF(ISERROR(VLOOKUP(A206, IMPORTRANGE('Survey Progress'!$B$32, ""data!H2:M800""), 5, FALSE)), """", IF(VLOOKUP(A206, IMPORTRANGE('Survey Progress'!$B$32, ""data!H2:M800""), 5, FALSE) = 1, ""Eligible"", ""Ineligible""))"),"Eligible")</f>
        <v>Eligible</v>
      </c>
      <c r="C206" s="15" t="str">
        <f>IFERROR(__xludf.DUMMYFUNCTION("IF(A206="""", """", IF(ISERROR(VLOOKUP(A206, IMPORTRANGE('Survey Progress'!$B$33, ""data!I2:L800""), 1, FALSE)), ""No Survey"", IF(VLOOKUP(A206, IMPORTRANGE('Survey Progress'!$B$33, ""data!I2:L800""), 2, FALSE) = 0, ""Incomplete"", ""Complete"")))"),"")</f>
        <v/>
      </c>
      <c r="D206" s="15" t="str">
        <f>IFERROR(__xludf.DUMMYFUNCTION("IF(A206="""", """", IF(ISERROR(VLOOKUP(A206, IMPORTRANGE('Survey Progress'!$B$34, ""data!I2:L800""), 1, FALSE)), ""No Survey"", IF(VLOOKUP(A206, IMPORTRANGE('Survey Progress'!$B$34, ""data!I2:L800""), 2, FALSE) = 0, ""Incomplete"", ""Complete"")))"),"")</f>
        <v/>
      </c>
      <c r="E206" s="27">
        <f t="shared" si="1"/>
        <v>0</v>
      </c>
      <c r="F206" s="14"/>
    </row>
    <row r="207">
      <c r="A207" s="14"/>
      <c r="B207" s="16" t="str">
        <f>IFERROR(__xludf.DUMMYFUNCTION("IF(ISERROR(VLOOKUP(A207, IMPORTRANGE('Survey Progress'!$B$32, ""data!H2:M800""), 5, FALSE)), """", IF(VLOOKUP(A207, IMPORTRANGE('Survey Progress'!$B$32, ""data!H2:M800""), 5, FALSE) = 1, ""Eligible"", ""Ineligible""))"),"Eligible")</f>
        <v>Eligible</v>
      </c>
      <c r="C207" s="15" t="str">
        <f>IFERROR(__xludf.DUMMYFUNCTION("IF(A207="""", """", IF(ISERROR(VLOOKUP(A207, IMPORTRANGE('Survey Progress'!$B$33, ""data!I2:L800""), 1, FALSE)), ""No Survey"", IF(VLOOKUP(A207, IMPORTRANGE('Survey Progress'!$B$33, ""data!I2:L800""), 2, FALSE) = 0, ""Incomplete"", ""Complete"")))"),"")</f>
        <v/>
      </c>
      <c r="D207" s="15" t="str">
        <f>IFERROR(__xludf.DUMMYFUNCTION("IF(A207="""", """", IF(ISERROR(VLOOKUP(A207, IMPORTRANGE('Survey Progress'!$B$34, ""data!I2:L800""), 1, FALSE)), ""No Survey"", IF(VLOOKUP(A207, IMPORTRANGE('Survey Progress'!$B$34, ""data!I2:L800""), 2, FALSE) = 0, ""Incomplete"", ""Complete"")))"),"")</f>
        <v/>
      </c>
      <c r="E207" s="27">
        <f t="shared" si="1"/>
        <v>0</v>
      </c>
      <c r="F207" s="14"/>
    </row>
    <row r="208">
      <c r="A208" s="14"/>
      <c r="B208" s="16" t="str">
        <f>IFERROR(__xludf.DUMMYFUNCTION("IF(ISERROR(VLOOKUP(A208, IMPORTRANGE('Survey Progress'!$B$32, ""data!H2:M800""), 5, FALSE)), """", IF(VLOOKUP(A208, IMPORTRANGE('Survey Progress'!$B$32, ""data!H2:M800""), 5, FALSE) = 1, ""Eligible"", ""Ineligible""))"),"Eligible")</f>
        <v>Eligible</v>
      </c>
      <c r="C208" s="15" t="str">
        <f>IFERROR(__xludf.DUMMYFUNCTION("IF(A208="""", """", IF(ISERROR(VLOOKUP(A208, IMPORTRANGE('Survey Progress'!$B$33, ""data!I2:L800""), 1, FALSE)), ""No Survey"", IF(VLOOKUP(A208, IMPORTRANGE('Survey Progress'!$B$33, ""data!I2:L800""), 2, FALSE) = 0, ""Incomplete"", ""Complete"")))"),"")</f>
        <v/>
      </c>
      <c r="D208" s="15" t="str">
        <f>IFERROR(__xludf.DUMMYFUNCTION("IF(A208="""", """", IF(ISERROR(VLOOKUP(A208, IMPORTRANGE('Survey Progress'!$B$34, ""data!I2:L800""), 1, FALSE)), ""No Survey"", IF(VLOOKUP(A208, IMPORTRANGE('Survey Progress'!$B$34, ""data!I2:L800""), 2, FALSE) = 0, ""Incomplete"", ""Complete"")))"),"")</f>
        <v/>
      </c>
      <c r="E208" s="27">
        <f t="shared" si="1"/>
        <v>0</v>
      </c>
      <c r="F208" s="14"/>
    </row>
    <row r="209">
      <c r="A209" s="14"/>
      <c r="B209" s="16" t="str">
        <f>IFERROR(__xludf.DUMMYFUNCTION("IF(ISERROR(VLOOKUP(A209, IMPORTRANGE('Survey Progress'!$B$32, ""data!H2:M800""), 5, FALSE)), """", IF(VLOOKUP(A209, IMPORTRANGE('Survey Progress'!$B$32, ""data!H2:M800""), 5, FALSE) = 1, ""Eligible"", ""Ineligible""))"),"Eligible")</f>
        <v>Eligible</v>
      </c>
      <c r="C209" s="15" t="str">
        <f>IFERROR(__xludf.DUMMYFUNCTION("IF(A209="""", """", IF(ISERROR(VLOOKUP(A209, IMPORTRANGE('Survey Progress'!$B$33, ""data!I2:L800""), 1, FALSE)), ""No Survey"", IF(VLOOKUP(A209, IMPORTRANGE('Survey Progress'!$B$33, ""data!I2:L800""), 2, FALSE) = 0, ""Incomplete"", ""Complete"")))"),"")</f>
        <v/>
      </c>
      <c r="D209" s="15" t="str">
        <f>IFERROR(__xludf.DUMMYFUNCTION("IF(A209="""", """", IF(ISERROR(VLOOKUP(A209, IMPORTRANGE('Survey Progress'!$B$34, ""data!I2:L800""), 1, FALSE)), ""No Survey"", IF(VLOOKUP(A209, IMPORTRANGE('Survey Progress'!$B$34, ""data!I2:L800""), 2, FALSE) = 0, ""Incomplete"", ""Complete"")))"),"")</f>
        <v/>
      </c>
      <c r="E209" s="27">
        <f t="shared" si="1"/>
        <v>0</v>
      </c>
      <c r="F209" s="14"/>
    </row>
    <row r="210">
      <c r="A210" s="14"/>
      <c r="B210" s="16" t="str">
        <f>IFERROR(__xludf.DUMMYFUNCTION("IF(ISERROR(VLOOKUP(A210, IMPORTRANGE('Survey Progress'!$B$32, ""data!H2:M800""), 5, FALSE)), """", IF(VLOOKUP(A210, IMPORTRANGE('Survey Progress'!$B$32, ""data!H2:M800""), 5, FALSE) = 1, ""Eligible"", ""Ineligible""))"),"Eligible")</f>
        <v>Eligible</v>
      </c>
      <c r="C210" s="15" t="str">
        <f>IFERROR(__xludf.DUMMYFUNCTION("IF(A210="""", """", IF(ISERROR(VLOOKUP(A210, IMPORTRANGE('Survey Progress'!$B$33, ""data!I2:L800""), 1, FALSE)), ""No Survey"", IF(VLOOKUP(A210, IMPORTRANGE('Survey Progress'!$B$33, ""data!I2:L800""), 2, FALSE) = 0, ""Incomplete"", ""Complete"")))"),"")</f>
        <v/>
      </c>
      <c r="D210" s="15" t="str">
        <f>IFERROR(__xludf.DUMMYFUNCTION("IF(A210="""", """", IF(ISERROR(VLOOKUP(A210, IMPORTRANGE('Survey Progress'!$B$34, ""data!I2:L800""), 1, FALSE)), ""No Survey"", IF(VLOOKUP(A210, IMPORTRANGE('Survey Progress'!$B$34, ""data!I2:L800""), 2, FALSE) = 0, ""Incomplete"", ""Complete"")))"),"")</f>
        <v/>
      </c>
      <c r="E210" s="27">
        <f t="shared" si="1"/>
        <v>0</v>
      </c>
      <c r="F210" s="14"/>
    </row>
    <row r="211">
      <c r="A211" s="14"/>
      <c r="B211" s="16" t="str">
        <f>IFERROR(__xludf.DUMMYFUNCTION("IF(ISERROR(VLOOKUP(A211, IMPORTRANGE('Survey Progress'!$B$32, ""data!H2:M800""), 5, FALSE)), """", IF(VLOOKUP(A211, IMPORTRANGE('Survey Progress'!$B$32, ""data!H2:M800""), 5, FALSE) = 1, ""Eligible"", ""Ineligible""))"),"Eligible")</f>
        <v>Eligible</v>
      </c>
      <c r="C211" s="15" t="str">
        <f>IFERROR(__xludf.DUMMYFUNCTION("IF(A211="""", """", IF(ISERROR(VLOOKUP(A211, IMPORTRANGE('Survey Progress'!$B$33, ""data!I2:L800""), 1, FALSE)), ""No Survey"", IF(VLOOKUP(A211, IMPORTRANGE('Survey Progress'!$B$33, ""data!I2:L800""), 2, FALSE) = 0, ""Incomplete"", ""Complete"")))"),"")</f>
        <v/>
      </c>
      <c r="D211" s="15" t="str">
        <f>IFERROR(__xludf.DUMMYFUNCTION("IF(A211="""", """", IF(ISERROR(VLOOKUP(A211, IMPORTRANGE('Survey Progress'!$B$34, ""data!I2:L800""), 1, FALSE)), ""No Survey"", IF(VLOOKUP(A211, IMPORTRANGE('Survey Progress'!$B$34, ""data!I2:L800""), 2, FALSE) = 0, ""Incomplete"", ""Complete"")))"),"")</f>
        <v/>
      </c>
      <c r="E211" s="27">
        <f t="shared" si="1"/>
        <v>0</v>
      </c>
      <c r="F211" s="14"/>
    </row>
    <row r="212">
      <c r="A212" s="14"/>
      <c r="B212" s="16" t="str">
        <f>IFERROR(__xludf.DUMMYFUNCTION("IF(ISERROR(VLOOKUP(A212, IMPORTRANGE('Survey Progress'!$B$32, ""data!H2:M800""), 5, FALSE)), """", IF(VLOOKUP(A212, IMPORTRANGE('Survey Progress'!$B$32, ""data!H2:M800""), 5, FALSE) = 1, ""Eligible"", ""Ineligible""))"),"Eligible")</f>
        <v>Eligible</v>
      </c>
      <c r="C212" s="15" t="str">
        <f>IFERROR(__xludf.DUMMYFUNCTION("IF(A212="""", """", IF(ISERROR(VLOOKUP(A212, IMPORTRANGE('Survey Progress'!$B$33, ""data!I2:L800""), 1, FALSE)), ""No Survey"", IF(VLOOKUP(A212, IMPORTRANGE('Survey Progress'!$B$33, ""data!I2:L800""), 2, FALSE) = 0, ""Incomplete"", ""Complete"")))"),"")</f>
        <v/>
      </c>
      <c r="D212" s="15" t="str">
        <f>IFERROR(__xludf.DUMMYFUNCTION("IF(A212="""", """", IF(ISERROR(VLOOKUP(A212, IMPORTRANGE('Survey Progress'!$B$34, ""data!I2:L800""), 1, FALSE)), ""No Survey"", IF(VLOOKUP(A212, IMPORTRANGE('Survey Progress'!$B$34, ""data!I2:L800""), 2, FALSE) = 0, ""Incomplete"", ""Complete"")))"),"")</f>
        <v/>
      </c>
      <c r="E212" s="27">
        <f t="shared" si="1"/>
        <v>0</v>
      </c>
      <c r="F212" s="14"/>
    </row>
    <row r="213">
      <c r="A213" s="14"/>
      <c r="B213" s="16" t="str">
        <f>IFERROR(__xludf.DUMMYFUNCTION("IF(ISERROR(VLOOKUP(A213, IMPORTRANGE('Survey Progress'!$B$32, ""data!H2:M800""), 5, FALSE)), """", IF(VLOOKUP(A213, IMPORTRANGE('Survey Progress'!$B$32, ""data!H2:M800""), 5, FALSE) = 1, ""Eligible"", ""Ineligible""))"),"Eligible")</f>
        <v>Eligible</v>
      </c>
      <c r="C213" s="15" t="str">
        <f>IFERROR(__xludf.DUMMYFUNCTION("IF(A213="""", """", IF(ISERROR(VLOOKUP(A213, IMPORTRANGE('Survey Progress'!$B$33, ""data!I2:L800""), 1, FALSE)), ""No Survey"", IF(VLOOKUP(A213, IMPORTRANGE('Survey Progress'!$B$33, ""data!I2:L800""), 2, FALSE) = 0, ""Incomplete"", ""Complete"")))"),"")</f>
        <v/>
      </c>
      <c r="D213" s="15" t="str">
        <f>IFERROR(__xludf.DUMMYFUNCTION("IF(A213="""", """", IF(ISERROR(VLOOKUP(A213, IMPORTRANGE('Survey Progress'!$B$34, ""data!I2:L800""), 1, FALSE)), ""No Survey"", IF(VLOOKUP(A213, IMPORTRANGE('Survey Progress'!$B$34, ""data!I2:L800""), 2, FALSE) = 0, ""Incomplete"", ""Complete"")))"),"")</f>
        <v/>
      </c>
      <c r="E213" s="27">
        <f t="shared" si="1"/>
        <v>0</v>
      </c>
      <c r="F213" s="14"/>
    </row>
    <row r="214">
      <c r="A214" s="14"/>
      <c r="B214" s="16" t="str">
        <f>IFERROR(__xludf.DUMMYFUNCTION("IF(ISERROR(VLOOKUP(A214, IMPORTRANGE('Survey Progress'!$B$32, ""data!H2:M800""), 5, FALSE)), """", IF(VLOOKUP(A214, IMPORTRANGE('Survey Progress'!$B$32, ""data!H2:M800""), 5, FALSE) = 1, ""Eligible"", ""Ineligible""))"),"Eligible")</f>
        <v>Eligible</v>
      </c>
      <c r="C214" s="15" t="str">
        <f>IFERROR(__xludf.DUMMYFUNCTION("IF(A214="""", """", IF(ISERROR(VLOOKUP(A214, IMPORTRANGE('Survey Progress'!$B$33, ""data!I2:L800""), 1, FALSE)), ""No Survey"", IF(VLOOKUP(A214, IMPORTRANGE('Survey Progress'!$B$33, ""data!I2:L800""), 2, FALSE) = 0, ""Incomplete"", ""Complete"")))"),"")</f>
        <v/>
      </c>
      <c r="D214" s="15" t="str">
        <f>IFERROR(__xludf.DUMMYFUNCTION("IF(A214="""", """", IF(ISERROR(VLOOKUP(A214, IMPORTRANGE('Survey Progress'!$B$34, ""data!I2:L800""), 1, FALSE)), ""No Survey"", IF(VLOOKUP(A214, IMPORTRANGE('Survey Progress'!$B$34, ""data!I2:L800""), 2, FALSE) = 0, ""Incomplete"", ""Complete"")))"),"")</f>
        <v/>
      </c>
      <c r="E214" s="27">
        <f t="shared" si="1"/>
        <v>0</v>
      </c>
      <c r="F214" s="14"/>
    </row>
    <row r="215">
      <c r="A215" s="14"/>
      <c r="B215" s="16" t="str">
        <f>IFERROR(__xludf.DUMMYFUNCTION("IF(ISERROR(VLOOKUP(A215, IMPORTRANGE('Survey Progress'!$B$32, ""data!H2:M800""), 5, FALSE)), """", IF(VLOOKUP(A215, IMPORTRANGE('Survey Progress'!$B$32, ""data!H2:M800""), 5, FALSE) = 1, ""Eligible"", ""Ineligible""))"),"Eligible")</f>
        <v>Eligible</v>
      </c>
      <c r="C215" s="15" t="str">
        <f>IFERROR(__xludf.DUMMYFUNCTION("IF(A215="""", """", IF(ISERROR(VLOOKUP(A215, IMPORTRANGE('Survey Progress'!$B$33, ""data!I2:L800""), 1, FALSE)), ""No Survey"", IF(VLOOKUP(A215, IMPORTRANGE('Survey Progress'!$B$33, ""data!I2:L800""), 2, FALSE) = 0, ""Incomplete"", ""Complete"")))"),"")</f>
        <v/>
      </c>
      <c r="D215" s="15" t="str">
        <f>IFERROR(__xludf.DUMMYFUNCTION("IF(A215="""", """", IF(ISERROR(VLOOKUP(A215, IMPORTRANGE('Survey Progress'!$B$34, ""data!I2:L800""), 1, FALSE)), ""No Survey"", IF(VLOOKUP(A215, IMPORTRANGE('Survey Progress'!$B$34, ""data!I2:L800""), 2, FALSE) = 0, ""Incomplete"", ""Complete"")))"),"")</f>
        <v/>
      </c>
      <c r="E215" s="27">
        <f t="shared" si="1"/>
        <v>0</v>
      </c>
      <c r="F215" s="14"/>
    </row>
    <row r="216">
      <c r="A216" s="14"/>
      <c r="B216" s="16" t="str">
        <f>IFERROR(__xludf.DUMMYFUNCTION("IF(ISERROR(VLOOKUP(A216, IMPORTRANGE('Survey Progress'!$B$32, ""data!H2:M800""), 5, FALSE)), """", IF(VLOOKUP(A216, IMPORTRANGE('Survey Progress'!$B$32, ""data!H2:M800""), 5, FALSE) = 1, ""Eligible"", ""Ineligible""))"),"Eligible")</f>
        <v>Eligible</v>
      </c>
      <c r="C216" s="15" t="str">
        <f>IFERROR(__xludf.DUMMYFUNCTION("IF(A216="""", """", IF(ISERROR(VLOOKUP(A216, IMPORTRANGE('Survey Progress'!$B$33, ""data!I2:L800""), 1, FALSE)), ""No Survey"", IF(VLOOKUP(A216, IMPORTRANGE('Survey Progress'!$B$33, ""data!I2:L800""), 2, FALSE) = 0, ""Incomplete"", ""Complete"")))"),"")</f>
        <v/>
      </c>
      <c r="D216" s="15" t="str">
        <f>IFERROR(__xludf.DUMMYFUNCTION("IF(A216="""", """", IF(ISERROR(VLOOKUP(A216, IMPORTRANGE('Survey Progress'!$B$34, ""data!I2:L800""), 1, FALSE)), ""No Survey"", IF(VLOOKUP(A216, IMPORTRANGE('Survey Progress'!$B$34, ""data!I2:L800""), 2, FALSE) = 0, ""Incomplete"", ""Complete"")))"),"")</f>
        <v/>
      </c>
      <c r="E216" s="27">
        <f t="shared" si="1"/>
        <v>0</v>
      </c>
      <c r="F216" s="14"/>
    </row>
    <row r="217">
      <c r="A217" s="14"/>
      <c r="B217" s="16" t="str">
        <f>IFERROR(__xludf.DUMMYFUNCTION("IF(ISERROR(VLOOKUP(A217, IMPORTRANGE('Survey Progress'!$B$32, ""data!H2:M800""), 5, FALSE)), """", IF(VLOOKUP(A217, IMPORTRANGE('Survey Progress'!$B$32, ""data!H2:M800""), 5, FALSE) = 1, ""Eligible"", ""Ineligible""))"),"Eligible")</f>
        <v>Eligible</v>
      </c>
      <c r="C217" s="15" t="str">
        <f>IFERROR(__xludf.DUMMYFUNCTION("IF(A217="""", """", IF(ISERROR(VLOOKUP(A217, IMPORTRANGE('Survey Progress'!$B$33, ""data!I2:L800""), 1, FALSE)), ""No Survey"", IF(VLOOKUP(A217, IMPORTRANGE('Survey Progress'!$B$33, ""data!I2:L800""), 2, FALSE) = 0, ""Incomplete"", ""Complete"")))"),"")</f>
        <v/>
      </c>
      <c r="D217" s="15" t="str">
        <f>IFERROR(__xludf.DUMMYFUNCTION("IF(A217="""", """", IF(ISERROR(VLOOKUP(A217, IMPORTRANGE('Survey Progress'!$B$34, ""data!I2:L800""), 1, FALSE)), ""No Survey"", IF(VLOOKUP(A217, IMPORTRANGE('Survey Progress'!$B$34, ""data!I2:L800""), 2, FALSE) = 0, ""Incomplete"", ""Complete"")))"),"")</f>
        <v/>
      </c>
      <c r="E217" s="27">
        <f t="shared" si="1"/>
        <v>0</v>
      </c>
      <c r="F217" s="14"/>
    </row>
    <row r="218">
      <c r="A218" s="14"/>
      <c r="B218" s="16" t="str">
        <f>IFERROR(__xludf.DUMMYFUNCTION("IF(ISERROR(VLOOKUP(A218, IMPORTRANGE('Survey Progress'!$B$32, ""data!H2:M800""), 5, FALSE)), """", IF(VLOOKUP(A218, IMPORTRANGE('Survey Progress'!$B$32, ""data!H2:M800""), 5, FALSE) = 1, ""Eligible"", ""Ineligible""))"),"Eligible")</f>
        <v>Eligible</v>
      </c>
      <c r="C218" s="15" t="str">
        <f>IFERROR(__xludf.DUMMYFUNCTION("IF(A218="""", """", IF(ISERROR(VLOOKUP(A218, IMPORTRANGE('Survey Progress'!$B$33, ""data!I2:L800""), 1, FALSE)), ""No Survey"", IF(VLOOKUP(A218, IMPORTRANGE('Survey Progress'!$B$33, ""data!I2:L800""), 2, FALSE) = 0, ""Incomplete"", ""Complete"")))"),"")</f>
        <v/>
      </c>
      <c r="D218" s="15" t="str">
        <f>IFERROR(__xludf.DUMMYFUNCTION("IF(A218="""", """", IF(ISERROR(VLOOKUP(A218, IMPORTRANGE('Survey Progress'!$B$34, ""data!I2:L800""), 1, FALSE)), ""No Survey"", IF(VLOOKUP(A218, IMPORTRANGE('Survey Progress'!$B$34, ""data!I2:L800""), 2, FALSE) = 0, ""Incomplete"", ""Complete"")))"),"")</f>
        <v/>
      </c>
      <c r="E218" s="27">
        <f t="shared" si="1"/>
        <v>0</v>
      </c>
      <c r="F218" s="14"/>
    </row>
    <row r="219">
      <c r="A219" s="14"/>
      <c r="B219" s="16" t="str">
        <f>IFERROR(__xludf.DUMMYFUNCTION("IF(ISERROR(VLOOKUP(A219, IMPORTRANGE('Survey Progress'!$B$32, ""data!H2:M800""), 5, FALSE)), """", IF(VLOOKUP(A219, IMPORTRANGE('Survey Progress'!$B$32, ""data!H2:M800""), 5, FALSE) = 1, ""Eligible"", ""Ineligible""))"),"Eligible")</f>
        <v>Eligible</v>
      </c>
      <c r="C219" s="15" t="str">
        <f>IFERROR(__xludf.DUMMYFUNCTION("IF(A219="""", """", IF(ISERROR(VLOOKUP(A219, IMPORTRANGE('Survey Progress'!$B$33, ""data!I2:L800""), 1, FALSE)), ""No Survey"", IF(VLOOKUP(A219, IMPORTRANGE('Survey Progress'!$B$33, ""data!I2:L800""), 2, FALSE) = 0, ""Incomplete"", ""Complete"")))"),"")</f>
        <v/>
      </c>
      <c r="D219" s="15" t="str">
        <f>IFERROR(__xludf.DUMMYFUNCTION("IF(A219="""", """", IF(ISERROR(VLOOKUP(A219, IMPORTRANGE('Survey Progress'!$B$34, ""data!I2:L800""), 1, FALSE)), ""No Survey"", IF(VLOOKUP(A219, IMPORTRANGE('Survey Progress'!$B$34, ""data!I2:L800""), 2, FALSE) = 0, ""Incomplete"", ""Complete"")))"),"")</f>
        <v/>
      </c>
      <c r="E219" s="27">
        <f t="shared" si="1"/>
        <v>0</v>
      </c>
      <c r="F219" s="14"/>
    </row>
    <row r="220">
      <c r="A220" s="14"/>
      <c r="B220" s="16" t="str">
        <f>IFERROR(__xludf.DUMMYFUNCTION("IF(ISERROR(VLOOKUP(A220, IMPORTRANGE('Survey Progress'!$B$32, ""data!H2:M800""), 5, FALSE)), """", IF(VLOOKUP(A220, IMPORTRANGE('Survey Progress'!$B$32, ""data!H2:M800""), 5, FALSE) = 1, ""Eligible"", ""Ineligible""))"),"Eligible")</f>
        <v>Eligible</v>
      </c>
      <c r="C220" s="15" t="str">
        <f>IFERROR(__xludf.DUMMYFUNCTION("IF(A220="""", """", IF(ISERROR(VLOOKUP(A220, IMPORTRANGE('Survey Progress'!$B$33, ""data!I2:L800""), 1, FALSE)), ""No Survey"", IF(VLOOKUP(A220, IMPORTRANGE('Survey Progress'!$B$33, ""data!I2:L800""), 2, FALSE) = 0, ""Incomplete"", ""Complete"")))"),"")</f>
        <v/>
      </c>
      <c r="D220" s="15" t="str">
        <f>IFERROR(__xludf.DUMMYFUNCTION("IF(A220="""", """", IF(ISERROR(VLOOKUP(A220, IMPORTRANGE('Survey Progress'!$B$34, ""data!I2:L800""), 1, FALSE)), ""No Survey"", IF(VLOOKUP(A220, IMPORTRANGE('Survey Progress'!$B$34, ""data!I2:L800""), 2, FALSE) = 0, ""Incomplete"", ""Complete"")))"),"")</f>
        <v/>
      </c>
      <c r="E220" s="27">
        <f t="shared" si="1"/>
        <v>0</v>
      </c>
      <c r="F220" s="14"/>
    </row>
    <row r="221">
      <c r="A221" s="14"/>
      <c r="B221" s="16" t="str">
        <f>IFERROR(__xludf.DUMMYFUNCTION("IF(ISERROR(VLOOKUP(A221, IMPORTRANGE('Survey Progress'!$B$32, ""data!H2:M800""), 5, FALSE)), """", IF(VLOOKUP(A221, IMPORTRANGE('Survey Progress'!$B$32, ""data!H2:M800""), 5, FALSE) = 1, ""Eligible"", ""Ineligible""))"),"Eligible")</f>
        <v>Eligible</v>
      </c>
      <c r="C221" s="15" t="str">
        <f>IFERROR(__xludf.DUMMYFUNCTION("IF(A221="""", """", IF(ISERROR(VLOOKUP(A221, IMPORTRANGE('Survey Progress'!$B$33, ""data!I2:L800""), 1, FALSE)), ""No Survey"", IF(VLOOKUP(A221, IMPORTRANGE('Survey Progress'!$B$33, ""data!I2:L800""), 2, FALSE) = 0, ""Incomplete"", ""Complete"")))"),"")</f>
        <v/>
      </c>
      <c r="D221" s="15" t="str">
        <f>IFERROR(__xludf.DUMMYFUNCTION("IF(A221="""", """", IF(ISERROR(VLOOKUP(A221, IMPORTRANGE('Survey Progress'!$B$34, ""data!I2:L800""), 1, FALSE)), ""No Survey"", IF(VLOOKUP(A221, IMPORTRANGE('Survey Progress'!$B$34, ""data!I2:L800""), 2, FALSE) = 0, ""Incomplete"", ""Complete"")))"),"")</f>
        <v/>
      </c>
      <c r="E221" s="27">
        <f t="shared" si="1"/>
        <v>0</v>
      </c>
      <c r="F221" s="14"/>
    </row>
    <row r="222">
      <c r="A222" s="14"/>
      <c r="B222" s="16" t="str">
        <f>IFERROR(__xludf.DUMMYFUNCTION("IF(ISERROR(VLOOKUP(A222, IMPORTRANGE('Survey Progress'!$B$32, ""data!H2:M800""), 5, FALSE)), """", IF(VLOOKUP(A222, IMPORTRANGE('Survey Progress'!$B$32, ""data!H2:M800""), 5, FALSE) = 1, ""Eligible"", ""Ineligible""))"),"Eligible")</f>
        <v>Eligible</v>
      </c>
      <c r="C222" s="15" t="str">
        <f>IFERROR(__xludf.DUMMYFUNCTION("IF(A222="""", """", IF(ISERROR(VLOOKUP(A222, IMPORTRANGE('Survey Progress'!$B$33, ""data!I2:L800""), 1, FALSE)), ""No Survey"", IF(VLOOKUP(A222, IMPORTRANGE('Survey Progress'!$B$33, ""data!I2:L800""), 2, FALSE) = 0, ""Incomplete"", ""Complete"")))"),"")</f>
        <v/>
      </c>
      <c r="D222" s="15" t="str">
        <f>IFERROR(__xludf.DUMMYFUNCTION("IF(A222="""", """", IF(ISERROR(VLOOKUP(A222, IMPORTRANGE('Survey Progress'!$B$34, ""data!I2:L800""), 1, FALSE)), ""No Survey"", IF(VLOOKUP(A222, IMPORTRANGE('Survey Progress'!$B$34, ""data!I2:L800""), 2, FALSE) = 0, ""Incomplete"", ""Complete"")))"),"")</f>
        <v/>
      </c>
      <c r="E222" s="27">
        <f t="shared" si="1"/>
        <v>0</v>
      </c>
      <c r="F222" s="14"/>
    </row>
    <row r="223">
      <c r="A223" s="14"/>
      <c r="B223" s="16" t="str">
        <f>IFERROR(__xludf.DUMMYFUNCTION("IF(ISERROR(VLOOKUP(A223, IMPORTRANGE('Survey Progress'!$B$32, ""data!H2:M800""), 5, FALSE)), """", IF(VLOOKUP(A223, IMPORTRANGE('Survey Progress'!$B$32, ""data!H2:M800""), 5, FALSE) = 1, ""Eligible"", ""Ineligible""))"),"Eligible")</f>
        <v>Eligible</v>
      </c>
      <c r="C223" s="15" t="str">
        <f>IFERROR(__xludf.DUMMYFUNCTION("IF(A223="""", """", IF(ISERROR(VLOOKUP(A223, IMPORTRANGE('Survey Progress'!$B$33, ""data!I2:L800""), 1, FALSE)), ""No Survey"", IF(VLOOKUP(A223, IMPORTRANGE('Survey Progress'!$B$33, ""data!I2:L800""), 2, FALSE) = 0, ""Incomplete"", ""Complete"")))"),"")</f>
        <v/>
      </c>
      <c r="D223" s="15" t="str">
        <f>IFERROR(__xludf.DUMMYFUNCTION("IF(A223="""", """", IF(ISERROR(VLOOKUP(A223, IMPORTRANGE('Survey Progress'!$B$34, ""data!I2:L800""), 1, FALSE)), ""No Survey"", IF(VLOOKUP(A223, IMPORTRANGE('Survey Progress'!$B$34, ""data!I2:L800""), 2, FALSE) = 0, ""Incomplete"", ""Complete"")))"),"")</f>
        <v/>
      </c>
      <c r="E223" s="27">
        <f t="shared" si="1"/>
        <v>0</v>
      </c>
      <c r="F223" s="14"/>
    </row>
    <row r="224">
      <c r="A224" s="14"/>
      <c r="B224" s="16" t="str">
        <f>IFERROR(__xludf.DUMMYFUNCTION("IF(ISERROR(VLOOKUP(A224, IMPORTRANGE('Survey Progress'!$B$32, ""data!H2:M800""), 5, FALSE)), """", IF(VLOOKUP(A224, IMPORTRANGE('Survey Progress'!$B$32, ""data!H2:M800""), 5, FALSE) = 1, ""Eligible"", ""Ineligible""))"),"Eligible")</f>
        <v>Eligible</v>
      </c>
      <c r="C224" s="15" t="str">
        <f>IFERROR(__xludf.DUMMYFUNCTION("IF(A224="""", """", IF(ISERROR(VLOOKUP(A224, IMPORTRANGE('Survey Progress'!$B$33, ""data!I2:L800""), 1, FALSE)), ""No Survey"", IF(VLOOKUP(A224, IMPORTRANGE('Survey Progress'!$B$33, ""data!I2:L800""), 2, FALSE) = 0, ""Incomplete"", ""Complete"")))"),"")</f>
        <v/>
      </c>
      <c r="D224" s="15" t="str">
        <f>IFERROR(__xludf.DUMMYFUNCTION("IF(A224="""", """", IF(ISERROR(VLOOKUP(A224, IMPORTRANGE('Survey Progress'!$B$34, ""data!I2:L800""), 1, FALSE)), ""No Survey"", IF(VLOOKUP(A224, IMPORTRANGE('Survey Progress'!$B$34, ""data!I2:L800""), 2, FALSE) = 0, ""Incomplete"", ""Complete"")))"),"")</f>
        <v/>
      </c>
      <c r="E224" s="27">
        <f t="shared" si="1"/>
        <v>0</v>
      </c>
      <c r="F224" s="14"/>
    </row>
    <row r="225">
      <c r="A225" s="14"/>
      <c r="B225" s="16" t="str">
        <f>IFERROR(__xludf.DUMMYFUNCTION("IF(ISERROR(VLOOKUP(A225, IMPORTRANGE('Survey Progress'!$B$32, ""data!H2:M800""), 5, FALSE)), """", IF(VLOOKUP(A225, IMPORTRANGE('Survey Progress'!$B$32, ""data!H2:M800""), 5, FALSE) = 1, ""Eligible"", ""Ineligible""))"),"Eligible")</f>
        <v>Eligible</v>
      </c>
      <c r="C225" s="15" t="str">
        <f>IFERROR(__xludf.DUMMYFUNCTION("IF(A225="""", """", IF(ISERROR(VLOOKUP(A225, IMPORTRANGE('Survey Progress'!$B$33, ""data!I2:L800""), 1, FALSE)), ""No Survey"", IF(VLOOKUP(A225, IMPORTRANGE('Survey Progress'!$B$33, ""data!I2:L800""), 2, FALSE) = 0, ""Incomplete"", ""Complete"")))"),"")</f>
        <v/>
      </c>
      <c r="D225" s="15" t="str">
        <f>IFERROR(__xludf.DUMMYFUNCTION("IF(A225="""", """", IF(ISERROR(VLOOKUP(A225, IMPORTRANGE('Survey Progress'!$B$34, ""data!I2:L800""), 1, FALSE)), ""No Survey"", IF(VLOOKUP(A225, IMPORTRANGE('Survey Progress'!$B$34, ""data!I2:L800""), 2, FALSE) = 0, ""Incomplete"", ""Complete"")))"),"")</f>
        <v/>
      </c>
      <c r="E225" s="27">
        <f t="shared" si="1"/>
        <v>0</v>
      </c>
      <c r="F225" s="14"/>
    </row>
    <row r="226">
      <c r="A226" s="14"/>
      <c r="B226" s="16" t="str">
        <f>IFERROR(__xludf.DUMMYFUNCTION("IF(ISERROR(VLOOKUP(A226, IMPORTRANGE('Survey Progress'!$B$32, ""data!H2:M800""), 5, FALSE)), """", IF(VLOOKUP(A226, IMPORTRANGE('Survey Progress'!$B$32, ""data!H2:M800""), 5, FALSE) = 1, ""Eligible"", ""Ineligible""))"),"Eligible")</f>
        <v>Eligible</v>
      </c>
      <c r="C226" s="15" t="str">
        <f>IFERROR(__xludf.DUMMYFUNCTION("IF(A226="""", """", IF(ISERROR(VLOOKUP(A226, IMPORTRANGE('Survey Progress'!$B$33, ""data!I2:L800""), 1, FALSE)), ""No Survey"", IF(VLOOKUP(A226, IMPORTRANGE('Survey Progress'!$B$33, ""data!I2:L800""), 2, FALSE) = 0, ""Incomplete"", ""Complete"")))"),"")</f>
        <v/>
      </c>
      <c r="D226" s="15" t="str">
        <f>IFERROR(__xludf.DUMMYFUNCTION("IF(A226="""", """", IF(ISERROR(VLOOKUP(A226, IMPORTRANGE('Survey Progress'!$B$34, ""data!I2:L800""), 1, FALSE)), ""No Survey"", IF(VLOOKUP(A226, IMPORTRANGE('Survey Progress'!$B$34, ""data!I2:L800""), 2, FALSE) = 0, ""Incomplete"", ""Complete"")))"),"")</f>
        <v/>
      </c>
      <c r="E226" s="27">
        <f t="shared" si="1"/>
        <v>0</v>
      </c>
      <c r="F226" s="14"/>
    </row>
    <row r="227">
      <c r="A227" s="14"/>
      <c r="B227" s="16" t="str">
        <f>IFERROR(__xludf.DUMMYFUNCTION("IF(ISERROR(VLOOKUP(A227, IMPORTRANGE('Survey Progress'!$B$32, ""data!H2:M800""), 5, FALSE)), """", IF(VLOOKUP(A227, IMPORTRANGE('Survey Progress'!$B$32, ""data!H2:M800""), 5, FALSE) = 1, ""Eligible"", ""Ineligible""))"),"Eligible")</f>
        <v>Eligible</v>
      </c>
      <c r="C227" s="15" t="str">
        <f>IFERROR(__xludf.DUMMYFUNCTION("IF(A227="""", """", IF(ISERROR(VLOOKUP(A227, IMPORTRANGE('Survey Progress'!$B$33, ""data!I2:L800""), 1, FALSE)), ""No Survey"", IF(VLOOKUP(A227, IMPORTRANGE('Survey Progress'!$B$33, ""data!I2:L800""), 2, FALSE) = 0, ""Incomplete"", ""Complete"")))"),"")</f>
        <v/>
      </c>
      <c r="D227" s="15" t="str">
        <f>IFERROR(__xludf.DUMMYFUNCTION("IF(A227="""", """", IF(ISERROR(VLOOKUP(A227, IMPORTRANGE('Survey Progress'!$B$34, ""data!I2:L800""), 1, FALSE)), ""No Survey"", IF(VLOOKUP(A227, IMPORTRANGE('Survey Progress'!$B$34, ""data!I2:L800""), 2, FALSE) = 0, ""Incomplete"", ""Complete"")))"),"")</f>
        <v/>
      </c>
      <c r="E227" s="27">
        <f t="shared" si="1"/>
        <v>0</v>
      </c>
      <c r="F227" s="14"/>
    </row>
    <row r="228">
      <c r="A228" s="14"/>
      <c r="B228" s="16" t="str">
        <f>IFERROR(__xludf.DUMMYFUNCTION("IF(ISERROR(VLOOKUP(A228, IMPORTRANGE('Survey Progress'!$B$32, ""data!H2:M800""), 5, FALSE)), """", IF(VLOOKUP(A228, IMPORTRANGE('Survey Progress'!$B$32, ""data!H2:M800""), 5, FALSE) = 1, ""Eligible"", ""Ineligible""))"),"Eligible")</f>
        <v>Eligible</v>
      </c>
      <c r="C228" s="15" t="str">
        <f>IFERROR(__xludf.DUMMYFUNCTION("IF(A228="""", """", IF(ISERROR(VLOOKUP(A228, IMPORTRANGE('Survey Progress'!$B$33, ""data!I2:L800""), 1, FALSE)), ""No Survey"", IF(VLOOKUP(A228, IMPORTRANGE('Survey Progress'!$B$33, ""data!I2:L800""), 2, FALSE) = 0, ""Incomplete"", ""Complete"")))"),"")</f>
        <v/>
      </c>
      <c r="D228" s="15" t="str">
        <f>IFERROR(__xludf.DUMMYFUNCTION("IF(A228="""", """", IF(ISERROR(VLOOKUP(A228, IMPORTRANGE('Survey Progress'!$B$34, ""data!I2:L800""), 1, FALSE)), ""No Survey"", IF(VLOOKUP(A228, IMPORTRANGE('Survey Progress'!$B$34, ""data!I2:L800""), 2, FALSE) = 0, ""Incomplete"", ""Complete"")))"),"")</f>
        <v/>
      </c>
      <c r="E228" s="27">
        <f t="shared" si="1"/>
        <v>0</v>
      </c>
      <c r="F228" s="14"/>
    </row>
    <row r="229">
      <c r="A229" s="14"/>
      <c r="B229" s="16" t="str">
        <f>IFERROR(__xludf.DUMMYFUNCTION("IF(ISERROR(VLOOKUP(A229, IMPORTRANGE('Survey Progress'!$B$32, ""data!H2:M800""), 5, FALSE)), """", IF(VLOOKUP(A229, IMPORTRANGE('Survey Progress'!$B$32, ""data!H2:M800""), 5, FALSE) = 1, ""Eligible"", ""Ineligible""))"),"Eligible")</f>
        <v>Eligible</v>
      </c>
      <c r="C229" s="15" t="str">
        <f>IFERROR(__xludf.DUMMYFUNCTION("IF(A229="""", """", IF(ISERROR(VLOOKUP(A229, IMPORTRANGE('Survey Progress'!$B$33, ""data!I2:L800""), 1, FALSE)), ""No Survey"", IF(VLOOKUP(A229, IMPORTRANGE('Survey Progress'!$B$33, ""data!I2:L800""), 2, FALSE) = 0, ""Incomplete"", ""Complete"")))"),"")</f>
        <v/>
      </c>
      <c r="D229" s="15" t="str">
        <f>IFERROR(__xludf.DUMMYFUNCTION("IF(A229="""", """", IF(ISERROR(VLOOKUP(A229, IMPORTRANGE('Survey Progress'!$B$34, ""data!I2:L800""), 1, FALSE)), ""No Survey"", IF(VLOOKUP(A229, IMPORTRANGE('Survey Progress'!$B$34, ""data!I2:L800""), 2, FALSE) = 0, ""Incomplete"", ""Complete"")))"),"")</f>
        <v/>
      </c>
      <c r="E229" s="27">
        <f t="shared" si="1"/>
        <v>0</v>
      </c>
      <c r="F229" s="14"/>
    </row>
    <row r="230">
      <c r="A230" s="14"/>
      <c r="B230" s="16" t="str">
        <f>IFERROR(__xludf.DUMMYFUNCTION("IF(ISERROR(VLOOKUP(A230, IMPORTRANGE('Survey Progress'!$B$32, ""data!H2:M800""), 5, FALSE)), """", IF(VLOOKUP(A230, IMPORTRANGE('Survey Progress'!$B$32, ""data!H2:M800""), 5, FALSE) = 1, ""Eligible"", ""Ineligible""))"),"Eligible")</f>
        <v>Eligible</v>
      </c>
      <c r="C230" s="15" t="str">
        <f>IFERROR(__xludf.DUMMYFUNCTION("IF(A230="""", """", IF(ISERROR(VLOOKUP(A230, IMPORTRANGE('Survey Progress'!$B$33, ""data!I2:L800""), 1, FALSE)), ""No Survey"", IF(VLOOKUP(A230, IMPORTRANGE('Survey Progress'!$B$33, ""data!I2:L800""), 2, FALSE) = 0, ""Incomplete"", ""Complete"")))"),"")</f>
        <v/>
      </c>
      <c r="D230" s="15" t="str">
        <f>IFERROR(__xludf.DUMMYFUNCTION("IF(A230="""", """", IF(ISERROR(VLOOKUP(A230, IMPORTRANGE('Survey Progress'!$B$34, ""data!I2:L800""), 1, FALSE)), ""No Survey"", IF(VLOOKUP(A230, IMPORTRANGE('Survey Progress'!$B$34, ""data!I2:L800""), 2, FALSE) = 0, ""Incomplete"", ""Complete"")))"),"")</f>
        <v/>
      </c>
      <c r="E230" s="27">
        <f t="shared" si="1"/>
        <v>0</v>
      </c>
      <c r="F230" s="14"/>
    </row>
    <row r="231">
      <c r="A231" s="14"/>
      <c r="B231" s="16" t="str">
        <f>IFERROR(__xludf.DUMMYFUNCTION("IF(ISERROR(VLOOKUP(A231, IMPORTRANGE('Survey Progress'!$B$32, ""data!H2:M800""), 5, FALSE)), """", IF(VLOOKUP(A231, IMPORTRANGE('Survey Progress'!$B$32, ""data!H2:M800""), 5, FALSE) = 1, ""Eligible"", ""Ineligible""))"),"Eligible")</f>
        <v>Eligible</v>
      </c>
      <c r="C231" s="15" t="str">
        <f>IFERROR(__xludf.DUMMYFUNCTION("IF(A231="""", """", IF(ISERROR(VLOOKUP(A231, IMPORTRANGE('Survey Progress'!$B$33, ""data!I2:L800""), 1, FALSE)), ""No Survey"", IF(VLOOKUP(A231, IMPORTRANGE('Survey Progress'!$B$33, ""data!I2:L800""), 2, FALSE) = 0, ""Incomplete"", ""Complete"")))"),"")</f>
        <v/>
      </c>
      <c r="D231" s="15" t="str">
        <f>IFERROR(__xludf.DUMMYFUNCTION("IF(A231="""", """", IF(ISERROR(VLOOKUP(A231, IMPORTRANGE('Survey Progress'!$B$34, ""data!I2:L800""), 1, FALSE)), ""No Survey"", IF(VLOOKUP(A231, IMPORTRANGE('Survey Progress'!$B$34, ""data!I2:L800""), 2, FALSE) = 0, ""Incomplete"", ""Complete"")))"),"")</f>
        <v/>
      </c>
      <c r="E231" s="27">
        <f t="shared" si="1"/>
        <v>0</v>
      </c>
      <c r="F231" s="14"/>
    </row>
    <row r="232">
      <c r="A232" s="14"/>
      <c r="B232" s="16" t="str">
        <f>IFERROR(__xludf.DUMMYFUNCTION("IF(ISERROR(VLOOKUP(A232, IMPORTRANGE('Survey Progress'!$B$32, ""data!H2:M800""), 5, FALSE)), """", IF(VLOOKUP(A232, IMPORTRANGE('Survey Progress'!$B$32, ""data!H2:M800""), 5, FALSE) = 1, ""Eligible"", ""Ineligible""))"),"Eligible")</f>
        <v>Eligible</v>
      </c>
      <c r="C232" s="15" t="str">
        <f>IFERROR(__xludf.DUMMYFUNCTION("IF(A232="""", """", IF(ISERROR(VLOOKUP(A232, IMPORTRANGE('Survey Progress'!$B$33, ""data!I2:L800""), 1, FALSE)), ""No Survey"", IF(VLOOKUP(A232, IMPORTRANGE('Survey Progress'!$B$33, ""data!I2:L800""), 2, FALSE) = 0, ""Incomplete"", ""Complete"")))"),"")</f>
        <v/>
      </c>
      <c r="D232" s="15" t="str">
        <f>IFERROR(__xludf.DUMMYFUNCTION("IF(A232="""", """", IF(ISERROR(VLOOKUP(A232, IMPORTRANGE('Survey Progress'!$B$34, ""data!I2:L800""), 1, FALSE)), ""No Survey"", IF(VLOOKUP(A232, IMPORTRANGE('Survey Progress'!$B$34, ""data!I2:L800""), 2, FALSE) = 0, ""Incomplete"", ""Complete"")))"),"")</f>
        <v/>
      </c>
      <c r="E232" s="27">
        <f t="shared" si="1"/>
        <v>0</v>
      </c>
      <c r="F232" s="14"/>
    </row>
    <row r="233">
      <c r="A233" s="14"/>
      <c r="B233" s="16" t="str">
        <f>IFERROR(__xludf.DUMMYFUNCTION("IF(ISERROR(VLOOKUP(A233, IMPORTRANGE('Survey Progress'!$B$32, ""data!H2:M800""), 5, FALSE)), """", IF(VLOOKUP(A233, IMPORTRANGE('Survey Progress'!$B$32, ""data!H2:M800""), 5, FALSE) = 1, ""Eligible"", ""Ineligible""))"),"Eligible")</f>
        <v>Eligible</v>
      </c>
      <c r="C233" s="15" t="str">
        <f>IFERROR(__xludf.DUMMYFUNCTION("IF(A233="""", """", IF(ISERROR(VLOOKUP(A233, IMPORTRANGE('Survey Progress'!$B$33, ""data!I2:L800""), 1, FALSE)), ""No Survey"", IF(VLOOKUP(A233, IMPORTRANGE('Survey Progress'!$B$33, ""data!I2:L800""), 2, FALSE) = 0, ""Incomplete"", ""Complete"")))"),"")</f>
        <v/>
      </c>
      <c r="D233" s="15" t="str">
        <f>IFERROR(__xludf.DUMMYFUNCTION("IF(A233="""", """", IF(ISERROR(VLOOKUP(A233, IMPORTRANGE('Survey Progress'!$B$34, ""data!I2:L800""), 1, FALSE)), ""No Survey"", IF(VLOOKUP(A233, IMPORTRANGE('Survey Progress'!$B$34, ""data!I2:L800""), 2, FALSE) = 0, ""Incomplete"", ""Complete"")))"),"")</f>
        <v/>
      </c>
      <c r="E233" s="27">
        <f t="shared" si="1"/>
        <v>0</v>
      </c>
      <c r="F233" s="14"/>
    </row>
    <row r="234">
      <c r="A234" s="14"/>
      <c r="B234" s="16" t="str">
        <f>IFERROR(__xludf.DUMMYFUNCTION("IF(ISERROR(VLOOKUP(A234, IMPORTRANGE('Survey Progress'!$B$32, ""data!H2:M800""), 5, FALSE)), """", IF(VLOOKUP(A234, IMPORTRANGE('Survey Progress'!$B$32, ""data!H2:M800""), 5, FALSE) = 1, ""Eligible"", ""Ineligible""))"),"Eligible")</f>
        <v>Eligible</v>
      </c>
      <c r="C234" s="15" t="str">
        <f>IFERROR(__xludf.DUMMYFUNCTION("IF(A234="""", """", IF(ISERROR(VLOOKUP(A234, IMPORTRANGE('Survey Progress'!$B$33, ""data!I2:L800""), 1, FALSE)), ""No Survey"", IF(VLOOKUP(A234, IMPORTRANGE('Survey Progress'!$B$33, ""data!I2:L800""), 2, FALSE) = 0, ""Incomplete"", ""Complete"")))"),"")</f>
        <v/>
      </c>
      <c r="D234" s="15" t="str">
        <f>IFERROR(__xludf.DUMMYFUNCTION("IF(A234="""", """", IF(ISERROR(VLOOKUP(A234, IMPORTRANGE('Survey Progress'!$B$34, ""data!I2:L800""), 1, FALSE)), ""No Survey"", IF(VLOOKUP(A234, IMPORTRANGE('Survey Progress'!$B$34, ""data!I2:L800""), 2, FALSE) = 0, ""Incomplete"", ""Complete"")))"),"")</f>
        <v/>
      </c>
      <c r="E234" s="27">
        <f t="shared" si="1"/>
        <v>0</v>
      </c>
      <c r="F234" s="14"/>
    </row>
    <row r="235">
      <c r="A235" s="14"/>
      <c r="B235" s="16" t="str">
        <f>IFERROR(__xludf.DUMMYFUNCTION("IF(ISERROR(VLOOKUP(A235, IMPORTRANGE('Survey Progress'!$B$32, ""data!H2:M800""), 5, FALSE)), """", IF(VLOOKUP(A235, IMPORTRANGE('Survey Progress'!$B$32, ""data!H2:M800""), 5, FALSE) = 1, ""Eligible"", ""Ineligible""))"),"Eligible")</f>
        <v>Eligible</v>
      </c>
      <c r="C235" s="15" t="str">
        <f>IFERROR(__xludf.DUMMYFUNCTION("IF(A235="""", """", IF(ISERROR(VLOOKUP(A235, IMPORTRANGE('Survey Progress'!$B$33, ""data!I2:L800""), 1, FALSE)), ""No Survey"", IF(VLOOKUP(A235, IMPORTRANGE('Survey Progress'!$B$33, ""data!I2:L800""), 2, FALSE) = 0, ""Incomplete"", ""Complete"")))"),"")</f>
        <v/>
      </c>
      <c r="D235" s="15" t="str">
        <f>IFERROR(__xludf.DUMMYFUNCTION("IF(A235="""", """", IF(ISERROR(VLOOKUP(A235, IMPORTRANGE('Survey Progress'!$B$34, ""data!I2:L800""), 1, FALSE)), ""No Survey"", IF(VLOOKUP(A235, IMPORTRANGE('Survey Progress'!$B$34, ""data!I2:L800""), 2, FALSE) = 0, ""Incomplete"", ""Complete"")))"),"")</f>
        <v/>
      </c>
      <c r="E235" s="27">
        <f t="shared" si="1"/>
        <v>0</v>
      </c>
      <c r="F235" s="14"/>
    </row>
    <row r="236">
      <c r="A236" s="14"/>
      <c r="B236" s="16" t="str">
        <f>IFERROR(__xludf.DUMMYFUNCTION("IF(ISERROR(VLOOKUP(A236, IMPORTRANGE('Survey Progress'!$B$32, ""data!H2:M800""), 5, FALSE)), """", IF(VLOOKUP(A236, IMPORTRANGE('Survey Progress'!$B$32, ""data!H2:M800""), 5, FALSE) = 1, ""Eligible"", ""Ineligible""))"),"Eligible")</f>
        <v>Eligible</v>
      </c>
      <c r="C236" s="15" t="str">
        <f>IFERROR(__xludf.DUMMYFUNCTION("IF(A236="""", """", IF(ISERROR(VLOOKUP(A236, IMPORTRANGE('Survey Progress'!$B$33, ""data!I2:L800""), 1, FALSE)), ""No Survey"", IF(VLOOKUP(A236, IMPORTRANGE('Survey Progress'!$B$33, ""data!I2:L800""), 2, FALSE) = 0, ""Incomplete"", ""Complete"")))"),"")</f>
        <v/>
      </c>
      <c r="D236" s="15" t="str">
        <f>IFERROR(__xludf.DUMMYFUNCTION("IF(A236="""", """", IF(ISERROR(VLOOKUP(A236, IMPORTRANGE('Survey Progress'!$B$34, ""data!I2:L800""), 1, FALSE)), ""No Survey"", IF(VLOOKUP(A236, IMPORTRANGE('Survey Progress'!$B$34, ""data!I2:L800""), 2, FALSE) = 0, ""Incomplete"", ""Complete"")))"),"")</f>
        <v/>
      </c>
      <c r="E236" s="27">
        <f t="shared" si="1"/>
        <v>0</v>
      </c>
      <c r="F236" s="14"/>
    </row>
    <row r="237">
      <c r="A237" s="14"/>
      <c r="B237" s="16" t="str">
        <f>IFERROR(__xludf.DUMMYFUNCTION("IF(ISERROR(VLOOKUP(A237, IMPORTRANGE('Survey Progress'!$B$32, ""data!H2:M800""), 5, FALSE)), """", IF(VLOOKUP(A237, IMPORTRANGE('Survey Progress'!$B$32, ""data!H2:M800""), 5, FALSE) = 1, ""Eligible"", ""Ineligible""))"),"Eligible")</f>
        <v>Eligible</v>
      </c>
      <c r="C237" s="15" t="str">
        <f>IFERROR(__xludf.DUMMYFUNCTION("IF(A237="""", """", IF(ISERROR(VLOOKUP(A237, IMPORTRANGE('Survey Progress'!$B$33, ""data!I2:L800""), 1, FALSE)), ""No Survey"", IF(VLOOKUP(A237, IMPORTRANGE('Survey Progress'!$B$33, ""data!I2:L800""), 2, FALSE) = 0, ""Incomplete"", ""Complete"")))"),"")</f>
        <v/>
      </c>
      <c r="D237" s="15" t="str">
        <f>IFERROR(__xludf.DUMMYFUNCTION("IF(A237="""", """", IF(ISERROR(VLOOKUP(A237, IMPORTRANGE('Survey Progress'!$B$34, ""data!I2:L800""), 1, FALSE)), ""No Survey"", IF(VLOOKUP(A237, IMPORTRANGE('Survey Progress'!$B$34, ""data!I2:L800""), 2, FALSE) = 0, ""Incomplete"", ""Complete"")))"),"")</f>
        <v/>
      </c>
      <c r="E237" s="27">
        <f t="shared" si="1"/>
        <v>0</v>
      </c>
      <c r="F237" s="14"/>
    </row>
    <row r="238">
      <c r="A238" s="14"/>
      <c r="B238" s="16" t="str">
        <f>IFERROR(__xludf.DUMMYFUNCTION("IF(ISERROR(VLOOKUP(A238, IMPORTRANGE('Survey Progress'!$B$32, ""data!H2:M800""), 5, FALSE)), """", IF(VLOOKUP(A238, IMPORTRANGE('Survey Progress'!$B$32, ""data!H2:M800""), 5, FALSE) = 1, ""Eligible"", ""Ineligible""))"),"Eligible")</f>
        <v>Eligible</v>
      </c>
      <c r="C238" s="15" t="str">
        <f>IFERROR(__xludf.DUMMYFUNCTION("IF(A238="""", """", IF(ISERROR(VLOOKUP(A238, IMPORTRANGE('Survey Progress'!$B$33, ""data!I2:L800""), 1, FALSE)), ""No Survey"", IF(VLOOKUP(A238, IMPORTRANGE('Survey Progress'!$B$33, ""data!I2:L800""), 2, FALSE) = 0, ""Incomplete"", ""Complete"")))"),"")</f>
        <v/>
      </c>
      <c r="D238" s="15" t="str">
        <f>IFERROR(__xludf.DUMMYFUNCTION("IF(A238="""", """", IF(ISERROR(VLOOKUP(A238, IMPORTRANGE('Survey Progress'!$B$34, ""data!I2:L800""), 1, FALSE)), ""No Survey"", IF(VLOOKUP(A238, IMPORTRANGE('Survey Progress'!$B$34, ""data!I2:L800""), 2, FALSE) = 0, ""Incomplete"", ""Complete"")))"),"")</f>
        <v/>
      </c>
      <c r="E238" s="27">
        <f t="shared" si="1"/>
        <v>0</v>
      </c>
      <c r="F238" s="14"/>
    </row>
    <row r="239">
      <c r="A239" s="14"/>
      <c r="B239" s="16" t="str">
        <f>IFERROR(__xludf.DUMMYFUNCTION("IF(ISERROR(VLOOKUP(A239, IMPORTRANGE('Survey Progress'!$B$32, ""data!H2:M800""), 5, FALSE)), """", IF(VLOOKUP(A239, IMPORTRANGE('Survey Progress'!$B$32, ""data!H2:M800""), 5, FALSE) = 1, ""Eligible"", ""Ineligible""))"),"Eligible")</f>
        <v>Eligible</v>
      </c>
      <c r="C239" s="15" t="str">
        <f>IFERROR(__xludf.DUMMYFUNCTION("IF(A239="""", """", IF(ISERROR(VLOOKUP(A239, IMPORTRANGE('Survey Progress'!$B$33, ""data!I2:L800""), 1, FALSE)), ""No Survey"", IF(VLOOKUP(A239, IMPORTRANGE('Survey Progress'!$B$33, ""data!I2:L800""), 2, FALSE) = 0, ""Incomplete"", ""Complete"")))"),"")</f>
        <v/>
      </c>
      <c r="D239" s="15" t="str">
        <f>IFERROR(__xludf.DUMMYFUNCTION("IF(A239="""", """", IF(ISERROR(VLOOKUP(A239, IMPORTRANGE('Survey Progress'!$B$34, ""data!I2:L800""), 1, FALSE)), ""No Survey"", IF(VLOOKUP(A239, IMPORTRANGE('Survey Progress'!$B$34, ""data!I2:L800""), 2, FALSE) = 0, ""Incomplete"", ""Complete"")))"),"")</f>
        <v/>
      </c>
      <c r="E239" s="27">
        <f t="shared" si="1"/>
        <v>0</v>
      </c>
      <c r="F239" s="14"/>
    </row>
    <row r="240">
      <c r="A240" s="14"/>
      <c r="B240" s="16" t="str">
        <f>IFERROR(__xludf.DUMMYFUNCTION("IF(ISERROR(VLOOKUP(A240, IMPORTRANGE('Survey Progress'!$B$32, ""data!H2:M800""), 5, FALSE)), """", IF(VLOOKUP(A240, IMPORTRANGE('Survey Progress'!$B$32, ""data!H2:M800""), 5, FALSE) = 1, ""Eligible"", ""Ineligible""))"),"Eligible")</f>
        <v>Eligible</v>
      </c>
      <c r="C240" s="15" t="str">
        <f>IFERROR(__xludf.DUMMYFUNCTION("IF(A240="""", """", IF(ISERROR(VLOOKUP(A240, IMPORTRANGE('Survey Progress'!$B$33, ""data!I2:L800""), 1, FALSE)), ""No Survey"", IF(VLOOKUP(A240, IMPORTRANGE('Survey Progress'!$B$33, ""data!I2:L800""), 2, FALSE) = 0, ""Incomplete"", ""Complete"")))"),"")</f>
        <v/>
      </c>
      <c r="D240" s="15" t="str">
        <f>IFERROR(__xludf.DUMMYFUNCTION("IF(A240="""", """", IF(ISERROR(VLOOKUP(A240, IMPORTRANGE('Survey Progress'!$B$34, ""data!I2:L800""), 1, FALSE)), ""No Survey"", IF(VLOOKUP(A240, IMPORTRANGE('Survey Progress'!$B$34, ""data!I2:L800""), 2, FALSE) = 0, ""Incomplete"", ""Complete"")))"),"")</f>
        <v/>
      </c>
      <c r="E240" s="27">
        <f t="shared" si="1"/>
        <v>0</v>
      </c>
      <c r="F240" s="14"/>
    </row>
    <row r="241">
      <c r="A241" s="14"/>
      <c r="B241" s="16" t="str">
        <f>IFERROR(__xludf.DUMMYFUNCTION("IF(ISERROR(VLOOKUP(A241, IMPORTRANGE('Survey Progress'!$B$32, ""data!H2:M800""), 5, FALSE)), """", IF(VLOOKUP(A241, IMPORTRANGE('Survey Progress'!$B$32, ""data!H2:M800""), 5, FALSE) = 1, ""Eligible"", ""Ineligible""))"),"Eligible")</f>
        <v>Eligible</v>
      </c>
      <c r="C241" s="15" t="str">
        <f>IFERROR(__xludf.DUMMYFUNCTION("IF(A241="""", """", IF(ISERROR(VLOOKUP(A241, IMPORTRANGE('Survey Progress'!$B$33, ""data!I2:L800""), 1, FALSE)), ""No Survey"", IF(VLOOKUP(A241, IMPORTRANGE('Survey Progress'!$B$33, ""data!I2:L800""), 2, FALSE) = 0, ""Incomplete"", ""Complete"")))"),"")</f>
        <v/>
      </c>
      <c r="D241" s="15" t="str">
        <f>IFERROR(__xludf.DUMMYFUNCTION("IF(A241="""", """", IF(ISERROR(VLOOKUP(A241, IMPORTRANGE('Survey Progress'!$B$34, ""data!I2:L800""), 1, FALSE)), ""No Survey"", IF(VLOOKUP(A241, IMPORTRANGE('Survey Progress'!$B$34, ""data!I2:L800""), 2, FALSE) = 0, ""Incomplete"", ""Complete"")))"),"")</f>
        <v/>
      </c>
      <c r="E241" s="27">
        <f t="shared" si="1"/>
        <v>0</v>
      </c>
      <c r="F241" s="14"/>
    </row>
    <row r="242">
      <c r="A242" s="14"/>
      <c r="B242" s="16" t="str">
        <f>IFERROR(__xludf.DUMMYFUNCTION("IF(ISERROR(VLOOKUP(A242, IMPORTRANGE('Survey Progress'!$B$32, ""data!H2:M800""), 5, FALSE)), """", IF(VLOOKUP(A242, IMPORTRANGE('Survey Progress'!$B$32, ""data!H2:M800""), 5, FALSE) = 1, ""Eligible"", ""Ineligible""))"),"Eligible")</f>
        <v>Eligible</v>
      </c>
      <c r="C242" s="15" t="str">
        <f>IFERROR(__xludf.DUMMYFUNCTION("IF(A242="""", """", IF(ISERROR(VLOOKUP(A242, IMPORTRANGE('Survey Progress'!$B$33, ""data!I2:L800""), 1, FALSE)), ""No Survey"", IF(VLOOKUP(A242, IMPORTRANGE('Survey Progress'!$B$33, ""data!I2:L800""), 2, FALSE) = 0, ""Incomplete"", ""Complete"")))"),"")</f>
        <v/>
      </c>
      <c r="D242" s="15" t="str">
        <f>IFERROR(__xludf.DUMMYFUNCTION("IF(A242="""", """", IF(ISERROR(VLOOKUP(A242, IMPORTRANGE('Survey Progress'!$B$34, ""data!I2:L800""), 1, FALSE)), ""No Survey"", IF(VLOOKUP(A242, IMPORTRANGE('Survey Progress'!$B$34, ""data!I2:L800""), 2, FALSE) = 0, ""Incomplete"", ""Complete"")))"),"")</f>
        <v/>
      </c>
      <c r="E242" s="27">
        <f t="shared" si="1"/>
        <v>0</v>
      </c>
      <c r="F242" s="14"/>
    </row>
    <row r="243">
      <c r="A243" s="14"/>
      <c r="B243" s="16" t="str">
        <f>IFERROR(__xludf.DUMMYFUNCTION("IF(ISERROR(VLOOKUP(A243, IMPORTRANGE('Survey Progress'!$B$32, ""data!H2:M800""), 5, FALSE)), """", IF(VLOOKUP(A243, IMPORTRANGE('Survey Progress'!$B$32, ""data!H2:M800""), 5, FALSE) = 1, ""Eligible"", ""Ineligible""))"),"Eligible")</f>
        <v>Eligible</v>
      </c>
      <c r="C243" s="15" t="str">
        <f>IFERROR(__xludf.DUMMYFUNCTION("IF(A243="""", """", IF(ISERROR(VLOOKUP(A243, IMPORTRANGE('Survey Progress'!$B$33, ""data!I2:L800""), 1, FALSE)), ""No Survey"", IF(VLOOKUP(A243, IMPORTRANGE('Survey Progress'!$B$33, ""data!I2:L800""), 2, FALSE) = 0, ""Incomplete"", ""Complete"")))"),"")</f>
        <v/>
      </c>
      <c r="D243" s="15" t="str">
        <f>IFERROR(__xludf.DUMMYFUNCTION("IF(A243="""", """", IF(ISERROR(VLOOKUP(A243, IMPORTRANGE('Survey Progress'!$B$34, ""data!I2:L800""), 1, FALSE)), ""No Survey"", IF(VLOOKUP(A243, IMPORTRANGE('Survey Progress'!$B$34, ""data!I2:L800""), 2, FALSE) = 0, ""Incomplete"", ""Complete"")))"),"")</f>
        <v/>
      </c>
      <c r="E243" s="27">
        <f t="shared" si="1"/>
        <v>0</v>
      </c>
      <c r="F243" s="14"/>
    </row>
    <row r="244">
      <c r="A244" s="14"/>
      <c r="B244" s="16" t="str">
        <f>IFERROR(__xludf.DUMMYFUNCTION("IF(ISERROR(VLOOKUP(A244, IMPORTRANGE('Survey Progress'!$B$32, ""data!H2:M800""), 5, FALSE)), """", IF(VLOOKUP(A244, IMPORTRANGE('Survey Progress'!$B$32, ""data!H2:M800""), 5, FALSE) = 1, ""Eligible"", ""Ineligible""))"),"Eligible")</f>
        <v>Eligible</v>
      </c>
      <c r="C244" s="15" t="str">
        <f>IFERROR(__xludf.DUMMYFUNCTION("IF(A244="""", """", IF(ISERROR(VLOOKUP(A244, IMPORTRANGE('Survey Progress'!$B$33, ""data!I2:L800""), 1, FALSE)), ""No Survey"", IF(VLOOKUP(A244, IMPORTRANGE('Survey Progress'!$B$33, ""data!I2:L800""), 2, FALSE) = 0, ""Incomplete"", ""Complete"")))"),"")</f>
        <v/>
      </c>
      <c r="D244" s="15" t="str">
        <f>IFERROR(__xludf.DUMMYFUNCTION("IF(A244="""", """", IF(ISERROR(VLOOKUP(A244, IMPORTRANGE('Survey Progress'!$B$34, ""data!I2:L800""), 1, FALSE)), ""No Survey"", IF(VLOOKUP(A244, IMPORTRANGE('Survey Progress'!$B$34, ""data!I2:L800""), 2, FALSE) = 0, ""Incomplete"", ""Complete"")))"),"")</f>
        <v/>
      </c>
      <c r="E244" s="27">
        <f t="shared" si="1"/>
        <v>0</v>
      </c>
      <c r="F244" s="14"/>
    </row>
    <row r="245">
      <c r="A245" s="14"/>
      <c r="B245" s="16" t="str">
        <f>IFERROR(__xludf.DUMMYFUNCTION("IF(ISERROR(VLOOKUP(A245, IMPORTRANGE('Survey Progress'!$B$32, ""data!H2:M800""), 5, FALSE)), """", IF(VLOOKUP(A245, IMPORTRANGE('Survey Progress'!$B$32, ""data!H2:M800""), 5, FALSE) = 1, ""Eligible"", ""Ineligible""))"),"Eligible")</f>
        <v>Eligible</v>
      </c>
      <c r="C245" s="15" t="str">
        <f>IFERROR(__xludf.DUMMYFUNCTION("IF(A245="""", """", IF(ISERROR(VLOOKUP(A245, IMPORTRANGE('Survey Progress'!$B$33, ""data!I2:L800""), 1, FALSE)), ""No Survey"", IF(VLOOKUP(A245, IMPORTRANGE('Survey Progress'!$B$33, ""data!I2:L800""), 2, FALSE) = 0, ""Incomplete"", ""Complete"")))"),"")</f>
        <v/>
      </c>
      <c r="D245" s="15" t="str">
        <f>IFERROR(__xludf.DUMMYFUNCTION("IF(A245="""", """", IF(ISERROR(VLOOKUP(A245, IMPORTRANGE('Survey Progress'!$B$34, ""data!I2:L800""), 1, FALSE)), ""No Survey"", IF(VLOOKUP(A245, IMPORTRANGE('Survey Progress'!$B$34, ""data!I2:L800""), 2, FALSE) = 0, ""Incomplete"", ""Complete"")))"),"")</f>
        <v/>
      </c>
      <c r="E245" s="27">
        <f t="shared" si="1"/>
        <v>0</v>
      </c>
      <c r="F245" s="14"/>
    </row>
    <row r="246">
      <c r="A246" s="14"/>
      <c r="B246" s="16" t="str">
        <f>IFERROR(__xludf.DUMMYFUNCTION("IF(ISERROR(VLOOKUP(A246, IMPORTRANGE('Survey Progress'!$B$32, ""data!H2:M800""), 5, FALSE)), """", IF(VLOOKUP(A246, IMPORTRANGE('Survey Progress'!$B$32, ""data!H2:M800""), 5, FALSE) = 1, ""Eligible"", ""Ineligible""))"),"Eligible")</f>
        <v>Eligible</v>
      </c>
      <c r="C246" s="15" t="str">
        <f>IFERROR(__xludf.DUMMYFUNCTION("IF(A246="""", """", IF(ISERROR(VLOOKUP(A246, IMPORTRANGE('Survey Progress'!$B$33, ""data!I2:L800""), 1, FALSE)), ""No Survey"", IF(VLOOKUP(A246, IMPORTRANGE('Survey Progress'!$B$33, ""data!I2:L800""), 2, FALSE) = 0, ""Incomplete"", ""Complete"")))"),"")</f>
        <v/>
      </c>
      <c r="D246" s="15" t="str">
        <f>IFERROR(__xludf.DUMMYFUNCTION("IF(A246="""", """", IF(ISERROR(VLOOKUP(A246, IMPORTRANGE('Survey Progress'!$B$34, ""data!I2:L800""), 1, FALSE)), ""No Survey"", IF(VLOOKUP(A246, IMPORTRANGE('Survey Progress'!$B$34, ""data!I2:L800""), 2, FALSE) = 0, ""Incomplete"", ""Complete"")))"),"")</f>
        <v/>
      </c>
      <c r="E246" s="27">
        <f t="shared" si="1"/>
        <v>0</v>
      </c>
      <c r="F246" s="14"/>
    </row>
    <row r="247">
      <c r="A247" s="14"/>
      <c r="B247" s="16" t="str">
        <f>IFERROR(__xludf.DUMMYFUNCTION("IF(ISERROR(VLOOKUP(A247, IMPORTRANGE('Survey Progress'!$B$32, ""data!H2:M800""), 5, FALSE)), """", IF(VLOOKUP(A247, IMPORTRANGE('Survey Progress'!$B$32, ""data!H2:M800""), 5, FALSE) = 1, ""Eligible"", ""Ineligible""))"),"Eligible")</f>
        <v>Eligible</v>
      </c>
      <c r="C247" s="15" t="str">
        <f>IFERROR(__xludf.DUMMYFUNCTION("IF(A247="""", """", IF(ISERROR(VLOOKUP(A247, IMPORTRANGE('Survey Progress'!$B$33, ""data!I2:L800""), 1, FALSE)), ""No Survey"", IF(VLOOKUP(A247, IMPORTRANGE('Survey Progress'!$B$33, ""data!I2:L800""), 2, FALSE) = 0, ""Incomplete"", ""Complete"")))"),"")</f>
        <v/>
      </c>
      <c r="D247" s="15" t="str">
        <f>IFERROR(__xludf.DUMMYFUNCTION("IF(A247="""", """", IF(ISERROR(VLOOKUP(A247, IMPORTRANGE('Survey Progress'!$B$34, ""data!I2:L800""), 1, FALSE)), ""No Survey"", IF(VLOOKUP(A247, IMPORTRANGE('Survey Progress'!$B$34, ""data!I2:L800""), 2, FALSE) = 0, ""Incomplete"", ""Complete"")))"),"")</f>
        <v/>
      </c>
      <c r="E247" s="27">
        <f t="shared" si="1"/>
        <v>0</v>
      </c>
      <c r="F247" s="14"/>
    </row>
    <row r="248">
      <c r="A248" s="14"/>
      <c r="B248" s="16" t="str">
        <f>IFERROR(__xludf.DUMMYFUNCTION("IF(ISERROR(VLOOKUP(A248, IMPORTRANGE('Survey Progress'!$B$32, ""data!H2:M800""), 5, FALSE)), """", IF(VLOOKUP(A248, IMPORTRANGE('Survey Progress'!$B$32, ""data!H2:M800""), 5, FALSE) = 1, ""Eligible"", ""Ineligible""))"),"Eligible")</f>
        <v>Eligible</v>
      </c>
      <c r="C248" s="15" t="str">
        <f>IFERROR(__xludf.DUMMYFUNCTION("IF(A248="""", """", IF(ISERROR(VLOOKUP(A248, IMPORTRANGE('Survey Progress'!$B$33, ""data!I2:L800""), 1, FALSE)), ""No Survey"", IF(VLOOKUP(A248, IMPORTRANGE('Survey Progress'!$B$33, ""data!I2:L800""), 2, FALSE) = 0, ""Incomplete"", ""Complete"")))"),"")</f>
        <v/>
      </c>
      <c r="D248" s="15" t="str">
        <f>IFERROR(__xludf.DUMMYFUNCTION("IF(A248="""", """", IF(ISERROR(VLOOKUP(A248, IMPORTRANGE('Survey Progress'!$B$34, ""data!I2:L800""), 1, FALSE)), ""No Survey"", IF(VLOOKUP(A248, IMPORTRANGE('Survey Progress'!$B$34, ""data!I2:L800""), 2, FALSE) = 0, ""Incomplete"", ""Complete"")))"),"")</f>
        <v/>
      </c>
      <c r="E248" s="27">
        <f t="shared" si="1"/>
        <v>0</v>
      </c>
      <c r="F248" s="14"/>
    </row>
    <row r="249">
      <c r="A249" s="14"/>
      <c r="B249" s="16" t="str">
        <f>IFERROR(__xludf.DUMMYFUNCTION("IF(ISERROR(VLOOKUP(A249, IMPORTRANGE('Survey Progress'!$B$32, ""data!H2:M800""), 5, FALSE)), """", IF(VLOOKUP(A249, IMPORTRANGE('Survey Progress'!$B$32, ""data!H2:M800""), 5, FALSE) = 1, ""Eligible"", ""Ineligible""))"),"Eligible")</f>
        <v>Eligible</v>
      </c>
      <c r="C249" s="15" t="str">
        <f>IFERROR(__xludf.DUMMYFUNCTION("IF(A249="""", """", IF(ISERROR(VLOOKUP(A249, IMPORTRANGE('Survey Progress'!$B$33, ""data!I2:L800""), 1, FALSE)), ""No Survey"", IF(VLOOKUP(A249, IMPORTRANGE('Survey Progress'!$B$33, ""data!I2:L800""), 2, FALSE) = 0, ""Incomplete"", ""Complete"")))"),"")</f>
        <v/>
      </c>
      <c r="D249" s="15" t="str">
        <f>IFERROR(__xludf.DUMMYFUNCTION("IF(A249="""", """", IF(ISERROR(VLOOKUP(A249, IMPORTRANGE('Survey Progress'!$B$34, ""data!I2:L800""), 1, FALSE)), ""No Survey"", IF(VLOOKUP(A249, IMPORTRANGE('Survey Progress'!$B$34, ""data!I2:L800""), 2, FALSE) = 0, ""Incomplete"", ""Complete"")))"),"")</f>
        <v/>
      </c>
      <c r="E249" s="27">
        <f t="shared" si="1"/>
        <v>0</v>
      </c>
      <c r="F249" s="14"/>
    </row>
    <row r="250">
      <c r="A250" s="14"/>
      <c r="B250" s="16" t="str">
        <f>IFERROR(__xludf.DUMMYFUNCTION("IF(ISERROR(VLOOKUP(A250, IMPORTRANGE('Survey Progress'!$B$32, ""data!H2:M800""), 5, FALSE)), """", IF(VLOOKUP(A250, IMPORTRANGE('Survey Progress'!$B$32, ""data!H2:M800""), 5, FALSE) = 1, ""Eligible"", ""Ineligible""))"),"Eligible")</f>
        <v>Eligible</v>
      </c>
      <c r="C250" s="15" t="str">
        <f>IFERROR(__xludf.DUMMYFUNCTION("IF(A250="""", """", IF(ISERROR(VLOOKUP(A250, IMPORTRANGE('Survey Progress'!$B$33, ""data!I2:L800""), 1, FALSE)), ""No Survey"", IF(VLOOKUP(A250, IMPORTRANGE('Survey Progress'!$B$33, ""data!I2:L800""), 2, FALSE) = 0, ""Incomplete"", ""Complete"")))"),"")</f>
        <v/>
      </c>
      <c r="D250" s="15" t="str">
        <f>IFERROR(__xludf.DUMMYFUNCTION("IF(A250="""", """", IF(ISERROR(VLOOKUP(A250, IMPORTRANGE('Survey Progress'!$B$34, ""data!I2:L800""), 1, FALSE)), ""No Survey"", IF(VLOOKUP(A250, IMPORTRANGE('Survey Progress'!$B$34, ""data!I2:L800""), 2, FALSE) = 0, ""Incomplete"", ""Complete"")))"),"")</f>
        <v/>
      </c>
      <c r="E250" s="27">
        <f t="shared" si="1"/>
        <v>0</v>
      </c>
      <c r="F250" s="14"/>
    </row>
    <row r="251">
      <c r="A251" s="14"/>
      <c r="B251" s="16" t="str">
        <f>IFERROR(__xludf.DUMMYFUNCTION("IF(ISERROR(VLOOKUP(A251, IMPORTRANGE('Survey Progress'!$B$32, ""data!H2:M800""), 5, FALSE)), """", IF(VLOOKUP(A251, IMPORTRANGE('Survey Progress'!$B$32, ""data!H2:M800""), 5, FALSE) = 1, ""Eligible"", ""Ineligible""))"),"Eligible")</f>
        <v>Eligible</v>
      </c>
      <c r="C251" s="15" t="str">
        <f>IFERROR(__xludf.DUMMYFUNCTION("IF(A251="""", """", IF(ISERROR(VLOOKUP(A251, IMPORTRANGE('Survey Progress'!$B$33, ""data!I2:L800""), 1, FALSE)), ""No Survey"", IF(VLOOKUP(A251, IMPORTRANGE('Survey Progress'!$B$33, ""data!I2:L800""), 2, FALSE) = 0, ""Incomplete"", ""Complete"")))"),"")</f>
        <v/>
      </c>
      <c r="D251" s="15" t="str">
        <f>IFERROR(__xludf.DUMMYFUNCTION("IF(A251="""", """", IF(ISERROR(VLOOKUP(A251, IMPORTRANGE('Survey Progress'!$B$34, ""data!I2:L800""), 1, FALSE)), ""No Survey"", IF(VLOOKUP(A251, IMPORTRANGE('Survey Progress'!$B$34, ""data!I2:L800""), 2, FALSE) = 0, ""Incomplete"", ""Complete"")))"),"")</f>
        <v/>
      </c>
      <c r="E251" s="27">
        <f t="shared" si="1"/>
        <v>0</v>
      </c>
      <c r="F251" s="14"/>
    </row>
    <row r="252">
      <c r="A252" s="14"/>
      <c r="B252" s="16" t="str">
        <f>IFERROR(__xludf.DUMMYFUNCTION("IF(ISERROR(VLOOKUP(A252, IMPORTRANGE('Survey Progress'!$B$32, ""data!H2:M800""), 5, FALSE)), """", IF(VLOOKUP(A252, IMPORTRANGE('Survey Progress'!$B$32, ""data!H2:M800""), 5, FALSE) = 1, ""Eligible"", ""Ineligible""))"),"Eligible")</f>
        <v>Eligible</v>
      </c>
      <c r="C252" s="15" t="str">
        <f>IFERROR(__xludf.DUMMYFUNCTION("IF(A252="""", """", IF(ISERROR(VLOOKUP(A252, IMPORTRANGE('Survey Progress'!$B$33, ""data!I2:L800""), 1, FALSE)), ""No Survey"", IF(VLOOKUP(A252, IMPORTRANGE('Survey Progress'!$B$33, ""data!I2:L800""), 2, FALSE) = 0, ""Incomplete"", ""Complete"")))"),"")</f>
        <v/>
      </c>
      <c r="D252" s="15" t="str">
        <f>IFERROR(__xludf.DUMMYFUNCTION("IF(A252="""", """", IF(ISERROR(VLOOKUP(A252, IMPORTRANGE('Survey Progress'!$B$34, ""data!I2:L800""), 1, FALSE)), ""No Survey"", IF(VLOOKUP(A252, IMPORTRANGE('Survey Progress'!$B$34, ""data!I2:L800""), 2, FALSE) = 0, ""Incomplete"", ""Complete"")))"),"")</f>
        <v/>
      </c>
      <c r="E252" s="27">
        <f t="shared" si="1"/>
        <v>0</v>
      </c>
      <c r="F252" s="14"/>
    </row>
    <row r="253">
      <c r="A253" s="14"/>
      <c r="B253" s="16" t="str">
        <f>IFERROR(__xludf.DUMMYFUNCTION("IF(ISERROR(VLOOKUP(A253, IMPORTRANGE('Survey Progress'!$B$32, ""data!H2:M800""), 5, FALSE)), """", IF(VLOOKUP(A253, IMPORTRANGE('Survey Progress'!$B$32, ""data!H2:M800""), 5, FALSE) = 1, ""Eligible"", ""Ineligible""))"),"Eligible")</f>
        <v>Eligible</v>
      </c>
      <c r="C253" s="15" t="str">
        <f>IFERROR(__xludf.DUMMYFUNCTION("IF(A253="""", """", IF(ISERROR(VLOOKUP(A253, IMPORTRANGE('Survey Progress'!$B$33, ""data!I2:L800""), 1, FALSE)), ""No Survey"", IF(VLOOKUP(A253, IMPORTRANGE('Survey Progress'!$B$33, ""data!I2:L800""), 2, FALSE) = 0, ""Incomplete"", ""Complete"")))"),"")</f>
        <v/>
      </c>
      <c r="D253" s="15" t="str">
        <f>IFERROR(__xludf.DUMMYFUNCTION("IF(A253="""", """", IF(ISERROR(VLOOKUP(A253, IMPORTRANGE('Survey Progress'!$B$34, ""data!I2:L800""), 1, FALSE)), ""No Survey"", IF(VLOOKUP(A253, IMPORTRANGE('Survey Progress'!$B$34, ""data!I2:L800""), 2, FALSE) = 0, ""Incomplete"", ""Complete"")))"),"")</f>
        <v/>
      </c>
      <c r="E253" s="27">
        <f t="shared" si="1"/>
        <v>0</v>
      </c>
      <c r="F253" s="14"/>
    </row>
    <row r="254">
      <c r="A254" s="14"/>
      <c r="B254" s="16" t="str">
        <f>IFERROR(__xludf.DUMMYFUNCTION("IF(ISERROR(VLOOKUP(A254, IMPORTRANGE('Survey Progress'!$B$32, ""data!H2:M800""), 5, FALSE)), """", IF(VLOOKUP(A254, IMPORTRANGE('Survey Progress'!$B$32, ""data!H2:M800""), 5, FALSE) = 1, ""Eligible"", ""Ineligible""))"),"Eligible")</f>
        <v>Eligible</v>
      </c>
      <c r="C254" s="15" t="str">
        <f>IFERROR(__xludf.DUMMYFUNCTION("IF(A254="""", """", IF(ISERROR(VLOOKUP(A254, IMPORTRANGE('Survey Progress'!$B$33, ""data!I2:L800""), 1, FALSE)), ""No Survey"", IF(VLOOKUP(A254, IMPORTRANGE('Survey Progress'!$B$33, ""data!I2:L800""), 2, FALSE) = 0, ""Incomplete"", ""Complete"")))"),"")</f>
        <v/>
      </c>
      <c r="D254" s="15" t="str">
        <f>IFERROR(__xludf.DUMMYFUNCTION("IF(A254="""", """", IF(ISERROR(VLOOKUP(A254, IMPORTRANGE('Survey Progress'!$B$34, ""data!I2:L800""), 1, FALSE)), ""No Survey"", IF(VLOOKUP(A254, IMPORTRANGE('Survey Progress'!$B$34, ""data!I2:L800""), 2, FALSE) = 0, ""Incomplete"", ""Complete"")))"),"")</f>
        <v/>
      </c>
      <c r="E254" s="27">
        <f t="shared" si="1"/>
        <v>0</v>
      </c>
      <c r="F254" s="14"/>
    </row>
    <row r="255">
      <c r="A255" s="14"/>
      <c r="B255" s="16" t="str">
        <f>IFERROR(__xludf.DUMMYFUNCTION("IF(ISERROR(VLOOKUP(A255, IMPORTRANGE('Survey Progress'!$B$32, ""data!H2:M800""), 5, FALSE)), """", IF(VLOOKUP(A255, IMPORTRANGE('Survey Progress'!$B$32, ""data!H2:M800""), 5, FALSE) = 1, ""Eligible"", ""Ineligible""))"),"Eligible")</f>
        <v>Eligible</v>
      </c>
      <c r="C255" s="15" t="str">
        <f>IFERROR(__xludf.DUMMYFUNCTION("IF(A255="""", """", IF(ISERROR(VLOOKUP(A255, IMPORTRANGE('Survey Progress'!$B$33, ""data!I2:L800""), 1, FALSE)), ""No Survey"", IF(VLOOKUP(A255, IMPORTRANGE('Survey Progress'!$B$33, ""data!I2:L800""), 2, FALSE) = 0, ""Incomplete"", ""Complete"")))"),"")</f>
        <v/>
      </c>
      <c r="D255" s="15" t="str">
        <f>IFERROR(__xludf.DUMMYFUNCTION("IF(A255="""", """", IF(ISERROR(VLOOKUP(A255, IMPORTRANGE('Survey Progress'!$B$34, ""data!I2:L800""), 1, FALSE)), ""No Survey"", IF(VLOOKUP(A255, IMPORTRANGE('Survey Progress'!$B$34, ""data!I2:L800""), 2, FALSE) = 0, ""Incomplete"", ""Complete"")))"),"")</f>
        <v/>
      </c>
      <c r="E255" s="27">
        <f t="shared" si="1"/>
        <v>0</v>
      </c>
      <c r="F255" s="14"/>
    </row>
    <row r="256">
      <c r="A256" s="14"/>
      <c r="B256" s="16" t="str">
        <f>IFERROR(__xludf.DUMMYFUNCTION("IF(ISERROR(VLOOKUP(A256, IMPORTRANGE('Survey Progress'!$B$32, ""data!H2:M800""), 5, FALSE)), """", IF(VLOOKUP(A256, IMPORTRANGE('Survey Progress'!$B$32, ""data!H2:M800""), 5, FALSE) = 1, ""Eligible"", ""Ineligible""))"),"Eligible")</f>
        <v>Eligible</v>
      </c>
      <c r="C256" s="15" t="str">
        <f>IFERROR(__xludf.DUMMYFUNCTION("IF(A256="""", """", IF(ISERROR(VLOOKUP(A256, IMPORTRANGE('Survey Progress'!$B$33, ""data!I2:L800""), 1, FALSE)), ""No Survey"", IF(VLOOKUP(A256, IMPORTRANGE('Survey Progress'!$B$33, ""data!I2:L800""), 2, FALSE) = 0, ""Incomplete"", ""Complete"")))"),"")</f>
        <v/>
      </c>
      <c r="D256" s="15" t="str">
        <f>IFERROR(__xludf.DUMMYFUNCTION("IF(A256="""", """", IF(ISERROR(VLOOKUP(A256, IMPORTRANGE('Survey Progress'!$B$34, ""data!I2:L800""), 1, FALSE)), ""No Survey"", IF(VLOOKUP(A256, IMPORTRANGE('Survey Progress'!$B$34, ""data!I2:L800""), 2, FALSE) = 0, ""Incomplete"", ""Complete"")))"),"")</f>
        <v/>
      </c>
      <c r="E256" s="27">
        <f t="shared" si="1"/>
        <v>0</v>
      </c>
      <c r="F256" s="14"/>
    </row>
    <row r="257">
      <c r="A257" s="14"/>
      <c r="B257" s="16" t="str">
        <f>IFERROR(__xludf.DUMMYFUNCTION("IF(ISERROR(VLOOKUP(A257, IMPORTRANGE('Survey Progress'!$B$32, ""data!H2:M800""), 5, FALSE)), """", IF(VLOOKUP(A257, IMPORTRANGE('Survey Progress'!$B$32, ""data!H2:M800""), 5, FALSE) = 1, ""Eligible"", ""Ineligible""))"),"Eligible")</f>
        <v>Eligible</v>
      </c>
      <c r="C257" s="15" t="str">
        <f>IFERROR(__xludf.DUMMYFUNCTION("IF(A257="""", """", IF(ISERROR(VLOOKUP(A257, IMPORTRANGE('Survey Progress'!$B$33, ""data!I2:L800""), 1, FALSE)), ""No Survey"", IF(VLOOKUP(A257, IMPORTRANGE('Survey Progress'!$B$33, ""data!I2:L800""), 2, FALSE) = 0, ""Incomplete"", ""Complete"")))"),"")</f>
        <v/>
      </c>
      <c r="D257" s="15" t="str">
        <f>IFERROR(__xludf.DUMMYFUNCTION("IF(A257="""", """", IF(ISERROR(VLOOKUP(A257, IMPORTRANGE('Survey Progress'!$B$34, ""data!I2:L800""), 1, FALSE)), ""No Survey"", IF(VLOOKUP(A257, IMPORTRANGE('Survey Progress'!$B$34, ""data!I2:L800""), 2, FALSE) = 0, ""Incomplete"", ""Complete"")))"),"")</f>
        <v/>
      </c>
      <c r="E257" s="27">
        <f t="shared" si="1"/>
        <v>0</v>
      </c>
      <c r="F257" s="14"/>
    </row>
    <row r="258">
      <c r="A258" s="14"/>
      <c r="B258" s="16" t="str">
        <f>IFERROR(__xludf.DUMMYFUNCTION("IF(ISERROR(VLOOKUP(A258, IMPORTRANGE('Survey Progress'!$B$32, ""data!H2:M800""), 5, FALSE)), """", IF(VLOOKUP(A258, IMPORTRANGE('Survey Progress'!$B$32, ""data!H2:M800""), 5, FALSE) = 1, ""Eligible"", ""Ineligible""))"),"Eligible")</f>
        <v>Eligible</v>
      </c>
      <c r="C258" s="15" t="str">
        <f>IFERROR(__xludf.DUMMYFUNCTION("IF(A258="""", """", IF(ISERROR(VLOOKUP(A258, IMPORTRANGE('Survey Progress'!$B$33, ""data!I2:L800""), 1, FALSE)), ""No Survey"", IF(VLOOKUP(A258, IMPORTRANGE('Survey Progress'!$B$33, ""data!I2:L800""), 2, FALSE) = 0, ""Incomplete"", ""Complete"")))"),"")</f>
        <v/>
      </c>
      <c r="D258" s="15" t="str">
        <f>IFERROR(__xludf.DUMMYFUNCTION("IF(A258="""", """", IF(ISERROR(VLOOKUP(A258, IMPORTRANGE('Survey Progress'!$B$34, ""data!I2:L800""), 1, FALSE)), ""No Survey"", IF(VLOOKUP(A258, IMPORTRANGE('Survey Progress'!$B$34, ""data!I2:L800""), 2, FALSE) = 0, ""Incomplete"", ""Complete"")))"),"")</f>
        <v/>
      </c>
      <c r="E258" s="27">
        <f t="shared" si="1"/>
        <v>0</v>
      </c>
      <c r="F258" s="14"/>
    </row>
    <row r="259">
      <c r="A259" s="14"/>
      <c r="B259" s="16" t="str">
        <f>IFERROR(__xludf.DUMMYFUNCTION("IF(ISERROR(VLOOKUP(A259, IMPORTRANGE('Survey Progress'!$B$32, ""data!H2:M800""), 5, FALSE)), """", IF(VLOOKUP(A259, IMPORTRANGE('Survey Progress'!$B$32, ""data!H2:M800""), 5, FALSE) = 1, ""Eligible"", ""Ineligible""))"),"Eligible")</f>
        <v>Eligible</v>
      </c>
      <c r="C259" s="15" t="str">
        <f>IFERROR(__xludf.DUMMYFUNCTION("IF(A259="""", """", IF(ISERROR(VLOOKUP(A259, IMPORTRANGE('Survey Progress'!$B$33, ""data!I2:L800""), 1, FALSE)), ""No Survey"", IF(VLOOKUP(A259, IMPORTRANGE('Survey Progress'!$B$33, ""data!I2:L800""), 2, FALSE) = 0, ""Incomplete"", ""Complete"")))"),"")</f>
        <v/>
      </c>
      <c r="D259" s="15" t="str">
        <f>IFERROR(__xludf.DUMMYFUNCTION("IF(A259="""", """", IF(ISERROR(VLOOKUP(A259, IMPORTRANGE('Survey Progress'!$B$34, ""data!I2:L800""), 1, FALSE)), ""No Survey"", IF(VLOOKUP(A259, IMPORTRANGE('Survey Progress'!$B$34, ""data!I2:L800""), 2, FALSE) = 0, ""Incomplete"", ""Complete"")))"),"")</f>
        <v/>
      </c>
      <c r="E259" s="27">
        <f t="shared" si="1"/>
        <v>0</v>
      </c>
      <c r="F259" s="14"/>
    </row>
    <row r="260">
      <c r="A260" s="14"/>
      <c r="B260" s="16" t="str">
        <f>IFERROR(__xludf.DUMMYFUNCTION("IF(ISERROR(VLOOKUP(A260, IMPORTRANGE('Survey Progress'!$B$32, ""data!H2:M800""), 5, FALSE)), """", IF(VLOOKUP(A260, IMPORTRANGE('Survey Progress'!$B$32, ""data!H2:M800""), 5, FALSE) = 1, ""Eligible"", ""Ineligible""))"),"Eligible")</f>
        <v>Eligible</v>
      </c>
      <c r="C260" s="15" t="str">
        <f>IFERROR(__xludf.DUMMYFUNCTION("IF(A260="""", """", IF(ISERROR(VLOOKUP(A260, IMPORTRANGE('Survey Progress'!$B$33, ""data!I2:L800""), 1, FALSE)), ""No Survey"", IF(VLOOKUP(A260, IMPORTRANGE('Survey Progress'!$B$33, ""data!I2:L800""), 2, FALSE) = 0, ""Incomplete"", ""Complete"")))"),"")</f>
        <v/>
      </c>
      <c r="D260" s="15" t="str">
        <f>IFERROR(__xludf.DUMMYFUNCTION("IF(A260="""", """", IF(ISERROR(VLOOKUP(A260, IMPORTRANGE('Survey Progress'!$B$34, ""data!I2:L800""), 1, FALSE)), ""No Survey"", IF(VLOOKUP(A260, IMPORTRANGE('Survey Progress'!$B$34, ""data!I2:L800""), 2, FALSE) = 0, ""Incomplete"", ""Complete"")))"),"")</f>
        <v/>
      </c>
      <c r="E260" s="27">
        <f t="shared" si="1"/>
        <v>0</v>
      </c>
      <c r="F260" s="14"/>
    </row>
    <row r="261">
      <c r="A261" s="14"/>
      <c r="B261" s="16" t="str">
        <f>IFERROR(__xludf.DUMMYFUNCTION("IF(ISERROR(VLOOKUP(A261, IMPORTRANGE('Survey Progress'!$B$32, ""data!H2:M800""), 5, FALSE)), """", IF(VLOOKUP(A261, IMPORTRANGE('Survey Progress'!$B$32, ""data!H2:M800""), 5, FALSE) = 1, ""Eligible"", ""Ineligible""))"),"Eligible")</f>
        <v>Eligible</v>
      </c>
      <c r="C261" s="15" t="str">
        <f>IFERROR(__xludf.DUMMYFUNCTION("IF(A261="""", """", IF(ISERROR(VLOOKUP(A261, IMPORTRANGE('Survey Progress'!$B$33, ""data!I2:L800""), 1, FALSE)), ""No Survey"", IF(VLOOKUP(A261, IMPORTRANGE('Survey Progress'!$B$33, ""data!I2:L800""), 2, FALSE) = 0, ""Incomplete"", ""Complete"")))"),"")</f>
        <v/>
      </c>
      <c r="D261" s="15" t="str">
        <f>IFERROR(__xludf.DUMMYFUNCTION("IF(A261="""", """", IF(ISERROR(VLOOKUP(A261, IMPORTRANGE('Survey Progress'!$B$34, ""data!I2:L800""), 1, FALSE)), ""No Survey"", IF(VLOOKUP(A261, IMPORTRANGE('Survey Progress'!$B$34, ""data!I2:L800""), 2, FALSE) = 0, ""Incomplete"", ""Complete"")))"),"")</f>
        <v/>
      </c>
      <c r="E261" s="27">
        <f t="shared" si="1"/>
        <v>0</v>
      </c>
      <c r="F261" s="14"/>
    </row>
    <row r="262">
      <c r="A262" s="14"/>
      <c r="B262" s="16" t="str">
        <f>IFERROR(__xludf.DUMMYFUNCTION("IF(ISERROR(VLOOKUP(A262, IMPORTRANGE('Survey Progress'!$B$32, ""data!H2:M800""), 5, FALSE)), """", IF(VLOOKUP(A262, IMPORTRANGE('Survey Progress'!$B$32, ""data!H2:M800""), 5, FALSE) = 1, ""Eligible"", ""Ineligible""))"),"Eligible")</f>
        <v>Eligible</v>
      </c>
      <c r="C262" s="15" t="str">
        <f>IFERROR(__xludf.DUMMYFUNCTION("IF(A262="""", """", IF(ISERROR(VLOOKUP(A262, IMPORTRANGE('Survey Progress'!$B$33, ""data!I2:L800""), 1, FALSE)), ""No Survey"", IF(VLOOKUP(A262, IMPORTRANGE('Survey Progress'!$B$33, ""data!I2:L800""), 2, FALSE) = 0, ""Incomplete"", ""Complete"")))"),"")</f>
        <v/>
      </c>
      <c r="D262" s="15" t="str">
        <f>IFERROR(__xludf.DUMMYFUNCTION("IF(A262="""", """", IF(ISERROR(VLOOKUP(A262, IMPORTRANGE('Survey Progress'!$B$34, ""data!I2:L800""), 1, FALSE)), ""No Survey"", IF(VLOOKUP(A262, IMPORTRANGE('Survey Progress'!$B$34, ""data!I2:L800""), 2, FALSE) = 0, ""Incomplete"", ""Complete"")))"),"")</f>
        <v/>
      </c>
      <c r="E262" s="27">
        <f t="shared" si="1"/>
        <v>0</v>
      </c>
      <c r="F262" s="14"/>
    </row>
    <row r="263">
      <c r="A263" s="14"/>
      <c r="B263" s="16" t="str">
        <f>IFERROR(__xludf.DUMMYFUNCTION("IF(ISERROR(VLOOKUP(A263, IMPORTRANGE('Survey Progress'!$B$32, ""data!H2:M800""), 5, FALSE)), """", IF(VLOOKUP(A263, IMPORTRANGE('Survey Progress'!$B$32, ""data!H2:M800""), 5, FALSE) = 1, ""Eligible"", ""Ineligible""))"),"Eligible")</f>
        <v>Eligible</v>
      </c>
      <c r="C263" s="15" t="str">
        <f>IFERROR(__xludf.DUMMYFUNCTION("IF(A263="""", """", IF(ISERROR(VLOOKUP(A263, IMPORTRANGE('Survey Progress'!$B$33, ""data!I2:L800""), 1, FALSE)), ""No Survey"", IF(VLOOKUP(A263, IMPORTRANGE('Survey Progress'!$B$33, ""data!I2:L800""), 2, FALSE) = 0, ""Incomplete"", ""Complete"")))"),"")</f>
        <v/>
      </c>
      <c r="D263" s="15" t="str">
        <f>IFERROR(__xludf.DUMMYFUNCTION("IF(A263="""", """", IF(ISERROR(VLOOKUP(A263, IMPORTRANGE('Survey Progress'!$B$34, ""data!I2:L800""), 1, FALSE)), ""No Survey"", IF(VLOOKUP(A263, IMPORTRANGE('Survey Progress'!$B$34, ""data!I2:L800""), 2, FALSE) = 0, ""Incomplete"", ""Complete"")))"),"")</f>
        <v/>
      </c>
      <c r="E263" s="27">
        <f t="shared" si="1"/>
        <v>0</v>
      </c>
      <c r="F263" s="14"/>
    </row>
    <row r="264">
      <c r="A264" s="14"/>
      <c r="B264" s="16" t="str">
        <f>IFERROR(__xludf.DUMMYFUNCTION("IF(ISERROR(VLOOKUP(A264, IMPORTRANGE('Survey Progress'!$B$32, ""data!H2:M800""), 5, FALSE)), """", IF(VLOOKUP(A264, IMPORTRANGE('Survey Progress'!$B$32, ""data!H2:M800""), 5, FALSE) = 1, ""Eligible"", ""Ineligible""))"),"Eligible")</f>
        <v>Eligible</v>
      </c>
      <c r="C264" s="15" t="str">
        <f>IFERROR(__xludf.DUMMYFUNCTION("IF(A264="""", """", IF(ISERROR(VLOOKUP(A264, IMPORTRANGE('Survey Progress'!$B$33, ""data!I2:L800""), 1, FALSE)), ""No Survey"", IF(VLOOKUP(A264, IMPORTRANGE('Survey Progress'!$B$33, ""data!I2:L800""), 2, FALSE) = 0, ""Incomplete"", ""Complete"")))"),"")</f>
        <v/>
      </c>
      <c r="D264" s="15" t="str">
        <f>IFERROR(__xludf.DUMMYFUNCTION("IF(A264="""", """", IF(ISERROR(VLOOKUP(A264, IMPORTRANGE('Survey Progress'!$B$34, ""data!I2:L800""), 1, FALSE)), ""No Survey"", IF(VLOOKUP(A264, IMPORTRANGE('Survey Progress'!$B$34, ""data!I2:L800""), 2, FALSE) = 0, ""Incomplete"", ""Complete"")))"),"")</f>
        <v/>
      </c>
      <c r="E264" s="27">
        <f t="shared" si="1"/>
        <v>0</v>
      </c>
      <c r="F264" s="14"/>
    </row>
    <row r="265">
      <c r="A265" s="14"/>
      <c r="B265" s="16" t="str">
        <f>IFERROR(__xludf.DUMMYFUNCTION("IF(ISERROR(VLOOKUP(A265, IMPORTRANGE('Survey Progress'!$B$32, ""data!H2:M800""), 5, FALSE)), """", IF(VLOOKUP(A265, IMPORTRANGE('Survey Progress'!$B$32, ""data!H2:M800""), 5, FALSE) = 1, ""Eligible"", ""Ineligible""))"),"Eligible")</f>
        <v>Eligible</v>
      </c>
      <c r="C265" s="15" t="str">
        <f>IFERROR(__xludf.DUMMYFUNCTION("IF(A265="""", """", IF(ISERROR(VLOOKUP(A265, IMPORTRANGE('Survey Progress'!$B$33, ""data!I2:L800""), 1, FALSE)), ""No Survey"", IF(VLOOKUP(A265, IMPORTRANGE('Survey Progress'!$B$33, ""data!I2:L800""), 2, FALSE) = 0, ""Incomplete"", ""Complete"")))"),"")</f>
        <v/>
      </c>
      <c r="D265" s="15" t="str">
        <f>IFERROR(__xludf.DUMMYFUNCTION("IF(A265="""", """", IF(ISERROR(VLOOKUP(A265, IMPORTRANGE('Survey Progress'!$B$34, ""data!I2:L800""), 1, FALSE)), ""No Survey"", IF(VLOOKUP(A265, IMPORTRANGE('Survey Progress'!$B$34, ""data!I2:L800""), 2, FALSE) = 0, ""Incomplete"", ""Complete"")))"),"")</f>
        <v/>
      </c>
      <c r="E265" s="27">
        <f t="shared" si="1"/>
        <v>0</v>
      </c>
      <c r="F265" s="14"/>
    </row>
    <row r="266">
      <c r="A266" s="14"/>
      <c r="B266" s="16" t="str">
        <f>IFERROR(__xludf.DUMMYFUNCTION("IF(ISERROR(VLOOKUP(A266, IMPORTRANGE('Survey Progress'!$B$32, ""data!H2:M800""), 5, FALSE)), """", IF(VLOOKUP(A266, IMPORTRANGE('Survey Progress'!$B$32, ""data!H2:M800""), 5, FALSE) = 1, ""Eligible"", ""Ineligible""))"),"Eligible")</f>
        <v>Eligible</v>
      </c>
      <c r="C266" s="15" t="str">
        <f>IFERROR(__xludf.DUMMYFUNCTION("IF(A266="""", """", IF(ISERROR(VLOOKUP(A266, IMPORTRANGE('Survey Progress'!$B$33, ""data!I2:L800""), 1, FALSE)), ""No Survey"", IF(VLOOKUP(A266, IMPORTRANGE('Survey Progress'!$B$33, ""data!I2:L800""), 2, FALSE) = 0, ""Incomplete"", ""Complete"")))"),"")</f>
        <v/>
      </c>
      <c r="D266" s="15" t="str">
        <f>IFERROR(__xludf.DUMMYFUNCTION("IF(A266="""", """", IF(ISERROR(VLOOKUP(A266, IMPORTRANGE('Survey Progress'!$B$34, ""data!I2:L800""), 1, FALSE)), ""No Survey"", IF(VLOOKUP(A266, IMPORTRANGE('Survey Progress'!$B$34, ""data!I2:L800""), 2, FALSE) = 0, ""Incomplete"", ""Complete"")))"),"")</f>
        <v/>
      </c>
      <c r="E266" s="27">
        <f t="shared" si="1"/>
        <v>0</v>
      </c>
      <c r="F266" s="14"/>
    </row>
    <row r="267">
      <c r="A267" s="14"/>
      <c r="B267" s="16" t="str">
        <f>IFERROR(__xludf.DUMMYFUNCTION("IF(ISERROR(VLOOKUP(A267, IMPORTRANGE('Survey Progress'!$B$32, ""data!H2:M800""), 5, FALSE)), """", IF(VLOOKUP(A267, IMPORTRANGE('Survey Progress'!$B$32, ""data!H2:M800""), 5, FALSE) = 1, ""Eligible"", ""Ineligible""))"),"Eligible")</f>
        <v>Eligible</v>
      </c>
      <c r="C267" s="15" t="str">
        <f>IFERROR(__xludf.DUMMYFUNCTION("IF(A267="""", """", IF(ISERROR(VLOOKUP(A267, IMPORTRANGE('Survey Progress'!$B$33, ""data!I2:L800""), 1, FALSE)), ""No Survey"", IF(VLOOKUP(A267, IMPORTRANGE('Survey Progress'!$B$33, ""data!I2:L800""), 2, FALSE) = 0, ""Incomplete"", ""Complete"")))"),"")</f>
        <v/>
      </c>
      <c r="D267" s="15" t="str">
        <f>IFERROR(__xludf.DUMMYFUNCTION("IF(A267="""", """", IF(ISERROR(VLOOKUP(A267, IMPORTRANGE('Survey Progress'!$B$34, ""data!I2:L800""), 1, FALSE)), ""No Survey"", IF(VLOOKUP(A267, IMPORTRANGE('Survey Progress'!$B$34, ""data!I2:L800""), 2, FALSE) = 0, ""Incomplete"", ""Complete"")))"),"")</f>
        <v/>
      </c>
      <c r="E267" s="27">
        <f t="shared" si="1"/>
        <v>0</v>
      </c>
      <c r="F267" s="14"/>
    </row>
    <row r="268">
      <c r="A268" s="14"/>
      <c r="B268" s="16" t="str">
        <f>IFERROR(__xludf.DUMMYFUNCTION("IF(ISERROR(VLOOKUP(A268, IMPORTRANGE('Survey Progress'!$B$32, ""data!H2:M800""), 5, FALSE)), """", IF(VLOOKUP(A268, IMPORTRANGE('Survey Progress'!$B$32, ""data!H2:M800""), 5, FALSE) = 1, ""Eligible"", ""Ineligible""))"),"Eligible")</f>
        <v>Eligible</v>
      </c>
      <c r="C268" s="15" t="str">
        <f>IFERROR(__xludf.DUMMYFUNCTION("IF(A268="""", """", IF(ISERROR(VLOOKUP(A268, IMPORTRANGE('Survey Progress'!$B$33, ""data!I2:L800""), 1, FALSE)), ""No Survey"", IF(VLOOKUP(A268, IMPORTRANGE('Survey Progress'!$B$33, ""data!I2:L800""), 2, FALSE) = 0, ""Incomplete"", ""Complete"")))"),"")</f>
        <v/>
      </c>
      <c r="D268" s="15" t="str">
        <f>IFERROR(__xludf.DUMMYFUNCTION("IF(A268="""", """", IF(ISERROR(VLOOKUP(A268, IMPORTRANGE('Survey Progress'!$B$34, ""data!I2:L800""), 1, FALSE)), ""No Survey"", IF(VLOOKUP(A268, IMPORTRANGE('Survey Progress'!$B$34, ""data!I2:L800""), 2, FALSE) = 0, ""Incomplete"", ""Complete"")))"),"")</f>
        <v/>
      </c>
      <c r="E268" s="27">
        <f t="shared" si="1"/>
        <v>0</v>
      </c>
      <c r="F268" s="14"/>
    </row>
    <row r="269">
      <c r="A269" s="14"/>
      <c r="B269" s="16" t="str">
        <f>IFERROR(__xludf.DUMMYFUNCTION("IF(ISERROR(VLOOKUP(A269, IMPORTRANGE('Survey Progress'!$B$32, ""data!H2:M800""), 5, FALSE)), """", IF(VLOOKUP(A269, IMPORTRANGE('Survey Progress'!$B$32, ""data!H2:M800""), 5, FALSE) = 1, ""Eligible"", ""Ineligible""))"),"Eligible")</f>
        <v>Eligible</v>
      </c>
      <c r="C269" s="15" t="str">
        <f>IFERROR(__xludf.DUMMYFUNCTION("IF(A269="""", """", IF(ISERROR(VLOOKUP(A269, IMPORTRANGE('Survey Progress'!$B$33, ""data!I2:L800""), 1, FALSE)), ""No Survey"", IF(VLOOKUP(A269, IMPORTRANGE('Survey Progress'!$B$33, ""data!I2:L800""), 2, FALSE) = 0, ""Incomplete"", ""Complete"")))"),"")</f>
        <v/>
      </c>
      <c r="D269" s="15" t="str">
        <f>IFERROR(__xludf.DUMMYFUNCTION("IF(A269="""", """", IF(ISERROR(VLOOKUP(A269, IMPORTRANGE('Survey Progress'!$B$34, ""data!I2:L800""), 1, FALSE)), ""No Survey"", IF(VLOOKUP(A269, IMPORTRANGE('Survey Progress'!$B$34, ""data!I2:L800""), 2, FALSE) = 0, ""Incomplete"", ""Complete"")))"),"")</f>
        <v/>
      </c>
      <c r="E269" s="27">
        <f t="shared" si="1"/>
        <v>0</v>
      </c>
      <c r="F269" s="14"/>
    </row>
    <row r="270">
      <c r="A270" s="14"/>
      <c r="B270" s="16" t="str">
        <f>IFERROR(__xludf.DUMMYFUNCTION("IF(ISERROR(VLOOKUP(A270, IMPORTRANGE('Survey Progress'!$B$32, ""data!H2:M800""), 5, FALSE)), """", IF(VLOOKUP(A270, IMPORTRANGE('Survey Progress'!$B$32, ""data!H2:M800""), 5, FALSE) = 1, ""Eligible"", ""Ineligible""))"),"Eligible")</f>
        <v>Eligible</v>
      </c>
      <c r="C270" s="15" t="str">
        <f>IFERROR(__xludf.DUMMYFUNCTION("IF(A270="""", """", IF(ISERROR(VLOOKUP(A270, IMPORTRANGE('Survey Progress'!$B$33, ""data!I2:L800""), 1, FALSE)), ""No Survey"", IF(VLOOKUP(A270, IMPORTRANGE('Survey Progress'!$B$33, ""data!I2:L800""), 2, FALSE) = 0, ""Incomplete"", ""Complete"")))"),"")</f>
        <v/>
      </c>
      <c r="D270" s="15" t="str">
        <f>IFERROR(__xludf.DUMMYFUNCTION("IF(A270="""", """", IF(ISERROR(VLOOKUP(A270, IMPORTRANGE('Survey Progress'!$B$34, ""data!I2:L800""), 1, FALSE)), ""No Survey"", IF(VLOOKUP(A270, IMPORTRANGE('Survey Progress'!$B$34, ""data!I2:L800""), 2, FALSE) = 0, ""Incomplete"", ""Complete"")))"),"")</f>
        <v/>
      </c>
      <c r="E270" s="27">
        <f t="shared" si="1"/>
        <v>0</v>
      </c>
      <c r="F270" s="14"/>
    </row>
    <row r="271">
      <c r="A271" s="14"/>
      <c r="B271" s="16" t="str">
        <f>IFERROR(__xludf.DUMMYFUNCTION("IF(ISERROR(VLOOKUP(A271, IMPORTRANGE('Survey Progress'!$B$32, ""data!H2:M800""), 5, FALSE)), """", IF(VLOOKUP(A271, IMPORTRANGE('Survey Progress'!$B$32, ""data!H2:M800""), 5, FALSE) = 1, ""Eligible"", ""Ineligible""))"),"Eligible")</f>
        <v>Eligible</v>
      </c>
      <c r="C271" s="15" t="str">
        <f>IFERROR(__xludf.DUMMYFUNCTION("IF(A271="""", """", IF(ISERROR(VLOOKUP(A271, IMPORTRANGE('Survey Progress'!$B$33, ""data!I2:L800""), 1, FALSE)), ""No Survey"", IF(VLOOKUP(A271, IMPORTRANGE('Survey Progress'!$B$33, ""data!I2:L800""), 2, FALSE) = 0, ""Incomplete"", ""Complete"")))"),"")</f>
        <v/>
      </c>
      <c r="D271" s="15" t="str">
        <f>IFERROR(__xludf.DUMMYFUNCTION("IF(A271="""", """", IF(ISERROR(VLOOKUP(A271, IMPORTRANGE('Survey Progress'!$B$34, ""data!I2:L800""), 1, FALSE)), ""No Survey"", IF(VLOOKUP(A271, IMPORTRANGE('Survey Progress'!$B$34, ""data!I2:L800""), 2, FALSE) = 0, ""Incomplete"", ""Complete"")))"),"")</f>
        <v/>
      </c>
      <c r="E271" s="27">
        <f t="shared" si="1"/>
        <v>0</v>
      </c>
      <c r="F271" s="14"/>
    </row>
    <row r="272">
      <c r="A272" s="14"/>
      <c r="B272" s="16" t="str">
        <f>IFERROR(__xludf.DUMMYFUNCTION("IF(ISERROR(VLOOKUP(A272, IMPORTRANGE('Survey Progress'!$B$32, ""data!H2:M800""), 5, FALSE)), """", IF(VLOOKUP(A272, IMPORTRANGE('Survey Progress'!$B$32, ""data!H2:M800""), 5, FALSE) = 1, ""Eligible"", ""Ineligible""))"),"Eligible")</f>
        <v>Eligible</v>
      </c>
      <c r="C272" s="15" t="str">
        <f>IFERROR(__xludf.DUMMYFUNCTION("IF(A272="""", """", IF(ISERROR(VLOOKUP(A272, IMPORTRANGE('Survey Progress'!$B$33, ""data!I2:L800""), 1, FALSE)), ""No Survey"", IF(VLOOKUP(A272, IMPORTRANGE('Survey Progress'!$B$33, ""data!I2:L800""), 2, FALSE) = 0, ""Incomplete"", ""Complete"")))"),"")</f>
        <v/>
      </c>
      <c r="D272" s="15" t="str">
        <f>IFERROR(__xludf.DUMMYFUNCTION("IF(A272="""", """", IF(ISERROR(VLOOKUP(A272, IMPORTRANGE('Survey Progress'!$B$34, ""data!I2:L800""), 1, FALSE)), ""No Survey"", IF(VLOOKUP(A272, IMPORTRANGE('Survey Progress'!$B$34, ""data!I2:L800""), 2, FALSE) = 0, ""Incomplete"", ""Complete"")))"),"")</f>
        <v/>
      </c>
      <c r="E272" s="27">
        <f t="shared" si="1"/>
        <v>0</v>
      </c>
      <c r="F272" s="14"/>
    </row>
    <row r="273">
      <c r="A273" s="14"/>
      <c r="B273" s="16" t="str">
        <f>IFERROR(__xludf.DUMMYFUNCTION("IF(ISERROR(VLOOKUP(A273, IMPORTRANGE('Survey Progress'!$B$32, ""data!H2:M800""), 5, FALSE)), """", IF(VLOOKUP(A273, IMPORTRANGE('Survey Progress'!$B$32, ""data!H2:M800""), 5, FALSE) = 1, ""Eligible"", ""Ineligible""))"),"Eligible")</f>
        <v>Eligible</v>
      </c>
      <c r="C273" s="15" t="str">
        <f>IFERROR(__xludf.DUMMYFUNCTION("IF(A273="""", """", IF(ISERROR(VLOOKUP(A273, IMPORTRANGE('Survey Progress'!$B$33, ""data!I2:L800""), 1, FALSE)), ""No Survey"", IF(VLOOKUP(A273, IMPORTRANGE('Survey Progress'!$B$33, ""data!I2:L800""), 2, FALSE) = 0, ""Incomplete"", ""Complete"")))"),"")</f>
        <v/>
      </c>
      <c r="D273" s="15" t="str">
        <f>IFERROR(__xludf.DUMMYFUNCTION("IF(A273="""", """", IF(ISERROR(VLOOKUP(A273, IMPORTRANGE('Survey Progress'!$B$34, ""data!I2:L800""), 1, FALSE)), ""No Survey"", IF(VLOOKUP(A273, IMPORTRANGE('Survey Progress'!$B$34, ""data!I2:L800""), 2, FALSE) = 0, ""Incomplete"", ""Complete"")))"),"")</f>
        <v/>
      </c>
      <c r="E273" s="27">
        <f t="shared" si="1"/>
        <v>0</v>
      </c>
      <c r="F273" s="14"/>
    </row>
    <row r="274">
      <c r="A274" s="14"/>
      <c r="B274" s="16" t="str">
        <f>IFERROR(__xludf.DUMMYFUNCTION("IF(ISERROR(VLOOKUP(A274, IMPORTRANGE('Survey Progress'!$B$32, ""data!H2:M800""), 5, FALSE)), """", IF(VLOOKUP(A274, IMPORTRANGE('Survey Progress'!$B$32, ""data!H2:M800""), 5, FALSE) = 1, ""Eligible"", ""Ineligible""))"),"Eligible")</f>
        <v>Eligible</v>
      </c>
      <c r="C274" s="15" t="str">
        <f>IFERROR(__xludf.DUMMYFUNCTION("IF(A274="""", """", IF(ISERROR(VLOOKUP(A274, IMPORTRANGE('Survey Progress'!$B$33, ""data!I2:L800""), 1, FALSE)), ""No Survey"", IF(VLOOKUP(A274, IMPORTRANGE('Survey Progress'!$B$33, ""data!I2:L800""), 2, FALSE) = 0, ""Incomplete"", ""Complete"")))"),"")</f>
        <v/>
      </c>
      <c r="D274" s="15" t="str">
        <f>IFERROR(__xludf.DUMMYFUNCTION("IF(A274="""", """", IF(ISERROR(VLOOKUP(A274, IMPORTRANGE('Survey Progress'!$B$34, ""data!I2:L800""), 1, FALSE)), ""No Survey"", IF(VLOOKUP(A274, IMPORTRANGE('Survey Progress'!$B$34, ""data!I2:L800""), 2, FALSE) = 0, ""Incomplete"", ""Complete"")))"),"")</f>
        <v/>
      </c>
      <c r="E274" s="27">
        <f t="shared" si="1"/>
        <v>0</v>
      </c>
      <c r="F274" s="14"/>
    </row>
    <row r="275">
      <c r="A275" s="14"/>
      <c r="B275" s="16" t="str">
        <f>IFERROR(__xludf.DUMMYFUNCTION("IF(ISERROR(VLOOKUP(A275, IMPORTRANGE('Survey Progress'!$B$32, ""data!H2:M800""), 5, FALSE)), """", IF(VLOOKUP(A275, IMPORTRANGE('Survey Progress'!$B$32, ""data!H2:M800""), 5, FALSE) = 1, ""Eligible"", ""Ineligible""))"),"Eligible")</f>
        <v>Eligible</v>
      </c>
      <c r="C275" s="15" t="str">
        <f>IFERROR(__xludf.DUMMYFUNCTION("IF(A275="""", """", IF(ISERROR(VLOOKUP(A275, IMPORTRANGE('Survey Progress'!$B$33, ""data!I2:L800""), 1, FALSE)), ""No Survey"", IF(VLOOKUP(A275, IMPORTRANGE('Survey Progress'!$B$33, ""data!I2:L800""), 2, FALSE) = 0, ""Incomplete"", ""Complete"")))"),"")</f>
        <v/>
      </c>
      <c r="D275" s="15" t="str">
        <f>IFERROR(__xludf.DUMMYFUNCTION("IF(A275="""", """", IF(ISERROR(VLOOKUP(A275, IMPORTRANGE('Survey Progress'!$B$34, ""data!I2:L800""), 1, FALSE)), ""No Survey"", IF(VLOOKUP(A275, IMPORTRANGE('Survey Progress'!$B$34, ""data!I2:L800""), 2, FALSE) = 0, ""Incomplete"", ""Complete"")))"),"")</f>
        <v/>
      </c>
      <c r="E275" s="27">
        <f t="shared" si="1"/>
        <v>0</v>
      </c>
      <c r="F275" s="14"/>
    </row>
    <row r="276">
      <c r="A276" s="14"/>
      <c r="B276" s="16" t="str">
        <f>IFERROR(__xludf.DUMMYFUNCTION("IF(ISERROR(VLOOKUP(A276, IMPORTRANGE('Survey Progress'!$B$32, ""data!H2:M800""), 5, FALSE)), """", IF(VLOOKUP(A276, IMPORTRANGE('Survey Progress'!$B$32, ""data!H2:M800""), 5, FALSE) = 1, ""Eligible"", ""Ineligible""))"),"Eligible")</f>
        <v>Eligible</v>
      </c>
      <c r="C276" s="15" t="str">
        <f>IFERROR(__xludf.DUMMYFUNCTION("IF(A276="""", """", IF(ISERROR(VLOOKUP(A276, IMPORTRANGE('Survey Progress'!$B$33, ""data!I2:L800""), 1, FALSE)), ""No Survey"", IF(VLOOKUP(A276, IMPORTRANGE('Survey Progress'!$B$33, ""data!I2:L800""), 2, FALSE) = 0, ""Incomplete"", ""Complete"")))"),"")</f>
        <v/>
      </c>
      <c r="D276" s="15" t="str">
        <f>IFERROR(__xludf.DUMMYFUNCTION("IF(A276="""", """", IF(ISERROR(VLOOKUP(A276, IMPORTRANGE('Survey Progress'!$B$34, ""data!I2:L800""), 1, FALSE)), ""No Survey"", IF(VLOOKUP(A276, IMPORTRANGE('Survey Progress'!$B$34, ""data!I2:L800""), 2, FALSE) = 0, ""Incomplete"", ""Complete"")))"),"")</f>
        <v/>
      </c>
      <c r="E276" s="27">
        <f t="shared" si="1"/>
        <v>0</v>
      </c>
      <c r="F276" s="14"/>
    </row>
    <row r="277">
      <c r="A277" s="14"/>
      <c r="B277" s="16" t="str">
        <f>IFERROR(__xludf.DUMMYFUNCTION("IF(ISERROR(VLOOKUP(A277, IMPORTRANGE('Survey Progress'!$B$32, ""data!H2:M800""), 5, FALSE)), """", IF(VLOOKUP(A277, IMPORTRANGE('Survey Progress'!$B$32, ""data!H2:M800""), 5, FALSE) = 1, ""Eligible"", ""Ineligible""))"),"Eligible")</f>
        <v>Eligible</v>
      </c>
      <c r="C277" s="15" t="str">
        <f>IFERROR(__xludf.DUMMYFUNCTION("IF(A277="""", """", IF(ISERROR(VLOOKUP(A277, IMPORTRANGE('Survey Progress'!$B$33, ""data!I2:L800""), 1, FALSE)), ""No Survey"", IF(VLOOKUP(A277, IMPORTRANGE('Survey Progress'!$B$33, ""data!I2:L800""), 2, FALSE) = 0, ""Incomplete"", ""Complete"")))"),"")</f>
        <v/>
      </c>
      <c r="D277" s="15" t="str">
        <f>IFERROR(__xludf.DUMMYFUNCTION("IF(A277="""", """", IF(ISERROR(VLOOKUP(A277, IMPORTRANGE('Survey Progress'!$B$34, ""data!I2:L800""), 1, FALSE)), ""No Survey"", IF(VLOOKUP(A277, IMPORTRANGE('Survey Progress'!$B$34, ""data!I2:L800""), 2, FALSE) = 0, ""Incomplete"", ""Complete"")))"),"")</f>
        <v/>
      </c>
      <c r="E277" s="27">
        <f t="shared" si="1"/>
        <v>0</v>
      </c>
      <c r="F277" s="14"/>
    </row>
    <row r="278">
      <c r="A278" s="14"/>
      <c r="B278" s="16" t="str">
        <f>IFERROR(__xludf.DUMMYFUNCTION("IF(ISERROR(VLOOKUP(A278, IMPORTRANGE('Survey Progress'!$B$32, ""data!H2:M800""), 5, FALSE)), """", IF(VLOOKUP(A278, IMPORTRANGE('Survey Progress'!$B$32, ""data!H2:M800""), 5, FALSE) = 1, ""Eligible"", ""Ineligible""))"),"Eligible")</f>
        <v>Eligible</v>
      </c>
      <c r="C278" s="15" t="str">
        <f>IFERROR(__xludf.DUMMYFUNCTION("IF(A278="""", """", IF(ISERROR(VLOOKUP(A278, IMPORTRANGE('Survey Progress'!$B$33, ""data!I2:L800""), 1, FALSE)), ""No Survey"", IF(VLOOKUP(A278, IMPORTRANGE('Survey Progress'!$B$33, ""data!I2:L800""), 2, FALSE) = 0, ""Incomplete"", ""Complete"")))"),"")</f>
        <v/>
      </c>
      <c r="D278" s="15" t="str">
        <f>IFERROR(__xludf.DUMMYFUNCTION("IF(A278="""", """", IF(ISERROR(VLOOKUP(A278, IMPORTRANGE('Survey Progress'!$B$34, ""data!I2:L800""), 1, FALSE)), ""No Survey"", IF(VLOOKUP(A278, IMPORTRANGE('Survey Progress'!$B$34, ""data!I2:L800""), 2, FALSE) = 0, ""Incomplete"", ""Complete"")))"),"")</f>
        <v/>
      </c>
      <c r="E278" s="27">
        <f t="shared" si="1"/>
        <v>0</v>
      </c>
      <c r="F278" s="14"/>
    </row>
    <row r="279">
      <c r="A279" s="14"/>
      <c r="B279" s="16" t="str">
        <f>IFERROR(__xludf.DUMMYFUNCTION("IF(ISERROR(VLOOKUP(A279, IMPORTRANGE('Survey Progress'!$B$32, ""data!H2:M800""), 5, FALSE)), """", IF(VLOOKUP(A279, IMPORTRANGE('Survey Progress'!$B$32, ""data!H2:M800""), 5, FALSE) = 1, ""Eligible"", ""Ineligible""))"),"Eligible")</f>
        <v>Eligible</v>
      </c>
      <c r="C279" s="15" t="str">
        <f>IFERROR(__xludf.DUMMYFUNCTION("IF(A279="""", """", IF(ISERROR(VLOOKUP(A279, IMPORTRANGE('Survey Progress'!$B$33, ""data!I2:L800""), 1, FALSE)), ""No Survey"", IF(VLOOKUP(A279, IMPORTRANGE('Survey Progress'!$B$33, ""data!I2:L800""), 2, FALSE) = 0, ""Incomplete"", ""Complete"")))"),"")</f>
        <v/>
      </c>
      <c r="D279" s="15" t="str">
        <f>IFERROR(__xludf.DUMMYFUNCTION("IF(A279="""", """", IF(ISERROR(VLOOKUP(A279, IMPORTRANGE('Survey Progress'!$B$34, ""data!I2:L800""), 1, FALSE)), ""No Survey"", IF(VLOOKUP(A279, IMPORTRANGE('Survey Progress'!$B$34, ""data!I2:L800""), 2, FALSE) = 0, ""Incomplete"", ""Complete"")))"),"")</f>
        <v/>
      </c>
      <c r="E279" s="27">
        <f t="shared" si="1"/>
        <v>0</v>
      </c>
      <c r="F279" s="14"/>
    </row>
    <row r="280">
      <c r="A280" s="14"/>
      <c r="B280" s="16" t="str">
        <f>IFERROR(__xludf.DUMMYFUNCTION("IF(ISERROR(VLOOKUP(A280, IMPORTRANGE('Survey Progress'!$B$32, ""data!H2:M800""), 5, FALSE)), """", IF(VLOOKUP(A280, IMPORTRANGE('Survey Progress'!$B$32, ""data!H2:M800""), 5, FALSE) = 1, ""Eligible"", ""Ineligible""))"),"Eligible")</f>
        <v>Eligible</v>
      </c>
      <c r="C280" s="15" t="str">
        <f>IFERROR(__xludf.DUMMYFUNCTION("IF(A280="""", """", IF(ISERROR(VLOOKUP(A280, IMPORTRANGE('Survey Progress'!$B$33, ""data!I2:L800""), 1, FALSE)), ""No Survey"", IF(VLOOKUP(A280, IMPORTRANGE('Survey Progress'!$B$33, ""data!I2:L800""), 2, FALSE) = 0, ""Incomplete"", ""Complete"")))"),"")</f>
        <v/>
      </c>
      <c r="D280" s="15" t="str">
        <f>IFERROR(__xludf.DUMMYFUNCTION("IF(A280="""", """", IF(ISERROR(VLOOKUP(A280, IMPORTRANGE('Survey Progress'!$B$34, ""data!I2:L800""), 1, FALSE)), ""No Survey"", IF(VLOOKUP(A280, IMPORTRANGE('Survey Progress'!$B$34, ""data!I2:L800""), 2, FALSE) = 0, ""Incomplete"", ""Complete"")))"),"")</f>
        <v/>
      </c>
      <c r="E280" s="27">
        <f t="shared" si="1"/>
        <v>0</v>
      </c>
      <c r="F280" s="14"/>
    </row>
    <row r="281">
      <c r="A281" s="14"/>
      <c r="B281" s="16" t="str">
        <f>IFERROR(__xludf.DUMMYFUNCTION("IF(ISERROR(VLOOKUP(A281, IMPORTRANGE('Survey Progress'!$B$32, ""data!H2:M800""), 5, FALSE)), """", IF(VLOOKUP(A281, IMPORTRANGE('Survey Progress'!$B$32, ""data!H2:M800""), 5, FALSE) = 1, ""Eligible"", ""Ineligible""))"),"Eligible")</f>
        <v>Eligible</v>
      </c>
      <c r="C281" s="15" t="str">
        <f>IFERROR(__xludf.DUMMYFUNCTION("IF(A281="""", """", IF(ISERROR(VLOOKUP(A281, IMPORTRANGE('Survey Progress'!$B$33, ""data!I2:L800""), 1, FALSE)), ""No Survey"", IF(VLOOKUP(A281, IMPORTRANGE('Survey Progress'!$B$33, ""data!I2:L800""), 2, FALSE) = 0, ""Incomplete"", ""Complete"")))"),"")</f>
        <v/>
      </c>
      <c r="D281" s="15" t="str">
        <f>IFERROR(__xludf.DUMMYFUNCTION("IF(A281="""", """", IF(ISERROR(VLOOKUP(A281, IMPORTRANGE('Survey Progress'!$B$34, ""data!I2:L800""), 1, FALSE)), ""No Survey"", IF(VLOOKUP(A281, IMPORTRANGE('Survey Progress'!$B$34, ""data!I2:L800""), 2, FALSE) = 0, ""Incomplete"", ""Complete"")))"),"")</f>
        <v/>
      </c>
      <c r="E281" s="27">
        <f t="shared" si="1"/>
        <v>0</v>
      </c>
      <c r="F281" s="14"/>
    </row>
    <row r="282">
      <c r="A282" s="14"/>
      <c r="B282" s="16" t="str">
        <f>IFERROR(__xludf.DUMMYFUNCTION("IF(ISERROR(VLOOKUP(A282, IMPORTRANGE('Survey Progress'!$B$32, ""data!H2:M800""), 5, FALSE)), """", IF(VLOOKUP(A282, IMPORTRANGE('Survey Progress'!$B$32, ""data!H2:M800""), 5, FALSE) = 1, ""Eligible"", ""Ineligible""))"),"Eligible")</f>
        <v>Eligible</v>
      </c>
      <c r="C282" s="15" t="str">
        <f>IFERROR(__xludf.DUMMYFUNCTION("IF(A282="""", """", IF(ISERROR(VLOOKUP(A282, IMPORTRANGE('Survey Progress'!$B$33, ""data!I2:L800""), 1, FALSE)), ""No Survey"", IF(VLOOKUP(A282, IMPORTRANGE('Survey Progress'!$B$33, ""data!I2:L800""), 2, FALSE) = 0, ""Incomplete"", ""Complete"")))"),"")</f>
        <v/>
      </c>
      <c r="D282" s="15" t="str">
        <f>IFERROR(__xludf.DUMMYFUNCTION("IF(A282="""", """", IF(ISERROR(VLOOKUP(A282, IMPORTRANGE('Survey Progress'!$B$34, ""data!I2:L800""), 1, FALSE)), ""No Survey"", IF(VLOOKUP(A282, IMPORTRANGE('Survey Progress'!$B$34, ""data!I2:L800""), 2, FALSE) = 0, ""Incomplete"", ""Complete"")))"),"")</f>
        <v/>
      </c>
      <c r="E282" s="27">
        <f t="shared" si="1"/>
        <v>0</v>
      </c>
      <c r="F282" s="14"/>
    </row>
    <row r="283">
      <c r="A283" s="14"/>
      <c r="B283" s="16" t="str">
        <f>IFERROR(__xludf.DUMMYFUNCTION("IF(ISERROR(VLOOKUP(A283, IMPORTRANGE('Survey Progress'!$B$32, ""data!H2:M800""), 5, FALSE)), """", IF(VLOOKUP(A283, IMPORTRANGE('Survey Progress'!$B$32, ""data!H2:M800""), 5, FALSE) = 1, ""Eligible"", ""Ineligible""))"),"Eligible")</f>
        <v>Eligible</v>
      </c>
      <c r="C283" s="15" t="str">
        <f>IFERROR(__xludf.DUMMYFUNCTION("IF(A283="""", """", IF(ISERROR(VLOOKUP(A283, IMPORTRANGE('Survey Progress'!$B$33, ""data!I2:L800""), 1, FALSE)), ""No Survey"", IF(VLOOKUP(A283, IMPORTRANGE('Survey Progress'!$B$33, ""data!I2:L800""), 2, FALSE) = 0, ""Incomplete"", ""Complete"")))"),"")</f>
        <v/>
      </c>
      <c r="D283" s="15" t="str">
        <f>IFERROR(__xludf.DUMMYFUNCTION("IF(A283="""", """", IF(ISERROR(VLOOKUP(A283, IMPORTRANGE('Survey Progress'!$B$34, ""data!I2:L800""), 1, FALSE)), ""No Survey"", IF(VLOOKUP(A283, IMPORTRANGE('Survey Progress'!$B$34, ""data!I2:L800""), 2, FALSE) = 0, ""Incomplete"", ""Complete"")))"),"")</f>
        <v/>
      </c>
      <c r="E283" s="27">
        <f t="shared" si="1"/>
        <v>0</v>
      </c>
      <c r="F283" s="14"/>
    </row>
    <row r="284">
      <c r="A284" s="14"/>
      <c r="B284" s="16" t="str">
        <f>IFERROR(__xludf.DUMMYFUNCTION("IF(ISERROR(VLOOKUP(A284, IMPORTRANGE('Survey Progress'!$B$32, ""data!H2:M800""), 5, FALSE)), """", IF(VLOOKUP(A284, IMPORTRANGE('Survey Progress'!$B$32, ""data!H2:M800""), 5, FALSE) = 1, ""Eligible"", ""Ineligible""))"),"Eligible")</f>
        <v>Eligible</v>
      </c>
      <c r="C284" s="15" t="str">
        <f>IFERROR(__xludf.DUMMYFUNCTION("IF(A284="""", """", IF(ISERROR(VLOOKUP(A284, IMPORTRANGE('Survey Progress'!$B$33, ""data!I2:L800""), 1, FALSE)), ""No Survey"", IF(VLOOKUP(A284, IMPORTRANGE('Survey Progress'!$B$33, ""data!I2:L800""), 2, FALSE) = 0, ""Incomplete"", ""Complete"")))"),"")</f>
        <v/>
      </c>
      <c r="D284" s="15" t="str">
        <f>IFERROR(__xludf.DUMMYFUNCTION("IF(A284="""", """", IF(ISERROR(VLOOKUP(A284, IMPORTRANGE('Survey Progress'!$B$34, ""data!I2:L800""), 1, FALSE)), ""No Survey"", IF(VLOOKUP(A284, IMPORTRANGE('Survey Progress'!$B$34, ""data!I2:L800""), 2, FALSE) = 0, ""Incomplete"", ""Complete"")))"),"")</f>
        <v/>
      </c>
      <c r="E284" s="27">
        <f t="shared" si="1"/>
        <v>0</v>
      </c>
      <c r="F284" s="14"/>
    </row>
    <row r="285">
      <c r="A285" s="14"/>
      <c r="B285" s="16" t="str">
        <f>IFERROR(__xludf.DUMMYFUNCTION("IF(ISERROR(VLOOKUP(A285, IMPORTRANGE('Survey Progress'!$B$32, ""data!H2:M800""), 5, FALSE)), """", IF(VLOOKUP(A285, IMPORTRANGE('Survey Progress'!$B$32, ""data!H2:M800""), 5, FALSE) = 1, ""Eligible"", ""Ineligible""))"),"Eligible")</f>
        <v>Eligible</v>
      </c>
      <c r="C285" s="15" t="str">
        <f>IFERROR(__xludf.DUMMYFUNCTION("IF(A285="""", """", IF(ISERROR(VLOOKUP(A285, IMPORTRANGE('Survey Progress'!$B$33, ""data!I2:L800""), 1, FALSE)), ""No Survey"", IF(VLOOKUP(A285, IMPORTRANGE('Survey Progress'!$B$33, ""data!I2:L800""), 2, FALSE) = 0, ""Incomplete"", ""Complete"")))"),"")</f>
        <v/>
      </c>
      <c r="D285" s="15" t="str">
        <f>IFERROR(__xludf.DUMMYFUNCTION("IF(A285="""", """", IF(ISERROR(VLOOKUP(A285, IMPORTRANGE('Survey Progress'!$B$34, ""data!I2:L800""), 1, FALSE)), ""No Survey"", IF(VLOOKUP(A285, IMPORTRANGE('Survey Progress'!$B$34, ""data!I2:L800""), 2, FALSE) = 0, ""Incomplete"", ""Complete"")))"),"")</f>
        <v/>
      </c>
      <c r="E285" s="27">
        <f t="shared" si="1"/>
        <v>0</v>
      </c>
      <c r="F285" s="14"/>
    </row>
    <row r="286">
      <c r="A286" s="14"/>
      <c r="B286" s="16" t="str">
        <f>IFERROR(__xludf.DUMMYFUNCTION("IF(ISERROR(VLOOKUP(A286, IMPORTRANGE('Survey Progress'!$B$32, ""data!H2:M800""), 5, FALSE)), """", IF(VLOOKUP(A286, IMPORTRANGE('Survey Progress'!$B$32, ""data!H2:M800""), 5, FALSE) = 1, ""Eligible"", ""Ineligible""))"),"Eligible")</f>
        <v>Eligible</v>
      </c>
      <c r="C286" s="15" t="str">
        <f>IFERROR(__xludf.DUMMYFUNCTION("IF(A286="""", """", IF(ISERROR(VLOOKUP(A286, IMPORTRANGE('Survey Progress'!$B$33, ""data!I2:L800""), 1, FALSE)), ""No Survey"", IF(VLOOKUP(A286, IMPORTRANGE('Survey Progress'!$B$33, ""data!I2:L800""), 2, FALSE) = 0, ""Incomplete"", ""Complete"")))"),"")</f>
        <v/>
      </c>
      <c r="D286" s="15" t="str">
        <f>IFERROR(__xludf.DUMMYFUNCTION("IF(A286="""", """", IF(ISERROR(VLOOKUP(A286, IMPORTRANGE('Survey Progress'!$B$34, ""data!I2:L800""), 1, FALSE)), ""No Survey"", IF(VLOOKUP(A286, IMPORTRANGE('Survey Progress'!$B$34, ""data!I2:L800""), 2, FALSE) = 0, ""Incomplete"", ""Complete"")))"),"")</f>
        <v/>
      </c>
      <c r="E286" s="27">
        <f t="shared" si="1"/>
        <v>0</v>
      </c>
      <c r="F286" s="14"/>
    </row>
    <row r="287">
      <c r="A287" s="14"/>
      <c r="B287" s="16" t="str">
        <f>IFERROR(__xludf.DUMMYFUNCTION("IF(ISERROR(VLOOKUP(A287, IMPORTRANGE('Survey Progress'!$B$32, ""data!H2:M800""), 5, FALSE)), """", IF(VLOOKUP(A287, IMPORTRANGE('Survey Progress'!$B$32, ""data!H2:M800""), 5, FALSE) = 1, ""Eligible"", ""Ineligible""))"),"Eligible")</f>
        <v>Eligible</v>
      </c>
      <c r="C287" s="15" t="str">
        <f>IFERROR(__xludf.DUMMYFUNCTION("IF(A287="""", """", IF(ISERROR(VLOOKUP(A287, IMPORTRANGE('Survey Progress'!$B$33, ""data!I2:L800""), 1, FALSE)), ""No Survey"", IF(VLOOKUP(A287, IMPORTRANGE('Survey Progress'!$B$33, ""data!I2:L800""), 2, FALSE) = 0, ""Incomplete"", ""Complete"")))"),"")</f>
        <v/>
      </c>
      <c r="D287" s="15" t="str">
        <f>IFERROR(__xludf.DUMMYFUNCTION("IF(A287="""", """", IF(ISERROR(VLOOKUP(A287, IMPORTRANGE('Survey Progress'!$B$34, ""data!I2:L800""), 1, FALSE)), ""No Survey"", IF(VLOOKUP(A287, IMPORTRANGE('Survey Progress'!$B$34, ""data!I2:L800""), 2, FALSE) = 0, ""Incomplete"", ""Complete"")))"),"")</f>
        <v/>
      </c>
      <c r="E287" s="27">
        <f t="shared" si="1"/>
        <v>0</v>
      </c>
      <c r="F287" s="14"/>
    </row>
    <row r="288">
      <c r="A288" s="14"/>
      <c r="B288" s="16" t="str">
        <f>IFERROR(__xludf.DUMMYFUNCTION("IF(ISERROR(VLOOKUP(A288, IMPORTRANGE('Survey Progress'!$B$32, ""data!H2:M800""), 5, FALSE)), """", IF(VLOOKUP(A288, IMPORTRANGE('Survey Progress'!$B$32, ""data!H2:M800""), 5, FALSE) = 1, ""Eligible"", ""Ineligible""))"),"Eligible")</f>
        <v>Eligible</v>
      </c>
      <c r="C288" s="15" t="str">
        <f>IFERROR(__xludf.DUMMYFUNCTION("IF(A288="""", """", IF(ISERROR(VLOOKUP(A288, IMPORTRANGE('Survey Progress'!$B$33, ""data!I2:L800""), 1, FALSE)), ""No Survey"", IF(VLOOKUP(A288, IMPORTRANGE('Survey Progress'!$B$33, ""data!I2:L800""), 2, FALSE) = 0, ""Incomplete"", ""Complete"")))"),"")</f>
        <v/>
      </c>
      <c r="D288" s="15" t="str">
        <f>IFERROR(__xludf.DUMMYFUNCTION("IF(A288="""", """", IF(ISERROR(VLOOKUP(A288, IMPORTRANGE('Survey Progress'!$B$34, ""data!I2:L800""), 1, FALSE)), ""No Survey"", IF(VLOOKUP(A288, IMPORTRANGE('Survey Progress'!$B$34, ""data!I2:L800""), 2, FALSE) = 0, ""Incomplete"", ""Complete"")))"),"")</f>
        <v/>
      </c>
      <c r="E288" s="27">
        <f t="shared" si="1"/>
        <v>0</v>
      </c>
      <c r="F288" s="14"/>
    </row>
    <row r="289">
      <c r="A289" s="14"/>
      <c r="B289" s="16" t="str">
        <f>IFERROR(__xludf.DUMMYFUNCTION("IF(ISERROR(VLOOKUP(A289, IMPORTRANGE('Survey Progress'!$B$32, ""data!H2:M800""), 5, FALSE)), """", IF(VLOOKUP(A289, IMPORTRANGE('Survey Progress'!$B$32, ""data!H2:M800""), 5, FALSE) = 1, ""Eligible"", ""Ineligible""))"),"Eligible")</f>
        <v>Eligible</v>
      </c>
      <c r="C289" s="15" t="str">
        <f>IFERROR(__xludf.DUMMYFUNCTION("IF(A289="""", """", IF(ISERROR(VLOOKUP(A289, IMPORTRANGE('Survey Progress'!$B$33, ""data!I2:L800""), 1, FALSE)), ""No Survey"", IF(VLOOKUP(A289, IMPORTRANGE('Survey Progress'!$B$33, ""data!I2:L800""), 2, FALSE) = 0, ""Incomplete"", ""Complete"")))"),"")</f>
        <v/>
      </c>
      <c r="D289" s="15" t="str">
        <f>IFERROR(__xludf.DUMMYFUNCTION("IF(A289="""", """", IF(ISERROR(VLOOKUP(A289, IMPORTRANGE('Survey Progress'!$B$34, ""data!I2:L800""), 1, FALSE)), ""No Survey"", IF(VLOOKUP(A289, IMPORTRANGE('Survey Progress'!$B$34, ""data!I2:L800""), 2, FALSE) = 0, ""Incomplete"", ""Complete"")))"),"")</f>
        <v/>
      </c>
      <c r="E289" s="27">
        <f t="shared" si="1"/>
        <v>0</v>
      </c>
      <c r="F289" s="14"/>
    </row>
    <row r="290">
      <c r="A290" s="14"/>
      <c r="B290" s="16" t="str">
        <f>IFERROR(__xludf.DUMMYFUNCTION("IF(ISERROR(VLOOKUP(A290, IMPORTRANGE('Survey Progress'!$B$32, ""data!H2:M800""), 5, FALSE)), """", IF(VLOOKUP(A290, IMPORTRANGE('Survey Progress'!$B$32, ""data!H2:M800""), 5, FALSE) = 1, ""Eligible"", ""Ineligible""))"),"Eligible")</f>
        <v>Eligible</v>
      </c>
      <c r="C290" s="15" t="str">
        <f>IFERROR(__xludf.DUMMYFUNCTION("IF(A290="""", """", IF(ISERROR(VLOOKUP(A290, IMPORTRANGE('Survey Progress'!$B$33, ""data!I2:L800""), 1, FALSE)), ""No Survey"", IF(VLOOKUP(A290, IMPORTRANGE('Survey Progress'!$B$33, ""data!I2:L800""), 2, FALSE) = 0, ""Incomplete"", ""Complete"")))"),"")</f>
        <v/>
      </c>
      <c r="D290" s="15" t="str">
        <f>IFERROR(__xludf.DUMMYFUNCTION("IF(A290="""", """", IF(ISERROR(VLOOKUP(A290, IMPORTRANGE('Survey Progress'!$B$34, ""data!I2:L800""), 1, FALSE)), ""No Survey"", IF(VLOOKUP(A290, IMPORTRANGE('Survey Progress'!$B$34, ""data!I2:L800""), 2, FALSE) = 0, ""Incomplete"", ""Complete"")))"),"")</f>
        <v/>
      </c>
      <c r="E290" s="27">
        <f t="shared" si="1"/>
        <v>0</v>
      </c>
      <c r="F290" s="14"/>
    </row>
    <row r="291">
      <c r="A291" s="14"/>
      <c r="B291" s="16" t="str">
        <f>IFERROR(__xludf.DUMMYFUNCTION("IF(ISERROR(VLOOKUP(A291, IMPORTRANGE('Survey Progress'!$B$32, ""data!H2:M800""), 5, FALSE)), """", IF(VLOOKUP(A291, IMPORTRANGE('Survey Progress'!$B$32, ""data!H2:M800""), 5, FALSE) = 1, ""Eligible"", ""Ineligible""))"),"Eligible")</f>
        <v>Eligible</v>
      </c>
      <c r="C291" s="15" t="str">
        <f>IFERROR(__xludf.DUMMYFUNCTION("IF(A291="""", """", IF(ISERROR(VLOOKUP(A291, IMPORTRANGE('Survey Progress'!$B$33, ""data!I2:L800""), 1, FALSE)), ""No Survey"", IF(VLOOKUP(A291, IMPORTRANGE('Survey Progress'!$B$33, ""data!I2:L800""), 2, FALSE) = 0, ""Incomplete"", ""Complete"")))"),"")</f>
        <v/>
      </c>
      <c r="D291" s="15" t="str">
        <f>IFERROR(__xludf.DUMMYFUNCTION("IF(A291="""", """", IF(ISERROR(VLOOKUP(A291, IMPORTRANGE('Survey Progress'!$B$34, ""data!I2:L800""), 1, FALSE)), ""No Survey"", IF(VLOOKUP(A291, IMPORTRANGE('Survey Progress'!$B$34, ""data!I2:L800""), 2, FALSE) = 0, ""Incomplete"", ""Complete"")))"),"")</f>
        <v/>
      </c>
      <c r="E291" s="27">
        <f t="shared" si="1"/>
        <v>0</v>
      </c>
      <c r="F291" s="14"/>
    </row>
    <row r="292">
      <c r="A292" s="14"/>
      <c r="B292" s="16" t="str">
        <f>IFERROR(__xludf.DUMMYFUNCTION("IF(ISERROR(VLOOKUP(A292, IMPORTRANGE('Survey Progress'!$B$32, ""data!H2:M800""), 5, FALSE)), """", IF(VLOOKUP(A292, IMPORTRANGE('Survey Progress'!$B$32, ""data!H2:M800""), 5, FALSE) = 1, ""Eligible"", ""Ineligible""))"),"Eligible")</f>
        <v>Eligible</v>
      </c>
      <c r="C292" s="15" t="str">
        <f>IFERROR(__xludf.DUMMYFUNCTION("IF(A292="""", """", IF(ISERROR(VLOOKUP(A292, IMPORTRANGE('Survey Progress'!$B$33, ""data!I2:L800""), 1, FALSE)), ""No Survey"", IF(VLOOKUP(A292, IMPORTRANGE('Survey Progress'!$B$33, ""data!I2:L800""), 2, FALSE) = 0, ""Incomplete"", ""Complete"")))"),"")</f>
        <v/>
      </c>
      <c r="D292" s="15" t="str">
        <f>IFERROR(__xludf.DUMMYFUNCTION("IF(A292="""", """", IF(ISERROR(VLOOKUP(A292, IMPORTRANGE('Survey Progress'!$B$34, ""data!I2:L800""), 1, FALSE)), ""No Survey"", IF(VLOOKUP(A292, IMPORTRANGE('Survey Progress'!$B$34, ""data!I2:L800""), 2, FALSE) = 0, ""Incomplete"", ""Complete"")))"),"")</f>
        <v/>
      </c>
      <c r="E292" s="27">
        <f t="shared" si="1"/>
        <v>0</v>
      </c>
      <c r="F292" s="14"/>
    </row>
    <row r="293">
      <c r="A293" s="14"/>
      <c r="B293" s="16" t="str">
        <f>IFERROR(__xludf.DUMMYFUNCTION("IF(ISERROR(VLOOKUP(A293, IMPORTRANGE('Survey Progress'!$B$32, ""data!H2:M800""), 5, FALSE)), """", IF(VLOOKUP(A293, IMPORTRANGE('Survey Progress'!$B$32, ""data!H2:M800""), 5, FALSE) = 1, ""Eligible"", ""Ineligible""))"),"Eligible")</f>
        <v>Eligible</v>
      </c>
      <c r="C293" s="15" t="str">
        <f>IFERROR(__xludf.DUMMYFUNCTION("IF(A293="""", """", IF(ISERROR(VLOOKUP(A293, IMPORTRANGE('Survey Progress'!$B$33, ""data!I2:L800""), 1, FALSE)), ""No Survey"", IF(VLOOKUP(A293, IMPORTRANGE('Survey Progress'!$B$33, ""data!I2:L800""), 2, FALSE) = 0, ""Incomplete"", ""Complete"")))"),"")</f>
        <v/>
      </c>
      <c r="D293" s="15" t="str">
        <f>IFERROR(__xludf.DUMMYFUNCTION("IF(A293="""", """", IF(ISERROR(VLOOKUP(A293, IMPORTRANGE('Survey Progress'!$B$34, ""data!I2:L800""), 1, FALSE)), ""No Survey"", IF(VLOOKUP(A293, IMPORTRANGE('Survey Progress'!$B$34, ""data!I2:L800""), 2, FALSE) = 0, ""Incomplete"", ""Complete"")))"),"")</f>
        <v/>
      </c>
      <c r="E293" s="27">
        <f t="shared" si="1"/>
        <v>0</v>
      </c>
      <c r="F293" s="14"/>
    </row>
    <row r="294">
      <c r="A294" s="14"/>
      <c r="B294" s="16" t="str">
        <f>IFERROR(__xludf.DUMMYFUNCTION("IF(ISERROR(VLOOKUP(A294, IMPORTRANGE('Survey Progress'!$B$32, ""data!H2:M800""), 5, FALSE)), """", IF(VLOOKUP(A294, IMPORTRANGE('Survey Progress'!$B$32, ""data!H2:M800""), 5, FALSE) = 1, ""Eligible"", ""Ineligible""))"),"Eligible")</f>
        <v>Eligible</v>
      </c>
      <c r="C294" s="15" t="str">
        <f>IFERROR(__xludf.DUMMYFUNCTION("IF(A294="""", """", IF(ISERROR(VLOOKUP(A294, IMPORTRANGE('Survey Progress'!$B$33, ""data!I2:L800""), 1, FALSE)), ""No Survey"", IF(VLOOKUP(A294, IMPORTRANGE('Survey Progress'!$B$33, ""data!I2:L800""), 2, FALSE) = 0, ""Incomplete"", ""Complete"")))"),"")</f>
        <v/>
      </c>
      <c r="D294" s="15" t="str">
        <f>IFERROR(__xludf.DUMMYFUNCTION("IF(A294="""", """", IF(ISERROR(VLOOKUP(A294, IMPORTRANGE('Survey Progress'!$B$34, ""data!I2:L800""), 1, FALSE)), ""No Survey"", IF(VLOOKUP(A294, IMPORTRANGE('Survey Progress'!$B$34, ""data!I2:L800""), 2, FALSE) = 0, ""Incomplete"", ""Complete"")))"),"")</f>
        <v/>
      </c>
      <c r="E294" s="27">
        <f t="shared" si="1"/>
        <v>0</v>
      </c>
      <c r="F294" s="14"/>
    </row>
    <row r="295">
      <c r="A295" s="14"/>
      <c r="B295" s="16" t="str">
        <f>IFERROR(__xludf.DUMMYFUNCTION("IF(ISERROR(VLOOKUP(A295, IMPORTRANGE('Survey Progress'!$B$32, ""data!H2:M800""), 5, FALSE)), """", IF(VLOOKUP(A295, IMPORTRANGE('Survey Progress'!$B$32, ""data!H2:M800""), 5, FALSE) = 1, ""Eligible"", ""Ineligible""))"),"Eligible")</f>
        <v>Eligible</v>
      </c>
      <c r="C295" s="15" t="str">
        <f>IFERROR(__xludf.DUMMYFUNCTION("IF(A295="""", """", IF(ISERROR(VLOOKUP(A295, IMPORTRANGE('Survey Progress'!$B$33, ""data!I2:L800""), 1, FALSE)), ""No Survey"", IF(VLOOKUP(A295, IMPORTRANGE('Survey Progress'!$B$33, ""data!I2:L800""), 2, FALSE) = 0, ""Incomplete"", ""Complete"")))"),"")</f>
        <v/>
      </c>
      <c r="D295" s="15" t="str">
        <f>IFERROR(__xludf.DUMMYFUNCTION("IF(A295="""", """", IF(ISERROR(VLOOKUP(A295, IMPORTRANGE('Survey Progress'!$B$34, ""data!I2:L800""), 1, FALSE)), ""No Survey"", IF(VLOOKUP(A295, IMPORTRANGE('Survey Progress'!$B$34, ""data!I2:L800""), 2, FALSE) = 0, ""Incomplete"", ""Complete"")))"),"")</f>
        <v/>
      </c>
      <c r="E295" s="27">
        <f t="shared" si="1"/>
        <v>0</v>
      </c>
      <c r="F295" s="14"/>
    </row>
    <row r="296">
      <c r="A296" s="14"/>
      <c r="B296" s="16" t="str">
        <f>IFERROR(__xludf.DUMMYFUNCTION("IF(ISERROR(VLOOKUP(A296, IMPORTRANGE('Survey Progress'!$B$32, ""data!H2:M800""), 5, FALSE)), """", IF(VLOOKUP(A296, IMPORTRANGE('Survey Progress'!$B$32, ""data!H2:M800""), 5, FALSE) = 1, ""Eligible"", ""Ineligible""))"),"Eligible")</f>
        <v>Eligible</v>
      </c>
      <c r="C296" s="15" t="str">
        <f>IFERROR(__xludf.DUMMYFUNCTION("IF(A296="""", """", IF(ISERROR(VLOOKUP(A296, IMPORTRANGE('Survey Progress'!$B$33, ""data!I2:L800""), 1, FALSE)), ""No Survey"", IF(VLOOKUP(A296, IMPORTRANGE('Survey Progress'!$B$33, ""data!I2:L800""), 2, FALSE) = 0, ""Incomplete"", ""Complete"")))"),"")</f>
        <v/>
      </c>
      <c r="D296" s="15" t="str">
        <f>IFERROR(__xludf.DUMMYFUNCTION("IF(A296="""", """", IF(ISERROR(VLOOKUP(A296, IMPORTRANGE('Survey Progress'!$B$34, ""data!I2:L800""), 1, FALSE)), ""No Survey"", IF(VLOOKUP(A296, IMPORTRANGE('Survey Progress'!$B$34, ""data!I2:L800""), 2, FALSE) = 0, ""Incomplete"", ""Complete"")))"),"")</f>
        <v/>
      </c>
      <c r="E296" s="27">
        <f t="shared" si="1"/>
        <v>0</v>
      </c>
      <c r="F296" s="14"/>
    </row>
    <row r="297">
      <c r="A297" s="14"/>
      <c r="B297" s="16" t="str">
        <f>IFERROR(__xludf.DUMMYFUNCTION("IF(ISERROR(VLOOKUP(A297, IMPORTRANGE('Survey Progress'!$B$32, ""data!H2:M800""), 5, FALSE)), """", IF(VLOOKUP(A297, IMPORTRANGE('Survey Progress'!$B$32, ""data!H2:M800""), 5, FALSE) = 1, ""Eligible"", ""Ineligible""))"),"Eligible")</f>
        <v>Eligible</v>
      </c>
      <c r="C297" s="15" t="str">
        <f>IFERROR(__xludf.DUMMYFUNCTION("IF(A297="""", """", IF(ISERROR(VLOOKUP(A297, IMPORTRANGE('Survey Progress'!$B$33, ""data!I2:L800""), 1, FALSE)), ""No Survey"", IF(VLOOKUP(A297, IMPORTRANGE('Survey Progress'!$B$33, ""data!I2:L800""), 2, FALSE) = 0, ""Incomplete"", ""Complete"")))"),"")</f>
        <v/>
      </c>
      <c r="D297" s="15" t="str">
        <f>IFERROR(__xludf.DUMMYFUNCTION("IF(A297="""", """", IF(ISERROR(VLOOKUP(A297, IMPORTRANGE('Survey Progress'!$B$34, ""data!I2:L800""), 1, FALSE)), ""No Survey"", IF(VLOOKUP(A297, IMPORTRANGE('Survey Progress'!$B$34, ""data!I2:L800""), 2, FALSE) = 0, ""Incomplete"", ""Complete"")))"),"")</f>
        <v/>
      </c>
      <c r="E297" s="27">
        <f t="shared" si="1"/>
        <v>0</v>
      </c>
      <c r="F297" s="14"/>
    </row>
    <row r="298">
      <c r="A298" s="14"/>
      <c r="B298" s="16" t="str">
        <f>IFERROR(__xludf.DUMMYFUNCTION("IF(ISERROR(VLOOKUP(A298, IMPORTRANGE('Survey Progress'!$B$32, ""data!H2:M800""), 5, FALSE)), """", IF(VLOOKUP(A298, IMPORTRANGE('Survey Progress'!$B$32, ""data!H2:M800""), 5, FALSE) = 1, ""Eligible"", ""Ineligible""))"),"Eligible")</f>
        <v>Eligible</v>
      </c>
      <c r="C298" s="15" t="str">
        <f>IFERROR(__xludf.DUMMYFUNCTION("IF(A298="""", """", IF(ISERROR(VLOOKUP(A298, IMPORTRANGE('Survey Progress'!$B$33, ""data!I2:L800""), 1, FALSE)), ""No Survey"", IF(VLOOKUP(A298, IMPORTRANGE('Survey Progress'!$B$33, ""data!I2:L800""), 2, FALSE) = 0, ""Incomplete"", ""Complete"")))"),"")</f>
        <v/>
      </c>
      <c r="D298" s="15" t="str">
        <f>IFERROR(__xludf.DUMMYFUNCTION("IF(A298="""", """", IF(ISERROR(VLOOKUP(A298, IMPORTRANGE('Survey Progress'!$B$34, ""data!I2:L800""), 1, FALSE)), ""No Survey"", IF(VLOOKUP(A298, IMPORTRANGE('Survey Progress'!$B$34, ""data!I2:L800""), 2, FALSE) = 0, ""Incomplete"", ""Complete"")))"),"")</f>
        <v/>
      </c>
      <c r="E298" s="27">
        <f t="shared" si="1"/>
        <v>0</v>
      </c>
      <c r="F298" s="14"/>
    </row>
    <row r="299">
      <c r="A299" s="14"/>
      <c r="B299" s="16" t="str">
        <f>IFERROR(__xludf.DUMMYFUNCTION("IF(ISERROR(VLOOKUP(A299, IMPORTRANGE('Survey Progress'!$B$32, ""data!H2:M800""), 5, FALSE)), """", IF(VLOOKUP(A299, IMPORTRANGE('Survey Progress'!$B$32, ""data!H2:M800""), 5, FALSE) = 1, ""Eligible"", ""Ineligible""))"),"Eligible")</f>
        <v>Eligible</v>
      </c>
      <c r="C299" s="15" t="str">
        <f>IFERROR(__xludf.DUMMYFUNCTION("IF(A299="""", """", IF(ISERROR(VLOOKUP(A299, IMPORTRANGE('Survey Progress'!$B$33, ""data!I2:L800""), 1, FALSE)), ""No Survey"", IF(VLOOKUP(A299, IMPORTRANGE('Survey Progress'!$B$33, ""data!I2:L800""), 2, FALSE) = 0, ""Incomplete"", ""Complete"")))"),"")</f>
        <v/>
      </c>
      <c r="D299" s="15" t="str">
        <f>IFERROR(__xludf.DUMMYFUNCTION("IF(A299="""", """", IF(ISERROR(VLOOKUP(A299, IMPORTRANGE('Survey Progress'!$B$34, ""data!I2:L800""), 1, FALSE)), ""No Survey"", IF(VLOOKUP(A299, IMPORTRANGE('Survey Progress'!$B$34, ""data!I2:L800""), 2, FALSE) = 0, ""Incomplete"", ""Complete"")))"),"")</f>
        <v/>
      </c>
      <c r="E299" s="27">
        <f t="shared" si="1"/>
        <v>0</v>
      </c>
      <c r="F299" s="14"/>
    </row>
    <row r="300">
      <c r="A300" s="14"/>
      <c r="B300" s="16" t="str">
        <f>IFERROR(__xludf.DUMMYFUNCTION("IF(ISERROR(VLOOKUP(A300, IMPORTRANGE('Survey Progress'!$B$32, ""data!H2:M800""), 5, FALSE)), """", IF(VLOOKUP(A300, IMPORTRANGE('Survey Progress'!$B$32, ""data!H2:M800""), 5, FALSE) = 1, ""Eligible"", ""Ineligible""))"),"Eligible")</f>
        <v>Eligible</v>
      </c>
      <c r="C300" s="15" t="str">
        <f>IFERROR(__xludf.DUMMYFUNCTION("IF(A300="""", """", IF(ISERROR(VLOOKUP(A300, IMPORTRANGE('Survey Progress'!$B$33, ""data!I2:L800""), 1, FALSE)), ""No Survey"", IF(VLOOKUP(A300, IMPORTRANGE('Survey Progress'!$B$33, ""data!I2:L800""), 2, FALSE) = 0, ""Incomplete"", ""Complete"")))"),"")</f>
        <v/>
      </c>
      <c r="D300" s="15" t="str">
        <f>IFERROR(__xludf.DUMMYFUNCTION("IF(A300="""", """", IF(ISERROR(VLOOKUP(A300, IMPORTRANGE('Survey Progress'!$B$34, ""data!I2:L800""), 1, FALSE)), ""No Survey"", IF(VLOOKUP(A300, IMPORTRANGE('Survey Progress'!$B$34, ""data!I2:L800""), 2, FALSE) = 0, ""Incomplete"", ""Complete"")))"),"")</f>
        <v/>
      </c>
      <c r="E300" s="27">
        <f t="shared" si="1"/>
        <v>0</v>
      </c>
      <c r="F300" s="14"/>
    </row>
    <row r="301">
      <c r="A301" s="14"/>
      <c r="B301" s="16" t="str">
        <f>IFERROR(__xludf.DUMMYFUNCTION("IF(ISERROR(VLOOKUP(A301, IMPORTRANGE('Survey Progress'!$B$32, ""data!H2:M800""), 5, FALSE)), """", IF(VLOOKUP(A301, IMPORTRANGE('Survey Progress'!$B$32, ""data!H2:M800""), 5, FALSE) = 1, ""Eligible"", ""Ineligible""))"),"Eligible")</f>
        <v>Eligible</v>
      </c>
      <c r="C301" s="15" t="str">
        <f>IFERROR(__xludf.DUMMYFUNCTION("IF(A301="""", """", IF(ISERROR(VLOOKUP(A301, IMPORTRANGE('Survey Progress'!$B$33, ""data!I2:L800""), 1, FALSE)), ""No Survey"", IF(VLOOKUP(A301, IMPORTRANGE('Survey Progress'!$B$33, ""data!I2:L800""), 2, FALSE) = 0, ""Incomplete"", ""Complete"")))"),"")</f>
        <v/>
      </c>
      <c r="D301" s="15" t="str">
        <f>IFERROR(__xludf.DUMMYFUNCTION("IF(A301="""", """", IF(ISERROR(VLOOKUP(A301, IMPORTRANGE('Survey Progress'!$B$34, ""data!I2:L800""), 1, FALSE)), ""No Survey"", IF(VLOOKUP(A301, IMPORTRANGE('Survey Progress'!$B$34, ""data!I2:L800""), 2, FALSE) = 0, ""Incomplete"", ""Complete"")))"),"")</f>
        <v/>
      </c>
      <c r="E301" s="27">
        <f t="shared" si="1"/>
        <v>0</v>
      </c>
      <c r="F301" s="14"/>
    </row>
    <row r="302">
      <c r="A302" s="14"/>
      <c r="B302" s="16" t="str">
        <f>IFERROR(__xludf.DUMMYFUNCTION("IF(ISERROR(VLOOKUP(A302, IMPORTRANGE('Survey Progress'!$B$32, ""data!H2:M800""), 5, FALSE)), """", IF(VLOOKUP(A302, IMPORTRANGE('Survey Progress'!$B$32, ""data!H2:M800""), 5, FALSE) = 1, ""Eligible"", ""Ineligible""))"),"Eligible")</f>
        <v>Eligible</v>
      </c>
      <c r="C302" s="15" t="str">
        <f>IFERROR(__xludf.DUMMYFUNCTION("IF(A302="""", """", IF(ISERROR(VLOOKUP(A302, IMPORTRANGE('Survey Progress'!$B$33, ""data!I2:L800""), 1, FALSE)), ""No Survey"", IF(VLOOKUP(A302, IMPORTRANGE('Survey Progress'!$B$33, ""data!I2:L800""), 2, FALSE) = 0, ""Incomplete"", ""Complete"")))"),"")</f>
        <v/>
      </c>
      <c r="D302" s="15" t="str">
        <f>IFERROR(__xludf.DUMMYFUNCTION("IF(A302="""", """", IF(ISERROR(VLOOKUP(A302, IMPORTRANGE('Survey Progress'!$B$34, ""data!I2:L800""), 1, FALSE)), ""No Survey"", IF(VLOOKUP(A302, IMPORTRANGE('Survey Progress'!$B$34, ""data!I2:L800""), 2, FALSE) = 0, ""Incomplete"", ""Complete"")))"),"")</f>
        <v/>
      </c>
      <c r="E302" s="27">
        <f t="shared" si="1"/>
        <v>0</v>
      </c>
      <c r="F302" s="14"/>
    </row>
    <row r="303">
      <c r="A303" s="14"/>
      <c r="B303" s="16" t="str">
        <f>IFERROR(__xludf.DUMMYFUNCTION("IF(ISERROR(VLOOKUP(A303, IMPORTRANGE('Survey Progress'!$B$32, ""data!H2:M800""), 5, FALSE)), """", IF(VLOOKUP(A303, IMPORTRANGE('Survey Progress'!$B$32, ""data!H2:M800""), 5, FALSE) = 1, ""Eligible"", ""Ineligible""))"),"Eligible")</f>
        <v>Eligible</v>
      </c>
      <c r="C303" s="15" t="str">
        <f>IFERROR(__xludf.DUMMYFUNCTION("IF(A303="""", """", IF(ISERROR(VLOOKUP(A303, IMPORTRANGE('Survey Progress'!$B$33, ""data!I2:L800""), 1, FALSE)), ""No Survey"", IF(VLOOKUP(A303, IMPORTRANGE('Survey Progress'!$B$33, ""data!I2:L800""), 2, FALSE) = 0, ""Incomplete"", ""Complete"")))"),"")</f>
        <v/>
      </c>
      <c r="D303" s="15" t="str">
        <f>IFERROR(__xludf.DUMMYFUNCTION("IF(A303="""", """", IF(ISERROR(VLOOKUP(A303, IMPORTRANGE('Survey Progress'!$B$34, ""data!I2:L800""), 1, FALSE)), ""No Survey"", IF(VLOOKUP(A303, IMPORTRANGE('Survey Progress'!$B$34, ""data!I2:L800""), 2, FALSE) = 0, ""Incomplete"", ""Complete"")))"),"")</f>
        <v/>
      </c>
      <c r="E303" s="27">
        <f t="shared" si="1"/>
        <v>0</v>
      </c>
      <c r="F303" s="14"/>
    </row>
    <row r="304">
      <c r="A304" s="14"/>
      <c r="B304" s="16" t="str">
        <f>IFERROR(__xludf.DUMMYFUNCTION("IF(ISERROR(VLOOKUP(A304, IMPORTRANGE('Survey Progress'!$B$32, ""data!H2:M800""), 5, FALSE)), """", IF(VLOOKUP(A304, IMPORTRANGE('Survey Progress'!$B$32, ""data!H2:M800""), 5, FALSE) = 1, ""Eligible"", ""Ineligible""))"),"Eligible")</f>
        <v>Eligible</v>
      </c>
      <c r="C304" s="15" t="str">
        <f>IFERROR(__xludf.DUMMYFUNCTION("IF(A304="""", """", IF(ISERROR(VLOOKUP(A304, IMPORTRANGE('Survey Progress'!$B$33, ""data!I2:L800""), 1, FALSE)), ""No Survey"", IF(VLOOKUP(A304, IMPORTRANGE('Survey Progress'!$B$33, ""data!I2:L800""), 2, FALSE) = 0, ""Incomplete"", ""Complete"")))"),"")</f>
        <v/>
      </c>
      <c r="D304" s="15" t="str">
        <f>IFERROR(__xludf.DUMMYFUNCTION("IF(A304="""", """", IF(ISERROR(VLOOKUP(A304, IMPORTRANGE('Survey Progress'!$B$34, ""data!I2:L800""), 1, FALSE)), ""No Survey"", IF(VLOOKUP(A304, IMPORTRANGE('Survey Progress'!$B$34, ""data!I2:L800""), 2, FALSE) = 0, ""Incomplete"", ""Complete"")))"),"")</f>
        <v/>
      </c>
      <c r="E304" s="27">
        <f t="shared" si="1"/>
        <v>0</v>
      </c>
      <c r="F304" s="14"/>
    </row>
    <row r="305">
      <c r="A305" s="14"/>
      <c r="B305" s="16" t="str">
        <f>IFERROR(__xludf.DUMMYFUNCTION("IF(ISERROR(VLOOKUP(A305, IMPORTRANGE('Survey Progress'!$B$32, ""data!H2:M800""), 5, FALSE)), """", IF(VLOOKUP(A305, IMPORTRANGE('Survey Progress'!$B$32, ""data!H2:M800""), 5, FALSE) = 1, ""Eligible"", ""Ineligible""))"),"Eligible")</f>
        <v>Eligible</v>
      </c>
      <c r="C305" s="15" t="str">
        <f>IFERROR(__xludf.DUMMYFUNCTION("IF(A305="""", """", IF(ISERROR(VLOOKUP(A305, IMPORTRANGE('Survey Progress'!$B$33, ""data!I2:L800""), 1, FALSE)), ""No Survey"", IF(VLOOKUP(A305, IMPORTRANGE('Survey Progress'!$B$33, ""data!I2:L800""), 2, FALSE) = 0, ""Incomplete"", ""Complete"")))"),"")</f>
        <v/>
      </c>
      <c r="D305" s="15" t="str">
        <f>IFERROR(__xludf.DUMMYFUNCTION("IF(A305="""", """", IF(ISERROR(VLOOKUP(A305, IMPORTRANGE('Survey Progress'!$B$34, ""data!I2:L800""), 1, FALSE)), ""No Survey"", IF(VLOOKUP(A305, IMPORTRANGE('Survey Progress'!$B$34, ""data!I2:L800""), 2, FALSE) = 0, ""Incomplete"", ""Complete"")))"),"")</f>
        <v/>
      </c>
      <c r="E305" s="27">
        <f t="shared" si="1"/>
        <v>0</v>
      </c>
      <c r="F305" s="14"/>
    </row>
    <row r="306">
      <c r="A306" s="14"/>
      <c r="B306" s="16" t="str">
        <f>IFERROR(__xludf.DUMMYFUNCTION("IF(ISERROR(VLOOKUP(A306, IMPORTRANGE('Survey Progress'!$B$32, ""data!H2:M800""), 5, FALSE)), """", IF(VLOOKUP(A306, IMPORTRANGE('Survey Progress'!$B$32, ""data!H2:M800""), 5, FALSE) = 1, ""Eligible"", ""Ineligible""))"),"Eligible")</f>
        <v>Eligible</v>
      </c>
      <c r="C306" s="15" t="str">
        <f>IFERROR(__xludf.DUMMYFUNCTION("IF(A306="""", """", IF(ISERROR(VLOOKUP(A306, IMPORTRANGE('Survey Progress'!$B$33, ""data!I2:L800""), 1, FALSE)), ""No Survey"", IF(VLOOKUP(A306, IMPORTRANGE('Survey Progress'!$B$33, ""data!I2:L800""), 2, FALSE) = 0, ""Incomplete"", ""Complete"")))"),"")</f>
        <v/>
      </c>
      <c r="D306" s="15" t="str">
        <f>IFERROR(__xludf.DUMMYFUNCTION("IF(A306="""", """", IF(ISERROR(VLOOKUP(A306, IMPORTRANGE('Survey Progress'!$B$34, ""data!I2:L800""), 1, FALSE)), ""No Survey"", IF(VLOOKUP(A306, IMPORTRANGE('Survey Progress'!$B$34, ""data!I2:L800""), 2, FALSE) = 0, ""Incomplete"", ""Complete"")))"),"")</f>
        <v/>
      </c>
      <c r="E306" s="27">
        <f t="shared" si="1"/>
        <v>0</v>
      </c>
      <c r="F306" s="14"/>
    </row>
    <row r="307">
      <c r="A307" s="14"/>
      <c r="B307" s="16" t="str">
        <f>IFERROR(__xludf.DUMMYFUNCTION("IF(ISERROR(VLOOKUP(A307, IMPORTRANGE('Survey Progress'!$B$32, ""data!H2:M800""), 5, FALSE)), """", IF(VLOOKUP(A307, IMPORTRANGE('Survey Progress'!$B$32, ""data!H2:M800""), 5, FALSE) = 1, ""Eligible"", ""Ineligible""))"),"Eligible")</f>
        <v>Eligible</v>
      </c>
      <c r="C307" s="15" t="str">
        <f>IFERROR(__xludf.DUMMYFUNCTION("IF(A307="""", """", IF(ISERROR(VLOOKUP(A307, IMPORTRANGE('Survey Progress'!$B$33, ""data!I2:L800""), 1, FALSE)), ""No Survey"", IF(VLOOKUP(A307, IMPORTRANGE('Survey Progress'!$B$33, ""data!I2:L800""), 2, FALSE) = 0, ""Incomplete"", ""Complete"")))"),"")</f>
        <v/>
      </c>
      <c r="D307" s="15" t="str">
        <f>IFERROR(__xludf.DUMMYFUNCTION("IF(A307="""", """", IF(ISERROR(VLOOKUP(A307, IMPORTRANGE('Survey Progress'!$B$34, ""data!I2:L800""), 1, FALSE)), ""No Survey"", IF(VLOOKUP(A307, IMPORTRANGE('Survey Progress'!$B$34, ""data!I2:L800""), 2, FALSE) = 0, ""Incomplete"", ""Complete"")))"),"")</f>
        <v/>
      </c>
      <c r="E307" s="27">
        <f t="shared" si="1"/>
        <v>0</v>
      </c>
      <c r="F307" s="14"/>
    </row>
    <row r="308">
      <c r="A308" s="14"/>
      <c r="B308" s="16" t="str">
        <f>IFERROR(__xludf.DUMMYFUNCTION("IF(ISERROR(VLOOKUP(A308, IMPORTRANGE('Survey Progress'!$B$32, ""data!H2:M800""), 5, FALSE)), """", IF(VLOOKUP(A308, IMPORTRANGE('Survey Progress'!$B$32, ""data!H2:M800""), 5, FALSE) = 1, ""Eligible"", ""Ineligible""))"),"Eligible")</f>
        <v>Eligible</v>
      </c>
      <c r="C308" s="15" t="str">
        <f>IFERROR(__xludf.DUMMYFUNCTION("IF(A308="""", """", IF(ISERROR(VLOOKUP(A308, IMPORTRANGE('Survey Progress'!$B$33, ""data!I2:L800""), 1, FALSE)), ""No Survey"", IF(VLOOKUP(A308, IMPORTRANGE('Survey Progress'!$B$33, ""data!I2:L800""), 2, FALSE) = 0, ""Incomplete"", ""Complete"")))"),"")</f>
        <v/>
      </c>
      <c r="D308" s="15" t="str">
        <f>IFERROR(__xludf.DUMMYFUNCTION("IF(A308="""", """", IF(ISERROR(VLOOKUP(A308, IMPORTRANGE('Survey Progress'!$B$34, ""data!I2:L800""), 1, FALSE)), ""No Survey"", IF(VLOOKUP(A308, IMPORTRANGE('Survey Progress'!$B$34, ""data!I2:L800""), 2, FALSE) = 0, ""Incomplete"", ""Complete"")))"),"")</f>
        <v/>
      </c>
      <c r="E308" s="27">
        <f t="shared" si="1"/>
        <v>0</v>
      </c>
      <c r="F308" s="14"/>
    </row>
    <row r="309">
      <c r="A309" s="14"/>
      <c r="B309" s="16" t="str">
        <f>IFERROR(__xludf.DUMMYFUNCTION("IF(ISERROR(VLOOKUP(A309, IMPORTRANGE('Survey Progress'!$B$32, ""data!H2:M800""), 5, FALSE)), """", IF(VLOOKUP(A309, IMPORTRANGE('Survey Progress'!$B$32, ""data!H2:M800""), 5, FALSE) = 1, ""Eligible"", ""Ineligible""))"),"Eligible")</f>
        <v>Eligible</v>
      </c>
      <c r="C309" s="15" t="str">
        <f>IFERROR(__xludf.DUMMYFUNCTION("IF(A309="""", """", IF(ISERROR(VLOOKUP(A309, IMPORTRANGE('Survey Progress'!$B$33, ""data!I2:L800""), 1, FALSE)), ""No Survey"", IF(VLOOKUP(A309, IMPORTRANGE('Survey Progress'!$B$33, ""data!I2:L800""), 2, FALSE) = 0, ""Incomplete"", ""Complete"")))"),"")</f>
        <v/>
      </c>
      <c r="D309" s="15" t="str">
        <f>IFERROR(__xludf.DUMMYFUNCTION("IF(A309="""", """", IF(ISERROR(VLOOKUP(A309, IMPORTRANGE('Survey Progress'!$B$34, ""data!I2:L800""), 1, FALSE)), ""No Survey"", IF(VLOOKUP(A309, IMPORTRANGE('Survey Progress'!$B$34, ""data!I2:L800""), 2, FALSE) = 0, ""Incomplete"", ""Complete"")))"),"")</f>
        <v/>
      </c>
      <c r="E309" s="27">
        <f t="shared" si="1"/>
        <v>0</v>
      </c>
      <c r="F309" s="14"/>
    </row>
    <row r="310">
      <c r="A310" s="14"/>
      <c r="B310" s="16" t="str">
        <f>IFERROR(__xludf.DUMMYFUNCTION("IF(ISERROR(VLOOKUP(A310, IMPORTRANGE('Survey Progress'!$B$32, ""data!H2:M800""), 5, FALSE)), """", IF(VLOOKUP(A310, IMPORTRANGE('Survey Progress'!$B$32, ""data!H2:M800""), 5, FALSE) = 1, ""Eligible"", ""Ineligible""))"),"Eligible")</f>
        <v>Eligible</v>
      </c>
      <c r="C310" s="15" t="str">
        <f>IFERROR(__xludf.DUMMYFUNCTION("IF(A310="""", """", IF(ISERROR(VLOOKUP(A310, IMPORTRANGE('Survey Progress'!$B$33, ""data!I2:L800""), 1, FALSE)), ""No Survey"", IF(VLOOKUP(A310, IMPORTRANGE('Survey Progress'!$B$33, ""data!I2:L800""), 2, FALSE) = 0, ""Incomplete"", ""Complete"")))"),"")</f>
        <v/>
      </c>
      <c r="D310" s="15" t="str">
        <f>IFERROR(__xludf.DUMMYFUNCTION("IF(A310="""", """", IF(ISERROR(VLOOKUP(A310, IMPORTRANGE('Survey Progress'!$B$34, ""data!I2:L800""), 1, FALSE)), ""No Survey"", IF(VLOOKUP(A310, IMPORTRANGE('Survey Progress'!$B$34, ""data!I2:L800""), 2, FALSE) = 0, ""Incomplete"", ""Complete"")))"),"")</f>
        <v/>
      </c>
      <c r="E310" s="27">
        <f t="shared" si="1"/>
        <v>0</v>
      </c>
      <c r="F310" s="14"/>
    </row>
    <row r="311">
      <c r="A311" s="14"/>
      <c r="B311" s="16" t="str">
        <f>IFERROR(__xludf.DUMMYFUNCTION("IF(ISERROR(VLOOKUP(A311, IMPORTRANGE('Survey Progress'!$B$32, ""data!H2:M800""), 5, FALSE)), """", IF(VLOOKUP(A311, IMPORTRANGE('Survey Progress'!$B$32, ""data!H2:M800""), 5, FALSE) = 1, ""Eligible"", ""Ineligible""))"),"Eligible")</f>
        <v>Eligible</v>
      </c>
      <c r="C311" s="15" t="str">
        <f>IFERROR(__xludf.DUMMYFUNCTION("IF(A311="""", """", IF(ISERROR(VLOOKUP(A311, IMPORTRANGE('Survey Progress'!$B$33, ""data!I2:L800""), 1, FALSE)), ""No Survey"", IF(VLOOKUP(A311, IMPORTRANGE('Survey Progress'!$B$33, ""data!I2:L800""), 2, FALSE) = 0, ""Incomplete"", ""Complete"")))"),"")</f>
        <v/>
      </c>
      <c r="D311" s="15" t="str">
        <f>IFERROR(__xludf.DUMMYFUNCTION("IF(A311="""", """", IF(ISERROR(VLOOKUP(A311, IMPORTRANGE('Survey Progress'!$B$34, ""data!I2:L800""), 1, FALSE)), ""No Survey"", IF(VLOOKUP(A311, IMPORTRANGE('Survey Progress'!$B$34, ""data!I2:L800""), 2, FALSE) = 0, ""Incomplete"", ""Complete"")))"),"")</f>
        <v/>
      </c>
      <c r="E311" s="27">
        <f t="shared" si="1"/>
        <v>0</v>
      </c>
      <c r="F311" s="14"/>
    </row>
    <row r="312">
      <c r="A312" s="14"/>
      <c r="B312" s="16" t="str">
        <f>IFERROR(__xludf.DUMMYFUNCTION("IF(ISERROR(VLOOKUP(A312, IMPORTRANGE('Survey Progress'!$B$32, ""data!H2:M800""), 5, FALSE)), """", IF(VLOOKUP(A312, IMPORTRANGE('Survey Progress'!$B$32, ""data!H2:M800""), 5, FALSE) = 1, ""Eligible"", ""Ineligible""))"),"Eligible")</f>
        <v>Eligible</v>
      </c>
      <c r="C312" s="15" t="str">
        <f>IFERROR(__xludf.DUMMYFUNCTION("IF(A312="""", """", IF(ISERROR(VLOOKUP(A312, IMPORTRANGE('Survey Progress'!$B$33, ""data!I2:L800""), 1, FALSE)), ""No Survey"", IF(VLOOKUP(A312, IMPORTRANGE('Survey Progress'!$B$33, ""data!I2:L800""), 2, FALSE) = 0, ""Incomplete"", ""Complete"")))"),"")</f>
        <v/>
      </c>
      <c r="D312" s="15" t="str">
        <f>IFERROR(__xludf.DUMMYFUNCTION("IF(A312="""", """", IF(ISERROR(VLOOKUP(A312, IMPORTRANGE('Survey Progress'!$B$34, ""data!I2:L800""), 1, FALSE)), ""No Survey"", IF(VLOOKUP(A312, IMPORTRANGE('Survey Progress'!$B$34, ""data!I2:L800""), 2, FALSE) = 0, ""Incomplete"", ""Complete"")))"),"")</f>
        <v/>
      </c>
      <c r="E312" s="27">
        <f t="shared" si="1"/>
        <v>0</v>
      </c>
      <c r="F312" s="14"/>
    </row>
    <row r="313">
      <c r="A313" s="14"/>
      <c r="B313" s="16" t="str">
        <f>IFERROR(__xludf.DUMMYFUNCTION("IF(ISERROR(VLOOKUP(A313, IMPORTRANGE('Survey Progress'!$B$32, ""data!H2:M800""), 5, FALSE)), """", IF(VLOOKUP(A313, IMPORTRANGE('Survey Progress'!$B$32, ""data!H2:M800""), 5, FALSE) = 1, ""Eligible"", ""Ineligible""))"),"Eligible")</f>
        <v>Eligible</v>
      </c>
      <c r="C313" s="15" t="str">
        <f>IFERROR(__xludf.DUMMYFUNCTION("IF(A313="""", """", IF(ISERROR(VLOOKUP(A313, IMPORTRANGE('Survey Progress'!$B$33, ""data!I2:L800""), 1, FALSE)), ""No Survey"", IF(VLOOKUP(A313, IMPORTRANGE('Survey Progress'!$B$33, ""data!I2:L800""), 2, FALSE) = 0, ""Incomplete"", ""Complete"")))"),"")</f>
        <v/>
      </c>
      <c r="D313" s="15" t="str">
        <f>IFERROR(__xludf.DUMMYFUNCTION("IF(A313="""", """", IF(ISERROR(VLOOKUP(A313, IMPORTRANGE('Survey Progress'!$B$34, ""data!I2:L800""), 1, FALSE)), ""No Survey"", IF(VLOOKUP(A313, IMPORTRANGE('Survey Progress'!$B$34, ""data!I2:L800""), 2, FALSE) = 0, ""Incomplete"", ""Complete"")))"),"")</f>
        <v/>
      </c>
      <c r="E313" s="27">
        <f t="shared" si="1"/>
        <v>0</v>
      </c>
      <c r="F313" s="14"/>
    </row>
    <row r="314">
      <c r="A314" s="14"/>
      <c r="B314" s="16" t="str">
        <f>IFERROR(__xludf.DUMMYFUNCTION("IF(ISERROR(VLOOKUP(A314, IMPORTRANGE('Survey Progress'!$B$32, ""data!H2:M800""), 5, FALSE)), """", IF(VLOOKUP(A314, IMPORTRANGE('Survey Progress'!$B$32, ""data!H2:M800""), 5, FALSE) = 1, ""Eligible"", ""Ineligible""))"),"Eligible")</f>
        <v>Eligible</v>
      </c>
      <c r="C314" s="15" t="str">
        <f>IFERROR(__xludf.DUMMYFUNCTION("IF(A314="""", """", IF(ISERROR(VLOOKUP(A314, IMPORTRANGE('Survey Progress'!$B$33, ""data!I2:L800""), 1, FALSE)), ""No Survey"", IF(VLOOKUP(A314, IMPORTRANGE('Survey Progress'!$B$33, ""data!I2:L800""), 2, FALSE) = 0, ""Incomplete"", ""Complete"")))"),"")</f>
        <v/>
      </c>
      <c r="D314" s="15" t="str">
        <f>IFERROR(__xludf.DUMMYFUNCTION("IF(A314="""", """", IF(ISERROR(VLOOKUP(A314, IMPORTRANGE('Survey Progress'!$B$34, ""data!I2:L800""), 1, FALSE)), ""No Survey"", IF(VLOOKUP(A314, IMPORTRANGE('Survey Progress'!$B$34, ""data!I2:L800""), 2, FALSE) = 0, ""Incomplete"", ""Complete"")))"),"")</f>
        <v/>
      </c>
      <c r="E314" s="27">
        <f t="shared" si="1"/>
        <v>0</v>
      </c>
      <c r="F314" s="14"/>
    </row>
    <row r="315">
      <c r="A315" s="14"/>
      <c r="B315" s="16" t="str">
        <f>IFERROR(__xludf.DUMMYFUNCTION("IF(ISERROR(VLOOKUP(A315, IMPORTRANGE('Survey Progress'!$B$32, ""data!H2:M800""), 5, FALSE)), """", IF(VLOOKUP(A315, IMPORTRANGE('Survey Progress'!$B$32, ""data!H2:M800""), 5, FALSE) = 1, ""Eligible"", ""Ineligible""))"),"Eligible")</f>
        <v>Eligible</v>
      </c>
      <c r="C315" s="15" t="str">
        <f>IFERROR(__xludf.DUMMYFUNCTION("IF(A315="""", """", IF(ISERROR(VLOOKUP(A315, IMPORTRANGE('Survey Progress'!$B$33, ""data!I2:L800""), 1, FALSE)), ""No Survey"", IF(VLOOKUP(A315, IMPORTRANGE('Survey Progress'!$B$33, ""data!I2:L800""), 2, FALSE) = 0, ""Incomplete"", ""Complete"")))"),"")</f>
        <v/>
      </c>
      <c r="D315" s="15" t="str">
        <f>IFERROR(__xludf.DUMMYFUNCTION("IF(A315="""", """", IF(ISERROR(VLOOKUP(A315, IMPORTRANGE('Survey Progress'!$B$34, ""data!I2:L800""), 1, FALSE)), ""No Survey"", IF(VLOOKUP(A315, IMPORTRANGE('Survey Progress'!$B$34, ""data!I2:L800""), 2, FALSE) = 0, ""Incomplete"", ""Complete"")))"),"")</f>
        <v/>
      </c>
      <c r="E315" s="27">
        <f t="shared" si="1"/>
        <v>0</v>
      </c>
      <c r="F315" s="14"/>
    </row>
    <row r="316">
      <c r="A316" s="14"/>
      <c r="B316" s="16" t="str">
        <f>IFERROR(__xludf.DUMMYFUNCTION("IF(ISERROR(VLOOKUP(A316, IMPORTRANGE('Survey Progress'!$B$32, ""data!H2:M800""), 5, FALSE)), """", IF(VLOOKUP(A316, IMPORTRANGE('Survey Progress'!$B$32, ""data!H2:M800""), 5, FALSE) = 1, ""Eligible"", ""Ineligible""))"),"Eligible")</f>
        <v>Eligible</v>
      </c>
      <c r="C316" s="15" t="str">
        <f>IFERROR(__xludf.DUMMYFUNCTION("IF(A316="""", """", IF(ISERROR(VLOOKUP(A316, IMPORTRANGE('Survey Progress'!$B$33, ""data!I2:L800""), 1, FALSE)), ""No Survey"", IF(VLOOKUP(A316, IMPORTRANGE('Survey Progress'!$B$33, ""data!I2:L800""), 2, FALSE) = 0, ""Incomplete"", ""Complete"")))"),"")</f>
        <v/>
      </c>
      <c r="D316" s="15" t="str">
        <f>IFERROR(__xludf.DUMMYFUNCTION("IF(A316="""", """", IF(ISERROR(VLOOKUP(A316, IMPORTRANGE('Survey Progress'!$B$34, ""data!I2:L800""), 1, FALSE)), ""No Survey"", IF(VLOOKUP(A316, IMPORTRANGE('Survey Progress'!$B$34, ""data!I2:L800""), 2, FALSE) = 0, ""Incomplete"", ""Complete"")))"),"")</f>
        <v/>
      </c>
      <c r="E316" s="27">
        <f t="shared" si="1"/>
        <v>0</v>
      </c>
      <c r="F316" s="14"/>
    </row>
    <row r="317">
      <c r="A317" s="14"/>
      <c r="B317" s="16" t="str">
        <f>IFERROR(__xludf.DUMMYFUNCTION("IF(ISERROR(VLOOKUP(A317, IMPORTRANGE('Survey Progress'!$B$32, ""data!H2:M800""), 5, FALSE)), """", IF(VLOOKUP(A317, IMPORTRANGE('Survey Progress'!$B$32, ""data!H2:M800""), 5, FALSE) = 1, ""Eligible"", ""Ineligible""))"),"Eligible")</f>
        <v>Eligible</v>
      </c>
      <c r="C317" s="15" t="str">
        <f>IFERROR(__xludf.DUMMYFUNCTION("IF(A317="""", """", IF(ISERROR(VLOOKUP(A317, IMPORTRANGE('Survey Progress'!$B$33, ""data!I2:L800""), 1, FALSE)), ""No Survey"", IF(VLOOKUP(A317, IMPORTRANGE('Survey Progress'!$B$33, ""data!I2:L800""), 2, FALSE) = 0, ""Incomplete"", ""Complete"")))"),"")</f>
        <v/>
      </c>
      <c r="D317" s="15" t="str">
        <f>IFERROR(__xludf.DUMMYFUNCTION("IF(A317="""", """", IF(ISERROR(VLOOKUP(A317, IMPORTRANGE('Survey Progress'!$B$34, ""data!I2:L800""), 1, FALSE)), ""No Survey"", IF(VLOOKUP(A317, IMPORTRANGE('Survey Progress'!$B$34, ""data!I2:L800""), 2, FALSE) = 0, ""Incomplete"", ""Complete"")))"),"")</f>
        <v/>
      </c>
      <c r="E317" s="27">
        <f t="shared" si="1"/>
        <v>0</v>
      </c>
      <c r="F317" s="14"/>
    </row>
    <row r="318">
      <c r="A318" s="14"/>
      <c r="B318" s="16" t="str">
        <f>IFERROR(__xludf.DUMMYFUNCTION("IF(ISERROR(VLOOKUP(A318, IMPORTRANGE('Survey Progress'!$B$32, ""data!H2:M800""), 5, FALSE)), """", IF(VLOOKUP(A318, IMPORTRANGE('Survey Progress'!$B$32, ""data!H2:M800""), 5, FALSE) = 1, ""Eligible"", ""Ineligible""))"),"Eligible")</f>
        <v>Eligible</v>
      </c>
      <c r="C318" s="15" t="str">
        <f>IFERROR(__xludf.DUMMYFUNCTION("IF(A318="""", """", IF(ISERROR(VLOOKUP(A318, IMPORTRANGE('Survey Progress'!$B$33, ""data!I2:L800""), 1, FALSE)), ""No Survey"", IF(VLOOKUP(A318, IMPORTRANGE('Survey Progress'!$B$33, ""data!I2:L800""), 2, FALSE) = 0, ""Incomplete"", ""Complete"")))"),"")</f>
        <v/>
      </c>
      <c r="D318" s="15" t="str">
        <f>IFERROR(__xludf.DUMMYFUNCTION("IF(A318="""", """", IF(ISERROR(VLOOKUP(A318, IMPORTRANGE('Survey Progress'!$B$34, ""data!I2:L800""), 1, FALSE)), ""No Survey"", IF(VLOOKUP(A318, IMPORTRANGE('Survey Progress'!$B$34, ""data!I2:L800""), 2, FALSE) = 0, ""Incomplete"", ""Complete"")))"),"")</f>
        <v/>
      </c>
      <c r="E318" s="27">
        <f t="shared" si="1"/>
        <v>0</v>
      </c>
      <c r="F318" s="14"/>
    </row>
    <row r="319">
      <c r="A319" s="14"/>
      <c r="B319" s="16" t="str">
        <f>IFERROR(__xludf.DUMMYFUNCTION("IF(ISERROR(VLOOKUP(A319, IMPORTRANGE('Survey Progress'!$B$32, ""data!H2:M800""), 5, FALSE)), """", IF(VLOOKUP(A319, IMPORTRANGE('Survey Progress'!$B$32, ""data!H2:M800""), 5, FALSE) = 1, ""Eligible"", ""Ineligible""))"),"Eligible")</f>
        <v>Eligible</v>
      </c>
      <c r="C319" s="15" t="str">
        <f>IFERROR(__xludf.DUMMYFUNCTION("IF(A319="""", """", IF(ISERROR(VLOOKUP(A319, IMPORTRANGE('Survey Progress'!$B$33, ""data!I2:L800""), 1, FALSE)), ""No Survey"", IF(VLOOKUP(A319, IMPORTRANGE('Survey Progress'!$B$33, ""data!I2:L800""), 2, FALSE) = 0, ""Incomplete"", ""Complete"")))"),"")</f>
        <v/>
      </c>
      <c r="D319" s="15" t="str">
        <f>IFERROR(__xludf.DUMMYFUNCTION("IF(A319="""", """", IF(ISERROR(VLOOKUP(A319, IMPORTRANGE('Survey Progress'!$B$34, ""data!I2:L800""), 1, FALSE)), ""No Survey"", IF(VLOOKUP(A319, IMPORTRANGE('Survey Progress'!$B$34, ""data!I2:L800""), 2, FALSE) = 0, ""Incomplete"", ""Complete"")))"),"")</f>
        <v/>
      </c>
      <c r="E319" s="27">
        <f t="shared" si="1"/>
        <v>0</v>
      </c>
      <c r="F319" s="14"/>
    </row>
    <row r="320">
      <c r="A320" s="14"/>
      <c r="B320" s="16" t="str">
        <f>IFERROR(__xludf.DUMMYFUNCTION("IF(ISERROR(VLOOKUP(A320, IMPORTRANGE('Survey Progress'!$B$32, ""data!H2:M800""), 5, FALSE)), """", IF(VLOOKUP(A320, IMPORTRANGE('Survey Progress'!$B$32, ""data!H2:M800""), 5, FALSE) = 1, ""Eligible"", ""Ineligible""))"),"Eligible")</f>
        <v>Eligible</v>
      </c>
      <c r="C320" s="15" t="str">
        <f>IFERROR(__xludf.DUMMYFUNCTION("IF(A320="""", """", IF(ISERROR(VLOOKUP(A320, IMPORTRANGE('Survey Progress'!$B$33, ""data!I2:L800""), 1, FALSE)), ""No Survey"", IF(VLOOKUP(A320, IMPORTRANGE('Survey Progress'!$B$33, ""data!I2:L800""), 2, FALSE) = 0, ""Incomplete"", ""Complete"")))"),"")</f>
        <v/>
      </c>
      <c r="D320" s="15" t="str">
        <f>IFERROR(__xludf.DUMMYFUNCTION("IF(A320="""", """", IF(ISERROR(VLOOKUP(A320, IMPORTRANGE('Survey Progress'!$B$34, ""data!I2:L800""), 1, FALSE)), ""No Survey"", IF(VLOOKUP(A320, IMPORTRANGE('Survey Progress'!$B$34, ""data!I2:L800""), 2, FALSE) = 0, ""Incomplete"", ""Complete"")))"),"")</f>
        <v/>
      </c>
      <c r="E320" s="27">
        <f t="shared" si="1"/>
        <v>0</v>
      </c>
      <c r="F320" s="14"/>
    </row>
    <row r="321">
      <c r="A321" s="14"/>
      <c r="B321" s="16" t="str">
        <f>IFERROR(__xludf.DUMMYFUNCTION("IF(ISERROR(VLOOKUP(A321, IMPORTRANGE('Survey Progress'!$B$32, ""data!H2:M800""), 5, FALSE)), """", IF(VLOOKUP(A321, IMPORTRANGE('Survey Progress'!$B$32, ""data!H2:M800""), 5, FALSE) = 1, ""Eligible"", ""Ineligible""))"),"Eligible")</f>
        <v>Eligible</v>
      </c>
      <c r="C321" s="15" t="str">
        <f>IFERROR(__xludf.DUMMYFUNCTION("IF(A321="""", """", IF(ISERROR(VLOOKUP(A321, IMPORTRANGE('Survey Progress'!$B$33, ""data!I2:L800""), 1, FALSE)), ""No Survey"", IF(VLOOKUP(A321, IMPORTRANGE('Survey Progress'!$B$33, ""data!I2:L800""), 2, FALSE) = 0, ""Incomplete"", ""Complete"")))"),"")</f>
        <v/>
      </c>
      <c r="D321" s="15" t="str">
        <f>IFERROR(__xludf.DUMMYFUNCTION("IF(A321="""", """", IF(ISERROR(VLOOKUP(A321, IMPORTRANGE('Survey Progress'!$B$34, ""data!I2:L800""), 1, FALSE)), ""No Survey"", IF(VLOOKUP(A321, IMPORTRANGE('Survey Progress'!$B$34, ""data!I2:L800""), 2, FALSE) = 0, ""Incomplete"", ""Complete"")))"),"")</f>
        <v/>
      </c>
      <c r="E321" s="27">
        <f t="shared" si="1"/>
        <v>0</v>
      </c>
      <c r="F321" s="14"/>
    </row>
    <row r="322">
      <c r="A322" s="14"/>
      <c r="B322" s="16" t="str">
        <f>IFERROR(__xludf.DUMMYFUNCTION("IF(ISERROR(VLOOKUP(A322, IMPORTRANGE('Survey Progress'!$B$32, ""data!H2:M800""), 5, FALSE)), """", IF(VLOOKUP(A322, IMPORTRANGE('Survey Progress'!$B$32, ""data!H2:M800""), 5, FALSE) = 1, ""Eligible"", ""Ineligible""))"),"Eligible")</f>
        <v>Eligible</v>
      </c>
      <c r="C322" s="15" t="str">
        <f>IFERROR(__xludf.DUMMYFUNCTION("IF(A322="""", """", IF(ISERROR(VLOOKUP(A322, IMPORTRANGE('Survey Progress'!$B$33, ""data!I2:L800""), 1, FALSE)), ""No Survey"", IF(VLOOKUP(A322, IMPORTRANGE('Survey Progress'!$B$33, ""data!I2:L800""), 2, FALSE) = 0, ""Incomplete"", ""Complete"")))"),"")</f>
        <v/>
      </c>
      <c r="D322" s="15" t="str">
        <f>IFERROR(__xludf.DUMMYFUNCTION("IF(A322="""", """", IF(ISERROR(VLOOKUP(A322, IMPORTRANGE('Survey Progress'!$B$34, ""data!I2:L800""), 1, FALSE)), ""No Survey"", IF(VLOOKUP(A322, IMPORTRANGE('Survey Progress'!$B$34, ""data!I2:L800""), 2, FALSE) = 0, ""Incomplete"", ""Complete"")))"),"")</f>
        <v/>
      </c>
      <c r="E322" s="27">
        <f t="shared" si="1"/>
        <v>0</v>
      </c>
      <c r="F322" s="14"/>
    </row>
    <row r="323">
      <c r="A323" s="14"/>
      <c r="B323" s="16" t="str">
        <f>IFERROR(__xludf.DUMMYFUNCTION("IF(ISERROR(VLOOKUP(A323, IMPORTRANGE('Survey Progress'!$B$32, ""data!H2:M800""), 5, FALSE)), """", IF(VLOOKUP(A323, IMPORTRANGE('Survey Progress'!$B$32, ""data!H2:M800""), 5, FALSE) = 1, ""Eligible"", ""Ineligible""))"),"Eligible")</f>
        <v>Eligible</v>
      </c>
      <c r="C323" s="15" t="str">
        <f>IFERROR(__xludf.DUMMYFUNCTION("IF(A323="""", """", IF(ISERROR(VLOOKUP(A323, IMPORTRANGE('Survey Progress'!$B$33, ""data!I2:L800""), 1, FALSE)), ""No Survey"", IF(VLOOKUP(A323, IMPORTRANGE('Survey Progress'!$B$33, ""data!I2:L800""), 2, FALSE) = 0, ""Incomplete"", ""Complete"")))"),"")</f>
        <v/>
      </c>
      <c r="D323" s="15" t="str">
        <f>IFERROR(__xludf.DUMMYFUNCTION("IF(A323="""", """", IF(ISERROR(VLOOKUP(A323, IMPORTRANGE('Survey Progress'!$B$34, ""data!I2:L800""), 1, FALSE)), ""No Survey"", IF(VLOOKUP(A323, IMPORTRANGE('Survey Progress'!$B$34, ""data!I2:L800""), 2, FALSE) = 0, ""Incomplete"", ""Complete"")))"),"")</f>
        <v/>
      </c>
      <c r="E323" s="27">
        <f t="shared" si="1"/>
        <v>0</v>
      </c>
      <c r="F323" s="14"/>
    </row>
    <row r="324">
      <c r="A324" s="14"/>
      <c r="B324" s="16" t="str">
        <f>IFERROR(__xludf.DUMMYFUNCTION("IF(ISERROR(VLOOKUP(A324, IMPORTRANGE('Survey Progress'!$B$32, ""data!H2:M800""), 5, FALSE)), """", IF(VLOOKUP(A324, IMPORTRANGE('Survey Progress'!$B$32, ""data!H2:M800""), 5, FALSE) = 1, ""Eligible"", ""Ineligible""))"),"Eligible")</f>
        <v>Eligible</v>
      </c>
      <c r="C324" s="15" t="str">
        <f>IFERROR(__xludf.DUMMYFUNCTION("IF(A324="""", """", IF(ISERROR(VLOOKUP(A324, IMPORTRANGE('Survey Progress'!$B$33, ""data!I2:L800""), 1, FALSE)), ""No Survey"", IF(VLOOKUP(A324, IMPORTRANGE('Survey Progress'!$B$33, ""data!I2:L800""), 2, FALSE) = 0, ""Incomplete"", ""Complete"")))"),"")</f>
        <v/>
      </c>
      <c r="D324" s="15" t="str">
        <f>IFERROR(__xludf.DUMMYFUNCTION("IF(A324="""", """", IF(ISERROR(VLOOKUP(A324, IMPORTRANGE('Survey Progress'!$B$34, ""data!I2:L800""), 1, FALSE)), ""No Survey"", IF(VLOOKUP(A324, IMPORTRANGE('Survey Progress'!$B$34, ""data!I2:L800""), 2, FALSE) = 0, ""Incomplete"", ""Complete"")))"),"")</f>
        <v/>
      </c>
      <c r="E324" s="27">
        <f t="shared" si="1"/>
        <v>0</v>
      </c>
      <c r="F324" s="14"/>
    </row>
    <row r="325">
      <c r="A325" s="14"/>
      <c r="B325" s="16" t="str">
        <f>IFERROR(__xludf.DUMMYFUNCTION("IF(ISERROR(VLOOKUP(A325, IMPORTRANGE('Survey Progress'!$B$32, ""data!H2:M800""), 5, FALSE)), """", IF(VLOOKUP(A325, IMPORTRANGE('Survey Progress'!$B$32, ""data!H2:M800""), 5, FALSE) = 1, ""Eligible"", ""Ineligible""))"),"Eligible")</f>
        <v>Eligible</v>
      </c>
      <c r="C325" s="15" t="str">
        <f>IFERROR(__xludf.DUMMYFUNCTION("IF(A325="""", """", IF(ISERROR(VLOOKUP(A325, IMPORTRANGE('Survey Progress'!$B$33, ""data!I2:L800""), 1, FALSE)), ""No Survey"", IF(VLOOKUP(A325, IMPORTRANGE('Survey Progress'!$B$33, ""data!I2:L800""), 2, FALSE) = 0, ""Incomplete"", ""Complete"")))"),"")</f>
        <v/>
      </c>
      <c r="D325" s="15" t="str">
        <f>IFERROR(__xludf.DUMMYFUNCTION("IF(A325="""", """", IF(ISERROR(VLOOKUP(A325, IMPORTRANGE('Survey Progress'!$B$34, ""data!I2:L800""), 1, FALSE)), ""No Survey"", IF(VLOOKUP(A325, IMPORTRANGE('Survey Progress'!$B$34, ""data!I2:L800""), 2, FALSE) = 0, ""Incomplete"", ""Complete"")))"),"")</f>
        <v/>
      </c>
      <c r="E325" s="27">
        <f t="shared" si="1"/>
        <v>0</v>
      </c>
      <c r="F325" s="14"/>
    </row>
    <row r="326">
      <c r="A326" s="14"/>
      <c r="B326" s="16" t="str">
        <f>IFERROR(__xludf.DUMMYFUNCTION("IF(ISERROR(VLOOKUP(A326, IMPORTRANGE('Survey Progress'!$B$32, ""data!H2:M800""), 5, FALSE)), """", IF(VLOOKUP(A326, IMPORTRANGE('Survey Progress'!$B$32, ""data!H2:M800""), 5, FALSE) = 1, ""Eligible"", ""Ineligible""))"),"Eligible")</f>
        <v>Eligible</v>
      </c>
      <c r="C326" s="15" t="str">
        <f>IFERROR(__xludf.DUMMYFUNCTION("IF(A326="""", """", IF(ISERROR(VLOOKUP(A326, IMPORTRANGE('Survey Progress'!$B$33, ""data!I2:L800""), 1, FALSE)), ""No Survey"", IF(VLOOKUP(A326, IMPORTRANGE('Survey Progress'!$B$33, ""data!I2:L800""), 2, FALSE) = 0, ""Incomplete"", ""Complete"")))"),"")</f>
        <v/>
      </c>
      <c r="D326" s="15" t="str">
        <f>IFERROR(__xludf.DUMMYFUNCTION("IF(A326="""", """", IF(ISERROR(VLOOKUP(A326, IMPORTRANGE('Survey Progress'!$B$34, ""data!I2:L800""), 1, FALSE)), ""No Survey"", IF(VLOOKUP(A326, IMPORTRANGE('Survey Progress'!$B$34, ""data!I2:L800""), 2, FALSE) = 0, ""Incomplete"", ""Complete"")))"),"")</f>
        <v/>
      </c>
      <c r="E326" s="27">
        <f t="shared" si="1"/>
        <v>0</v>
      </c>
      <c r="F326" s="14"/>
    </row>
    <row r="327">
      <c r="A327" s="14"/>
      <c r="B327" s="16" t="str">
        <f>IFERROR(__xludf.DUMMYFUNCTION("IF(ISERROR(VLOOKUP(A327, IMPORTRANGE('Survey Progress'!$B$32, ""data!H2:M800""), 5, FALSE)), """", IF(VLOOKUP(A327, IMPORTRANGE('Survey Progress'!$B$32, ""data!H2:M800""), 5, FALSE) = 1, ""Eligible"", ""Ineligible""))"),"Eligible")</f>
        <v>Eligible</v>
      </c>
      <c r="C327" s="15" t="str">
        <f>IFERROR(__xludf.DUMMYFUNCTION("IF(A327="""", """", IF(ISERROR(VLOOKUP(A327, IMPORTRANGE('Survey Progress'!$B$33, ""data!I2:L800""), 1, FALSE)), ""No Survey"", IF(VLOOKUP(A327, IMPORTRANGE('Survey Progress'!$B$33, ""data!I2:L800""), 2, FALSE) = 0, ""Incomplete"", ""Complete"")))"),"")</f>
        <v/>
      </c>
      <c r="D327" s="15" t="str">
        <f>IFERROR(__xludf.DUMMYFUNCTION("IF(A327="""", """", IF(ISERROR(VLOOKUP(A327, IMPORTRANGE('Survey Progress'!$B$34, ""data!I2:L800""), 1, FALSE)), ""No Survey"", IF(VLOOKUP(A327, IMPORTRANGE('Survey Progress'!$B$34, ""data!I2:L800""), 2, FALSE) = 0, ""Incomplete"", ""Complete"")))"),"")</f>
        <v/>
      </c>
      <c r="E327" s="27">
        <f t="shared" si="1"/>
        <v>0</v>
      </c>
      <c r="F327" s="14"/>
    </row>
    <row r="328">
      <c r="A328" s="14"/>
      <c r="B328" s="16" t="str">
        <f>IFERROR(__xludf.DUMMYFUNCTION("IF(ISERROR(VLOOKUP(A328, IMPORTRANGE('Survey Progress'!$B$32, ""data!H2:M800""), 5, FALSE)), """", IF(VLOOKUP(A328, IMPORTRANGE('Survey Progress'!$B$32, ""data!H2:M800""), 5, FALSE) = 1, ""Eligible"", ""Ineligible""))"),"Eligible")</f>
        <v>Eligible</v>
      </c>
      <c r="C328" s="15" t="str">
        <f>IFERROR(__xludf.DUMMYFUNCTION("IF(A328="""", """", IF(ISERROR(VLOOKUP(A328, IMPORTRANGE('Survey Progress'!$B$33, ""data!I2:L800""), 1, FALSE)), ""No Survey"", IF(VLOOKUP(A328, IMPORTRANGE('Survey Progress'!$B$33, ""data!I2:L800""), 2, FALSE) = 0, ""Incomplete"", ""Complete"")))"),"")</f>
        <v/>
      </c>
      <c r="D328" s="15" t="str">
        <f>IFERROR(__xludf.DUMMYFUNCTION("IF(A328="""", """", IF(ISERROR(VLOOKUP(A328, IMPORTRANGE('Survey Progress'!$B$34, ""data!I2:L800""), 1, FALSE)), ""No Survey"", IF(VLOOKUP(A328, IMPORTRANGE('Survey Progress'!$B$34, ""data!I2:L800""), 2, FALSE) = 0, ""Incomplete"", ""Complete"")))"),"")</f>
        <v/>
      </c>
      <c r="E328" s="27">
        <f t="shared" si="1"/>
        <v>0</v>
      </c>
      <c r="F328" s="14"/>
    </row>
    <row r="329">
      <c r="A329" s="14"/>
      <c r="B329" s="16" t="str">
        <f>IFERROR(__xludf.DUMMYFUNCTION("IF(ISERROR(VLOOKUP(A329, IMPORTRANGE('Survey Progress'!$B$32, ""data!H2:M800""), 5, FALSE)), """", IF(VLOOKUP(A329, IMPORTRANGE('Survey Progress'!$B$32, ""data!H2:M800""), 5, FALSE) = 1, ""Eligible"", ""Ineligible""))"),"Eligible")</f>
        <v>Eligible</v>
      </c>
      <c r="C329" s="15" t="str">
        <f>IFERROR(__xludf.DUMMYFUNCTION("IF(A329="""", """", IF(ISERROR(VLOOKUP(A329, IMPORTRANGE('Survey Progress'!$B$33, ""data!I2:L800""), 1, FALSE)), ""No Survey"", IF(VLOOKUP(A329, IMPORTRANGE('Survey Progress'!$B$33, ""data!I2:L800""), 2, FALSE) = 0, ""Incomplete"", ""Complete"")))"),"")</f>
        <v/>
      </c>
      <c r="D329" s="15" t="str">
        <f>IFERROR(__xludf.DUMMYFUNCTION("IF(A329="""", """", IF(ISERROR(VLOOKUP(A329, IMPORTRANGE('Survey Progress'!$B$34, ""data!I2:L800""), 1, FALSE)), ""No Survey"", IF(VLOOKUP(A329, IMPORTRANGE('Survey Progress'!$B$34, ""data!I2:L800""), 2, FALSE) = 0, ""Incomplete"", ""Complete"")))"),"")</f>
        <v/>
      </c>
      <c r="E329" s="27">
        <f t="shared" si="1"/>
        <v>0</v>
      </c>
      <c r="F329" s="14"/>
    </row>
    <row r="330">
      <c r="A330" s="14"/>
      <c r="B330" s="16" t="str">
        <f>IFERROR(__xludf.DUMMYFUNCTION("IF(ISERROR(VLOOKUP(A330, IMPORTRANGE('Survey Progress'!$B$32, ""data!H2:M800""), 5, FALSE)), """", IF(VLOOKUP(A330, IMPORTRANGE('Survey Progress'!$B$32, ""data!H2:M800""), 5, FALSE) = 1, ""Eligible"", ""Ineligible""))"),"Eligible")</f>
        <v>Eligible</v>
      </c>
      <c r="C330" s="15" t="str">
        <f>IFERROR(__xludf.DUMMYFUNCTION("IF(A330="""", """", IF(ISERROR(VLOOKUP(A330, IMPORTRANGE('Survey Progress'!$B$33, ""data!I2:L800""), 1, FALSE)), ""No Survey"", IF(VLOOKUP(A330, IMPORTRANGE('Survey Progress'!$B$33, ""data!I2:L800""), 2, FALSE) = 0, ""Incomplete"", ""Complete"")))"),"")</f>
        <v/>
      </c>
      <c r="D330" s="15" t="str">
        <f>IFERROR(__xludf.DUMMYFUNCTION("IF(A330="""", """", IF(ISERROR(VLOOKUP(A330, IMPORTRANGE('Survey Progress'!$B$34, ""data!I2:L800""), 1, FALSE)), ""No Survey"", IF(VLOOKUP(A330, IMPORTRANGE('Survey Progress'!$B$34, ""data!I2:L800""), 2, FALSE) = 0, ""Incomplete"", ""Complete"")))"),"")</f>
        <v/>
      </c>
      <c r="E330" s="27">
        <f t="shared" si="1"/>
        <v>0</v>
      </c>
      <c r="F330" s="14"/>
    </row>
    <row r="331">
      <c r="A331" s="14"/>
      <c r="B331" s="16" t="str">
        <f>IFERROR(__xludf.DUMMYFUNCTION("IF(ISERROR(VLOOKUP(A331, IMPORTRANGE('Survey Progress'!$B$32, ""data!H2:M800""), 5, FALSE)), """", IF(VLOOKUP(A331, IMPORTRANGE('Survey Progress'!$B$32, ""data!H2:M800""), 5, FALSE) = 1, ""Eligible"", ""Ineligible""))"),"Eligible")</f>
        <v>Eligible</v>
      </c>
      <c r="C331" s="15" t="str">
        <f>IFERROR(__xludf.DUMMYFUNCTION("IF(A331="""", """", IF(ISERROR(VLOOKUP(A331, IMPORTRANGE('Survey Progress'!$B$33, ""data!I2:L800""), 1, FALSE)), ""No Survey"", IF(VLOOKUP(A331, IMPORTRANGE('Survey Progress'!$B$33, ""data!I2:L800""), 2, FALSE) = 0, ""Incomplete"", ""Complete"")))"),"")</f>
        <v/>
      </c>
      <c r="D331" s="15" t="str">
        <f>IFERROR(__xludf.DUMMYFUNCTION("IF(A331="""", """", IF(ISERROR(VLOOKUP(A331, IMPORTRANGE('Survey Progress'!$B$34, ""data!I2:L800""), 1, FALSE)), ""No Survey"", IF(VLOOKUP(A331, IMPORTRANGE('Survey Progress'!$B$34, ""data!I2:L800""), 2, FALSE) = 0, ""Incomplete"", ""Complete"")))"),"")</f>
        <v/>
      </c>
      <c r="E331" s="27">
        <f t="shared" si="1"/>
        <v>0</v>
      </c>
      <c r="F331" s="14"/>
    </row>
    <row r="332">
      <c r="A332" s="14"/>
      <c r="B332" s="16" t="str">
        <f>IFERROR(__xludf.DUMMYFUNCTION("IF(ISERROR(VLOOKUP(A332, IMPORTRANGE('Survey Progress'!$B$32, ""data!H2:M800""), 5, FALSE)), """", IF(VLOOKUP(A332, IMPORTRANGE('Survey Progress'!$B$32, ""data!H2:M800""), 5, FALSE) = 1, ""Eligible"", ""Ineligible""))"),"Eligible")</f>
        <v>Eligible</v>
      </c>
      <c r="C332" s="15" t="str">
        <f>IFERROR(__xludf.DUMMYFUNCTION("IF(A332="""", """", IF(ISERROR(VLOOKUP(A332, IMPORTRANGE('Survey Progress'!$B$33, ""data!I2:L800""), 1, FALSE)), ""No Survey"", IF(VLOOKUP(A332, IMPORTRANGE('Survey Progress'!$B$33, ""data!I2:L800""), 2, FALSE) = 0, ""Incomplete"", ""Complete"")))"),"")</f>
        <v/>
      </c>
      <c r="D332" s="15" t="str">
        <f>IFERROR(__xludf.DUMMYFUNCTION("IF(A332="""", """", IF(ISERROR(VLOOKUP(A332, IMPORTRANGE('Survey Progress'!$B$34, ""data!I2:L800""), 1, FALSE)), ""No Survey"", IF(VLOOKUP(A332, IMPORTRANGE('Survey Progress'!$B$34, ""data!I2:L800""), 2, FALSE) = 0, ""Incomplete"", ""Complete"")))"),"")</f>
        <v/>
      </c>
      <c r="E332" s="27">
        <f t="shared" si="1"/>
        <v>0</v>
      </c>
      <c r="F332" s="14"/>
    </row>
    <row r="333">
      <c r="A333" s="14"/>
      <c r="B333" s="16" t="str">
        <f>IFERROR(__xludf.DUMMYFUNCTION("IF(ISERROR(VLOOKUP(A333, IMPORTRANGE('Survey Progress'!$B$32, ""data!H2:M800""), 5, FALSE)), """", IF(VLOOKUP(A333, IMPORTRANGE('Survey Progress'!$B$32, ""data!H2:M800""), 5, FALSE) = 1, ""Eligible"", ""Ineligible""))"),"Eligible")</f>
        <v>Eligible</v>
      </c>
      <c r="C333" s="15" t="str">
        <f>IFERROR(__xludf.DUMMYFUNCTION("IF(A333="""", """", IF(ISERROR(VLOOKUP(A333, IMPORTRANGE('Survey Progress'!$B$33, ""data!I2:L800""), 1, FALSE)), ""No Survey"", IF(VLOOKUP(A333, IMPORTRANGE('Survey Progress'!$B$33, ""data!I2:L800""), 2, FALSE) = 0, ""Incomplete"", ""Complete"")))"),"")</f>
        <v/>
      </c>
      <c r="D333" s="15" t="str">
        <f>IFERROR(__xludf.DUMMYFUNCTION("IF(A333="""", """", IF(ISERROR(VLOOKUP(A333, IMPORTRANGE('Survey Progress'!$B$34, ""data!I2:L800""), 1, FALSE)), ""No Survey"", IF(VLOOKUP(A333, IMPORTRANGE('Survey Progress'!$B$34, ""data!I2:L800""), 2, FALSE) = 0, ""Incomplete"", ""Complete"")))"),"")</f>
        <v/>
      </c>
      <c r="E333" s="27">
        <f t="shared" si="1"/>
        <v>0</v>
      </c>
      <c r="F333" s="14"/>
    </row>
    <row r="334">
      <c r="A334" s="14"/>
      <c r="B334" s="16" t="str">
        <f>IFERROR(__xludf.DUMMYFUNCTION("IF(ISERROR(VLOOKUP(A334, IMPORTRANGE('Survey Progress'!$B$32, ""data!H2:M800""), 5, FALSE)), """", IF(VLOOKUP(A334, IMPORTRANGE('Survey Progress'!$B$32, ""data!H2:M800""), 5, FALSE) = 1, ""Eligible"", ""Ineligible""))"),"Eligible")</f>
        <v>Eligible</v>
      </c>
      <c r="C334" s="15" t="str">
        <f>IFERROR(__xludf.DUMMYFUNCTION("IF(A334="""", """", IF(ISERROR(VLOOKUP(A334, IMPORTRANGE('Survey Progress'!$B$33, ""data!I2:L800""), 1, FALSE)), ""No Survey"", IF(VLOOKUP(A334, IMPORTRANGE('Survey Progress'!$B$33, ""data!I2:L800""), 2, FALSE) = 0, ""Incomplete"", ""Complete"")))"),"")</f>
        <v/>
      </c>
      <c r="D334" s="15" t="str">
        <f>IFERROR(__xludf.DUMMYFUNCTION("IF(A334="""", """", IF(ISERROR(VLOOKUP(A334, IMPORTRANGE('Survey Progress'!$B$34, ""data!I2:L800""), 1, FALSE)), ""No Survey"", IF(VLOOKUP(A334, IMPORTRANGE('Survey Progress'!$B$34, ""data!I2:L800""), 2, FALSE) = 0, ""Incomplete"", ""Complete"")))"),"")</f>
        <v/>
      </c>
      <c r="E334" s="27">
        <f t="shared" si="1"/>
        <v>0</v>
      </c>
      <c r="F334" s="14"/>
    </row>
    <row r="335">
      <c r="A335" s="14"/>
      <c r="B335" s="16" t="str">
        <f>IFERROR(__xludf.DUMMYFUNCTION("IF(ISERROR(VLOOKUP(A335, IMPORTRANGE('Survey Progress'!$B$32, ""data!H2:M800""), 5, FALSE)), """", IF(VLOOKUP(A335, IMPORTRANGE('Survey Progress'!$B$32, ""data!H2:M800""), 5, FALSE) = 1, ""Eligible"", ""Ineligible""))"),"Eligible")</f>
        <v>Eligible</v>
      </c>
      <c r="C335" s="15" t="str">
        <f>IFERROR(__xludf.DUMMYFUNCTION("IF(A335="""", """", IF(ISERROR(VLOOKUP(A335, IMPORTRANGE('Survey Progress'!$B$33, ""data!I2:L800""), 1, FALSE)), ""No Survey"", IF(VLOOKUP(A335, IMPORTRANGE('Survey Progress'!$B$33, ""data!I2:L800""), 2, FALSE) = 0, ""Incomplete"", ""Complete"")))"),"")</f>
        <v/>
      </c>
      <c r="D335" s="15" t="str">
        <f>IFERROR(__xludf.DUMMYFUNCTION("IF(A335="""", """", IF(ISERROR(VLOOKUP(A335, IMPORTRANGE('Survey Progress'!$B$34, ""data!I2:L800""), 1, FALSE)), ""No Survey"", IF(VLOOKUP(A335, IMPORTRANGE('Survey Progress'!$B$34, ""data!I2:L800""), 2, FALSE) = 0, ""Incomplete"", ""Complete"")))"),"")</f>
        <v/>
      </c>
      <c r="E335" s="27">
        <f t="shared" si="1"/>
        <v>0</v>
      </c>
      <c r="F335" s="14"/>
    </row>
    <row r="336">
      <c r="A336" s="14"/>
      <c r="B336" s="16" t="str">
        <f>IFERROR(__xludf.DUMMYFUNCTION("IF(ISERROR(VLOOKUP(A336, IMPORTRANGE('Survey Progress'!$B$32, ""data!H2:M800""), 5, FALSE)), """", IF(VLOOKUP(A336, IMPORTRANGE('Survey Progress'!$B$32, ""data!H2:M800""), 5, FALSE) = 1, ""Eligible"", ""Ineligible""))"),"Eligible")</f>
        <v>Eligible</v>
      </c>
      <c r="C336" s="15" t="str">
        <f>IFERROR(__xludf.DUMMYFUNCTION("IF(A336="""", """", IF(ISERROR(VLOOKUP(A336, IMPORTRANGE('Survey Progress'!$B$33, ""data!I2:L800""), 1, FALSE)), ""No Survey"", IF(VLOOKUP(A336, IMPORTRANGE('Survey Progress'!$B$33, ""data!I2:L800""), 2, FALSE) = 0, ""Incomplete"", ""Complete"")))"),"")</f>
        <v/>
      </c>
      <c r="D336" s="15" t="str">
        <f>IFERROR(__xludf.DUMMYFUNCTION("IF(A336="""", """", IF(ISERROR(VLOOKUP(A336, IMPORTRANGE('Survey Progress'!$B$34, ""data!I2:L800""), 1, FALSE)), ""No Survey"", IF(VLOOKUP(A336, IMPORTRANGE('Survey Progress'!$B$34, ""data!I2:L800""), 2, FALSE) = 0, ""Incomplete"", ""Complete"")))"),"")</f>
        <v/>
      </c>
      <c r="E336" s="27">
        <f t="shared" si="1"/>
        <v>0</v>
      </c>
      <c r="F336" s="14"/>
    </row>
    <row r="337">
      <c r="A337" s="14"/>
      <c r="B337" s="16" t="str">
        <f>IFERROR(__xludf.DUMMYFUNCTION("IF(ISERROR(VLOOKUP(A337, IMPORTRANGE('Survey Progress'!$B$32, ""data!H2:M800""), 5, FALSE)), """", IF(VLOOKUP(A337, IMPORTRANGE('Survey Progress'!$B$32, ""data!H2:M800""), 5, FALSE) = 1, ""Eligible"", ""Ineligible""))"),"Eligible")</f>
        <v>Eligible</v>
      </c>
      <c r="C337" s="15" t="str">
        <f>IFERROR(__xludf.DUMMYFUNCTION("IF(A337="""", """", IF(ISERROR(VLOOKUP(A337, IMPORTRANGE('Survey Progress'!$B$33, ""data!I2:L800""), 1, FALSE)), ""No Survey"", IF(VLOOKUP(A337, IMPORTRANGE('Survey Progress'!$B$33, ""data!I2:L800""), 2, FALSE) = 0, ""Incomplete"", ""Complete"")))"),"")</f>
        <v/>
      </c>
      <c r="D337" s="15" t="str">
        <f>IFERROR(__xludf.DUMMYFUNCTION("IF(A337="""", """", IF(ISERROR(VLOOKUP(A337, IMPORTRANGE('Survey Progress'!$B$34, ""data!I2:L800""), 1, FALSE)), ""No Survey"", IF(VLOOKUP(A337, IMPORTRANGE('Survey Progress'!$B$34, ""data!I2:L800""), 2, FALSE) = 0, ""Incomplete"", ""Complete"")))"),"")</f>
        <v/>
      </c>
      <c r="E337" s="27">
        <f t="shared" si="1"/>
        <v>0</v>
      </c>
      <c r="F337" s="14"/>
    </row>
    <row r="338">
      <c r="A338" s="14"/>
      <c r="B338" s="16" t="str">
        <f>IFERROR(__xludf.DUMMYFUNCTION("IF(ISERROR(VLOOKUP(A338, IMPORTRANGE('Survey Progress'!$B$32, ""data!H2:M800""), 5, FALSE)), """", IF(VLOOKUP(A338, IMPORTRANGE('Survey Progress'!$B$32, ""data!H2:M800""), 5, FALSE) = 1, ""Eligible"", ""Ineligible""))"),"Eligible")</f>
        <v>Eligible</v>
      </c>
      <c r="C338" s="15" t="str">
        <f>IFERROR(__xludf.DUMMYFUNCTION("IF(A338="""", """", IF(ISERROR(VLOOKUP(A338, IMPORTRANGE('Survey Progress'!$B$33, ""data!I2:L800""), 1, FALSE)), ""No Survey"", IF(VLOOKUP(A338, IMPORTRANGE('Survey Progress'!$B$33, ""data!I2:L800""), 2, FALSE) = 0, ""Incomplete"", ""Complete"")))"),"")</f>
        <v/>
      </c>
      <c r="D338" s="15" t="str">
        <f>IFERROR(__xludf.DUMMYFUNCTION("IF(A338="""", """", IF(ISERROR(VLOOKUP(A338, IMPORTRANGE('Survey Progress'!$B$34, ""data!I2:L800""), 1, FALSE)), ""No Survey"", IF(VLOOKUP(A338, IMPORTRANGE('Survey Progress'!$B$34, ""data!I2:L800""), 2, FALSE) = 0, ""Incomplete"", ""Complete"")))"),"")</f>
        <v/>
      </c>
      <c r="E338" s="27">
        <f t="shared" si="1"/>
        <v>0</v>
      </c>
      <c r="F338" s="14"/>
    </row>
    <row r="339">
      <c r="A339" s="14"/>
      <c r="B339" s="16" t="str">
        <f>IFERROR(__xludf.DUMMYFUNCTION("IF(ISERROR(VLOOKUP(A339, IMPORTRANGE('Survey Progress'!$B$32, ""data!H2:M800""), 5, FALSE)), """", IF(VLOOKUP(A339, IMPORTRANGE('Survey Progress'!$B$32, ""data!H2:M800""), 5, FALSE) = 1, ""Eligible"", ""Ineligible""))"),"Eligible")</f>
        <v>Eligible</v>
      </c>
      <c r="C339" s="15" t="str">
        <f>IFERROR(__xludf.DUMMYFUNCTION("IF(A339="""", """", IF(ISERROR(VLOOKUP(A339, IMPORTRANGE('Survey Progress'!$B$33, ""data!I2:L800""), 1, FALSE)), ""No Survey"", IF(VLOOKUP(A339, IMPORTRANGE('Survey Progress'!$B$33, ""data!I2:L800""), 2, FALSE) = 0, ""Incomplete"", ""Complete"")))"),"")</f>
        <v/>
      </c>
      <c r="D339" s="15" t="str">
        <f>IFERROR(__xludf.DUMMYFUNCTION("IF(A339="""", """", IF(ISERROR(VLOOKUP(A339, IMPORTRANGE('Survey Progress'!$B$34, ""data!I2:L800""), 1, FALSE)), ""No Survey"", IF(VLOOKUP(A339, IMPORTRANGE('Survey Progress'!$B$34, ""data!I2:L800""), 2, FALSE) = 0, ""Incomplete"", ""Complete"")))"),"")</f>
        <v/>
      </c>
      <c r="E339" s="27">
        <f t="shared" si="1"/>
        <v>0</v>
      </c>
      <c r="F339" s="14"/>
    </row>
    <row r="340">
      <c r="A340" s="14"/>
      <c r="B340" s="16" t="str">
        <f>IFERROR(__xludf.DUMMYFUNCTION("IF(ISERROR(VLOOKUP(A340, IMPORTRANGE('Survey Progress'!$B$32, ""data!H2:M800""), 5, FALSE)), """", IF(VLOOKUP(A340, IMPORTRANGE('Survey Progress'!$B$32, ""data!H2:M800""), 5, FALSE) = 1, ""Eligible"", ""Ineligible""))"),"Eligible")</f>
        <v>Eligible</v>
      </c>
      <c r="C340" s="15" t="str">
        <f>IFERROR(__xludf.DUMMYFUNCTION("IF(A340="""", """", IF(ISERROR(VLOOKUP(A340, IMPORTRANGE('Survey Progress'!$B$33, ""data!I2:L800""), 1, FALSE)), ""No Survey"", IF(VLOOKUP(A340, IMPORTRANGE('Survey Progress'!$B$33, ""data!I2:L800""), 2, FALSE) = 0, ""Incomplete"", ""Complete"")))"),"")</f>
        <v/>
      </c>
      <c r="D340" s="15" t="str">
        <f>IFERROR(__xludf.DUMMYFUNCTION("IF(A340="""", """", IF(ISERROR(VLOOKUP(A340, IMPORTRANGE('Survey Progress'!$B$34, ""data!I2:L800""), 1, FALSE)), ""No Survey"", IF(VLOOKUP(A340, IMPORTRANGE('Survey Progress'!$B$34, ""data!I2:L800""), 2, FALSE) = 0, ""Incomplete"", ""Complete"")))"),"")</f>
        <v/>
      </c>
      <c r="E340" s="27">
        <f t="shared" si="1"/>
        <v>0</v>
      </c>
      <c r="F340" s="14"/>
    </row>
    <row r="341">
      <c r="A341" s="14"/>
      <c r="B341" s="16" t="str">
        <f>IFERROR(__xludf.DUMMYFUNCTION("IF(ISERROR(VLOOKUP(A341, IMPORTRANGE('Survey Progress'!$B$32, ""data!H2:M800""), 5, FALSE)), """", IF(VLOOKUP(A341, IMPORTRANGE('Survey Progress'!$B$32, ""data!H2:M800""), 5, FALSE) = 1, ""Eligible"", ""Ineligible""))"),"Eligible")</f>
        <v>Eligible</v>
      </c>
      <c r="C341" s="15" t="str">
        <f>IFERROR(__xludf.DUMMYFUNCTION("IF(A341="""", """", IF(ISERROR(VLOOKUP(A341, IMPORTRANGE('Survey Progress'!$B$33, ""data!I2:L800""), 1, FALSE)), ""No Survey"", IF(VLOOKUP(A341, IMPORTRANGE('Survey Progress'!$B$33, ""data!I2:L800""), 2, FALSE) = 0, ""Incomplete"", ""Complete"")))"),"")</f>
        <v/>
      </c>
      <c r="D341" s="15" t="str">
        <f>IFERROR(__xludf.DUMMYFUNCTION("IF(A341="""", """", IF(ISERROR(VLOOKUP(A341, IMPORTRANGE('Survey Progress'!$B$34, ""data!I2:L800""), 1, FALSE)), ""No Survey"", IF(VLOOKUP(A341, IMPORTRANGE('Survey Progress'!$B$34, ""data!I2:L800""), 2, FALSE) = 0, ""Incomplete"", ""Complete"")))"),"")</f>
        <v/>
      </c>
      <c r="E341" s="27">
        <f t="shared" si="1"/>
        <v>0</v>
      </c>
      <c r="F341" s="14"/>
    </row>
    <row r="342">
      <c r="A342" s="14"/>
      <c r="B342" s="16" t="str">
        <f>IFERROR(__xludf.DUMMYFUNCTION("IF(ISERROR(VLOOKUP(A342, IMPORTRANGE('Survey Progress'!$B$32, ""data!H2:M800""), 5, FALSE)), """", IF(VLOOKUP(A342, IMPORTRANGE('Survey Progress'!$B$32, ""data!H2:M800""), 5, FALSE) = 1, ""Eligible"", ""Ineligible""))"),"Eligible")</f>
        <v>Eligible</v>
      </c>
      <c r="C342" s="15" t="str">
        <f>IFERROR(__xludf.DUMMYFUNCTION("IF(A342="""", """", IF(ISERROR(VLOOKUP(A342, IMPORTRANGE('Survey Progress'!$B$33, ""data!I2:L800""), 1, FALSE)), ""No Survey"", IF(VLOOKUP(A342, IMPORTRANGE('Survey Progress'!$B$33, ""data!I2:L800""), 2, FALSE) = 0, ""Incomplete"", ""Complete"")))"),"")</f>
        <v/>
      </c>
      <c r="D342" s="15" t="str">
        <f>IFERROR(__xludf.DUMMYFUNCTION("IF(A342="""", """", IF(ISERROR(VLOOKUP(A342, IMPORTRANGE('Survey Progress'!$B$34, ""data!I2:L800""), 1, FALSE)), ""No Survey"", IF(VLOOKUP(A342, IMPORTRANGE('Survey Progress'!$B$34, ""data!I2:L800""), 2, FALSE) = 0, ""Incomplete"", ""Complete"")))"),"")</f>
        <v/>
      </c>
      <c r="E342" s="27">
        <f t="shared" si="1"/>
        <v>0</v>
      </c>
      <c r="F342" s="14"/>
    </row>
    <row r="343">
      <c r="A343" s="14"/>
      <c r="B343" s="16" t="str">
        <f>IFERROR(__xludf.DUMMYFUNCTION("IF(ISERROR(VLOOKUP(A343, IMPORTRANGE('Survey Progress'!$B$32, ""data!H2:M800""), 5, FALSE)), """", IF(VLOOKUP(A343, IMPORTRANGE('Survey Progress'!$B$32, ""data!H2:M800""), 5, FALSE) = 1, ""Eligible"", ""Ineligible""))"),"Eligible")</f>
        <v>Eligible</v>
      </c>
      <c r="C343" s="15" t="str">
        <f>IFERROR(__xludf.DUMMYFUNCTION("IF(A343="""", """", IF(ISERROR(VLOOKUP(A343, IMPORTRANGE('Survey Progress'!$B$33, ""data!I2:L800""), 1, FALSE)), ""No Survey"", IF(VLOOKUP(A343, IMPORTRANGE('Survey Progress'!$B$33, ""data!I2:L800""), 2, FALSE) = 0, ""Incomplete"", ""Complete"")))"),"")</f>
        <v/>
      </c>
      <c r="D343" s="15" t="str">
        <f>IFERROR(__xludf.DUMMYFUNCTION("IF(A343="""", """", IF(ISERROR(VLOOKUP(A343, IMPORTRANGE('Survey Progress'!$B$34, ""data!I2:L800""), 1, FALSE)), ""No Survey"", IF(VLOOKUP(A343, IMPORTRANGE('Survey Progress'!$B$34, ""data!I2:L800""), 2, FALSE) = 0, ""Incomplete"", ""Complete"")))"),"")</f>
        <v/>
      </c>
      <c r="E343" s="27">
        <f t="shared" si="1"/>
        <v>0</v>
      </c>
      <c r="F343" s="14"/>
    </row>
    <row r="344">
      <c r="A344" s="14"/>
      <c r="B344" s="16" t="str">
        <f>IFERROR(__xludf.DUMMYFUNCTION("IF(ISERROR(VLOOKUP(A344, IMPORTRANGE('Survey Progress'!$B$32, ""data!H2:M800""), 5, FALSE)), """", IF(VLOOKUP(A344, IMPORTRANGE('Survey Progress'!$B$32, ""data!H2:M800""), 5, FALSE) = 1, ""Eligible"", ""Ineligible""))"),"Eligible")</f>
        <v>Eligible</v>
      </c>
      <c r="C344" s="15" t="str">
        <f>IFERROR(__xludf.DUMMYFUNCTION("IF(A344="""", """", IF(ISERROR(VLOOKUP(A344, IMPORTRANGE('Survey Progress'!$B$33, ""data!I2:L800""), 1, FALSE)), ""No Survey"", IF(VLOOKUP(A344, IMPORTRANGE('Survey Progress'!$B$33, ""data!I2:L800""), 2, FALSE) = 0, ""Incomplete"", ""Complete"")))"),"")</f>
        <v/>
      </c>
      <c r="D344" s="15" t="str">
        <f>IFERROR(__xludf.DUMMYFUNCTION("IF(A344="""", """", IF(ISERROR(VLOOKUP(A344, IMPORTRANGE('Survey Progress'!$B$34, ""data!I2:L800""), 1, FALSE)), ""No Survey"", IF(VLOOKUP(A344, IMPORTRANGE('Survey Progress'!$B$34, ""data!I2:L800""), 2, FALSE) = 0, ""Incomplete"", ""Complete"")))"),"")</f>
        <v/>
      </c>
      <c r="E344" s="27">
        <f t="shared" si="1"/>
        <v>0</v>
      </c>
      <c r="F344" s="14"/>
    </row>
    <row r="345">
      <c r="A345" s="14"/>
      <c r="B345" s="16" t="str">
        <f>IFERROR(__xludf.DUMMYFUNCTION("IF(ISERROR(VLOOKUP(A345, IMPORTRANGE('Survey Progress'!$B$32, ""data!H2:M800""), 5, FALSE)), """", IF(VLOOKUP(A345, IMPORTRANGE('Survey Progress'!$B$32, ""data!H2:M800""), 5, FALSE) = 1, ""Eligible"", ""Ineligible""))"),"Eligible")</f>
        <v>Eligible</v>
      </c>
      <c r="C345" s="15" t="str">
        <f>IFERROR(__xludf.DUMMYFUNCTION("IF(A345="""", """", IF(ISERROR(VLOOKUP(A345, IMPORTRANGE('Survey Progress'!$B$33, ""data!I2:L800""), 1, FALSE)), ""No Survey"", IF(VLOOKUP(A345, IMPORTRANGE('Survey Progress'!$B$33, ""data!I2:L800""), 2, FALSE) = 0, ""Incomplete"", ""Complete"")))"),"")</f>
        <v/>
      </c>
      <c r="D345" s="15" t="str">
        <f>IFERROR(__xludf.DUMMYFUNCTION("IF(A345="""", """", IF(ISERROR(VLOOKUP(A345, IMPORTRANGE('Survey Progress'!$B$34, ""data!I2:L800""), 1, FALSE)), ""No Survey"", IF(VLOOKUP(A345, IMPORTRANGE('Survey Progress'!$B$34, ""data!I2:L800""), 2, FALSE) = 0, ""Incomplete"", ""Complete"")))"),"")</f>
        <v/>
      </c>
      <c r="E345" s="27">
        <f t="shared" si="1"/>
        <v>0</v>
      </c>
      <c r="F345" s="14"/>
    </row>
    <row r="346">
      <c r="A346" s="14"/>
      <c r="B346" s="16" t="str">
        <f>IFERROR(__xludf.DUMMYFUNCTION("IF(ISERROR(VLOOKUP(A346, IMPORTRANGE('Survey Progress'!$B$32, ""data!H2:M800""), 5, FALSE)), """", IF(VLOOKUP(A346, IMPORTRANGE('Survey Progress'!$B$32, ""data!H2:M800""), 5, FALSE) = 1, ""Eligible"", ""Ineligible""))"),"Eligible")</f>
        <v>Eligible</v>
      </c>
      <c r="C346" s="15" t="str">
        <f>IFERROR(__xludf.DUMMYFUNCTION("IF(A346="""", """", IF(ISERROR(VLOOKUP(A346, IMPORTRANGE('Survey Progress'!$B$33, ""data!I2:L800""), 1, FALSE)), ""No Survey"", IF(VLOOKUP(A346, IMPORTRANGE('Survey Progress'!$B$33, ""data!I2:L800""), 2, FALSE) = 0, ""Incomplete"", ""Complete"")))"),"")</f>
        <v/>
      </c>
      <c r="D346" s="15" t="str">
        <f>IFERROR(__xludf.DUMMYFUNCTION("IF(A346="""", """", IF(ISERROR(VLOOKUP(A346, IMPORTRANGE('Survey Progress'!$B$34, ""data!I2:L800""), 1, FALSE)), ""No Survey"", IF(VLOOKUP(A346, IMPORTRANGE('Survey Progress'!$B$34, ""data!I2:L800""), 2, FALSE) = 0, ""Incomplete"", ""Complete"")))"),"")</f>
        <v/>
      </c>
      <c r="E346" s="27">
        <f t="shared" si="1"/>
        <v>0</v>
      </c>
      <c r="F346" s="14"/>
    </row>
    <row r="347">
      <c r="A347" s="14"/>
      <c r="B347" s="16" t="str">
        <f>IFERROR(__xludf.DUMMYFUNCTION("IF(ISERROR(VLOOKUP(A347, IMPORTRANGE('Survey Progress'!$B$32, ""data!H2:M800""), 5, FALSE)), """", IF(VLOOKUP(A347, IMPORTRANGE('Survey Progress'!$B$32, ""data!H2:M800""), 5, FALSE) = 1, ""Eligible"", ""Ineligible""))"),"Eligible")</f>
        <v>Eligible</v>
      </c>
      <c r="C347" s="15" t="str">
        <f>IFERROR(__xludf.DUMMYFUNCTION("IF(A347="""", """", IF(ISERROR(VLOOKUP(A347, IMPORTRANGE('Survey Progress'!$B$33, ""data!I2:L800""), 1, FALSE)), ""No Survey"", IF(VLOOKUP(A347, IMPORTRANGE('Survey Progress'!$B$33, ""data!I2:L800""), 2, FALSE) = 0, ""Incomplete"", ""Complete"")))"),"")</f>
        <v/>
      </c>
      <c r="D347" s="15" t="str">
        <f>IFERROR(__xludf.DUMMYFUNCTION("IF(A347="""", """", IF(ISERROR(VLOOKUP(A347, IMPORTRANGE('Survey Progress'!$B$34, ""data!I2:L800""), 1, FALSE)), ""No Survey"", IF(VLOOKUP(A347, IMPORTRANGE('Survey Progress'!$B$34, ""data!I2:L800""), 2, FALSE) = 0, ""Incomplete"", ""Complete"")))"),"")</f>
        <v/>
      </c>
      <c r="E347" s="27">
        <f t="shared" si="1"/>
        <v>0</v>
      </c>
      <c r="F347" s="14"/>
    </row>
    <row r="348">
      <c r="A348" s="14"/>
      <c r="B348" s="16" t="str">
        <f>IFERROR(__xludf.DUMMYFUNCTION("IF(ISERROR(VLOOKUP(A348, IMPORTRANGE('Survey Progress'!$B$32, ""data!H2:M800""), 5, FALSE)), """", IF(VLOOKUP(A348, IMPORTRANGE('Survey Progress'!$B$32, ""data!H2:M800""), 5, FALSE) = 1, ""Eligible"", ""Ineligible""))"),"Eligible")</f>
        <v>Eligible</v>
      </c>
      <c r="C348" s="15" t="str">
        <f>IFERROR(__xludf.DUMMYFUNCTION("IF(A348="""", """", IF(ISERROR(VLOOKUP(A348, IMPORTRANGE('Survey Progress'!$B$33, ""data!I2:L800""), 1, FALSE)), ""No Survey"", IF(VLOOKUP(A348, IMPORTRANGE('Survey Progress'!$B$33, ""data!I2:L800""), 2, FALSE) = 0, ""Incomplete"", ""Complete"")))"),"")</f>
        <v/>
      </c>
      <c r="D348" s="15" t="str">
        <f>IFERROR(__xludf.DUMMYFUNCTION("IF(A348="""", """", IF(ISERROR(VLOOKUP(A348, IMPORTRANGE('Survey Progress'!$B$34, ""data!I2:L800""), 1, FALSE)), ""No Survey"", IF(VLOOKUP(A348, IMPORTRANGE('Survey Progress'!$B$34, ""data!I2:L800""), 2, FALSE) = 0, ""Incomplete"", ""Complete"")))"),"")</f>
        <v/>
      </c>
      <c r="E348" s="27">
        <f t="shared" si="1"/>
        <v>0</v>
      </c>
      <c r="F348" s="14"/>
    </row>
    <row r="349">
      <c r="A349" s="14"/>
      <c r="B349" s="16" t="str">
        <f>IFERROR(__xludf.DUMMYFUNCTION("IF(ISERROR(VLOOKUP(A349, IMPORTRANGE('Survey Progress'!$B$32, ""data!H2:M800""), 5, FALSE)), """", IF(VLOOKUP(A349, IMPORTRANGE('Survey Progress'!$B$32, ""data!H2:M800""), 5, FALSE) = 1, ""Eligible"", ""Ineligible""))"),"Eligible")</f>
        <v>Eligible</v>
      </c>
      <c r="C349" s="15" t="str">
        <f>IFERROR(__xludf.DUMMYFUNCTION("IF(A349="""", """", IF(ISERROR(VLOOKUP(A349, IMPORTRANGE('Survey Progress'!$B$33, ""data!I2:L800""), 1, FALSE)), ""No Survey"", IF(VLOOKUP(A349, IMPORTRANGE('Survey Progress'!$B$33, ""data!I2:L800""), 2, FALSE) = 0, ""Incomplete"", ""Complete"")))"),"")</f>
        <v/>
      </c>
      <c r="D349" s="15" t="str">
        <f>IFERROR(__xludf.DUMMYFUNCTION("IF(A349="""", """", IF(ISERROR(VLOOKUP(A349, IMPORTRANGE('Survey Progress'!$B$34, ""data!I2:L800""), 1, FALSE)), ""No Survey"", IF(VLOOKUP(A349, IMPORTRANGE('Survey Progress'!$B$34, ""data!I2:L800""), 2, FALSE) = 0, ""Incomplete"", ""Complete"")))"),"")</f>
        <v/>
      </c>
      <c r="E349" s="27">
        <f t="shared" si="1"/>
        <v>0</v>
      </c>
      <c r="F349" s="14"/>
    </row>
    <row r="350">
      <c r="A350" s="14"/>
      <c r="B350" s="16" t="str">
        <f>IFERROR(__xludf.DUMMYFUNCTION("IF(ISERROR(VLOOKUP(A350, IMPORTRANGE('Survey Progress'!$B$32, ""data!H2:M800""), 5, FALSE)), """", IF(VLOOKUP(A350, IMPORTRANGE('Survey Progress'!$B$32, ""data!H2:M800""), 5, FALSE) = 1, ""Eligible"", ""Ineligible""))"),"Eligible")</f>
        <v>Eligible</v>
      </c>
      <c r="C350" s="15" t="str">
        <f>IFERROR(__xludf.DUMMYFUNCTION("IF(A350="""", """", IF(ISERROR(VLOOKUP(A350, IMPORTRANGE('Survey Progress'!$B$33, ""data!I2:L800""), 1, FALSE)), ""No Survey"", IF(VLOOKUP(A350, IMPORTRANGE('Survey Progress'!$B$33, ""data!I2:L800""), 2, FALSE) = 0, ""Incomplete"", ""Complete"")))"),"")</f>
        <v/>
      </c>
      <c r="D350" s="15" t="str">
        <f>IFERROR(__xludf.DUMMYFUNCTION("IF(A350="""", """", IF(ISERROR(VLOOKUP(A350, IMPORTRANGE('Survey Progress'!$B$34, ""data!I2:L800""), 1, FALSE)), ""No Survey"", IF(VLOOKUP(A350, IMPORTRANGE('Survey Progress'!$B$34, ""data!I2:L800""), 2, FALSE) = 0, ""Incomplete"", ""Complete"")))"),"")</f>
        <v/>
      </c>
      <c r="E350" s="27">
        <f t="shared" si="1"/>
        <v>0</v>
      </c>
      <c r="F350" s="14"/>
    </row>
    <row r="351">
      <c r="A351" s="14"/>
      <c r="B351" s="16" t="str">
        <f>IFERROR(__xludf.DUMMYFUNCTION("IF(ISERROR(VLOOKUP(A351, IMPORTRANGE('Survey Progress'!$B$32, ""data!H2:M800""), 5, FALSE)), """", IF(VLOOKUP(A351, IMPORTRANGE('Survey Progress'!$B$32, ""data!H2:M800""), 5, FALSE) = 1, ""Eligible"", ""Ineligible""))"),"Eligible")</f>
        <v>Eligible</v>
      </c>
      <c r="C351" s="15" t="str">
        <f>IFERROR(__xludf.DUMMYFUNCTION("IF(A351="""", """", IF(ISERROR(VLOOKUP(A351, IMPORTRANGE('Survey Progress'!$B$33, ""data!I2:L800""), 1, FALSE)), ""No Survey"", IF(VLOOKUP(A351, IMPORTRANGE('Survey Progress'!$B$33, ""data!I2:L800""), 2, FALSE) = 0, ""Incomplete"", ""Complete"")))"),"")</f>
        <v/>
      </c>
      <c r="D351" s="15" t="str">
        <f>IFERROR(__xludf.DUMMYFUNCTION("IF(A351="""", """", IF(ISERROR(VLOOKUP(A351, IMPORTRANGE('Survey Progress'!$B$34, ""data!I2:L800""), 1, FALSE)), ""No Survey"", IF(VLOOKUP(A351, IMPORTRANGE('Survey Progress'!$B$34, ""data!I2:L800""), 2, FALSE) = 0, ""Incomplete"", ""Complete"")))"),"")</f>
        <v/>
      </c>
      <c r="E351" s="27">
        <f t="shared" si="1"/>
        <v>0</v>
      </c>
      <c r="F351" s="14"/>
    </row>
    <row r="352">
      <c r="A352" s="14"/>
      <c r="B352" s="16" t="str">
        <f>IFERROR(__xludf.DUMMYFUNCTION("IF(ISERROR(VLOOKUP(A352, IMPORTRANGE('Survey Progress'!$B$32, ""data!H2:M800""), 5, FALSE)), """", IF(VLOOKUP(A352, IMPORTRANGE('Survey Progress'!$B$32, ""data!H2:M800""), 5, FALSE) = 1, ""Eligible"", ""Ineligible""))"),"Eligible")</f>
        <v>Eligible</v>
      </c>
      <c r="C352" s="15" t="str">
        <f>IFERROR(__xludf.DUMMYFUNCTION("IF(A352="""", """", IF(ISERROR(VLOOKUP(A352, IMPORTRANGE('Survey Progress'!$B$33, ""data!I2:L800""), 1, FALSE)), ""No Survey"", IF(VLOOKUP(A352, IMPORTRANGE('Survey Progress'!$B$33, ""data!I2:L800""), 2, FALSE) = 0, ""Incomplete"", ""Complete"")))"),"")</f>
        <v/>
      </c>
      <c r="D352" s="15" t="str">
        <f>IFERROR(__xludf.DUMMYFUNCTION("IF(A352="""", """", IF(ISERROR(VLOOKUP(A352, IMPORTRANGE('Survey Progress'!$B$34, ""data!I2:L800""), 1, FALSE)), ""No Survey"", IF(VLOOKUP(A352, IMPORTRANGE('Survey Progress'!$B$34, ""data!I2:L800""), 2, FALSE) = 0, ""Incomplete"", ""Complete"")))"),"")</f>
        <v/>
      </c>
      <c r="E352" s="27">
        <f t="shared" si="1"/>
        <v>0</v>
      </c>
      <c r="F352" s="14"/>
    </row>
    <row r="353">
      <c r="A353" s="14"/>
      <c r="B353" s="16" t="str">
        <f>IFERROR(__xludf.DUMMYFUNCTION("IF(ISERROR(VLOOKUP(A353, IMPORTRANGE('Survey Progress'!$B$32, ""data!H2:M800""), 5, FALSE)), """", IF(VLOOKUP(A353, IMPORTRANGE('Survey Progress'!$B$32, ""data!H2:M800""), 5, FALSE) = 1, ""Eligible"", ""Ineligible""))"),"Eligible")</f>
        <v>Eligible</v>
      </c>
      <c r="C353" s="15" t="str">
        <f>IFERROR(__xludf.DUMMYFUNCTION("IF(A353="""", """", IF(ISERROR(VLOOKUP(A353, IMPORTRANGE('Survey Progress'!$B$33, ""data!I2:L800""), 1, FALSE)), ""No Survey"", IF(VLOOKUP(A353, IMPORTRANGE('Survey Progress'!$B$33, ""data!I2:L800""), 2, FALSE) = 0, ""Incomplete"", ""Complete"")))"),"")</f>
        <v/>
      </c>
      <c r="D353" s="15" t="str">
        <f>IFERROR(__xludf.DUMMYFUNCTION("IF(A353="""", """", IF(ISERROR(VLOOKUP(A353, IMPORTRANGE('Survey Progress'!$B$34, ""data!I2:L800""), 1, FALSE)), ""No Survey"", IF(VLOOKUP(A353, IMPORTRANGE('Survey Progress'!$B$34, ""data!I2:L800""), 2, FALSE) = 0, ""Incomplete"", ""Complete"")))"),"")</f>
        <v/>
      </c>
      <c r="E353" s="27">
        <f t="shared" si="1"/>
        <v>0</v>
      </c>
      <c r="F353" s="14"/>
    </row>
    <row r="354">
      <c r="A354" s="14"/>
      <c r="B354" s="16" t="str">
        <f>IFERROR(__xludf.DUMMYFUNCTION("IF(ISERROR(VLOOKUP(A354, IMPORTRANGE('Survey Progress'!$B$32, ""data!H2:M800""), 5, FALSE)), """", IF(VLOOKUP(A354, IMPORTRANGE('Survey Progress'!$B$32, ""data!H2:M800""), 5, FALSE) = 1, ""Eligible"", ""Ineligible""))"),"Eligible")</f>
        <v>Eligible</v>
      </c>
      <c r="C354" s="15" t="str">
        <f>IFERROR(__xludf.DUMMYFUNCTION("IF(A354="""", """", IF(ISERROR(VLOOKUP(A354, IMPORTRANGE('Survey Progress'!$B$33, ""data!I2:L800""), 1, FALSE)), ""No Survey"", IF(VLOOKUP(A354, IMPORTRANGE('Survey Progress'!$B$33, ""data!I2:L800""), 2, FALSE) = 0, ""Incomplete"", ""Complete"")))"),"")</f>
        <v/>
      </c>
      <c r="D354" s="15" t="str">
        <f>IFERROR(__xludf.DUMMYFUNCTION("IF(A354="""", """", IF(ISERROR(VLOOKUP(A354, IMPORTRANGE('Survey Progress'!$B$34, ""data!I2:L800""), 1, FALSE)), ""No Survey"", IF(VLOOKUP(A354, IMPORTRANGE('Survey Progress'!$B$34, ""data!I2:L800""), 2, FALSE) = 0, ""Incomplete"", ""Complete"")))"),"")</f>
        <v/>
      </c>
      <c r="E354" s="27">
        <f t="shared" si="1"/>
        <v>0</v>
      </c>
      <c r="F354" s="14"/>
    </row>
    <row r="355">
      <c r="A355" s="14"/>
      <c r="B355" s="16" t="str">
        <f>IFERROR(__xludf.DUMMYFUNCTION("IF(ISERROR(VLOOKUP(A355, IMPORTRANGE('Survey Progress'!$B$32, ""data!H2:M800""), 5, FALSE)), """", IF(VLOOKUP(A355, IMPORTRANGE('Survey Progress'!$B$32, ""data!H2:M800""), 5, FALSE) = 1, ""Eligible"", ""Ineligible""))"),"Eligible")</f>
        <v>Eligible</v>
      </c>
      <c r="C355" s="15" t="str">
        <f>IFERROR(__xludf.DUMMYFUNCTION("IF(A355="""", """", IF(ISERROR(VLOOKUP(A355, IMPORTRANGE('Survey Progress'!$B$33, ""data!I2:L800""), 1, FALSE)), ""No Survey"", IF(VLOOKUP(A355, IMPORTRANGE('Survey Progress'!$B$33, ""data!I2:L800""), 2, FALSE) = 0, ""Incomplete"", ""Complete"")))"),"")</f>
        <v/>
      </c>
      <c r="D355" s="15" t="str">
        <f>IFERROR(__xludf.DUMMYFUNCTION("IF(A355="""", """", IF(ISERROR(VLOOKUP(A355, IMPORTRANGE('Survey Progress'!$B$34, ""data!I2:L800""), 1, FALSE)), ""No Survey"", IF(VLOOKUP(A355, IMPORTRANGE('Survey Progress'!$B$34, ""data!I2:L800""), 2, FALSE) = 0, ""Incomplete"", ""Complete"")))"),"")</f>
        <v/>
      </c>
      <c r="E355" s="27">
        <f t="shared" si="1"/>
        <v>0</v>
      </c>
      <c r="F355" s="14"/>
    </row>
    <row r="356">
      <c r="A356" s="14"/>
      <c r="B356" s="16" t="str">
        <f>IFERROR(__xludf.DUMMYFUNCTION("IF(ISERROR(VLOOKUP(A356, IMPORTRANGE('Survey Progress'!$B$32, ""data!H2:M800""), 5, FALSE)), """", IF(VLOOKUP(A356, IMPORTRANGE('Survey Progress'!$B$32, ""data!H2:M800""), 5, FALSE) = 1, ""Eligible"", ""Ineligible""))"),"Eligible")</f>
        <v>Eligible</v>
      </c>
      <c r="C356" s="15" t="str">
        <f>IFERROR(__xludf.DUMMYFUNCTION("IF(A356="""", """", IF(ISERROR(VLOOKUP(A356, IMPORTRANGE('Survey Progress'!$B$33, ""data!I2:L800""), 1, FALSE)), ""No Survey"", IF(VLOOKUP(A356, IMPORTRANGE('Survey Progress'!$B$33, ""data!I2:L800""), 2, FALSE) = 0, ""Incomplete"", ""Complete"")))"),"")</f>
        <v/>
      </c>
      <c r="D356" s="15" t="str">
        <f>IFERROR(__xludf.DUMMYFUNCTION("IF(A356="""", """", IF(ISERROR(VLOOKUP(A356, IMPORTRANGE('Survey Progress'!$B$34, ""data!I2:L800""), 1, FALSE)), ""No Survey"", IF(VLOOKUP(A356, IMPORTRANGE('Survey Progress'!$B$34, ""data!I2:L800""), 2, FALSE) = 0, ""Incomplete"", ""Complete"")))"),"")</f>
        <v/>
      </c>
      <c r="E356" s="27">
        <f t="shared" si="1"/>
        <v>0</v>
      </c>
      <c r="F356" s="14"/>
    </row>
    <row r="357">
      <c r="A357" s="14"/>
      <c r="B357" s="16" t="str">
        <f>IFERROR(__xludf.DUMMYFUNCTION("IF(ISERROR(VLOOKUP(A357, IMPORTRANGE('Survey Progress'!$B$32, ""data!H2:M800""), 5, FALSE)), """", IF(VLOOKUP(A357, IMPORTRANGE('Survey Progress'!$B$32, ""data!H2:M800""), 5, FALSE) = 1, ""Eligible"", ""Ineligible""))"),"Eligible")</f>
        <v>Eligible</v>
      </c>
      <c r="C357" s="15" t="str">
        <f>IFERROR(__xludf.DUMMYFUNCTION("IF(A357="""", """", IF(ISERROR(VLOOKUP(A357, IMPORTRANGE('Survey Progress'!$B$33, ""data!I2:L800""), 1, FALSE)), ""No Survey"", IF(VLOOKUP(A357, IMPORTRANGE('Survey Progress'!$B$33, ""data!I2:L800""), 2, FALSE) = 0, ""Incomplete"", ""Complete"")))"),"")</f>
        <v/>
      </c>
      <c r="D357" s="15" t="str">
        <f>IFERROR(__xludf.DUMMYFUNCTION("IF(A357="""", """", IF(ISERROR(VLOOKUP(A357, IMPORTRANGE('Survey Progress'!$B$34, ""data!I2:L800""), 1, FALSE)), ""No Survey"", IF(VLOOKUP(A357, IMPORTRANGE('Survey Progress'!$B$34, ""data!I2:L800""), 2, FALSE) = 0, ""Incomplete"", ""Complete"")))"),"")</f>
        <v/>
      </c>
      <c r="E357" s="27">
        <f t="shared" si="1"/>
        <v>0</v>
      </c>
      <c r="F357" s="14"/>
    </row>
    <row r="358">
      <c r="A358" s="14"/>
      <c r="B358" s="16" t="str">
        <f>IFERROR(__xludf.DUMMYFUNCTION("IF(ISERROR(VLOOKUP(A358, IMPORTRANGE('Survey Progress'!$B$32, ""data!H2:M800""), 5, FALSE)), """", IF(VLOOKUP(A358, IMPORTRANGE('Survey Progress'!$B$32, ""data!H2:M800""), 5, FALSE) = 1, ""Eligible"", ""Ineligible""))"),"Eligible")</f>
        <v>Eligible</v>
      </c>
      <c r="C358" s="15" t="str">
        <f>IFERROR(__xludf.DUMMYFUNCTION("IF(A358="""", """", IF(ISERROR(VLOOKUP(A358, IMPORTRANGE('Survey Progress'!$B$33, ""data!I2:L800""), 1, FALSE)), ""No Survey"", IF(VLOOKUP(A358, IMPORTRANGE('Survey Progress'!$B$33, ""data!I2:L800""), 2, FALSE) = 0, ""Incomplete"", ""Complete"")))"),"")</f>
        <v/>
      </c>
      <c r="D358" s="15" t="str">
        <f>IFERROR(__xludf.DUMMYFUNCTION("IF(A358="""", """", IF(ISERROR(VLOOKUP(A358, IMPORTRANGE('Survey Progress'!$B$34, ""data!I2:L800""), 1, FALSE)), ""No Survey"", IF(VLOOKUP(A358, IMPORTRANGE('Survey Progress'!$B$34, ""data!I2:L800""), 2, FALSE) = 0, ""Incomplete"", ""Complete"")))"),"")</f>
        <v/>
      </c>
      <c r="E358" s="27">
        <f t="shared" si="1"/>
        <v>0</v>
      </c>
      <c r="F358" s="14"/>
    </row>
    <row r="359">
      <c r="A359" s="14"/>
      <c r="B359" s="16" t="str">
        <f>IFERROR(__xludf.DUMMYFUNCTION("IF(ISERROR(VLOOKUP(A359, IMPORTRANGE('Survey Progress'!$B$32, ""data!H2:M800""), 5, FALSE)), """", IF(VLOOKUP(A359, IMPORTRANGE('Survey Progress'!$B$32, ""data!H2:M800""), 5, FALSE) = 1, ""Eligible"", ""Ineligible""))"),"Eligible")</f>
        <v>Eligible</v>
      </c>
      <c r="C359" s="15" t="str">
        <f>IFERROR(__xludf.DUMMYFUNCTION("IF(A359="""", """", IF(ISERROR(VLOOKUP(A359, IMPORTRANGE('Survey Progress'!$B$33, ""data!I2:L800""), 1, FALSE)), ""No Survey"", IF(VLOOKUP(A359, IMPORTRANGE('Survey Progress'!$B$33, ""data!I2:L800""), 2, FALSE) = 0, ""Incomplete"", ""Complete"")))"),"")</f>
        <v/>
      </c>
      <c r="D359" s="15" t="str">
        <f>IFERROR(__xludf.DUMMYFUNCTION("IF(A359="""", """", IF(ISERROR(VLOOKUP(A359, IMPORTRANGE('Survey Progress'!$B$34, ""data!I2:L800""), 1, FALSE)), ""No Survey"", IF(VLOOKUP(A359, IMPORTRANGE('Survey Progress'!$B$34, ""data!I2:L800""), 2, FALSE) = 0, ""Incomplete"", ""Complete"")))"),"")</f>
        <v/>
      </c>
      <c r="E359" s="27">
        <f t="shared" si="1"/>
        <v>0</v>
      </c>
      <c r="F359" s="14"/>
    </row>
    <row r="360">
      <c r="A360" s="14"/>
      <c r="B360" s="16" t="str">
        <f>IFERROR(__xludf.DUMMYFUNCTION("IF(ISERROR(VLOOKUP(A360, IMPORTRANGE('Survey Progress'!$B$32, ""data!H2:M800""), 5, FALSE)), """", IF(VLOOKUP(A360, IMPORTRANGE('Survey Progress'!$B$32, ""data!H2:M800""), 5, FALSE) = 1, ""Eligible"", ""Ineligible""))"),"Eligible")</f>
        <v>Eligible</v>
      </c>
      <c r="C360" s="15" t="str">
        <f>IFERROR(__xludf.DUMMYFUNCTION("IF(A360="""", """", IF(ISERROR(VLOOKUP(A360, IMPORTRANGE('Survey Progress'!$B$33, ""data!I2:L800""), 1, FALSE)), ""No Survey"", IF(VLOOKUP(A360, IMPORTRANGE('Survey Progress'!$B$33, ""data!I2:L800""), 2, FALSE) = 0, ""Incomplete"", ""Complete"")))"),"")</f>
        <v/>
      </c>
      <c r="D360" s="15" t="str">
        <f>IFERROR(__xludf.DUMMYFUNCTION("IF(A360="""", """", IF(ISERROR(VLOOKUP(A360, IMPORTRANGE('Survey Progress'!$B$34, ""data!I2:L800""), 1, FALSE)), ""No Survey"", IF(VLOOKUP(A360, IMPORTRANGE('Survey Progress'!$B$34, ""data!I2:L800""), 2, FALSE) = 0, ""Incomplete"", ""Complete"")))"),"")</f>
        <v/>
      </c>
      <c r="E360" s="27">
        <f t="shared" si="1"/>
        <v>0</v>
      </c>
      <c r="F360" s="14"/>
    </row>
    <row r="361">
      <c r="A361" s="14"/>
      <c r="B361" s="16" t="str">
        <f>IFERROR(__xludf.DUMMYFUNCTION("IF(ISERROR(VLOOKUP(A361, IMPORTRANGE('Survey Progress'!$B$32, ""data!H2:M800""), 5, FALSE)), """", IF(VLOOKUP(A361, IMPORTRANGE('Survey Progress'!$B$32, ""data!H2:M800""), 5, FALSE) = 1, ""Eligible"", ""Ineligible""))"),"Eligible")</f>
        <v>Eligible</v>
      </c>
      <c r="C361" s="15" t="str">
        <f>IFERROR(__xludf.DUMMYFUNCTION("IF(A361="""", """", IF(ISERROR(VLOOKUP(A361, IMPORTRANGE('Survey Progress'!$B$33, ""data!I2:L800""), 1, FALSE)), ""No Survey"", IF(VLOOKUP(A361, IMPORTRANGE('Survey Progress'!$B$33, ""data!I2:L800""), 2, FALSE) = 0, ""Incomplete"", ""Complete"")))"),"")</f>
        <v/>
      </c>
      <c r="D361" s="15" t="str">
        <f>IFERROR(__xludf.DUMMYFUNCTION("IF(A361="""", """", IF(ISERROR(VLOOKUP(A361, IMPORTRANGE('Survey Progress'!$B$34, ""data!I2:L800""), 1, FALSE)), ""No Survey"", IF(VLOOKUP(A361, IMPORTRANGE('Survey Progress'!$B$34, ""data!I2:L800""), 2, FALSE) = 0, ""Incomplete"", ""Complete"")))"),"")</f>
        <v/>
      </c>
      <c r="E361" s="27">
        <f t="shared" si="1"/>
        <v>0</v>
      </c>
      <c r="F361" s="14"/>
    </row>
    <row r="362">
      <c r="A362" s="14"/>
      <c r="B362" s="16" t="str">
        <f>IFERROR(__xludf.DUMMYFUNCTION("IF(ISERROR(VLOOKUP(A362, IMPORTRANGE('Survey Progress'!$B$32, ""data!H2:M800""), 5, FALSE)), """", IF(VLOOKUP(A362, IMPORTRANGE('Survey Progress'!$B$32, ""data!H2:M800""), 5, FALSE) = 1, ""Eligible"", ""Ineligible""))"),"Eligible")</f>
        <v>Eligible</v>
      </c>
      <c r="C362" s="15" t="str">
        <f>IFERROR(__xludf.DUMMYFUNCTION("IF(A362="""", """", IF(ISERROR(VLOOKUP(A362, IMPORTRANGE('Survey Progress'!$B$33, ""data!I2:L800""), 1, FALSE)), ""No Survey"", IF(VLOOKUP(A362, IMPORTRANGE('Survey Progress'!$B$33, ""data!I2:L800""), 2, FALSE) = 0, ""Incomplete"", ""Complete"")))"),"")</f>
        <v/>
      </c>
      <c r="D362" s="15" t="str">
        <f>IFERROR(__xludf.DUMMYFUNCTION("IF(A362="""", """", IF(ISERROR(VLOOKUP(A362, IMPORTRANGE('Survey Progress'!$B$34, ""data!I2:L800""), 1, FALSE)), ""No Survey"", IF(VLOOKUP(A362, IMPORTRANGE('Survey Progress'!$B$34, ""data!I2:L800""), 2, FALSE) = 0, ""Incomplete"", ""Complete"")))"),"")</f>
        <v/>
      </c>
      <c r="E362" s="27">
        <f t="shared" si="1"/>
        <v>0</v>
      </c>
      <c r="F362" s="14"/>
    </row>
    <row r="363">
      <c r="A363" s="14"/>
      <c r="B363" s="16" t="str">
        <f>IFERROR(__xludf.DUMMYFUNCTION("IF(ISERROR(VLOOKUP(A363, IMPORTRANGE('Survey Progress'!$B$32, ""data!H2:M800""), 5, FALSE)), """", IF(VLOOKUP(A363, IMPORTRANGE('Survey Progress'!$B$32, ""data!H2:M800""), 5, FALSE) = 1, ""Eligible"", ""Ineligible""))"),"Eligible")</f>
        <v>Eligible</v>
      </c>
      <c r="C363" s="15" t="str">
        <f>IFERROR(__xludf.DUMMYFUNCTION("IF(A363="""", """", IF(ISERROR(VLOOKUP(A363, IMPORTRANGE('Survey Progress'!$B$33, ""data!I2:L800""), 1, FALSE)), ""No Survey"", IF(VLOOKUP(A363, IMPORTRANGE('Survey Progress'!$B$33, ""data!I2:L800""), 2, FALSE) = 0, ""Incomplete"", ""Complete"")))"),"")</f>
        <v/>
      </c>
      <c r="D363" s="15" t="str">
        <f>IFERROR(__xludf.DUMMYFUNCTION("IF(A363="""", """", IF(ISERROR(VLOOKUP(A363, IMPORTRANGE('Survey Progress'!$B$34, ""data!I2:L800""), 1, FALSE)), ""No Survey"", IF(VLOOKUP(A363, IMPORTRANGE('Survey Progress'!$B$34, ""data!I2:L800""), 2, FALSE) = 0, ""Incomplete"", ""Complete"")))"),"")</f>
        <v/>
      </c>
      <c r="E363" s="27">
        <f t="shared" si="1"/>
        <v>0</v>
      </c>
      <c r="F363" s="14"/>
    </row>
    <row r="364">
      <c r="A364" s="14"/>
      <c r="B364" s="16" t="str">
        <f>IFERROR(__xludf.DUMMYFUNCTION("IF(ISERROR(VLOOKUP(A364, IMPORTRANGE('Survey Progress'!$B$32, ""data!H2:M800""), 5, FALSE)), """", IF(VLOOKUP(A364, IMPORTRANGE('Survey Progress'!$B$32, ""data!H2:M800""), 5, FALSE) = 1, ""Eligible"", ""Ineligible""))"),"Eligible")</f>
        <v>Eligible</v>
      </c>
      <c r="C364" s="15" t="str">
        <f>IFERROR(__xludf.DUMMYFUNCTION("IF(A364="""", """", IF(ISERROR(VLOOKUP(A364, IMPORTRANGE('Survey Progress'!$B$33, ""data!I2:L800""), 1, FALSE)), ""No Survey"", IF(VLOOKUP(A364, IMPORTRANGE('Survey Progress'!$B$33, ""data!I2:L800""), 2, FALSE) = 0, ""Incomplete"", ""Complete"")))"),"")</f>
        <v/>
      </c>
      <c r="D364" s="15" t="str">
        <f>IFERROR(__xludf.DUMMYFUNCTION("IF(A364="""", """", IF(ISERROR(VLOOKUP(A364, IMPORTRANGE('Survey Progress'!$B$34, ""data!I2:L800""), 1, FALSE)), ""No Survey"", IF(VLOOKUP(A364, IMPORTRANGE('Survey Progress'!$B$34, ""data!I2:L800""), 2, FALSE) = 0, ""Incomplete"", ""Complete"")))"),"")</f>
        <v/>
      </c>
      <c r="E364" s="27">
        <f t="shared" si="1"/>
        <v>0</v>
      </c>
      <c r="F364" s="14"/>
    </row>
    <row r="365">
      <c r="A365" s="14"/>
      <c r="B365" s="16" t="str">
        <f>IFERROR(__xludf.DUMMYFUNCTION("IF(ISERROR(VLOOKUP(A365, IMPORTRANGE('Survey Progress'!$B$32, ""data!H2:M800""), 5, FALSE)), """", IF(VLOOKUP(A365, IMPORTRANGE('Survey Progress'!$B$32, ""data!H2:M800""), 5, FALSE) = 1, ""Eligible"", ""Ineligible""))"),"Eligible")</f>
        <v>Eligible</v>
      </c>
      <c r="C365" s="15" t="str">
        <f>IFERROR(__xludf.DUMMYFUNCTION("IF(A365="""", """", IF(ISERROR(VLOOKUP(A365, IMPORTRANGE('Survey Progress'!$B$33, ""data!I2:L800""), 1, FALSE)), ""No Survey"", IF(VLOOKUP(A365, IMPORTRANGE('Survey Progress'!$B$33, ""data!I2:L800""), 2, FALSE) = 0, ""Incomplete"", ""Complete"")))"),"")</f>
        <v/>
      </c>
      <c r="D365" s="15" t="str">
        <f>IFERROR(__xludf.DUMMYFUNCTION("IF(A365="""", """", IF(ISERROR(VLOOKUP(A365, IMPORTRANGE('Survey Progress'!$B$34, ""data!I2:L800""), 1, FALSE)), ""No Survey"", IF(VLOOKUP(A365, IMPORTRANGE('Survey Progress'!$B$34, ""data!I2:L800""), 2, FALSE) = 0, ""Incomplete"", ""Complete"")))"),"")</f>
        <v/>
      </c>
      <c r="E365" s="27">
        <f t="shared" si="1"/>
        <v>0</v>
      </c>
      <c r="F365" s="14"/>
    </row>
    <row r="366">
      <c r="A366" s="14"/>
      <c r="B366" s="16" t="str">
        <f>IFERROR(__xludf.DUMMYFUNCTION("IF(ISERROR(VLOOKUP(A366, IMPORTRANGE('Survey Progress'!$B$32, ""data!H2:M800""), 5, FALSE)), """", IF(VLOOKUP(A366, IMPORTRANGE('Survey Progress'!$B$32, ""data!H2:M800""), 5, FALSE) = 1, ""Eligible"", ""Ineligible""))"),"Eligible")</f>
        <v>Eligible</v>
      </c>
      <c r="C366" s="15" t="str">
        <f>IFERROR(__xludf.DUMMYFUNCTION("IF(A366="""", """", IF(ISERROR(VLOOKUP(A366, IMPORTRANGE('Survey Progress'!$B$33, ""data!I2:L800""), 1, FALSE)), ""No Survey"", IF(VLOOKUP(A366, IMPORTRANGE('Survey Progress'!$B$33, ""data!I2:L800""), 2, FALSE) = 0, ""Incomplete"", ""Complete"")))"),"")</f>
        <v/>
      </c>
      <c r="D366" s="15" t="str">
        <f>IFERROR(__xludf.DUMMYFUNCTION("IF(A366="""", """", IF(ISERROR(VLOOKUP(A366, IMPORTRANGE('Survey Progress'!$B$34, ""data!I2:L800""), 1, FALSE)), ""No Survey"", IF(VLOOKUP(A366, IMPORTRANGE('Survey Progress'!$B$34, ""data!I2:L800""), 2, FALSE) = 0, ""Incomplete"", ""Complete"")))"),"")</f>
        <v/>
      </c>
      <c r="E366" s="27">
        <f t="shared" si="1"/>
        <v>0</v>
      </c>
      <c r="F366" s="14"/>
    </row>
    <row r="367">
      <c r="A367" s="14"/>
      <c r="B367" s="16" t="str">
        <f>IFERROR(__xludf.DUMMYFUNCTION("IF(ISERROR(VLOOKUP(A367, IMPORTRANGE('Survey Progress'!$B$32, ""data!H2:M800""), 5, FALSE)), """", IF(VLOOKUP(A367, IMPORTRANGE('Survey Progress'!$B$32, ""data!H2:M800""), 5, FALSE) = 1, ""Eligible"", ""Ineligible""))"),"Eligible")</f>
        <v>Eligible</v>
      </c>
      <c r="C367" s="15" t="str">
        <f>IFERROR(__xludf.DUMMYFUNCTION("IF(A367="""", """", IF(ISERROR(VLOOKUP(A367, IMPORTRANGE('Survey Progress'!$B$33, ""data!I2:L800""), 1, FALSE)), ""No Survey"", IF(VLOOKUP(A367, IMPORTRANGE('Survey Progress'!$B$33, ""data!I2:L800""), 2, FALSE) = 0, ""Incomplete"", ""Complete"")))"),"")</f>
        <v/>
      </c>
      <c r="D367" s="15" t="str">
        <f>IFERROR(__xludf.DUMMYFUNCTION("IF(A367="""", """", IF(ISERROR(VLOOKUP(A367, IMPORTRANGE('Survey Progress'!$B$34, ""data!I2:L800""), 1, FALSE)), ""No Survey"", IF(VLOOKUP(A367, IMPORTRANGE('Survey Progress'!$B$34, ""data!I2:L800""), 2, FALSE) = 0, ""Incomplete"", ""Complete"")))"),"")</f>
        <v/>
      </c>
      <c r="E367" s="27">
        <f t="shared" si="1"/>
        <v>0</v>
      </c>
      <c r="F367" s="14"/>
    </row>
    <row r="368">
      <c r="A368" s="14"/>
      <c r="B368" s="16" t="str">
        <f>IFERROR(__xludf.DUMMYFUNCTION("IF(ISERROR(VLOOKUP(A368, IMPORTRANGE('Survey Progress'!$B$32, ""data!H2:M800""), 5, FALSE)), """", IF(VLOOKUP(A368, IMPORTRANGE('Survey Progress'!$B$32, ""data!H2:M800""), 5, FALSE) = 1, ""Eligible"", ""Ineligible""))"),"Eligible")</f>
        <v>Eligible</v>
      </c>
      <c r="C368" s="15" t="str">
        <f>IFERROR(__xludf.DUMMYFUNCTION("IF(A368="""", """", IF(ISERROR(VLOOKUP(A368, IMPORTRANGE('Survey Progress'!$B$33, ""data!I2:L800""), 1, FALSE)), ""No Survey"", IF(VLOOKUP(A368, IMPORTRANGE('Survey Progress'!$B$33, ""data!I2:L800""), 2, FALSE) = 0, ""Incomplete"", ""Complete"")))"),"")</f>
        <v/>
      </c>
      <c r="D368" s="15" t="str">
        <f>IFERROR(__xludf.DUMMYFUNCTION("IF(A368="""", """", IF(ISERROR(VLOOKUP(A368, IMPORTRANGE('Survey Progress'!$B$34, ""data!I2:L800""), 1, FALSE)), ""No Survey"", IF(VLOOKUP(A368, IMPORTRANGE('Survey Progress'!$B$34, ""data!I2:L800""), 2, FALSE) = 0, ""Incomplete"", ""Complete"")))"),"")</f>
        <v/>
      </c>
      <c r="E368" s="27">
        <f t="shared" si="1"/>
        <v>0</v>
      </c>
      <c r="F368" s="14"/>
    </row>
    <row r="369">
      <c r="A369" s="14"/>
      <c r="B369" s="16" t="str">
        <f>IFERROR(__xludf.DUMMYFUNCTION("IF(ISERROR(VLOOKUP(A369, IMPORTRANGE('Survey Progress'!$B$32, ""data!H2:M800""), 5, FALSE)), """", IF(VLOOKUP(A369, IMPORTRANGE('Survey Progress'!$B$32, ""data!H2:M800""), 5, FALSE) = 1, ""Eligible"", ""Ineligible""))"),"Eligible")</f>
        <v>Eligible</v>
      </c>
      <c r="C369" s="15" t="str">
        <f>IFERROR(__xludf.DUMMYFUNCTION("IF(A369="""", """", IF(ISERROR(VLOOKUP(A369, IMPORTRANGE('Survey Progress'!$B$33, ""data!I2:L800""), 1, FALSE)), ""No Survey"", IF(VLOOKUP(A369, IMPORTRANGE('Survey Progress'!$B$33, ""data!I2:L800""), 2, FALSE) = 0, ""Incomplete"", ""Complete"")))"),"")</f>
        <v/>
      </c>
      <c r="D369" s="15" t="str">
        <f>IFERROR(__xludf.DUMMYFUNCTION("IF(A369="""", """", IF(ISERROR(VLOOKUP(A369, IMPORTRANGE('Survey Progress'!$B$34, ""data!I2:L800""), 1, FALSE)), ""No Survey"", IF(VLOOKUP(A369, IMPORTRANGE('Survey Progress'!$B$34, ""data!I2:L800""), 2, FALSE) = 0, ""Incomplete"", ""Complete"")))"),"")</f>
        <v/>
      </c>
      <c r="E369" s="27">
        <f t="shared" si="1"/>
        <v>0</v>
      </c>
      <c r="F369" s="14"/>
    </row>
    <row r="370">
      <c r="A370" s="14"/>
      <c r="B370" s="16" t="str">
        <f>IFERROR(__xludf.DUMMYFUNCTION("IF(ISERROR(VLOOKUP(A370, IMPORTRANGE('Survey Progress'!$B$32, ""data!H2:M800""), 5, FALSE)), """", IF(VLOOKUP(A370, IMPORTRANGE('Survey Progress'!$B$32, ""data!H2:M800""), 5, FALSE) = 1, ""Eligible"", ""Ineligible""))"),"Eligible")</f>
        <v>Eligible</v>
      </c>
      <c r="C370" s="15" t="str">
        <f>IFERROR(__xludf.DUMMYFUNCTION("IF(A370="""", """", IF(ISERROR(VLOOKUP(A370, IMPORTRANGE('Survey Progress'!$B$33, ""data!I2:L800""), 1, FALSE)), ""No Survey"", IF(VLOOKUP(A370, IMPORTRANGE('Survey Progress'!$B$33, ""data!I2:L800""), 2, FALSE) = 0, ""Incomplete"", ""Complete"")))"),"")</f>
        <v/>
      </c>
      <c r="D370" s="15" t="str">
        <f>IFERROR(__xludf.DUMMYFUNCTION("IF(A370="""", """", IF(ISERROR(VLOOKUP(A370, IMPORTRANGE('Survey Progress'!$B$34, ""data!I2:L800""), 1, FALSE)), ""No Survey"", IF(VLOOKUP(A370, IMPORTRANGE('Survey Progress'!$B$34, ""data!I2:L800""), 2, FALSE) = 0, ""Incomplete"", ""Complete"")))"),"")</f>
        <v/>
      </c>
      <c r="E370" s="27">
        <f t="shared" si="1"/>
        <v>0</v>
      </c>
      <c r="F370" s="14"/>
    </row>
    <row r="371">
      <c r="A371" s="14"/>
      <c r="B371" s="16" t="str">
        <f>IFERROR(__xludf.DUMMYFUNCTION("IF(ISERROR(VLOOKUP(A371, IMPORTRANGE('Survey Progress'!$B$32, ""data!H2:M800""), 5, FALSE)), """", IF(VLOOKUP(A371, IMPORTRANGE('Survey Progress'!$B$32, ""data!H2:M800""), 5, FALSE) = 1, ""Eligible"", ""Ineligible""))"),"Eligible")</f>
        <v>Eligible</v>
      </c>
      <c r="C371" s="15" t="str">
        <f>IFERROR(__xludf.DUMMYFUNCTION("IF(A371="""", """", IF(ISERROR(VLOOKUP(A371, IMPORTRANGE('Survey Progress'!$B$33, ""data!I2:L800""), 1, FALSE)), ""No Survey"", IF(VLOOKUP(A371, IMPORTRANGE('Survey Progress'!$B$33, ""data!I2:L800""), 2, FALSE) = 0, ""Incomplete"", ""Complete"")))"),"")</f>
        <v/>
      </c>
      <c r="D371" s="15" t="str">
        <f>IFERROR(__xludf.DUMMYFUNCTION("IF(A371="""", """", IF(ISERROR(VLOOKUP(A371, IMPORTRANGE('Survey Progress'!$B$34, ""data!I2:L800""), 1, FALSE)), ""No Survey"", IF(VLOOKUP(A371, IMPORTRANGE('Survey Progress'!$B$34, ""data!I2:L800""), 2, FALSE) = 0, ""Incomplete"", ""Complete"")))"),"")</f>
        <v/>
      </c>
      <c r="E371" s="27">
        <f t="shared" si="1"/>
        <v>0</v>
      </c>
      <c r="F371" s="14"/>
    </row>
    <row r="372">
      <c r="A372" s="14"/>
      <c r="B372" s="16" t="str">
        <f>IFERROR(__xludf.DUMMYFUNCTION("IF(ISERROR(VLOOKUP(A372, IMPORTRANGE('Survey Progress'!$B$32, ""data!H2:M800""), 5, FALSE)), """", IF(VLOOKUP(A372, IMPORTRANGE('Survey Progress'!$B$32, ""data!H2:M800""), 5, FALSE) = 1, ""Eligible"", ""Ineligible""))"),"Eligible")</f>
        <v>Eligible</v>
      </c>
      <c r="C372" s="15" t="str">
        <f>IFERROR(__xludf.DUMMYFUNCTION("IF(A372="""", """", IF(ISERROR(VLOOKUP(A372, IMPORTRANGE('Survey Progress'!$B$33, ""data!I2:L800""), 1, FALSE)), ""No Survey"", IF(VLOOKUP(A372, IMPORTRANGE('Survey Progress'!$B$33, ""data!I2:L800""), 2, FALSE) = 0, ""Incomplete"", ""Complete"")))"),"")</f>
        <v/>
      </c>
      <c r="D372" s="15" t="str">
        <f>IFERROR(__xludf.DUMMYFUNCTION("IF(A372="""", """", IF(ISERROR(VLOOKUP(A372, IMPORTRANGE('Survey Progress'!$B$34, ""data!I2:L800""), 1, FALSE)), ""No Survey"", IF(VLOOKUP(A372, IMPORTRANGE('Survey Progress'!$B$34, ""data!I2:L800""), 2, FALSE) = 0, ""Incomplete"", ""Complete"")))"),"")</f>
        <v/>
      </c>
      <c r="E372" s="27">
        <f t="shared" si="1"/>
        <v>0</v>
      </c>
      <c r="F372" s="14"/>
    </row>
    <row r="373">
      <c r="A373" s="14"/>
      <c r="B373" s="16" t="str">
        <f>IFERROR(__xludf.DUMMYFUNCTION("IF(ISERROR(VLOOKUP(A373, IMPORTRANGE('Survey Progress'!$B$32, ""data!H2:M800""), 5, FALSE)), """", IF(VLOOKUP(A373, IMPORTRANGE('Survey Progress'!$B$32, ""data!H2:M800""), 5, FALSE) = 1, ""Eligible"", ""Ineligible""))"),"Eligible")</f>
        <v>Eligible</v>
      </c>
      <c r="C373" s="15" t="str">
        <f>IFERROR(__xludf.DUMMYFUNCTION("IF(A373="""", """", IF(ISERROR(VLOOKUP(A373, IMPORTRANGE('Survey Progress'!$B$33, ""data!I2:L800""), 1, FALSE)), ""No Survey"", IF(VLOOKUP(A373, IMPORTRANGE('Survey Progress'!$B$33, ""data!I2:L800""), 2, FALSE) = 0, ""Incomplete"", ""Complete"")))"),"")</f>
        <v/>
      </c>
      <c r="D373" s="15" t="str">
        <f>IFERROR(__xludf.DUMMYFUNCTION("IF(A373="""", """", IF(ISERROR(VLOOKUP(A373, IMPORTRANGE('Survey Progress'!$B$34, ""data!I2:L800""), 1, FALSE)), ""No Survey"", IF(VLOOKUP(A373, IMPORTRANGE('Survey Progress'!$B$34, ""data!I2:L800""), 2, FALSE) = 0, ""Incomplete"", ""Complete"")))"),"")</f>
        <v/>
      </c>
      <c r="E373" s="27">
        <f t="shared" si="1"/>
        <v>0</v>
      </c>
      <c r="F373" s="14"/>
    </row>
    <row r="374">
      <c r="A374" s="14"/>
      <c r="B374" s="16" t="str">
        <f>IFERROR(__xludf.DUMMYFUNCTION("IF(ISERROR(VLOOKUP(A374, IMPORTRANGE('Survey Progress'!$B$32, ""data!H2:M800""), 5, FALSE)), """", IF(VLOOKUP(A374, IMPORTRANGE('Survey Progress'!$B$32, ""data!H2:M800""), 5, FALSE) = 1, ""Eligible"", ""Ineligible""))"),"Eligible")</f>
        <v>Eligible</v>
      </c>
      <c r="C374" s="15" t="str">
        <f>IFERROR(__xludf.DUMMYFUNCTION("IF(A374="""", """", IF(ISERROR(VLOOKUP(A374, IMPORTRANGE('Survey Progress'!$B$33, ""data!I2:L800""), 1, FALSE)), ""No Survey"", IF(VLOOKUP(A374, IMPORTRANGE('Survey Progress'!$B$33, ""data!I2:L800""), 2, FALSE) = 0, ""Incomplete"", ""Complete"")))"),"")</f>
        <v/>
      </c>
      <c r="D374" s="15" t="str">
        <f>IFERROR(__xludf.DUMMYFUNCTION("IF(A374="""", """", IF(ISERROR(VLOOKUP(A374, IMPORTRANGE('Survey Progress'!$B$34, ""data!I2:L800""), 1, FALSE)), ""No Survey"", IF(VLOOKUP(A374, IMPORTRANGE('Survey Progress'!$B$34, ""data!I2:L800""), 2, FALSE) = 0, ""Incomplete"", ""Complete"")))"),"")</f>
        <v/>
      </c>
      <c r="E374" s="27">
        <f t="shared" si="1"/>
        <v>0</v>
      </c>
      <c r="F374" s="14"/>
    </row>
    <row r="375">
      <c r="A375" s="14"/>
      <c r="B375" s="16" t="str">
        <f>IFERROR(__xludf.DUMMYFUNCTION("IF(ISERROR(VLOOKUP(A375, IMPORTRANGE('Survey Progress'!$B$32, ""data!H2:M800""), 5, FALSE)), """", IF(VLOOKUP(A375, IMPORTRANGE('Survey Progress'!$B$32, ""data!H2:M800""), 5, FALSE) = 1, ""Eligible"", ""Ineligible""))"),"Eligible")</f>
        <v>Eligible</v>
      </c>
      <c r="C375" s="15" t="str">
        <f>IFERROR(__xludf.DUMMYFUNCTION("IF(A375="""", """", IF(ISERROR(VLOOKUP(A375, IMPORTRANGE('Survey Progress'!$B$33, ""data!I2:L800""), 1, FALSE)), ""No Survey"", IF(VLOOKUP(A375, IMPORTRANGE('Survey Progress'!$B$33, ""data!I2:L800""), 2, FALSE) = 0, ""Incomplete"", ""Complete"")))"),"")</f>
        <v/>
      </c>
      <c r="D375" s="15" t="str">
        <f>IFERROR(__xludf.DUMMYFUNCTION("IF(A375="""", """", IF(ISERROR(VLOOKUP(A375, IMPORTRANGE('Survey Progress'!$B$34, ""data!I2:L800""), 1, FALSE)), ""No Survey"", IF(VLOOKUP(A375, IMPORTRANGE('Survey Progress'!$B$34, ""data!I2:L800""), 2, FALSE) = 0, ""Incomplete"", ""Complete"")))"),"")</f>
        <v/>
      </c>
      <c r="E375" s="27">
        <f t="shared" si="1"/>
        <v>0</v>
      </c>
      <c r="F375" s="14"/>
    </row>
    <row r="376">
      <c r="A376" s="14"/>
      <c r="B376" s="16" t="str">
        <f>IFERROR(__xludf.DUMMYFUNCTION("IF(ISERROR(VLOOKUP(A376, IMPORTRANGE('Survey Progress'!$B$32, ""data!H2:M800""), 5, FALSE)), """", IF(VLOOKUP(A376, IMPORTRANGE('Survey Progress'!$B$32, ""data!H2:M800""), 5, FALSE) = 1, ""Eligible"", ""Ineligible""))"),"Eligible")</f>
        <v>Eligible</v>
      </c>
      <c r="C376" s="15" t="str">
        <f>IFERROR(__xludf.DUMMYFUNCTION("IF(A376="""", """", IF(ISERROR(VLOOKUP(A376, IMPORTRANGE('Survey Progress'!$B$33, ""data!I2:L800""), 1, FALSE)), ""No Survey"", IF(VLOOKUP(A376, IMPORTRANGE('Survey Progress'!$B$33, ""data!I2:L800""), 2, FALSE) = 0, ""Incomplete"", ""Complete"")))"),"")</f>
        <v/>
      </c>
      <c r="D376" s="15" t="str">
        <f>IFERROR(__xludf.DUMMYFUNCTION("IF(A376="""", """", IF(ISERROR(VLOOKUP(A376, IMPORTRANGE('Survey Progress'!$B$34, ""data!I2:L800""), 1, FALSE)), ""No Survey"", IF(VLOOKUP(A376, IMPORTRANGE('Survey Progress'!$B$34, ""data!I2:L800""), 2, FALSE) = 0, ""Incomplete"", ""Complete"")))"),"")</f>
        <v/>
      </c>
      <c r="E376" s="27">
        <f t="shared" si="1"/>
        <v>0</v>
      </c>
      <c r="F376" s="14"/>
    </row>
    <row r="377">
      <c r="A377" s="14"/>
      <c r="B377" s="16" t="str">
        <f>IFERROR(__xludf.DUMMYFUNCTION("IF(ISERROR(VLOOKUP(A377, IMPORTRANGE('Survey Progress'!$B$32, ""data!H2:M800""), 5, FALSE)), """", IF(VLOOKUP(A377, IMPORTRANGE('Survey Progress'!$B$32, ""data!H2:M800""), 5, FALSE) = 1, ""Eligible"", ""Ineligible""))"),"Eligible")</f>
        <v>Eligible</v>
      </c>
      <c r="C377" s="15" t="str">
        <f>IFERROR(__xludf.DUMMYFUNCTION("IF(A377="""", """", IF(ISERROR(VLOOKUP(A377, IMPORTRANGE('Survey Progress'!$B$33, ""data!I2:L800""), 1, FALSE)), ""No Survey"", IF(VLOOKUP(A377, IMPORTRANGE('Survey Progress'!$B$33, ""data!I2:L800""), 2, FALSE) = 0, ""Incomplete"", ""Complete"")))"),"")</f>
        <v/>
      </c>
      <c r="D377" s="15" t="str">
        <f>IFERROR(__xludf.DUMMYFUNCTION("IF(A377="""", """", IF(ISERROR(VLOOKUP(A377, IMPORTRANGE('Survey Progress'!$B$34, ""data!I2:L800""), 1, FALSE)), ""No Survey"", IF(VLOOKUP(A377, IMPORTRANGE('Survey Progress'!$B$34, ""data!I2:L800""), 2, FALSE) = 0, ""Incomplete"", ""Complete"")))"),"")</f>
        <v/>
      </c>
      <c r="E377" s="27">
        <f t="shared" si="1"/>
        <v>0</v>
      </c>
      <c r="F377" s="14"/>
    </row>
    <row r="378">
      <c r="A378" s="14"/>
      <c r="B378" s="16" t="str">
        <f>IFERROR(__xludf.DUMMYFUNCTION("IF(ISERROR(VLOOKUP(A378, IMPORTRANGE('Survey Progress'!$B$32, ""data!H2:M800""), 5, FALSE)), """", IF(VLOOKUP(A378, IMPORTRANGE('Survey Progress'!$B$32, ""data!H2:M800""), 5, FALSE) = 1, ""Eligible"", ""Ineligible""))"),"Eligible")</f>
        <v>Eligible</v>
      </c>
      <c r="C378" s="15" t="str">
        <f>IFERROR(__xludf.DUMMYFUNCTION("IF(A378="""", """", IF(ISERROR(VLOOKUP(A378, IMPORTRANGE('Survey Progress'!$B$33, ""data!I2:L800""), 1, FALSE)), ""No Survey"", IF(VLOOKUP(A378, IMPORTRANGE('Survey Progress'!$B$33, ""data!I2:L800""), 2, FALSE) = 0, ""Incomplete"", ""Complete"")))"),"")</f>
        <v/>
      </c>
      <c r="D378" s="15" t="str">
        <f>IFERROR(__xludf.DUMMYFUNCTION("IF(A378="""", """", IF(ISERROR(VLOOKUP(A378, IMPORTRANGE('Survey Progress'!$B$34, ""data!I2:L800""), 1, FALSE)), ""No Survey"", IF(VLOOKUP(A378, IMPORTRANGE('Survey Progress'!$B$34, ""data!I2:L800""), 2, FALSE) = 0, ""Incomplete"", ""Complete"")))"),"")</f>
        <v/>
      </c>
      <c r="E378" s="27">
        <f t="shared" si="1"/>
        <v>0</v>
      </c>
      <c r="F378" s="14"/>
    </row>
    <row r="379">
      <c r="A379" s="14"/>
      <c r="B379" s="16" t="str">
        <f>IFERROR(__xludf.DUMMYFUNCTION("IF(ISERROR(VLOOKUP(A379, IMPORTRANGE('Survey Progress'!$B$32, ""data!H2:M800""), 5, FALSE)), """", IF(VLOOKUP(A379, IMPORTRANGE('Survey Progress'!$B$32, ""data!H2:M800""), 5, FALSE) = 1, ""Eligible"", ""Ineligible""))"),"Eligible")</f>
        <v>Eligible</v>
      </c>
      <c r="C379" s="15" t="str">
        <f>IFERROR(__xludf.DUMMYFUNCTION("IF(A379="""", """", IF(ISERROR(VLOOKUP(A379, IMPORTRANGE('Survey Progress'!$B$33, ""data!I2:L800""), 1, FALSE)), ""No Survey"", IF(VLOOKUP(A379, IMPORTRANGE('Survey Progress'!$B$33, ""data!I2:L800""), 2, FALSE) = 0, ""Incomplete"", ""Complete"")))"),"")</f>
        <v/>
      </c>
      <c r="D379" s="15" t="str">
        <f>IFERROR(__xludf.DUMMYFUNCTION("IF(A379="""", """", IF(ISERROR(VLOOKUP(A379, IMPORTRANGE('Survey Progress'!$B$34, ""data!I2:L800""), 1, FALSE)), ""No Survey"", IF(VLOOKUP(A379, IMPORTRANGE('Survey Progress'!$B$34, ""data!I2:L800""), 2, FALSE) = 0, ""Incomplete"", ""Complete"")))"),"")</f>
        <v/>
      </c>
      <c r="E379" s="27">
        <f t="shared" si="1"/>
        <v>0</v>
      </c>
      <c r="F379" s="14"/>
    </row>
    <row r="380">
      <c r="A380" s="14"/>
      <c r="B380" s="16" t="str">
        <f>IFERROR(__xludf.DUMMYFUNCTION("IF(ISERROR(VLOOKUP(A380, IMPORTRANGE('Survey Progress'!$B$32, ""data!H2:M800""), 5, FALSE)), """", IF(VLOOKUP(A380, IMPORTRANGE('Survey Progress'!$B$32, ""data!H2:M800""), 5, FALSE) = 1, ""Eligible"", ""Ineligible""))"),"Eligible")</f>
        <v>Eligible</v>
      </c>
      <c r="C380" s="15" t="str">
        <f>IFERROR(__xludf.DUMMYFUNCTION("IF(A380="""", """", IF(ISERROR(VLOOKUP(A380, IMPORTRANGE('Survey Progress'!$B$33, ""data!I2:L800""), 1, FALSE)), ""No Survey"", IF(VLOOKUP(A380, IMPORTRANGE('Survey Progress'!$B$33, ""data!I2:L800""), 2, FALSE) = 0, ""Incomplete"", ""Complete"")))"),"")</f>
        <v/>
      </c>
      <c r="D380" s="15" t="str">
        <f>IFERROR(__xludf.DUMMYFUNCTION("IF(A380="""", """", IF(ISERROR(VLOOKUP(A380, IMPORTRANGE('Survey Progress'!$B$34, ""data!I2:L800""), 1, FALSE)), ""No Survey"", IF(VLOOKUP(A380, IMPORTRANGE('Survey Progress'!$B$34, ""data!I2:L800""), 2, FALSE) = 0, ""Incomplete"", ""Complete"")))"),"")</f>
        <v/>
      </c>
      <c r="E380" s="27">
        <f t="shared" si="1"/>
        <v>0</v>
      </c>
      <c r="F380" s="14"/>
    </row>
    <row r="381">
      <c r="A381" s="14"/>
      <c r="B381" s="16" t="str">
        <f>IFERROR(__xludf.DUMMYFUNCTION("IF(ISERROR(VLOOKUP(A381, IMPORTRANGE('Survey Progress'!$B$32, ""data!H2:M800""), 5, FALSE)), """", IF(VLOOKUP(A381, IMPORTRANGE('Survey Progress'!$B$32, ""data!H2:M800""), 5, FALSE) = 1, ""Eligible"", ""Ineligible""))"),"Eligible")</f>
        <v>Eligible</v>
      </c>
      <c r="C381" s="15" t="str">
        <f>IFERROR(__xludf.DUMMYFUNCTION("IF(A381="""", """", IF(ISERROR(VLOOKUP(A381, IMPORTRANGE('Survey Progress'!$B$33, ""data!I2:L800""), 1, FALSE)), ""No Survey"", IF(VLOOKUP(A381, IMPORTRANGE('Survey Progress'!$B$33, ""data!I2:L800""), 2, FALSE) = 0, ""Incomplete"", ""Complete"")))"),"")</f>
        <v/>
      </c>
      <c r="D381" s="15" t="str">
        <f>IFERROR(__xludf.DUMMYFUNCTION("IF(A381="""", """", IF(ISERROR(VLOOKUP(A381, IMPORTRANGE('Survey Progress'!$B$34, ""data!I2:L800""), 1, FALSE)), ""No Survey"", IF(VLOOKUP(A381, IMPORTRANGE('Survey Progress'!$B$34, ""data!I2:L800""), 2, FALSE) = 0, ""Incomplete"", ""Complete"")))"),"")</f>
        <v/>
      </c>
      <c r="E381" s="27">
        <f t="shared" si="1"/>
        <v>0</v>
      </c>
      <c r="F381" s="14"/>
    </row>
    <row r="382">
      <c r="A382" s="14"/>
      <c r="B382" s="16" t="str">
        <f>IFERROR(__xludf.DUMMYFUNCTION("IF(ISERROR(VLOOKUP(A382, IMPORTRANGE('Survey Progress'!$B$32, ""data!H2:M800""), 5, FALSE)), """", IF(VLOOKUP(A382, IMPORTRANGE('Survey Progress'!$B$32, ""data!H2:M800""), 5, FALSE) = 1, ""Eligible"", ""Ineligible""))"),"Eligible")</f>
        <v>Eligible</v>
      </c>
      <c r="C382" s="15" t="str">
        <f>IFERROR(__xludf.DUMMYFUNCTION("IF(A382="""", """", IF(ISERROR(VLOOKUP(A382, IMPORTRANGE('Survey Progress'!$B$33, ""data!I2:L800""), 1, FALSE)), ""No Survey"", IF(VLOOKUP(A382, IMPORTRANGE('Survey Progress'!$B$33, ""data!I2:L800""), 2, FALSE) = 0, ""Incomplete"", ""Complete"")))"),"")</f>
        <v/>
      </c>
      <c r="D382" s="15" t="str">
        <f>IFERROR(__xludf.DUMMYFUNCTION("IF(A382="""", """", IF(ISERROR(VLOOKUP(A382, IMPORTRANGE('Survey Progress'!$B$34, ""data!I2:L800""), 1, FALSE)), ""No Survey"", IF(VLOOKUP(A382, IMPORTRANGE('Survey Progress'!$B$34, ""data!I2:L800""), 2, FALSE) = 0, ""Incomplete"", ""Complete"")))"),"")</f>
        <v/>
      </c>
      <c r="E382" s="27">
        <f t="shared" si="1"/>
        <v>0</v>
      </c>
      <c r="F382" s="14"/>
    </row>
    <row r="383">
      <c r="A383" s="14"/>
      <c r="B383" s="16" t="str">
        <f>IFERROR(__xludf.DUMMYFUNCTION("IF(ISERROR(VLOOKUP(A383, IMPORTRANGE('Survey Progress'!$B$32, ""data!H2:M800""), 5, FALSE)), """", IF(VLOOKUP(A383, IMPORTRANGE('Survey Progress'!$B$32, ""data!H2:M800""), 5, FALSE) = 1, ""Eligible"", ""Ineligible""))"),"Eligible")</f>
        <v>Eligible</v>
      </c>
      <c r="C383" s="15" t="str">
        <f>IFERROR(__xludf.DUMMYFUNCTION("IF(A383="""", """", IF(ISERROR(VLOOKUP(A383, IMPORTRANGE('Survey Progress'!$B$33, ""data!I2:L800""), 1, FALSE)), ""No Survey"", IF(VLOOKUP(A383, IMPORTRANGE('Survey Progress'!$B$33, ""data!I2:L800""), 2, FALSE) = 0, ""Incomplete"", ""Complete"")))"),"")</f>
        <v/>
      </c>
      <c r="D383" s="15" t="str">
        <f>IFERROR(__xludf.DUMMYFUNCTION("IF(A383="""", """", IF(ISERROR(VLOOKUP(A383, IMPORTRANGE('Survey Progress'!$B$34, ""data!I2:L800""), 1, FALSE)), ""No Survey"", IF(VLOOKUP(A383, IMPORTRANGE('Survey Progress'!$B$34, ""data!I2:L800""), 2, FALSE) = 0, ""Incomplete"", ""Complete"")))"),"")</f>
        <v/>
      </c>
      <c r="E383" s="27">
        <f t="shared" si="1"/>
        <v>0</v>
      </c>
      <c r="F383" s="14"/>
    </row>
    <row r="384">
      <c r="A384" s="14"/>
      <c r="B384" s="16" t="str">
        <f>IFERROR(__xludf.DUMMYFUNCTION("IF(ISERROR(VLOOKUP(A384, IMPORTRANGE('Survey Progress'!$B$32, ""data!H2:M800""), 5, FALSE)), """", IF(VLOOKUP(A384, IMPORTRANGE('Survey Progress'!$B$32, ""data!H2:M800""), 5, FALSE) = 1, ""Eligible"", ""Ineligible""))"),"Eligible")</f>
        <v>Eligible</v>
      </c>
      <c r="C384" s="15" t="str">
        <f>IFERROR(__xludf.DUMMYFUNCTION("IF(A384="""", """", IF(ISERROR(VLOOKUP(A384, IMPORTRANGE('Survey Progress'!$B$33, ""data!I2:L800""), 1, FALSE)), ""No Survey"", IF(VLOOKUP(A384, IMPORTRANGE('Survey Progress'!$B$33, ""data!I2:L800""), 2, FALSE) = 0, ""Incomplete"", ""Complete"")))"),"")</f>
        <v/>
      </c>
      <c r="D384" s="15" t="str">
        <f>IFERROR(__xludf.DUMMYFUNCTION("IF(A384="""", """", IF(ISERROR(VLOOKUP(A384, IMPORTRANGE('Survey Progress'!$B$34, ""data!I2:L800""), 1, FALSE)), ""No Survey"", IF(VLOOKUP(A384, IMPORTRANGE('Survey Progress'!$B$34, ""data!I2:L800""), 2, FALSE) = 0, ""Incomplete"", ""Complete"")))"),"")</f>
        <v/>
      </c>
      <c r="E384" s="27">
        <f t="shared" si="1"/>
        <v>0</v>
      </c>
      <c r="F384" s="14"/>
    </row>
    <row r="385">
      <c r="A385" s="14"/>
      <c r="B385" s="16" t="str">
        <f>IFERROR(__xludf.DUMMYFUNCTION("IF(ISERROR(VLOOKUP(A385, IMPORTRANGE('Survey Progress'!$B$32, ""data!H2:M800""), 5, FALSE)), """", IF(VLOOKUP(A385, IMPORTRANGE('Survey Progress'!$B$32, ""data!H2:M800""), 5, FALSE) = 1, ""Eligible"", ""Ineligible""))"),"Eligible")</f>
        <v>Eligible</v>
      </c>
      <c r="C385" s="15" t="str">
        <f>IFERROR(__xludf.DUMMYFUNCTION("IF(A385="""", """", IF(ISERROR(VLOOKUP(A385, IMPORTRANGE('Survey Progress'!$B$33, ""data!I2:L800""), 1, FALSE)), ""No Survey"", IF(VLOOKUP(A385, IMPORTRANGE('Survey Progress'!$B$33, ""data!I2:L800""), 2, FALSE) = 0, ""Incomplete"", ""Complete"")))"),"")</f>
        <v/>
      </c>
      <c r="D385" s="15" t="str">
        <f>IFERROR(__xludf.DUMMYFUNCTION("IF(A385="""", """", IF(ISERROR(VLOOKUP(A385, IMPORTRANGE('Survey Progress'!$B$34, ""data!I2:L800""), 1, FALSE)), ""No Survey"", IF(VLOOKUP(A385, IMPORTRANGE('Survey Progress'!$B$34, ""data!I2:L800""), 2, FALSE) = 0, ""Incomplete"", ""Complete"")))"),"")</f>
        <v/>
      </c>
      <c r="E385" s="27">
        <f t="shared" si="1"/>
        <v>0</v>
      </c>
      <c r="F385" s="14"/>
    </row>
    <row r="386">
      <c r="A386" s="14"/>
      <c r="B386" s="16" t="str">
        <f>IFERROR(__xludf.DUMMYFUNCTION("IF(ISERROR(VLOOKUP(A386, IMPORTRANGE('Survey Progress'!$B$32, ""data!H2:M800""), 5, FALSE)), """", IF(VLOOKUP(A386, IMPORTRANGE('Survey Progress'!$B$32, ""data!H2:M800""), 5, FALSE) = 1, ""Eligible"", ""Ineligible""))"),"Eligible")</f>
        <v>Eligible</v>
      </c>
      <c r="C386" s="15" t="str">
        <f>IFERROR(__xludf.DUMMYFUNCTION("IF(A386="""", """", IF(ISERROR(VLOOKUP(A386, IMPORTRANGE('Survey Progress'!$B$33, ""data!I2:L800""), 1, FALSE)), ""No Survey"", IF(VLOOKUP(A386, IMPORTRANGE('Survey Progress'!$B$33, ""data!I2:L800""), 2, FALSE) = 0, ""Incomplete"", ""Complete"")))"),"")</f>
        <v/>
      </c>
      <c r="D386" s="15" t="str">
        <f>IFERROR(__xludf.DUMMYFUNCTION("IF(A386="""", """", IF(ISERROR(VLOOKUP(A386, IMPORTRANGE('Survey Progress'!$B$34, ""data!I2:L800""), 1, FALSE)), ""No Survey"", IF(VLOOKUP(A386, IMPORTRANGE('Survey Progress'!$B$34, ""data!I2:L800""), 2, FALSE) = 0, ""Incomplete"", ""Complete"")))"),"")</f>
        <v/>
      </c>
      <c r="E386" s="27">
        <f t="shared" si="1"/>
        <v>0</v>
      </c>
      <c r="F386" s="14"/>
    </row>
    <row r="387">
      <c r="A387" s="14"/>
      <c r="B387" s="16" t="str">
        <f>IFERROR(__xludf.DUMMYFUNCTION("IF(ISERROR(VLOOKUP(A387, IMPORTRANGE('Survey Progress'!$B$32, ""data!H2:M800""), 5, FALSE)), """", IF(VLOOKUP(A387, IMPORTRANGE('Survey Progress'!$B$32, ""data!H2:M800""), 5, FALSE) = 1, ""Eligible"", ""Ineligible""))"),"Eligible")</f>
        <v>Eligible</v>
      </c>
      <c r="C387" s="15" t="str">
        <f>IFERROR(__xludf.DUMMYFUNCTION("IF(A387="""", """", IF(ISERROR(VLOOKUP(A387, IMPORTRANGE('Survey Progress'!$B$33, ""data!I2:L800""), 1, FALSE)), ""No Survey"", IF(VLOOKUP(A387, IMPORTRANGE('Survey Progress'!$B$33, ""data!I2:L800""), 2, FALSE) = 0, ""Incomplete"", ""Complete"")))"),"")</f>
        <v/>
      </c>
      <c r="D387" s="15" t="str">
        <f>IFERROR(__xludf.DUMMYFUNCTION("IF(A387="""", """", IF(ISERROR(VLOOKUP(A387, IMPORTRANGE('Survey Progress'!$B$34, ""data!I2:L800""), 1, FALSE)), ""No Survey"", IF(VLOOKUP(A387, IMPORTRANGE('Survey Progress'!$B$34, ""data!I2:L800""), 2, FALSE) = 0, ""Incomplete"", ""Complete"")))"),"")</f>
        <v/>
      </c>
      <c r="E387" s="27">
        <f t="shared" si="1"/>
        <v>0</v>
      </c>
      <c r="F387" s="14"/>
    </row>
    <row r="388">
      <c r="A388" s="14"/>
      <c r="B388" s="16" t="str">
        <f>IFERROR(__xludf.DUMMYFUNCTION("IF(ISERROR(VLOOKUP(A388, IMPORTRANGE('Survey Progress'!$B$32, ""data!H2:M800""), 5, FALSE)), """", IF(VLOOKUP(A388, IMPORTRANGE('Survey Progress'!$B$32, ""data!H2:M800""), 5, FALSE) = 1, ""Eligible"", ""Ineligible""))"),"Eligible")</f>
        <v>Eligible</v>
      </c>
      <c r="C388" s="15" t="str">
        <f>IFERROR(__xludf.DUMMYFUNCTION("IF(A388="""", """", IF(ISERROR(VLOOKUP(A388, IMPORTRANGE('Survey Progress'!$B$33, ""data!I2:L800""), 1, FALSE)), ""No Survey"", IF(VLOOKUP(A388, IMPORTRANGE('Survey Progress'!$B$33, ""data!I2:L800""), 2, FALSE) = 0, ""Incomplete"", ""Complete"")))"),"")</f>
        <v/>
      </c>
      <c r="D388" s="15" t="str">
        <f>IFERROR(__xludf.DUMMYFUNCTION("IF(A388="""", """", IF(ISERROR(VLOOKUP(A388, IMPORTRANGE('Survey Progress'!$B$34, ""data!I2:L800""), 1, FALSE)), ""No Survey"", IF(VLOOKUP(A388, IMPORTRANGE('Survey Progress'!$B$34, ""data!I2:L800""), 2, FALSE) = 0, ""Incomplete"", ""Complete"")))"),"")</f>
        <v/>
      </c>
      <c r="E388" s="27">
        <f t="shared" si="1"/>
        <v>0</v>
      </c>
      <c r="F388" s="14"/>
    </row>
    <row r="389">
      <c r="A389" s="14"/>
      <c r="B389" s="16" t="str">
        <f>IFERROR(__xludf.DUMMYFUNCTION("IF(ISERROR(VLOOKUP(A389, IMPORTRANGE('Survey Progress'!$B$32, ""data!H2:M800""), 5, FALSE)), """", IF(VLOOKUP(A389, IMPORTRANGE('Survey Progress'!$B$32, ""data!H2:M800""), 5, FALSE) = 1, ""Eligible"", ""Ineligible""))"),"Eligible")</f>
        <v>Eligible</v>
      </c>
      <c r="C389" s="15" t="str">
        <f>IFERROR(__xludf.DUMMYFUNCTION("IF(A389="""", """", IF(ISERROR(VLOOKUP(A389, IMPORTRANGE('Survey Progress'!$B$33, ""data!I2:L800""), 1, FALSE)), ""No Survey"", IF(VLOOKUP(A389, IMPORTRANGE('Survey Progress'!$B$33, ""data!I2:L800""), 2, FALSE) = 0, ""Incomplete"", ""Complete"")))"),"")</f>
        <v/>
      </c>
      <c r="D389" s="15" t="str">
        <f>IFERROR(__xludf.DUMMYFUNCTION("IF(A389="""", """", IF(ISERROR(VLOOKUP(A389, IMPORTRANGE('Survey Progress'!$B$34, ""data!I2:L800""), 1, FALSE)), ""No Survey"", IF(VLOOKUP(A389, IMPORTRANGE('Survey Progress'!$B$34, ""data!I2:L800""), 2, FALSE) = 0, ""Incomplete"", ""Complete"")))"),"")</f>
        <v/>
      </c>
      <c r="E389" s="27">
        <f t="shared" si="1"/>
        <v>0</v>
      </c>
      <c r="F389" s="14"/>
    </row>
    <row r="390">
      <c r="A390" s="14"/>
      <c r="B390" s="16" t="str">
        <f>IFERROR(__xludf.DUMMYFUNCTION("IF(ISERROR(VLOOKUP(A390, IMPORTRANGE('Survey Progress'!$B$32, ""data!H2:M800""), 5, FALSE)), """", IF(VLOOKUP(A390, IMPORTRANGE('Survey Progress'!$B$32, ""data!H2:M800""), 5, FALSE) = 1, ""Eligible"", ""Ineligible""))"),"Eligible")</f>
        <v>Eligible</v>
      </c>
      <c r="C390" s="15" t="str">
        <f>IFERROR(__xludf.DUMMYFUNCTION("IF(A390="""", """", IF(ISERROR(VLOOKUP(A390, IMPORTRANGE('Survey Progress'!$B$33, ""data!I2:L800""), 1, FALSE)), ""No Survey"", IF(VLOOKUP(A390, IMPORTRANGE('Survey Progress'!$B$33, ""data!I2:L800""), 2, FALSE) = 0, ""Incomplete"", ""Complete"")))"),"")</f>
        <v/>
      </c>
      <c r="D390" s="15" t="str">
        <f>IFERROR(__xludf.DUMMYFUNCTION("IF(A390="""", """", IF(ISERROR(VLOOKUP(A390, IMPORTRANGE('Survey Progress'!$B$34, ""data!I2:L800""), 1, FALSE)), ""No Survey"", IF(VLOOKUP(A390, IMPORTRANGE('Survey Progress'!$B$34, ""data!I2:L800""), 2, FALSE) = 0, ""Incomplete"", ""Complete"")))"),"")</f>
        <v/>
      </c>
      <c r="E390" s="27">
        <f t="shared" si="1"/>
        <v>0</v>
      </c>
      <c r="F390" s="14"/>
    </row>
    <row r="391">
      <c r="A391" s="14"/>
      <c r="B391" s="16" t="str">
        <f>IFERROR(__xludf.DUMMYFUNCTION("IF(ISERROR(VLOOKUP(A391, IMPORTRANGE('Survey Progress'!$B$32, ""data!H2:M800""), 5, FALSE)), """", IF(VLOOKUP(A391, IMPORTRANGE('Survey Progress'!$B$32, ""data!H2:M800""), 5, FALSE) = 1, ""Eligible"", ""Ineligible""))"),"Eligible")</f>
        <v>Eligible</v>
      </c>
      <c r="C391" s="15" t="str">
        <f>IFERROR(__xludf.DUMMYFUNCTION("IF(A391="""", """", IF(ISERROR(VLOOKUP(A391, IMPORTRANGE('Survey Progress'!$B$33, ""data!I2:L800""), 1, FALSE)), ""No Survey"", IF(VLOOKUP(A391, IMPORTRANGE('Survey Progress'!$B$33, ""data!I2:L800""), 2, FALSE) = 0, ""Incomplete"", ""Complete"")))"),"")</f>
        <v/>
      </c>
      <c r="D391" s="15" t="str">
        <f>IFERROR(__xludf.DUMMYFUNCTION("IF(A391="""", """", IF(ISERROR(VLOOKUP(A391, IMPORTRANGE('Survey Progress'!$B$34, ""data!I2:L800""), 1, FALSE)), ""No Survey"", IF(VLOOKUP(A391, IMPORTRANGE('Survey Progress'!$B$34, ""data!I2:L800""), 2, FALSE) = 0, ""Incomplete"", ""Complete"")))"),"")</f>
        <v/>
      </c>
      <c r="E391" s="27">
        <f t="shared" si="1"/>
        <v>0</v>
      </c>
      <c r="F391" s="14"/>
    </row>
    <row r="392">
      <c r="A392" s="14"/>
      <c r="B392" s="16" t="str">
        <f>IFERROR(__xludf.DUMMYFUNCTION("IF(ISERROR(VLOOKUP(A392, IMPORTRANGE('Survey Progress'!$B$32, ""data!H2:M800""), 5, FALSE)), """", IF(VLOOKUP(A392, IMPORTRANGE('Survey Progress'!$B$32, ""data!H2:M800""), 5, FALSE) = 1, ""Eligible"", ""Ineligible""))"),"Eligible")</f>
        <v>Eligible</v>
      </c>
      <c r="C392" s="15" t="str">
        <f>IFERROR(__xludf.DUMMYFUNCTION("IF(A392="""", """", IF(ISERROR(VLOOKUP(A392, IMPORTRANGE('Survey Progress'!$B$33, ""data!I2:L800""), 1, FALSE)), ""No Survey"", IF(VLOOKUP(A392, IMPORTRANGE('Survey Progress'!$B$33, ""data!I2:L800""), 2, FALSE) = 0, ""Incomplete"", ""Complete"")))"),"")</f>
        <v/>
      </c>
      <c r="D392" s="15" t="str">
        <f>IFERROR(__xludf.DUMMYFUNCTION("IF(A392="""", """", IF(ISERROR(VLOOKUP(A392, IMPORTRANGE('Survey Progress'!$B$34, ""data!I2:L800""), 1, FALSE)), ""No Survey"", IF(VLOOKUP(A392, IMPORTRANGE('Survey Progress'!$B$34, ""data!I2:L800""), 2, FALSE) = 0, ""Incomplete"", ""Complete"")))"),"")</f>
        <v/>
      </c>
      <c r="E392" s="27">
        <f t="shared" si="1"/>
        <v>0</v>
      </c>
      <c r="F392" s="14"/>
    </row>
    <row r="393">
      <c r="A393" s="14"/>
      <c r="B393" s="16" t="str">
        <f>IFERROR(__xludf.DUMMYFUNCTION("IF(ISERROR(VLOOKUP(A393, IMPORTRANGE('Survey Progress'!$B$32, ""data!H2:M800""), 5, FALSE)), """", IF(VLOOKUP(A393, IMPORTRANGE('Survey Progress'!$B$32, ""data!H2:M800""), 5, FALSE) = 1, ""Eligible"", ""Ineligible""))"),"Eligible")</f>
        <v>Eligible</v>
      </c>
      <c r="C393" s="15" t="str">
        <f>IFERROR(__xludf.DUMMYFUNCTION("IF(A393="""", """", IF(ISERROR(VLOOKUP(A393, IMPORTRANGE('Survey Progress'!$B$33, ""data!I2:L800""), 1, FALSE)), ""No Survey"", IF(VLOOKUP(A393, IMPORTRANGE('Survey Progress'!$B$33, ""data!I2:L800""), 2, FALSE) = 0, ""Incomplete"", ""Complete"")))"),"")</f>
        <v/>
      </c>
      <c r="D393" s="15" t="str">
        <f>IFERROR(__xludf.DUMMYFUNCTION("IF(A393="""", """", IF(ISERROR(VLOOKUP(A393, IMPORTRANGE('Survey Progress'!$B$34, ""data!I2:L800""), 1, FALSE)), ""No Survey"", IF(VLOOKUP(A393, IMPORTRANGE('Survey Progress'!$B$34, ""data!I2:L800""), 2, FALSE) = 0, ""Incomplete"", ""Complete"")))"),"")</f>
        <v/>
      </c>
      <c r="E393" s="27">
        <f t="shared" si="1"/>
        <v>0</v>
      </c>
      <c r="F393" s="14"/>
    </row>
    <row r="394">
      <c r="A394" s="14"/>
      <c r="B394" s="16" t="str">
        <f>IFERROR(__xludf.DUMMYFUNCTION("IF(ISERROR(VLOOKUP(A394, IMPORTRANGE('Survey Progress'!$B$32, ""data!H2:M800""), 5, FALSE)), """", IF(VLOOKUP(A394, IMPORTRANGE('Survey Progress'!$B$32, ""data!H2:M800""), 5, FALSE) = 1, ""Eligible"", ""Ineligible""))"),"Eligible")</f>
        <v>Eligible</v>
      </c>
      <c r="C394" s="15" t="str">
        <f>IFERROR(__xludf.DUMMYFUNCTION("IF(A394="""", """", IF(ISERROR(VLOOKUP(A394, IMPORTRANGE('Survey Progress'!$B$33, ""data!I2:L800""), 1, FALSE)), ""No Survey"", IF(VLOOKUP(A394, IMPORTRANGE('Survey Progress'!$B$33, ""data!I2:L800""), 2, FALSE) = 0, ""Incomplete"", ""Complete"")))"),"")</f>
        <v/>
      </c>
      <c r="D394" s="15" t="str">
        <f>IFERROR(__xludf.DUMMYFUNCTION("IF(A394="""", """", IF(ISERROR(VLOOKUP(A394, IMPORTRANGE('Survey Progress'!$B$34, ""data!I2:L800""), 1, FALSE)), ""No Survey"", IF(VLOOKUP(A394, IMPORTRANGE('Survey Progress'!$B$34, ""data!I2:L800""), 2, FALSE) = 0, ""Incomplete"", ""Complete"")))"),"")</f>
        <v/>
      </c>
      <c r="E394" s="27">
        <f t="shared" si="1"/>
        <v>0</v>
      </c>
      <c r="F394" s="14"/>
    </row>
    <row r="395">
      <c r="A395" s="14"/>
      <c r="B395" s="16" t="str">
        <f>IFERROR(__xludf.DUMMYFUNCTION("IF(ISERROR(VLOOKUP(A395, IMPORTRANGE('Survey Progress'!$B$32, ""data!H2:M800""), 5, FALSE)), """", IF(VLOOKUP(A395, IMPORTRANGE('Survey Progress'!$B$32, ""data!H2:M800""), 5, FALSE) = 1, ""Eligible"", ""Ineligible""))"),"Eligible")</f>
        <v>Eligible</v>
      </c>
      <c r="C395" s="15" t="str">
        <f>IFERROR(__xludf.DUMMYFUNCTION("IF(A395="""", """", IF(ISERROR(VLOOKUP(A395, IMPORTRANGE('Survey Progress'!$B$33, ""data!I2:L800""), 1, FALSE)), ""No Survey"", IF(VLOOKUP(A395, IMPORTRANGE('Survey Progress'!$B$33, ""data!I2:L800""), 2, FALSE) = 0, ""Incomplete"", ""Complete"")))"),"")</f>
        <v/>
      </c>
      <c r="D395" s="15" t="str">
        <f>IFERROR(__xludf.DUMMYFUNCTION("IF(A395="""", """", IF(ISERROR(VLOOKUP(A395, IMPORTRANGE('Survey Progress'!$B$34, ""data!I2:L800""), 1, FALSE)), ""No Survey"", IF(VLOOKUP(A395, IMPORTRANGE('Survey Progress'!$B$34, ""data!I2:L800""), 2, FALSE) = 0, ""Incomplete"", ""Complete"")))"),"")</f>
        <v/>
      </c>
      <c r="E395" s="27">
        <f t="shared" si="1"/>
        <v>0</v>
      </c>
      <c r="F395" s="14"/>
    </row>
    <row r="396">
      <c r="A396" s="14"/>
      <c r="B396" s="16" t="str">
        <f>IFERROR(__xludf.DUMMYFUNCTION("IF(ISERROR(VLOOKUP(A396, IMPORTRANGE('Survey Progress'!$B$32, ""data!H2:M800""), 5, FALSE)), """", IF(VLOOKUP(A396, IMPORTRANGE('Survey Progress'!$B$32, ""data!H2:M800""), 5, FALSE) = 1, ""Eligible"", ""Ineligible""))"),"Eligible")</f>
        <v>Eligible</v>
      </c>
      <c r="C396" s="15" t="str">
        <f>IFERROR(__xludf.DUMMYFUNCTION("IF(A396="""", """", IF(ISERROR(VLOOKUP(A396, IMPORTRANGE('Survey Progress'!$B$33, ""data!I2:L800""), 1, FALSE)), ""No Survey"", IF(VLOOKUP(A396, IMPORTRANGE('Survey Progress'!$B$33, ""data!I2:L800""), 2, FALSE) = 0, ""Incomplete"", ""Complete"")))"),"")</f>
        <v/>
      </c>
      <c r="D396" s="15" t="str">
        <f>IFERROR(__xludf.DUMMYFUNCTION("IF(A396="""", """", IF(ISERROR(VLOOKUP(A396, IMPORTRANGE('Survey Progress'!$B$34, ""data!I2:L800""), 1, FALSE)), ""No Survey"", IF(VLOOKUP(A396, IMPORTRANGE('Survey Progress'!$B$34, ""data!I2:L800""), 2, FALSE) = 0, ""Incomplete"", ""Complete"")))"),"")</f>
        <v/>
      </c>
      <c r="E396" s="27">
        <f t="shared" si="1"/>
        <v>0</v>
      </c>
      <c r="F396" s="14"/>
    </row>
    <row r="397">
      <c r="A397" s="14"/>
      <c r="B397" s="16" t="str">
        <f>IFERROR(__xludf.DUMMYFUNCTION("IF(ISERROR(VLOOKUP(A397, IMPORTRANGE('Survey Progress'!$B$32, ""data!H2:M800""), 5, FALSE)), """", IF(VLOOKUP(A397, IMPORTRANGE('Survey Progress'!$B$32, ""data!H2:M800""), 5, FALSE) = 1, ""Eligible"", ""Ineligible""))"),"Eligible")</f>
        <v>Eligible</v>
      </c>
      <c r="C397" s="15" t="str">
        <f>IFERROR(__xludf.DUMMYFUNCTION("IF(A397="""", """", IF(ISERROR(VLOOKUP(A397, IMPORTRANGE('Survey Progress'!$B$33, ""data!I2:L800""), 1, FALSE)), ""No Survey"", IF(VLOOKUP(A397, IMPORTRANGE('Survey Progress'!$B$33, ""data!I2:L800""), 2, FALSE) = 0, ""Incomplete"", ""Complete"")))"),"")</f>
        <v/>
      </c>
      <c r="D397" s="15" t="str">
        <f>IFERROR(__xludf.DUMMYFUNCTION("IF(A397="""", """", IF(ISERROR(VLOOKUP(A397, IMPORTRANGE('Survey Progress'!$B$34, ""data!I2:L800""), 1, FALSE)), ""No Survey"", IF(VLOOKUP(A397, IMPORTRANGE('Survey Progress'!$B$34, ""data!I2:L800""), 2, FALSE) = 0, ""Incomplete"", ""Complete"")))"),"")</f>
        <v/>
      </c>
      <c r="E397" s="27">
        <f t="shared" si="1"/>
        <v>0</v>
      </c>
      <c r="F397" s="14"/>
    </row>
    <row r="398">
      <c r="A398" s="14"/>
      <c r="B398" s="16" t="str">
        <f>IFERROR(__xludf.DUMMYFUNCTION("IF(ISERROR(VLOOKUP(A398, IMPORTRANGE('Survey Progress'!$B$32, ""data!H2:M800""), 5, FALSE)), """", IF(VLOOKUP(A398, IMPORTRANGE('Survey Progress'!$B$32, ""data!H2:M800""), 5, FALSE) = 1, ""Eligible"", ""Ineligible""))"),"Eligible")</f>
        <v>Eligible</v>
      </c>
      <c r="C398" s="15" t="str">
        <f>IFERROR(__xludf.DUMMYFUNCTION("IF(A398="""", """", IF(ISERROR(VLOOKUP(A398, IMPORTRANGE('Survey Progress'!$B$33, ""data!I2:L800""), 1, FALSE)), ""No Survey"", IF(VLOOKUP(A398, IMPORTRANGE('Survey Progress'!$B$33, ""data!I2:L800""), 2, FALSE) = 0, ""Incomplete"", ""Complete"")))"),"")</f>
        <v/>
      </c>
      <c r="D398" s="15" t="str">
        <f>IFERROR(__xludf.DUMMYFUNCTION("IF(A398="""", """", IF(ISERROR(VLOOKUP(A398, IMPORTRANGE('Survey Progress'!$B$34, ""data!I2:L800""), 1, FALSE)), ""No Survey"", IF(VLOOKUP(A398, IMPORTRANGE('Survey Progress'!$B$34, ""data!I2:L800""), 2, FALSE) = 0, ""Incomplete"", ""Complete"")))"),"")</f>
        <v/>
      </c>
      <c r="E398" s="27">
        <f t="shared" si="1"/>
        <v>0</v>
      </c>
      <c r="F398" s="14"/>
    </row>
    <row r="399">
      <c r="A399" s="14"/>
      <c r="B399" s="16" t="str">
        <f>IFERROR(__xludf.DUMMYFUNCTION("IF(ISERROR(VLOOKUP(A399, IMPORTRANGE('Survey Progress'!$B$32, ""data!H2:M800""), 5, FALSE)), """", IF(VLOOKUP(A399, IMPORTRANGE('Survey Progress'!$B$32, ""data!H2:M800""), 5, FALSE) = 1, ""Eligible"", ""Ineligible""))"),"Eligible")</f>
        <v>Eligible</v>
      </c>
      <c r="C399" s="15" t="str">
        <f>IFERROR(__xludf.DUMMYFUNCTION("IF(A399="""", """", IF(ISERROR(VLOOKUP(A399, IMPORTRANGE('Survey Progress'!$B$33, ""data!I2:L800""), 1, FALSE)), ""No Survey"", IF(VLOOKUP(A399, IMPORTRANGE('Survey Progress'!$B$33, ""data!I2:L800""), 2, FALSE) = 0, ""Incomplete"", ""Complete"")))"),"")</f>
        <v/>
      </c>
      <c r="D399" s="15" t="str">
        <f>IFERROR(__xludf.DUMMYFUNCTION("IF(A399="""", """", IF(ISERROR(VLOOKUP(A399, IMPORTRANGE('Survey Progress'!$B$34, ""data!I2:L800""), 1, FALSE)), ""No Survey"", IF(VLOOKUP(A399, IMPORTRANGE('Survey Progress'!$B$34, ""data!I2:L800""), 2, FALSE) = 0, ""Incomplete"", ""Complete"")))"),"")</f>
        <v/>
      </c>
      <c r="E399" s="27">
        <f t="shared" si="1"/>
        <v>0</v>
      </c>
      <c r="F399" s="14"/>
    </row>
    <row r="400">
      <c r="A400" s="14"/>
      <c r="B400" s="16" t="str">
        <f>IFERROR(__xludf.DUMMYFUNCTION("IF(ISERROR(VLOOKUP(A400, IMPORTRANGE('Survey Progress'!$B$32, ""data!H2:M800""), 5, FALSE)), """", IF(VLOOKUP(A400, IMPORTRANGE('Survey Progress'!$B$32, ""data!H2:M800""), 5, FALSE) = 1, ""Eligible"", ""Ineligible""))"),"Eligible")</f>
        <v>Eligible</v>
      </c>
      <c r="C400" s="15" t="str">
        <f>IFERROR(__xludf.DUMMYFUNCTION("IF(A400="""", """", IF(ISERROR(VLOOKUP(A400, IMPORTRANGE('Survey Progress'!$B$33, ""data!I2:L800""), 1, FALSE)), ""No Survey"", IF(VLOOKUP(A400, IMPORTRANGE('Survey Progress'!$B$33, ""data!I2:L800""), 2, FALSE) = 0, ""Incomplete"", ""Complete"")))"),"")</f>
        <v/>
      </c>
      <c r="D400" s="15" t="str">
        <f>IFERROR(__xludf.DUMMYFUNCTION("IF(A400="""", """", IF(ISERROR(VLOOKUP(A400, IMPORTRANGE('Survey Progress'!$B$34, ""data!I2:L800""), 1, FALSE)), ""No Survey"", IF(VLOOKUP(A400, IMPORTRANGE('Survey Progress'!$B$34, ""data!I2:L800""), 2, FALSE) = 0, ""Incomplete"", ""Complete"")))"),"")</f>
        <v/>
      </c>
      <c r="E400" s="27">
        <f t="shared" si="1"/>
        <v>0</v>
      </c>
      <c r="F400" s="14"/>
    </row>
    <row r="401">
      <c r="A401" s="14"/>
      <c r="D401" s="15" t="str">
        <f>IFERROR(__xludf.DUMMYFUNCTION("IF(A401="""", """", IF(ISERROR(VLOOKUP(A401, IMPORTRANGE('Survey Progress'!$B$34, ""data!I2:L800""), 1, FALSE)), ""No Survey"", IF(VLOOKUP(A401, IMPORTRANGE('Survey Progress'!$B$34, ""data!I2:L800""), 2, FALSE) = 0, ""Incomplete"", ""Complete"")))"),"")</f>
        <v/>
      </c>
      <c r="F401" s="14"/>
    </row>
    <row r="402">
      <c r="A402" s="14"/>
      <c r="D402" s="15" t="str">
        <f>IFERROR(__xludf.DUMMYFUNCTION("IF(A402="""", """", IF(ISERROR(VLOOKUP(A402, IMPORTRANGE('Survey Progress'!$B$34, ""data!I2:L800""), 1, FALSE)), ""No Survey"", IF(VLOOKUP(A402, IMPORTRANGE('Survey Progress'!$B$34, ""data!I2:L800""), 2, FALSE) = 0, ""Incomplete"", ""Complete"")))"),"")</f>
        <v/>
      </c>
      <c r="F402" s="14"/>
    </row>
    <row r="403">
      <c r="A403" s="14"/>
      <c r="D403" s="15" t="str">
        <f>IFERROR(__xludf.DUMMYFUNCTION("IF(A403="""", """", IF(ISERROR(VLOOKUP(A403, IMPORTRANGE('Survey Progress'!$B$34, ""data!I2:L800""), 1, FALSE)), ""No Survey"", IF(VLOOKUP(A403, IMPORTRANGE('Survey Progress'!$B$34, ""data!I2:L800""), 2, FALSE) = 0, ""Incomplete"", ""Complete"")))"),"")</f>
        <v/>
      </c>
      <c r="F403" s="14"/>
    </row>
    <row r="404">
      <c r="A404" s="14"/>
      <c r="D404" s="15" t="str">
        <f>IFERROR(__xludf.DUMMYFUNCTION("IF(A404="""", """", IF(ISERROR(VLOOKUP(A404, IMPORTRANGE('Survey Progress'!$B$34, ""data!I2:L800""), 1, FALSE)), ""No Survey"", IF(VLOOKUP(A404, IMPORTRANGE('Survey Progress'!$B$34, ""data!I2:L800""), 2, FALSE) = 0, ""Incomplete"", ""Complete"")))"),"")</f>
        <v/>
      </c>
      <c r="F404" s="14"/>
    </row>
    <row r="405">
      <c r="A405" s="14"/>
      <c r="D405" s="15" t="str">
        <f>IFERROR(__xludf.DUMMYFUNCTION("IF(A405="""", """", IF(ISERROR(VLOOKUP(A405, IMPORTRANGE('Survey Progress'!$B$34, ""data!I2:L800""), 1, FALSE)), ""No Survey"", IF(VLOOKUP(A405, IMPORTRANGE('Survey Progress'!$B$34, ""data!I2:L800""), 2, FALSE) = 0, ""Incomplete"", ""Complete"")))"),"")</f>
        <v/>
      </c>
      <c r="F405" s="14"/>
    </row>
    <row r="406">
      <c r="A406" s="14"/>
      <c r="D406" s="15" t="str">
        <f>IFERROR(__xludf.DUMMYFUNCTION("IF(A406="""", """", IF(ISERROR(VLOOKUP(A406, IMPORTRANGE('Survey Progress'!$B$34, ""data!I2:L800""), 1, FALSE)), ""No Survey"", IF(VLOOKUP(A406, IMPORTRANGE('Survey Progress'!$B$34, ""data!I2:L800""), 2, FALSE) = 0, ""Incomplete"", ""Complete"")))"),"")</f>
        <v/>
      </c>
      <c r="F406" s="14"/>
    </row>
    <row r="407">
      <c r="A407" s="14"/>
      <c r="D407" s="15" t="str">
        <f>IFERROR(__xludf.DUMMYFUNCTION("IF(A407="""", """", IF(ISERROR(VLOOKUP(A407, IMPORTRANGE('Survey Progress'!$B$34, ""data!I2:L800""), 1, FALSE)), ""No Survey"", IF(VLOOKUP(A407, IMPORTRANGE('Survey Progress'!$B$34, ""data!I2:L800""), 2, FALSE) = 0, ""Incomplete"", ""Complete"")))"),"")</f>
        <v/>
      </c>
      <c r="F407" s="14"/>
    </row>
    <row r="408">
      <c r="A408" s="14"/>
      <c r="D408" s="15" t="str">
        <f>IFERROR(__xludf.DUMMYFUNCTION("IF(A408="""", """", IF(ISERROR(VLOOKUP(A408, IMPORTRANGE('Survey Progress'!$B$34, ""data!I2:L800""), 1, FALSE)), ""No Survey"", IF(VLOOKUP(A408, IMPORTRANGE('Survey Progress'!$B$34, ""data!I2:L800""), 2, FALSE) = 0, ""Incomplete"", ""Complete"")))"),"")</f>
        <v/>
      </c>
      <c r="F408" s="14"/>
    </row>
    <row r="409">
      <c r="A409" s="14"/>
      <c r="D409" s="15" t="str">
        <f>IFERROR(__xludf.DUMMYFUNCTION("IF(A409="""", """", IF(ISERROR(VLOOKUP(A409, IMPORTRANGE('Survey Progress'!$B$34, ""data!I2:L800""), 1, FALSE)), ""No Survey"", IF(VLOOKUP(A409, IMPORTRANGE('Survey Progress'!$B$34, ""data!I2:L800""), 2, FALSE) = 0, ""Incomplete"", ""Complete"")))"),"")</f>
        <v/>
      </c>
      <c r="F409" s="14"/>
    </row>
    <row r="410">
      <c r="A410" s="14"/>
      <c r="F410" s="14"/>
    </row>
    <row r="411">
      <c r="A411" s="14"/>
      <c r="F411" s="14"/>
    </row>
    <row r="412">
      <c r="A412" s="14"/>
      <c r="F412" s="14"/>
    </row>
    <row r="413">
      <c r="A413" s="14"/>
      <c r="F413" s="14"/>
    </row>
    <row r="414">
      <c r="A414" s="14"/>
      <c r="F414" s="14"/>
    </row>
    <row r="415">
      <c r="A415" s="14"/>
      <c r="F415" s="14"/>
    </row>
    <row r="416">
      <c r="A416" s="14"/>
      <c r="F416" s="14"/>
    </row>
    <row r="417">
      <c r="A417" s="14"/>
      <c r="F417" s="14"/>
    </row>
    <row r="418">
      <c r="A418" s="14"/>
      <c r="F418" s="14"/>
    </row>
    <row r="419">
      <c r="A419" s="14"/>
      <c r="F419" s="14"/>
    </row>
    <row r="420">
      <c r="A420" s="14"/>
      <c r="F420" s="14"/>
    </row>
    <row r="421">
      <c r="A421" s="14"/>
      <c r="F421" s="14"/>
    </row>
    <row r="422">
      <c r="A422" s="14"/>
      <c r="F422" s="14"/>
    </row>
    <row r="423">
      <c r="A423" s="14"/>
      <c r="F423" s="14"/>
    </row>
    <row r="424">
      <c r="A424" s="14"/>
      <c r="F424" s="14"/>
    </row>
    <row r="425">
      <c r="A425" s="14"/>
      <c r="F425" s="14"/>
    </row>
    <row r="426">
      <c r="A426" s="14"/>
      <c r="F426" s="14"/>
    </row>
    <row r="427">
      <c r="A427" s="14"/>
      <c r="F427" s="14"/>
    </row>
    <row r="428">
      <c r="A428" s="14"/>
      <c r="F428" s="14"/>
    </row>
    <row r="429">
      <c r="A429" s="14"/>
      <c r="F429" s="14"/>
    </row>
    <row r="430">
      <c r="A430" s="14"/>
      <c r="F430" s="14"/>
    </row>
    <row r="431">
      <c r="A431" s="14"/>
      <c r="F431" s="14"/>
    </row>
    <row r="432">
      <c r="A432" s="14"/>
      <c r="F432" s="14"/>
    </row>
    <row r="433">
      <c r="A433" s="14"/>
      <c r="F433" s="14"/>
    </row>
    <row r="434">
      <c r="A434" s="14"/>
      <c r="F434" s="14"/>
    </row>
    <row r="435">
      <c r="A435" s="14"/>
      <c r="F435" s="14"/>
    </row>
    <row r="436">
      <c r="A436" s="14"/>
      <c r="F436" s="14"/>
    </row>
    <row r="437">
      <c r="A437" s="14"/>
      <c r="F437" s="14"/>
    </row>
    <row r="438">
      <c r="A438" s="14"/>
      <c r="F438" s="14"/>
    </row>
    <row r="439">
      <c r="A439" s="14"/>
      <c r="F439" s="14"/>
    </row>
    <row r="440">
      <c r="A440" s="14"/>
      <c r="F440" s="14"/>
    </row>
    <row r="441">
      <c r="A441" s="14"/>
      <c r="F441" s="14"/>
    </row>
    <row r="442">
      <c r="A442" s="14"/>
      <c r="F442" s="14"/>
    </row>
    <row r="443">
      <c r="A443" s="14"/>
      <c r="F443" s="14"/>
    </row>
    <row r="444">
      <c r="A444" s="14"/>
      <c r="F444" s="14"/>
    </row>
    <row r="445">
      <c r="A445" s="14"/>
      <c r="F445" s="14"/>
    </row>
    <row r="446">
      <c r="A446" s="14"/>
      <c r="F446" s="14"/>
    </row>
    <row r="447">
      <c r="A447" s="14"/>
      <c r="F447" s="14"/>
    </row>
    <row r="448">
      <c r="A448" s="14"/>
      <c r="F448" s="14"/>
    </row>
    <row r="449">
      <c r="A449" s="14"/>
      <c r="F449" s="14"/>
    </row>
    <row r="450">
      <c r="A450" s="14"/>
      <c r="F450" s="14"/>
    </row>
    <row r="451">
      <c r="A451" s="14"/>
      <c r="F451" s="14"/>
    </row>
    <row r="452">
      <c r="A452" s="14"/>
      <c r="F452" s="14"/>
    </row>
    <row r="453">
      <c r="A453" s="14"/>
      <c r="F453" s="14"/>
    </row>
    <row r="454">
      <c r="A454" s="14"/>
      <c r="F454" s="14"/>
    </row>
    <row r="455">
      <c r="A455" s="14"/>
      <c r="F455" s="14"/>
    </row>
    <row r="456">
      <c r="A456" s="14"/>
      <c r="F456" s="14"/>
    </row>
    <row r="457">
      <c r="A457" s="14"/>
      <c r="F457" s="14"/>
    </row>
    <row r="458">
      <c r="A458" s="14"/>
      <c r="F458" s="14"/>
    </row>
    <row r="459">
      <c r="A459" s="14"/>
      <c r="F459" s="14"/>
    </row>
    <row r="460">
      <c r="A460" s="14"/>
      <c r="F460" s="14"/>
    </row>
    <row r="461">
      <c r="A461" s="14"/>
      <c r="F461" s="14"/>
    </row>
    <row r="462">
      <c r="A462" s="14"/>
      <c r="F462" s="14"/>
    </row>
    <row r="463">
      <c r="A463" s="14"/>
      <c r="F463" s="14"/>
    </row>
    <row r="464">
      <c r="A464" s="14"/>
      <c r="F464" s="14"/>
    </row>
    <row r="465">
      <c r="A465" s="14"/>
      <c r="F465" s="14"/>
    </row>
    <row r="466">
      <c r="A466" s="14"/>
      <c r="F466" s="14"/>
    </row>
    <row r="467">
      <c r="A467" s="14"/>
      <c r="F467" s="14"/>
    </row>
    <row r="468">
      <c r="A468" s="14"/>
      <c r="F468" s="14"/>
    </row>
    <row r="469">
      <c r="A469" s="14"/>
      <c r="F469" s="14"/>
    </row>
    <row r="470">
      <c r="A470" s="14"/>
      <c r="F470" s="14"/>
    </row>
    <row r="471">
      <c r="A471" s="14"/>
      <c r="F471" s="14"/>
    </row>
    <row r="472">
      <c r="A472" s="14"/>
      <c r="F472" s="14"/>
    </row>
    <row r="473">
      <c r="A473" s="14"/>
      <c r="F473" s="14"/>
    </row>
    <row r="474">
      <c r="A474" s="14"/>
      <c r="F474" s="14"/>
    </row>
    <row r="475">
      <c r="A475" s="14"/>
      <c r="F475" s="14"/>
    </row>
    <row r="476">
      <c r="A476" s="14"/>
      <c r="F476" s="14"/>
    </row>
    <row r="477">
      <c r="A477" s="14"/>
      <c r="F477" s="14"/>
    </row>
    <row r="478">
      <c r="A478" s="14"/>
      <c r="F478" s="14"/>
    </row>
    <row r="479">
      <c r="A479" s="14"/>
      <c r="F479" s="14"/>
    </row>
    <row r="480">
      <c r="A480" s="14"/>
      <c r="F480" s="14"/>
    </row>
    <row r="481">
      <c r="A481" s="14"/>
      <c r="F481" s="14"/>
    </row>
    <row r="482">
      <c r="A482" s="14"/>
      <c r="F482" s="14"/>
    </row>
    <row r="483">
      <c r="A483" s="14"/>
      <c r="F483" s="14"/>
    </row>
    <row r="484">
      <c r="A484" s="14"/>
      <c r="F484" s="14"/>
    </row>
    <row r="485">
      <c r="A485" s="14"/>
      <c r="F485" s="14"/>
    </row>
    <row r="486">
      <c r="A486" s="14"/>
      <c r="F486" s="14"/>
    </row>
    <row r="487">
      <c r="A487" s="14"/>
      <c r="F487" s="14"/>
    </row>
    <row r="488">
      <c r="A488" s="14"/>
      <c r="F488" s="14"/>
    </row>
    <row r="489">
      <c r="A489" s="14"/>
      <c r="F489" s="14"/>
    </row>
    <row r="490">
      <c r="A490" s="14"/>
      <c r="F490" s="14"/>
    </row>
    <row r="491">
      <c r="A491" s="14"/>
      <c r="F491" s="14"/>
    </row>
    <row r="492">
      <c r="A492" s="14"/>
      <c r="F492" s="14"/>
    </row>
    <row r="493">
      <c r="A493" s="14"/>
      <c r="F493" s="14"/>
    </row>
    <row r="494">
      <c r="A494" s="14"/>
      <c r="F494" s="14"/>
    </row>
    <row r="495">
      <c r="A495" s="14"/>
      <c r="F495" s="14"/>
    </row>
    <row r="496">
      <c r="A496" s="14"/>
      <c r="F496" s="14"/>
    </row>
    <row r="497">
      <c r="A497" s="14"/>
      <c r="F497" s="14"/>
    </row>
    <row r="498">
      <c r="A498" s="14"/>
      <c r="F498" s="14"/>
    </row>
    <row r="499">
      <c r="A499" s="14"/>
      <c r="F499" s="14"/>
    </row>
    <row r="500">
      <c r="A500" s="14"/>
      <c r="F500" s="14"/>
    </row>
    <row r="501">
      <c r="A501" s="14"/>
      <c r="F501" s="14"/>
    </row>
    <row r="502">
      <c r="A502" s="14"/>
      <c r="F502" s="14"/>
    </row>
    <row r="503">
      <c r="A503" s="14"/>
      <c r="F503" s="14"/>
    </row>
    <row r="504">
      <c r="A504" s="14"/>
      <c r="F504" s="14"/>
    </row>
    <row r="505">
      <c r="A505" s="14"/>
      <c r="F505" s="14"/>
    </row>
    <row r="506">
      <c r="A506" s="14"/>
      <c r="F506" s="14"/>
    </row>
    <row r="507">
      <c r="A507" s="14"/>
      <c r="F507" s="14"/>
    </row>
    <row r="508">
      <c r="A508" s="14"/>
      <c r="F508" s="14"/>
    </row>
    <row r="509">
      <c r="A509" s="14"/>
      <c r="F509" s="14"/>
    </row>
    <row r="510">
      <c r="A510" s="14"/>
      <c r="F510" s="14"/>
    </row>
    <row r="511">
      <c r="A511" s="14"/>
      <c r="F511" s="14"/>
    </row>
    <row r="512">
      <c r="A512" s="14"/>
      <c r="F512" s="14"/>
    </row>
    <row r="513">
      <c r="A513" s="14"/>
      <c r="F513" s="14"/>
    </row>
    <row r="514">
      <c r="A514" s="14"/>
      <c r="F514" s="14"/>
    </row>
    <row r="515">
      <c r="A515" s="14"/>
      <c r="F515" s="14"/>
    </row>
    <row r="516">
      <c r="A516" s="14"/>
      <c r="F516" s="14"/>
    </row>
    <row r="517">
      <c r="A517" s="14"/>
      <c r="F517" s="14"/>
    </row>
    <row r="518">
      <c r="A518" s="14"/>
      <c r="F518" s="14"/>
    </row>
    <row r="519">
      <c r="A519" s="14"/>
      <c r="F519" s="14"/>
    </row>
    <row r="520">
      <c r="A520" s="14"/>
      <c r="F520" s="14"/>
    </row>
    <row r="521">
      <c r="A521" s="14"/>
      <c r="F521" s="14"/>
    </row>
    <row r="522">
      <c r="A522" s="14"/>
      <c r="F522" s="14"/>
    </row>
    <row r="523">
      <c r="A523" s="14"/>
      <c r="F523" s="14"/>
    </row>
    <row r="524">
      <c r="A524" s="14"/>
      <c r="F524" s="14"/>
    </row>
    <row r="525">
      <c r="A525" s="14"/>
      <c r="F525" s="14"/>
    </row>
    <row r="526">
      <c r="A526" s="14"/>
      <c r="F526" s="14"/>
    </row>
    <row r="527">
      <c r="A527" s="14"/>
      <c r="F527" s="14"/>
    </row>
    <row r="528">
      <c r="A528" s="14"/>
      <c r="F528" s="14"/>
    </row>
    <row r="529">
      <c r="A529" s="14"/>
      <c r="F529" s="14"/>
    </row>
    <row r="530">
      <c r="A530" s="14"/>
      <c r="F530" s="14"/>
    </row>
    <row r="531">
      <c r="A531" s="14"/>
      <c r="F531" s="14"/>
    </row>
    <row r="532">
      <c r="A532" s="14"/>
      <c r="F532" s="14"/>
    </row>
    <row r="533">
      <c r="A533" s="14"/>
      <c r="F533" s="14"/>
    </row>
    <row r="534">
      <c r="A534" s="14"/>
      <c r="F534" s="14"/>
    </row>
    <row r="535">
      <c r="A535" s="14"/>
      <c r="F535" s="14"/>
    </row>
    <row r="536">
      <c r="A536" s="14"/>
      <c r="F536" s="14"/>
    </row>
    <row r="537">
      <c r="A537" s="14"/>
      <c r="F537" s="14"/>
    </row>
    <row r="538">
      <c r="A538" s="14"/>
      <c r="F538" s="14"/>
    </row>
    <row r="539">
      <c r="A539" s="14"/>
      <c r="F539" s="14"/>
    </row>
    <row r="540">
      <c r="A540" s="14"/>
      <c r="F540" s="14"/>
    </row>
    <row r="541">
      <c r="A541" s="14"/>
      <c r="F541" s="14"/>
    </row>
    <row r="542">
      <c r="A542" s="14"/>
      <c r="F542" s="14"/>
    </row>
    <row r="543">
      <c r="A543" s="14"/>
      <c r="F543" s="14"/>
    </row>
    <row r="544">
      <c r="A544" s="14"/>
      <c r="F544" s="14"/>
    </row>
    <row r="545">
      <c r="A545" s="14"/>
      <c r="F545" s="14"/>
    </row>
    <row r="546">
      <c r="A546" s="14"/>
      <c r="F546" s="14"/>
    </row>
    <row r="547">
      <c r="A547" s="14"/>
      <c r="F547" s="14"/>
    </row>
    <row r="548">
      <c r="A548" s="14"/>
      <c r="F548" s="14"/>
    </row>
    <row r="549">
      <c r="A549" s="14"/>
      <c r="F549" s="14"/>
    </row>
    <row r="550">
      <c r="A550" s="14"/>
      <c r="F550" s="14"/>
    </row>
    <row r="551">
      <c r="A551" s="14"/>
      <c r="F551" s="14"/>
    </row>
    <row r="552">
      <c r="A552" s="14"/>
      <c r="F552" s="14"/>
    </row>
    <row r="553">
      <c r="A553" s="14"/>
      <c r="F553" s="14"/>
    </row>
    <row r="554">
      <c r="A554" s="14"/>
      <c r="F554" s="14"/>
    </row>
    <row r="555">
      <c r="A555" s="14"/>
      <c r="F555" s="14"/>
    </row>
    <row r="556">
      <c r="A556" s="14"/>
      <c r="F556" s="14"/>
    </row>
    <row r="557">
      <c r="A557" s="14"/>
      <c r="F557" s="14"/>
    </row>
    <row r="558">
      <c r="A558" s="14"/>
      <c r="F558" s="14"/>
    </row>
    <row r="559">
      <c r="A559" s="14"/>
      <c r="F559" s="14"/>
    </row>
    <row r="560">
      <c r="A560" s="14"/>
      <c r="F560" s="14"/>
    </row>
    <row r="561">
      <c r="A561" s="14"/>
      <c r="F561" s="14"/>
    </row>
    <row r="562">
      <c r="A562" s="14"/>
      <c r="F562" s="14"/>
    </row>
    <row r="563">
      <c r="A563" s="14"/>
      <c r="F563" s="14"/>
    </row>
    <row r="564">
      <c r="A564" s="14"/>
      <c r="F564" s="14"/>
    </row>
    <row r="565">
      <c r="A565" s="14"/>
      <c r="F565" s="14"/>
    </row>
    <row r="566">
      <c r="A566" s="14"/>
      <c r="F566" s="14"/>
    </row>
    <row r="567">
      <c r="A567" s="14"/>
      <c r="F567" s="14"/>
    </row>
    <row r="568">
      <c r="A568" s="14"/>
      <c r="F568" s="14"/>
    </row>
    <row r="569">
      <c r="A569" s="14"/>
      <c r="F569" s="14"/>
    </row>
    <row r="570">
      <c r="A570" s="14"/>
      <c r="F570" s="14"/>
    </row>
    <row r="571">
      <c r="A571" s="14"/>
      <c r="F571" s="14"/>
    </row>
    <row r="572">
      <c r="A572" s="14"/>
      <c r="F572" s="14"/>
    </row>
    <row r="573">
      <c r="A573" s="14"/>
      <c r="F573" s="14"/>
    </row>
    <row r="574">
      <c r="A574" s="14"/>
      <c r="F574" s="14"/>
    </row>
    <row r="575">
      <c r="A575" s="14"/>
      <c r="F575" s="14"/>
    </row>
    <row r="576">
      <c r="A576" s="14"/>
      <c r="F576" s="14"/>
    </row>
    <row r="577">
      <c r="A577" s="14"/>
      <c r="F577" s="14"/>
    </row>
    <row r="578">
      <c r="A578" s="14"/>
      <c r="F578" s="14"/>
    </row>
    <row r="579">
      <c r="A579" s="14"/>
      <c r="F579" s="14"/>
    </row>
    <row r="580">
      <c r="A580" s="14"/>
      <c r="F580" s="14"/>
    </row>
    <row r="581">
      <c r="A581" s="14"/>
      <c r="F581" s="14"/>
    </row>
    <row r="582">
      <c r="A582" s="14"/>
      <c r="F582" s="14"/>
    </row>
    <row r="583">
      <c r="A583" s="14"/>
      <c r="F583" s="14"/>
    </row>
    <row r="584">
      <c r="A584" s="14"/>
      <c r="F584" s="14"/>
    </row>
    <row r="585">
      <c r="A585" s="14"/>
      <c r="F585" s="14"/>
    </row>
    <row r="586">
      <c r="A586" s="14"/>
      <c r="F586" s="14"/>
    </row>
    <row r="587">
      <c r="A587" s="14"/>
      <c r="F587" s="14"/>
    </row>
    <row r="588">
      <c r="A588" s="14"/>
      <c r="F588" s="14"/>
    </row>
    <row r="589">
      <c r="A589" s="14"/>
      <c r="F589" s="14"/>
    </row>
    <row r="590">
      <c r="A590" s="14"/>
      <c r="F590" s="14"/>
    </row>
    <row r="591">
      <c r="A591" s="14"/>
      <c r="F591" s="14"/>
    </row>
    <row r="592">
      <c r="A592" s="14"/>
      <c r="F592" s="14"/>
    </row>
    <row r="593">
      <c r="A593" s="14"/>
      <c r="F593" s="14"/>
    </row>
    <row r="594">
      <c r="A594" s="14"/>
      <c r="F594" s="14"/>
    </row>
    <row r="595">
      <c r="A595" s="14"/>
      <c r="F595" s="14"/>
    </row>
    <row r="596">
      <c r="A596" s="14"/>
      <c r="F596" s="14"/>
    </row>
    <row r="597">
      <c r="A597" s="14"/>
      <c r="F597" s="14"/>
    </row>
    <row r="598">
      <c r="A598" s="14"/>
      <c r="F598" s="14"/>
    </row>
    <row r="599">
      <c r="A599" s="14"/>
      <c r="F599" s="14"/>
    </row>
    <row r="600">
      <c r="A600" s="14"/>
      <c r="F600" s="14"/>
    </row>
    <row r="601">
      <c r="A601" s="14"/>
      <c r="F601" s="14"/>
    </row>
    <row r="602">
      <c r="A602" s="14"/>
      <c r="F602" s="14"/>
    </row>
    <row r="603">
      <c r="A603" s="14"/>
      <c r="F603" s="14"/>
    </row>
    <row r="604">
      <c r="A604" s="14"/>
      <c r="F604" s="14"/>
    </row>
    <row r="605">
      <c r="A605" s="14"/>
      <c r="F605" s="14"/>
    </row>
    <row r="606">
      <c r="A606" s="14"/>
      <c r="F606" s="14"/>
    </row>
    <row r="607">
      <c r="A607" s="14"/>
      <c r="F607" s="14"/>
    </row>
    <row r="608">
      <c r="A608" s="14"/>
      <c r="F608" s="14"/>
    </row>
    <row r="609">
      <c r="A609" s="14"/>
      <c r="F609" s="14"/>
    </row>
    <row r="610">
      <c r="A610" s="14"/>
      <c r="F610" s="14"/>
    </row>
    <row r="611">
      <c r="A611" s="14"/>
      <c r="F611" s="14"/>
    </row>
    <row r="612">
      <c r="A612" s="14"/>
      <c r="F612" s="14"/>
    </row>
    <row r="613">
      <c r="A613" s="14"/>
      <c r="F613" s="14"/>
    </row>
    <row r="614">
      <c r="A614" s="14"/>
      <c r="F614" s="14"/>
    </row>
    <row r="615">
      <c r="A615" s="14"/>
      <c r="F615" s="14"/>
    </row>
    <row r="616">
      <c r="A616" s="14"/>
      <c r="F616" s="14"/>
    </row>
    <row r="617">
      <c r="A617" s="14"/>
      <c r="F617" s="14"/>
    </row>
    <row r="618">
      <c r="A618" s="14"/>
      <c r="F618" s="14"/>
    </row>
    <row r="619">
      <c r="A619" s="14"/>
      <c r="F619" s="14"/>
    </row>
    <row r="620">
      <c r="A620" s="14"/>
      <c r="F620" s="14"/>
    </row>
    <row r="621">
      <c r="A621" s="14"/>
      <c r="F621" s="14"/>
    </row>
    <row r="622">
      <c r="A622" s="14"/>
      <c r="F622" s="14"/>
    </row>
    <row r="623">
      <c r="A623" s="14"/>
      <c r="F623" s="14"/>
    </row>
    <row r="624">
      <c r="A624" s="14"/>
      <c r="F624" s="14"/>
    </row>
    <row r="625">
      <c r="A625" s="14"/>
      <c r="F625" s="14"/>
    </row>
    <row r="626">
      <c r="A626" s="14"/>
      <c r="F626" s="14"/>
    </row>
    <row r="627">
      <c r="A627" s="14"/>
      <c r="F627" s="14"/>
    </row>
    <row r="628">
      <c r="A628" s="14"/>
      <c r="F628" s="14"/>
    </row>
    <row r="629">
      <c r="A629" s="14"/>
      <c r="F629" s="14"/>
    </row>
    <row r="630">
      <c r="A630" s="14"/>
      <c r="F630" s="14"/>
    </row>
    <row r="631">
      <c r="A631" s="14"/>
      <c r="F631" s="14"/>
    </row>
    <row r="632">
      <c r="A632" s="14"/>
      <c r="F632" s="14"/>
    </row>
    <row r="633">
      <c r="A633" s="14"/>
      <c r="F633" s="14"/>
    </row>
    <row r="634">
      <c r="A634" s="14"/>
      <c r="F634" s="14"/>
    </row>
    <row r="635">
      <c r="A635" s="14"/>
      <c r="F635" s="14"/>
    </row>
    <row r="636">
      <c r="A636" s="14"/>
      <c r="F636" s="14"/>
    </row>
    <row r="637">
      <c r="A637" s="14"/>
      <c r="F637" s="14"/>
    </row>
    <row r="638">
      <c r="A638" s="14"/>
      <c r="F638" s="14"/>
    </row>
    <row r="639">
      <c r="A639" s="14"/>
      <c r="F639" s="14"/>
    </row>
    <row r="640">
      <c r="A640" s="14"/>
      <c r="F640" s="14"/>
    </row>
    <row r="641">
      <c r="A641" s="14"/>
      <c r="F641" s="14"/>
    </row>
    <row r="642">
      <c r="A642" s="14"/>
      <c r="F642" s="14"/>
    </row>
    <row r="643">
      <c r="A643" s="14"/>
      <c r="F643" s="14"/>
    </row>
    <row r="644">
      <c r="A644" s="14"/>
      <c r="F644" s="14"/>
    </row>
    <row r="645">
      <c r="A645" s="14"/>
      <c r="F645" s="14"/>
    </row>
    <row r="646">
      <c r="A646" s="14"/>
      <c r="F646" s="14"/>
    </row>
    <row r="647">
      <c r="A647" s="14"/>
      <c r="F647" s="14"/>
    </row>
    <row r="648">
      <c r="A648" s="14"/>
      <c r="F648" s="14"/>
    </row>
    <row r="649">
      <c r="A649" s="14"/>
      <c r="F649" s="14"/>
    </row>
    <row r="650">
      <c r="A650" s="14"/>
      <c r="F650" s="14"/>
    </row>
    <row r="651">
      <c r="A651" s="14"/>
      <c r="F651" s="14"/>
    </row>
    <row r="652">
      <c r="A652" s="14"/>
      <c r="F652" s="14"/>
    </row>
    <row r="653">
      <c r="A653" s="14"/>
      <c r="F653" s="14"/>
    </row>
    <row r="654">
      <c r="A654" s="14"/>
      <c r="F654" s="14"/>
    </row>
    <row r="655">
      <c r="A655" s="14"/>
      <c r="F655" s="14"/>
    </row>
    <row r="656">
      <c r="A656" s="14"/>
      <c r="F656" s="14"/>
    </row>
    <row r="657">
      <c r="A657" s="14"/>
      <c r="F657" s="14"/>
    </row>
    <row r="658">
      <c r="A658" s="14"/>
      <c r="F658" s="14"/>
    </row>
    <row r="659">
      <c r="A659" s="14"/>
      <c r="F659" s="14"/>
    </row>
    <row r="660">
      <c r="A660" s="14"/>
      <c r="F660" s="14"/>
    </row>
    <row r="661">
      <c r="A661" s="14"/>
      <c r="F661" s="14"/>
    </row>
    <row r="662">
      <c r="A662" s="14"/>
      <c r="F662" s="14"/>
    </row>
    <row r="663">
      <c r="A663" s="14"/>
      <c r="F663" s="14"/>
    </row>
    <row r="664">
      <c r="A664" s="14"/>
      <c r="F664" s="14"/>
    </row>
    <row r="665">
      <c r="A665" s="14"/>
      <c r="F665" s="14"/>
    </row>
    <row r="666">
      <c r="A666" s="14"/>
      <c r="F666" s="14"/>
    </row>
    <row r="667">
      <c r="A667" s="14"/>
      <c r="F667" s="14"/>
    </row>
    <row r="668">
      <c r="A668" s="14"/>
      <c r="F668" s="14"/>
    </row>
    <row r="669">
      <c r="A669" s="14"/>
      <c r="F669" s="14"/>
    </row>
    <row r="670">
      <c r="A670" s="14"/>
      <c r="F670" s="14"/>
    </row>
    <row r="671">
      <c r="A671" s="14"/>
      <c r="F671" s="14"/>
    </row>
    <row r="672">
      <c r="A672" s="14"/>
      <c r="F672" s="14"/>
    </row>
    <row r="673">
      <c r="A673" s="14"/>
      <c r="F673" s="14"/>
    </row>
    <row r="674">
      <c r="A674" s="14"/>
      <c r="F674" s="14"/>
    </row>
    <row r="675">
      <c r="A675" s="14"/>
      <c r="F675" s="14"/>
    </row>
    <row r="676">
      <c r="A676" s="14"/>
      <c r="F676" s="14"/>
    </row>
    <row r="677">
      <c r="A677" s="14"/>
      <c r="F677" s="14"/>
    </row>
    <row r="678">
      <c r="A678" s="14"/>
      <c r="F678" s="14"/>
    </row>
    <row r="679">
      <c r="A679" s="14"/>
      <c r="F679" s="14"/>
    </row>
    <row r="680">
      <c r="A680" s="14"/>
      <c r="F680" s="14"/>
    </row>
    <row r="681">
      <c r="A681" s="14"/>
      <c r="F681" s="14"/>
    </row>
    <row r="682">
      <c r="A682" s="14"/>
      <c r="F682" s="14"/>
    </row>
    <row r="683">
      <c r="A683" s="14"/>
      <c r="F683" s="14"/>
    </row>
    <row r="684">
      <c r="A684" s="14"/>
      <c r="F684" s="14"/>
    </row>
    <row r="685">
      <c r="A685" s="14"/>
      <c r="F685" s="14"/>
    </row>
    <row r="686">
      <c r="A686" s="14"/>
      <c r="F686" s="14"/>
    </row>
    <row r="687">
      <c r="A687" s="14"/>
      <c r="F687" s="14"/>
    </row>
    <row r="688">
      <c r="A688" s="14"/>
      <c r="F688" s="14"/>
    </row>
    <row r="689">
      <c r="A689" s="14"/>
      <c r="F689" s="14"/>
    </row>
    <row r="690">
      <c r="A690" s="14"/>
      <c r="F690" s="14"/>
    </row>
    <row r="691">
      <c r="A691" s="14"/>
      <c r="F691" s="14"/>
    </row>
    <row r="692">
      <c r="A692" s="14"/>
      <c r="F692" s="14"/>
    </row>
    <row r="693">
      <c r="A693" s="14"/>
      <c r="F693" s="14"/>
    </row>
    <row r="694">
      <c r="A694" s="14"/>
      <c r="F694" s="14"/>
    </row>
    <row r="695">
      <c r="A695" s="14"/>
      <c r="F695" s="14"/>
    </row>
    <row r="696">
      <c r="A696" s="14"/>
      <c r="F696" s="14"/>
    </row>
    <row r="697">
      <c r="A697" s="14"/>
      <c r="F697" s="14"/>
    </row>
    <row r="698">
      <c r="A698" s="14"/>
      <c r="F698" s="14"/>
    </row>
    <row r="699">
      <c r="A699" s="14"/>
      <c r="F699" s="14"/>
    </row>
    <row r="700">
      <c r="A700" s="14"/>
      <c r="F700" s="14"/>
    </row>
    <row r="701">
      <c r="A701" s="14"/>
      <c r="F701" s="14"/>
    </row>
    <row r="702">
      <c r="A702" s="14"/>
      <c r="F702" s="14"/>
    </row>
    <row r="703">
      <c r="A703" s="14"/>
      <c r="F703" s="14"/>
    </row>
    <row r="704">
      <c r="A704" s="14"/>
      <c r="F704" s="14"/>
    </row>
    <row r="705">
      <c r="A705" s="14"/>
      <c r="F705" s="14"/>
    </row>
    <row r="706">
      <c r="A706" s="14"/>
      <c r="F706" s="14"/>
    </row>
    <row r="707">
      <c r="A707" s="14"/>
      <c r="F707" s="14"/>
    </row>
    <row r="708">
      <c r="A708" s="14"/>
      <c r="F708" s="14"/>
    </row>
    <row r="709">
      <c r="A709" s="14"/>
      <c r="F709" s="14"/>
    </row>
    <row r="710">
      <c r="A710" s="14"/>
      <c r="F710" s="14"/>
    </row>
    <row r="711">
      <c r="A711" s="14"/>
      <c r="F711" s="14"/>
    </row>
    <row r="712">
      <c r="A712" s="14"/>
      <c r="F712" s="14"/>
    </row>
    <row r="713">
      <c r="A713" s="14"/>
      <c r="F713" s="14"/>
    </row>
    <row r="714">
      <c r="A714" s="14"/>
      <c r="F714" s="14"/>
    </row>
    <row r="715">
      <c r="A715" s="14"/>
      <c r="F715" s="14"/>
    </row>
    <row r="716">
      <c r="A716" s="14"/>
      <c r="F716" s="14"/>
    </row>
    <row r="717">
      <c r="A717" s="14"/>
      <c r="F717" s="14"/>
    </row>
    <row r="718">
      <c r="A718" s="14"/>
      <c r="F718" s="14"/>
    </row>
    <row r="719">
      <c r="A719" s="14"/>
      <c r="F719" s="14"/>
    </row>
    <row r="720">
      <c r="A720" s="14"/>
      <c r="F720" s="14"/>
    </row>
    <row r="721">
      <c r="A721" s="14"/>
      <c r="F721" s="14"/>
    </row>
    <row r="722">
      <c r="A722" s="14"/>
      <c r="F722" s="14"/>
    </row>
    <row r="723">
      <c r="A723" s="14"/>
      <c r="F723" s="14"/>
    </row>
    <row r="724">
      <c r="A724" s="14"/>
      <c r="F724" s="14"/>
    </row>
    <row r="725">
      <c r="A725" s="14"/>
      <c r="F725" s="14"/>
    </row>
    <row r="726">
      <c r="A726" s="14"/>
      <c r="F726" s="14"/>
    </row>
    <row r="727">
      <c r="A727" s="14"/>
      <c r="F727" s="14"/>
    </row>
    <row r="728">
      <c r="A728" s="14"/>
      <c r="F728" s="14"/>
    </row>
    <row r="729">
      <c r="A729" s="14"/>
      <c r="F729" s="14"/>
    </row>
    <row r="730">
      <c r="A730" s="14"/>
      <c r="F730" s="14"/>
    </row>
    <row r="731">
      <c r="A731" s="14"/>
      <c r="F731" s="14"/>
    </row>
    <row r="732">
      <c r="A732" s="14"/>
      <c r="F732" s="14"/>
    </row>
    <row r="733">
      <c r="A733" s="14"/>
      <c r="F733" s="14"/>
    </row>
    <row r="734">
      <c r="A734" s="14"/>
      <c r="F734" s="14"/>
    </row>
    <row r="735">
      <c r="A735" s="14"/>
      <c r="F735" s="14"/>
    </row>
    <row r="736">
      <c r="A736" s="14"/>
      <c r="F736" s="14"/>
    </row>
    <row r="737">
      <c r="A737" s="14"/>
      <c r="F737" s="14"/>
    </row>
    <row r="738">
      <c r="A738" s="14"/>
      <c r="F738" s="14"/>
    </row>
    <row r="739">
      <c r="A739" s="14"/>
      <c r="F739" s="14"/>
    </row>
    <row r="740">
      <c r="A740" s="14"/>
      <c r="F740" s="14"/>
    </row>
    <row r="741">
      <c r="A741" s="14"/>
      <c r="F741" s="14"/>
    </row>
    <row r="742">
      <c r="A742" s="14"/>
      <c r="F742" s="14"/>
    </row>
    <row r="743">
      <c r="A743" s="14"/>
      <c r="F743" s="14"/>
    </row>
    <row r="744">
      <c r="A744" s="14"/>
      <c r="F744" s="14"/>
    </row>
    <row r="745">
      <c r="A745" s="14"/>
      <c r="F745" s="14"/>
    </row>
    <row r="746">
      <c r="A746" s="14"/>
      <c r="F746" s="14"/>
    </row>
    <row r="747">
      <c r="A747" s="14"/>
      <c r="F747" s="14"/>
    </row>
    <row r="748">
      <c r="A748" s="14"/>
      <c r="F748" s="14"/>
    </row>
    <row r="749">
      <c r="A749" s="14"/>
      <c r="F749" s="14"/>
    </row>
    <row r="750">
      <c r="A750" s="14"/>
      <c r="F750" s="14"/>
    </row>
    <row r="751">
      <c r="A751" s="14"/>
      <c r="F751" s="14"/>
    </row>
    <row r="752">
      <c r="A752" s="14"/>
      <c r="F752" s="14"/>
    </row>
    <row r="753">
      <c r="A753" s="14"/>
      <c r="F753" s="14"/>
    </row>
    <row r="754">
      <c r="A754" s="14"/>
      <c r="F754" s="14"/>
    </row>
    <row r="755">
      <c r="A755" s="14"/>
      <c r="F755" s="14"/>
    </row>
    <row r="756">
      <c r="A756" s="14"/>
      <c r="F756" s="14"/>
    </row>
    <row r="757">
      <c r="A757" s="14"/>
      <c r="F757" s="14"/>
    </row>
    <row r="758">
      <c r="A758" s="14"/>
      <c r="F758" s="14"/>
    </row>
    <row r="759">
      <c r="A759" s="14"/>
      <c r="F759" s="14"/>
    </row>
    <row r="760">
      <c r="A760" s="14"/>
      <c r="F760" s="14"/>
    </row>
    <row r="761">
      <c r="A761" s="14"/>
      <c r="F761" s="14"/>
    </row>
    <row r="762">
      <c r="A762" s="14"/>
      <c r="F762" s="14"/>
    </row>
    <row r="763">
      <c r="A763" s="14"/>
      <c r="F763" s="14"/>
    </row>
    <row r="764">
      <c r="A764" s="14"/>
      <c r="F764" s="14"/>
    </row>
    <row r="765">
      <c r="A765" s="14"/>
      <c r="F765" s="14"/>
    </row>
    <row r="766">
      <c r="A766" s="14"/>
      <c r="F766" s="14"/>
    </row>
    <row r="767">
      <c r="A767" s="14"/>
      <c r="F767" s="14"/>
    </row>
    <row r="768">
      <c r="A768" s="14"/>
      <c r="F768" s="14"/>
    </row>
    <row r="769">
      <c r="A769" s="14"/>
      <c r="F769" s="14"/>
    </row>
    <row r="770">
      <c r="A770" s="14"/>
      <c r="F770" s="14"/>
    </row>
    <row r="771">
      <c r="A771" s="14"/>
      <c r="F771" s="14"/>
    </row>
    <row r="772">
      <c r="A772" s="14"/>
      <c r="F772" s="14"/>
    </row>
    <row r="773">
      <c r="A773" s="14"/>
      <c r="F773" s="14"/>
    </row>
    <row r="774">
      <c r="A774" s="14"/>
      <c r="F774" s="14"/>
    </row>
    <row r="775">
      <c r="A775" s="14"/>
      <c r="F775" s="14"/>
    </row>
    <row r="776">
      <c r="A776" s="14"/>
      <c r="F776" s="14"/>
    </row>
    <row r="777">
      <c r="A777" s="14"/>
      <c r="F777" s="14"/>
    </row>
    <row r="778">
      <c r="A778" s="14"/>
      <c r="F778" s="14"/>
    </row>
    <row r="779">
      <c r="A779" s="14"/>
      <c r="F779" s="14"/>
    </row>
    <row r="780">
      <c r="A780" s="14"/>
      <c r="F780" s="14"/>
    </row>
    <row r="781">
      <c r="A781" s="14"/>
      <c r="F781" s="14"/>
    </row>
    <row r="782">
      <c r="A782" s="14"/>
      <c r="F782" s="14"/>
    </row>
    <row r="783">
      <c r="A783" s="14"/>
      <c r="F783" s="14"/>
    </row>
    <row r="784">
      <c r="A784" s="14"/>
      <c r="F784" s="14"/>
    </row>
    <row r="785">
      <c r="A785" s="14"/>
      <c r="F785" s="14"/>
    </row>
    <row r="786">
      <c r="A786" s="14"/>
      <c r="F786" s="14"/>
    </row>
    <row r="787">
      <c r="A787" s="14"/>
      <c r="F787" s="14"/>
    </row>
    <row r="788">
      <c r="A788" s="14"/>
      <c r="F788" s="14"/>
    </row>
    <row r="789">
      <c r="A789" s="14"/>
      <c r="F789" s="14"/>
    </row>
    <row r="790">
      <c r="A790" s="14"/>
      <c r="F790" s="14"/>
    </row>
    <row r="791">
      <c r="A791" s="14"/>
      <c r="F791" s="14"/>
    </row>
    <row r="792">
      <c r="A792" s="14"/>
      <c r="F792" s="14"/>
    </row>
    <row r="793">
      <c r="A793" s="14"/>
      <c r="F793" s="14"/>
    </row>
    <row r="794">
      <c r="A794" s="14"/>
      <c r="F794" s="14"/>
    </row>
    <row r="795">
      <c r="A795" s="14"/>
      <c r="F795" s="14"/>
    </row>
    <row r="796">
      <c r="A796" s="14"/>
      <c r="F796" s="14"/>
    </row>
    <row r="797">
      <c r="A797" s="14"/>
      <c r="F797" s="14"/>
    </row>
    <row r="798">
      <c r="A798" s="14"/>
      <c r="F798" s="14"/>
    </row>
    <row r="799">
      <c r="A799" s="14"/>
      <c r="F799" s="14"/>
    </row>
    <row r="800">
      <c r="A800" s="14"/>
      <c r="F800" s="14"/>
    </row>
    <row r="801">
      <c r="A801" s="14"/>
      <c r="F801" s="14"/>
    </row>
    <row r="802">
      <c r="A802" s="14"/>
      <c r="F802" s="14"/>
    </row>
    <row r="803">
      <c r="A803" s="14"/>
      <c r="F803" s="14"/>
    </row>
    <row r="804">
      <c r="A804" s="14"/>
      <c r="F804" s="14"/>
    </row>
    <row r="805">
      <c r="A805" s="14"/>
      <c r="F805" s="14"/>
    </row>
    <row r="806">
      <c r="A806" s="14"/>
      <c r="F806" s="14"/>
    </row>
    <row r="807">
      <c r="A807" s="14"/>
      <c r="F807" s="14"/>
    </row>
    <row r="808">
      <c r="A808" s="14"/>
      <c r="F808" s="14"/>
    </row>
    <row r="809">
      <c r="A809" s="14"/>
      <c r="F809" s="14"/>
    </row>
    <row r="810">
      <c r="A810" s="14"/>
      <c r="F810" s="14"/>
    </row>
    <row r="811">
      <c r="A811" s="14"/>
      <c r="F811" s="14"/>
    </row>
    <row r="812">
      <c r="A812" s="14"/>
      <c r="F812" s="14"/>
    </row>
    <row r="813">
      <c r="A813" s="14"/>
      <c r="F813" s="14"/>
    </row>
    <row r="814">
      <c r="A814" s="14"/>
      <c r="F814" s="14"/>
    </row>
    <row r="815">
      <c r="A815" s="14"/>
      <c r="F815" s="14"/>
    </row>
    <row r="816">
      <c r="A816" s="14"/>
      <c r="F816" s="14"/>
    </row>
    <row r="817">
      <c r="A817" s="14"/>
      <c r="F817" s="14"/>
    </row>
    <row r="818">
      <c r="A818" s="14"/>
      <c r="F818" s="14"/>
    </row>
    <row r="819">
      <c r="A819" s="14"/>
      <c r="F819" s="14"/>
    </row>
    <row r="820">
      <c r="A820" s="14"/>
      <c r="F820" s="14"/>
    </row>
    <row r="821">
      <c r="A821" s="14"/>
      <c r="F821" s="14"/>
    </row>
    <row r="822">
      <c r="A822" s="14"/>
      <c r="F822" s="14"/>
    </row>
    <row r="823">
      <c r="A823" s="14"/>
      <c r="F823" s="14"/>
    </row>
    <row r="824">
      <c r="A824" s="14"/>
      <c r="F824" s="14"/>
    </row>
    <row r="825">
      <c r="A825" s="14"/>
      <c r="F825" s="14"/>
    </row>
    <row r="826">
      <c r="A826" s="14"/>
      <c r="F826" s="14"/>
    </row>
    <row r="827">
      <c r="A827" s="14"/>
      <c r="F827" s="14"/>
    </row>
    <row r="828">
      <c r="A828" s="14"/>
      <c r="F828" s="14"/>
    </row>
    <row r="829">
      <c r="A829" s="14"/>
      <c r="F829" s="14"/>
    </row>
    <row r="830">
      <c r="A830" s="14"/>
      <c r="F830" s="14"/>
    </row>
    <row r="831">
      <c r="A831" s="14"/>
      <c r="F831" s="14"/>
    </row>
    <row r="832">
      <c r="A832" s="14"/>
      <c r="F832" s="14"/>
    </row>
    <row r="833">
      <c r="A833" s="14"/>
      <c r="F833" s="14"/>
    </row>
    <row r="834">
      <c r="A834" s="14"/>
      <c r="F834" s="14"/>
    </row>
    <row r="835">
      <c r="A835" s="14"/>
      <c r="F835" s="14"/>
    </row>
    <row r="836">
      <c r="A836" s="14"/>
      <c r="F836" s="14"/>
    </row>
    <row r="837">
      <c r="A837" s="14"/>
      <c r="F837" s="14"/>
    </row>
    <row r="838">
      <c r="A838" s="14"/>
      <c r="F838" s="14"/>
    </row>
    <row r="839">
      <c r="A839" s="14"/>
      <c r="F839" s="14"/>
    </row>
    <row r="840">
      <c r="A840" s="14"/>
      <c r="F840" s="14"/>
    </row>
    <row r="841">
      <c r="A841" s="14"/>
      <c r="F841" s="14"/>
    </row>
    <row r="842">
      <c r="A842" s="14"/>
      <c r="F842" s="14"/>
    </row>
    <row r="843">
      <c r="A843" s="14"/>
      <c r="F843" s="14"/>
    </row>
    <row r="844">
      <c r="A844" s="14"/>
      <c r="F844" s="14"/>
    </row>
    <row r="845">
      <c r="A845" s="14"/>
      <c r="F845" s="14"/>
    </row>
    <row r="846">
      <c r="A846" s="14"/>
      <c r="F846" s="14"/>
    </row>
    <row r="847">
      <c r="A847" s="14"/>
      <c r="F847" s="14"/>
    </row>
    <row r="848">
      <c r="A848" s="14"/>
      <c r="F848" s="14"/>
    </row>
    <row r="849">
      <c r="A849" s="14"/>
      <c r="F849" s="14"/>
    </row>
    <row r="850">
      <c r="A850" s="14"/>
      <c r="F850" s="14"/>
    </row>
    <row r="851">
      <c r="A851" s="14"/>
      <c r="F851" s="14"/>
    </row>
    <row r="852">
      <c r="A852" s="14"/>
      <c r="F852" s="14"/>
    </row>
    <row r="853">
      <c r="A853" s="14"/>
      <c r="F853" s="14"/>
    </row>
    <row r="854">
      <c r="A854" s="14"/>
      <c r="F854" s="14"/>
    </row>
    <row r="855">
      <c r="A855" s="14"/>
      <c r="F855" s="14"/>
    </row>
    <row r="856">
      <c r="A856" s="14"/>
      <c r="F856" s="14"/>
    </row>
    <row r="857">
      <c r="A857" s="14"/>
      <c r="F857" s="14"/>
    </row>
    <row r="858">
      <c r="A858" s="14"/>
      <c r="F858" s="14"/>
    </row>
    <row r="859">
      <c r="A859" s="14"/>
      <c r="F859" s="14"/>
    </row>
    <row r="860">
      <c r="A860" s="14"/>
      <c r="F860" s="14"/>
    </row>
    <row r="861">
      <c r="A861" s="14"/>
      <c r="F861" s="14"/>
    </row>
    <row r="862">
      <c r="A862" s="14"/>
      <c r="F862" s="14"/>
    </row>
    <row r="863">
      <c r="A863" s="14"/>
      <c r="F863" s="14"/>
    </row>
    <row r="864">
      <c r="A864" s="14"/>
      <c r="F864" s="14"/>
    </row>
    <row r="865">
      <c r="A865" s="14"/>
      <c r="F865" s="14"/>
    </row>
    <row r="866">
      <c r="A866" s="14"/>
      <c r="F866" s="14"/>
    </row>
    <row r="867">
      <c r="A867" s="14"/>
      <c r="F867" s="14"/>
    </row>
    <row r="868">
      <c r="A868" s="14"/>
      <c r="F868" s="14"/>
    </row>
    <row r="869">
      <c r="A869" s="14"/>
      <c r="F869" s="14"/>
    </row>
    <row r="870">
      <c r="A870" s="14"/>
      <c r="F870" s="14"/>
    </row>
    <row r="871">
      <c r="A871" s="14"/>
      <c r="F871" s="14"/>
    </row>
    <row r="872">
      <c r="A872" s="14"/>
      <c r="F872" s="14"/>
    </row>
    <row r="873">
      <c r="A873" s="14"/>
      <c r="F873" s="14"/>
    </row>
    <row r="874">
      <c r="A874" s="14"/>
      <c r="F874" s="14"/>
    </row>
    <row r="875">
      <c r="A875" s="14"/>
      <c r="F875" s="14"/>
    </row>
    <row r="876">
      <c r="A876" s="14"/>
      <c r="F876" s="14"/>
    </row>
    <row r="877">
      <c r="A877" s="14"/>
      <c r="F877" s="14"/>
    </row>
    <row r="878">
      <c r="A878" s="14"/>
      <c r="F878" s="14"/>
    </row>
    <row r="879">
      <c r="A879" s="14"/>
      <c r="F879" s="14"/>
    </row>
    <row r="880">
      <c r="A880" s="14"/>
      <c r="F880" s="14"/>
    </row>
    <row r="881">
      <c r="A881" s="14"/>
      <c r="F881" s="14"/>
    </row>
    <row r="882">
      <c r="A882" s="14"/>
      <c r="F882" s="14"/>
    </row>
    <row r="883">
      <c r="A883" s="14"/>
      <c r="F883" s="14"/>
    </row>
    <row r="884">
      <c r="A884" s="14"/>
      <c r="F884" s="14"/>
    </row>
    <row r="885">
      <c r="A885" s="14"/>
      <c r="F885" s="14"/>
    </row>
    <row r="886">
      <c r="A886" s="14"/>
      <c r="F886" s="14"/>
    </row>
    <row r="887">
      <c r="A887" s="14"/>
      <c r="F887" s="14"/>
    </row>
    <row r="888">
      <c r="A888" s="14"/>
      <c r="F888" s="14"/>
    </row>
    <row r="889">
      <c r="A889" s="14"/>
      <c r="F889" s="14"/>
    </row>
    <row r="890">
      <c r="A890" s="14"/>
      <c r="F890" s="14"/>
    </row>
    <row r="891">
      <c r="A891" s="14"/>
      <c r="F891" s="14"/>
    </row>
    <row r="892">
      <c r="A892" s="14"/>
      <c r="F892" s="14"/>
    </row>
    <row r="893">
      <c r="A893" s="14"/>
      <c r="F893" s="14"/>
    </row>
    <row r="894">
      <c r="A894" s="14"/>
      <c r="F894" s="14"/>
    </row>
    <row r="895">
      <c r="A895" s="14"/>
      <c r="F895" s="14"/>
    </row>
    <row r="896">
      <c r="A896" s="14"/>
      <c r="F896" s="14"/>
    </row>
    <row r="897">
      <c r="A897" s="14"/>
      <c r="F897" s="14"/>
    </row>
    <row r="898">
      <c r="A898" s="14"/>
      <c r="F898" s="14"/>
    </row>
    <row r="899">
      <c r="A899" s="14"/>
      <c r="F899" s="14"/>
    </row>
    <row r="900">
      <c r="A900" s="14"/>
      <c r="F900" s="14"/>
    </row>
    <row r="901">
      <c r="A901" s="14"/>
      <c r="F901" s="14"/>
    </row>
    <row r="902">
      <c r="A902" s="14"/>
      <c r="F902" s="14"/>
    </row>
    <row r="903">
      <c r="A903" s="14"/>
      <c r="F903" s="14"/>
    </row>
    <row r="904">
      <c r="A904" s="14"/>
      <c r="F904" s="14"/>
    </row>
    <row r="905">
      <c r="A905" s="14"/>
      <c r="F905" s="14"/>
    </row>
    <row r="906">
      <c r="A906" s="14"/>
      <c r="F906" s="14"/>
    </row>
    <row r="907">
      <c r="A907" s="14"/>
      <c r="F907" s="14"/>
    </row>
    <row r="908">
      <c r="A908" s="14"/>
      <c r="F908" s="14"/>
    </row>
    <row r="909">
      <c r="A909" s="14"/>
      <c r="F909" s="14"/>
    </row>
    <row r="910">
      <c r="A910" s="14"/>
      <c r="F910" s="14"/>
    </row>
    <row r="911">
      <c r="A911" s="14"/>
      <c r="F911" s="14"/>
    </row>
    <row r="912">
      <c r="A912" s="14"/>
      <c r="F912" s="14"/>
    </row>
    <row r="913">
      <c r="A913" s="14"/>
      <c r="F913" s="14"/>
    </row>
    <row r="914">
      <c r="A914" s="14"/>
      <c r="F914" s="14"/>
    </row>
    <row r="915">
      <c r="A915" s="14"/>
      <c r="F915" s="14"/>
    </row>
    <row r="916">
      <c r="A916" s="14"/>
      <c r="F916" s="14"/>
    </row>
    <row r="917">
      <c r="A917" s="14"/>
      <c r="F917" s="14"/>
    </row>
    <row r="918">
      <c r="A918" s="14"/>
      <c r="F918" s="14"/>
    </row>
    <row r="919">
      <c r="A919" s="14"/>
      <c r="F919" s="14"/>
    </row>
    <row r="920">
      <c r="A920" s="14"/>
      <c r="F920" s="14"/>
    </row>
    <row r="921">
      <c r="A921" s="14"/>
      <c r="F921" s="14"/>
    </row>
    <row r="922">
      <c r="A922" s="14"/>
      <c r="F922" s="14"/>
    </row>
    <row r="923">
      <c r="A923" s="14"/>
      <c r="F923" s="14"/>
    </row>
    <row r="924">
      <c r="A924" s="14"/>
      <c r="F924" s="14"/>
    </row>
    <row r="925">
      <c r="A925" s="14"/>
      <c r="F925" s="14"/>
    </row>
    <row r="926">
      <c r="A926" s="14"/>
      <c r="F926" s="14"/>
    </row>
    <row r="927">
      <c r="A927" s="14"/>
      <c r="F927" s="14"/>
    </row>
    <row r="928">
      <c r="A928" s="14"/>
      <c r="F928" s="14"/>
    </row>
    <row r="929">
      <c r="A929" s="14"/>
      <c r="F929" s="14"/>
    </row>
    <row r="930">
      <c r="A930" s="14"/>
      <c r="F930" s="14"/>
    </row>
    <row r="931">
      <c r="A931" s="14"/>
      <c r="F931" s="14"/>
    </row>
    <row r="932">
      <c r="A932" s="14"/>
      <c r="F932" s="14"/>
    </row>
    <row r="933">
      <c r="A933" s="14"/>
      <c r="F933" s="14"/>
    </row>
    <row r="934">
      <c r="A934" s="14"/>
      <c r="F934" s="14"/>
    </row>
    <row r="935">
      <c r="A935" s="14"/>
      <c r="F935" s="14"/>
    </row>
    <row r="936">
      <c r="A936" s="14"/>
      <c r="F936" s="14"/>
    </row>
    <row r="937">
      <c r="A937" s="14"/>
      <c r="F937" s="14"/>
    </row>
    <row r="938">
      <c r="A938" s="14"/>
      <c r="F938" s="14"/>
    </row>
    <row r="939">
      <c r="A939" s="14"/>
      <c r="F939" s="14"/>
    </row>
    <row r="940">
      <c r="A940" s="14"/>
      <c r="F940" s="14"/>
    </row>
    <row r="941">
      <c r="A941" s="14"/>
      <c r="F941" s="14"/>
    </row>
    <row r="942">
      <c r="A942" s="14"/>
      <c r="F942" s="14"/>
    </row>
    <row r="943">
      <c r="A943" s="14"/>
      <c r="F943" s="14"/>
    </row>
    <row r="944">
      <c r="A944" s="14"/>
      <c r="F944" s="14"/>
    </row>
    <row r="945">
      <c r="A945" s="14"/>
      <c r="F945" s="14"/>
    </row>
    <row r="946">
      <c r="A946" s="14"/>
      <c r="F946" s="14"/>
    </row>
    <row r="947">
      <c r="A947" s="14"/>
      <c r="F947" s="14"/>
    </row>
    <row r="948">
      <c r="A948" s="14"/>
      <c r="F948" s="14"/>
    </row>
    <row r="949">
      <c r="A949" s="14"/>
      <c r="F949" s="14"/>
    </row>
    <row r="950">
      <c r="A950" s="14"/>
      <c r="F950" s="14"/>
    </row>
    <row r="951">
      <c r="A951" s="14"/>
      <c r="F951" s="14"/>
    </row>
    <row r="952">
      <c r="A952" s="14"/>
      <c r="F952" s="14"/>
    </row>
    <row r="953">
      <c r="A953" s="14"/>
      <c r="F953" s="14"/>
    </row>
    <row r="954">
      <c r="A954" s="14"/>
      <c r="F954" s="14"/>
    </row>
    <row r="955">
      <c r="A955" s="14"/>
      <c r="F955" s="14"/>
    </row>
    <row r="956">
      <c r="A956" s="14"/>
      <c r="F956" s="14"/>
    </row>
    <row r="957">
      <c r="A957" s="14"/>
      <c r="F957" s="14"/>
    </row>
    <row r="958">
      <c r="A958" s="14"/>
      <c r="F958" s="14"/>
    </row>
    <row r="959">
      <c r="A959" s="14"/>
      <c r="F959" s="14"/>
    </row>
    <row r="960">
      <c r="A960" s="14"/>
      <c r="F960" s="14"/>
    </row>
    <row r="961">
      <c r="A961" s="14"/>
      <c r="F961" s="14"/>
    </row>
    <row r="962">
      <c r="A962" s="14"/>
      <c r="F962" s="14"/>
    </row>
    <row r="963">
      <c r="A963" s="14"/>
      <c r="F963" s="14"/>
    </row>
    <row r="964">
      <c r="A964" s="14"/>
      <c r="F964" s="14"/>
    </row>
    <row r="965">
      <c r="A965" s="14"/>
      <c r="F965" s="14"/>
    </row>
    <row r="966">
      <c r="A966" s="14"/>
      <c r="F966" s="14"/>
    </row>
    <row r="967">
      <c r="A967" s="14"/>
      <c r="F967" s="14"/>
    </row>
    <row r="968">
      <c r="A968" s="14"/>
      <c r="F968" s="14"/>
    </row>
    <row r="969">
      <c r="A969" s="14"/>
      <c r="F969" s="14"/>
    </row>
    <row r="970">
      <c r="A970" s="14"/>
      <c r="F970" s="14"/>
    </row>
    <row r="971">
      <c r="A971" s="14"/>
      <c r="F971" s="14"/>
    </row>
    <row r="972">
      <c r="A972" s="14"/>
      <c r="F972" s="14"/>
    </row>
    <row r="973">
      <c r="A973" s="14"/>
      <c r="F973" s="14"/>
    </row>
    <row r="974">
      <c r="A974" s="14"/>
      <c r="F974" s="14"/>
    </row>
    <row r="975">
      <c r="A975" s="14"/>
      <c r="F975" s="14"/>
    </row>
    <row r="976">
      <c r="A976" s="14"/>
      <c r="F976" s="14"/>
    </row>
    <row r="977">
      <c r="A977" s="14"/>
      <c r="F977" s="14"/>
    </row>
    <row r="978">
      <c r="A978" s="14"/>
      <c r="F978" s="14"/>
    </row>
    <row r="979">
      <c r="A979" s="14"/>
      <c r="F979" s="14"/>
    </row>
    <row r="980">
      <c r="A980" s="14"/>
      <c r="F980" s="14"/>
    </row>
    <row r="981">
      <c r="A981" s="14"/>
      <c r="F981" s="14"/>
    </row>
    <row r="982">
      <c r="A982" s="14"/>
      <c r="F982" s="14"/>
    </row>
    <row r="983">
      <c r="A983" s="14"/>
      <c r="F983" s="14"/>
    </row>
    <row r="984">
      <c r="A984" s="14"/>
      <c r="F984" s="14"/>
    </row>
    <row r="985">
      <c r="A985" s="14"/>
      <c r="F985" s="14"/>
    </row>
    <row r="986">
      <c r="A986" s="14"/>
      <c r="F986" s="14"/>
    </row>
    <row r="987">
      <c r="A987" s="14"/>
      <c r="F987" s="14"/>
    </row>
    <row r="988">
      <c r="A988" s="14"/>
      <c r="F988" s="14"/>
    </row>
    <row r="989">
      <c r="A989" s="14"/>
      <c r="F989" s="14"/>
    </row>
    <row r="990">
      <c r="A990" s="14"/>
      <c r="F990" s="14"/>
    </row>
    <row r="991">
      <c r="A991" s="14"/>
      <c r="F991" s="14"/>
    </row>
    <row r="992">
      <c r="A992" s="14"/>
      <c r="F992" s="14"/>
    </row>
    <row r="993">
      <c r="A993" s="14"/>
      <c r="F993" s="14"/>
    </row>
    <row r="994">
      <c r="A994" s="14"/>
      <c r="F994" s="14"/>
    </row>
    <row r="995">
      <c r="A995" s="14"/>
      <c r="F995" s="14"/>
    </row>
    <row r="996">
      <c r="A996" s="14"/>
      <c r="F996" s="14"/>
    </row>
    <row r="997">
      <c r="A997" s="14"/>
      <c r="F997" s="14"/>
    </row>
    <row r="998">
      <c r="A998" s="14"/>
      <c r="F998" s="14"/>
    </row>
    <row r="999">
      <c r="A999" s="14"/>
      <c r="F999" s="14"/>
    </row>
    <row r="1000">
      <c r="A1000" s="14"/>
      <c r="F1000" s="14"/>
    </row>
    <row r="1001">
      <c r="A1001" s="14"/>
      <c r="F1001" s="14"/>
    </row>
    <row r="1002">
      <c r="A1002" s="14"/>
      <c r="F1002" s="14"/>
    </row>
    <row r="1003">
      <c r="A1003" s="14"/>
      <c r="F1003" s="14"/>
    </row>
  </sheetData>
  <mergeCells count="3">
    <mergeCell ref="A1:C1"/>
    <mergeCell ref="A2:D2"/>
    <mergeCell ref="A3:D3"/>
  </mergeCells>
  <conditionalFormatting sqref="A6:A300">
    <cfRule type="expression" dxfId="0" priority="1">
      <formula>$E6=1</formula>
    </cfRule>
  </conditionalFormatting>
  <conditionalFormatting sqref="A6:A300">
    <cfRule type="expression" dxfId="1" priority="2">
      <formula>$E6=2</formula>
    </cfRule>
  </conditionalFormatting>
  <conditionalFormatting sqref="A6:A300">
    <cfRule type="expression" dxfId="2" priority="3">
      <formula>$E6=0</formula>
    </cfRule>
  </conditionalFormatting>
  <conditionalFormatting sqref="B4:B1003">
    <cfRule type="cellIs" dxfId="3" priority="4" operator="equal">
      <formula>"Eligible"</formula>
    </cfRule>
  </conditionalFormatting>
  <conditionalFormatting sqref="C4:C1003">
    <cfRule type="cellIs" dxfId="3" priority="5" operator="equal">
      <formula>"Complete"</formula>
    </cfRule>
  </conditionalFormatting>
  <conditionalFormatting sqref="D4:D1003">
    <cfRule type="cellIs" dxfId="3" priority="6" operator="equal">
      <formula>"Complete"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4.13"/>
  </cols>
  <sheetData>
    <row r="1">
      <c r="A1" s="1" t="s">
        <v>1</v>
      </c>
      <c r="B1" s="3"/>
    </row>
    <row r="2">
      <c r="A2" s="9"/>
      <c r="B2" s="12"/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13" t="s">
        <v>17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9"/>
      <c r="V2" s="9"/>
      <c r="W2" s="9"/>
      <c r="X2" s="9"/>
      <c r="Y2" s="9"/>
      <c r="Z2" s="9"/>
    </row>
    <row r="3">
      <c r="A3" s="2" t="s">
        <v>26</v>
      </c>
      <c r="B3" s="17" t="s">
        <v>18</v>
      </c>
      <c r="C3" s="20">
        <f>IFERROR(__xludf.DUMMYFUNCTION("COUNTIFS(IMPORTRANGE('Survey Progress'!$B$32, ""data!$B$2:$B$800""), ""=""&amp;$A3, IMPORTRANGE('Survey Progress'!$B$32, ""data!$S$2:$S$800""), ""*""&amp;C$2&amp;""*"")"),0.0)</f>
        <v>0</v>
      </c>
      <c r="D3" s="20">
        <f>IFERROR(__xludf.DUMMYFUNCTION("COUNTIFS(IMPORTRANGE('Survey Progress'!$B$32, ""data!$B$2:$B$800""), ""=""&amp;$A3, IMPORTRANGE('Survey Progress'!$B$32, ""data!$S$2:$S$800""), ""*""&amp;D$2&amp;""*"")"),0.0)</f>
        <v>0</v>
      </c>
      <c r="E3" s="20">
        <f>IFERROR(__xludf.DUMMYFUNCTION("COUNTIFS(IMPORTRANGE('Survey Progress'!$B$32, ""data!$B$2:$B$800""), ""=""&amp;$A3, IMPORTRANGE('Survey Progress'!$B$32, ""data!$S$2:$S$800""), ""*""&amp;E$2&amp;""*"")"),0.0)</f>
        <v>0</v>
      </c>
      <c r="F3" s="20">
        <f>IFERROR(__xludf.DUMMYFUNCTION("COUNTIFS(IMPORTRANGE('Survey Progress'!$B$32, ""data!$B$2:$B$800""), ""=""&amp;$A3, IMPORTRANGE('Survey Progress'!$B$32, ""data!$S$2:$S$800""), ""*""&amp;F$2&amp;""*"")"),0.0)</f>
        <v>0</v>
      </c>
      <c r="G3" s="20">
        <f>IFERROR(__xludf.DUMMYFUNCTION("COUNTIFS(IMPORTRANGE('Survey Progress'!$B$32, ""data!$B$2:$B$800""), ""=""&amp;$A3, IMPORTRANGE('Survey Progress'!$B$32, ""data!$S$2:$S$800""), ""*""&amp;G$2&amp;""*"")"),0.0)</f>
        <v>0</v>
      </c>
      <c r="H3" s="20">
        <f>IFERROR(__xludf.DUMMYFUNCTION("COUNTIFS(IMPORTRANGE('Survey Progress'!$B$32, ""data!$B$2:$B$800""), ""=""&amp;$A3, IMPORTRANGE('Survey Progress'!$B$32, ""data!$S$2:$S$800""), ""*""&amp;H$2&amp;""*"")"),0.0)</f>
        <v>0</v>
      </c>
      <c r="I3" s="20">
        <f>IFERROR(__xludf.DUMMYFUNCTION("COUNTIFS(IMPORTRANGE('Survey Progress'!$B$32, ""data!$B$2:$B$800""), ""=""&amp;$A3, IMPORTRANGE('Survey Progress'!$B$32, ""data!$S$2:$S$800""), ""*""&amp;I$2&amp;""*"")"),0.0)</f>
        <v>0</v>
      </c>
      <c r="J3" s="20">
        <f>IFERROR(__xludf.DUMMYFUNCTION("COUNTIFS(IMPORTRANGE('Survey Progress'!$B$32, ""data!$B$2:$B$800""), ""=""&amp;$A3, IMPORTRANGE('Survey Progress'!$B$32, ""data!$S$2:$S$800""), ""*""&amp;J$2&amp;""*"")"),0.0)</f>
        <v>0</v>
      </c>
      <c r="K3" s="20">
        <f>IFERROR(__xludf.DUMMYFUNCTION("COUNTIFS(IMPORTRANGE('Survey Progress'!$B$32, ""data!$B$2:$B$800""), ""=""&amp;$A3, IMPORTRANGE('Survey Progress'!$B$32, ""data!$S$2:$S$800""), ""*""&amp;K$2&amp;""*"")"),0.0)</f>
        <v>0</v>
      </c>
      <c r="L3" s="20">
        <f>IFERROR(__xludf.DUMMYFUNCTION("COUNTIFS(IMPORTRANGE('Survey Progress'!$B$32, ""data!$B$2:$B$800""), ""=""&amp;$A3, IMPORTRANGE('Survey Progress'!$B$32, ""data!$S$2:$S$800""), ""*""&amp;L$2&amp;""*"")"),0.0)</f>
        <v>0</v>
      </c>
      <c r="M3" s="20">
        <f>IFERROR(__xludf.DUMMYFUNCTION("COUNTIFS(IMPORTRANGE('Survey Progress'!$B$32, ""data!$B$2:$B$800""), ""=""&amp;$A3, IMPORTRANGE('Survey Progress'!$B$32, ""data!$S$2:$S$800""), ""*""&amp;M$2&amp;""*"")"),0.0)</f>
        <v>0</v>
      </c>
      <c r="N3" s="20">
        <f>IFERROR(__xludf.DUMMYFUNCTION("COUNTIFS(IMPORTRANGE('Survey Progress'!$B$32, ""data!$B$2:$B$800""), ""=""&amp;$A3, IMPORTRANGE('Survey Progress'!$B$32, ""data!$S$2:$S$800""), ""*""&amp;N$2&amp;""*"")"),0.0)</f>
        <v>0</v>
      </c>
      <c r="O3" s="20">
        <f>IFERROR(__xludf.DUMMYFUNCTION("COUNTIFS(IMPORTRANGE('Survey Progress'!$B$32, ""data!$B$2:$B$800""), ""=""&amp;$A3, IMPORTRANGE('Survey Progress'!$B$32, ""data!$S$2:$S$800""), ""*""&amp;O$2&amp;""*"")"),0.0)</f>
        <v>0</v>
      </c>
      <c r="P3" s="20">
        <f>IFERROR(__xludf.DUMMYFUNCTION("COUNTIFS(IMPORTRANGE('Survey Progress'!$B$32, ""data!$B$2:$B$800""), ""=""&amp;$A3, IMPORTRANGE('Survey Progress'!$B$32, ""data!$S$2:$S$800""), ""*""&amp;P$2&amp;""*"")"),0.0)</f>
        <v>0</v>
      </c>
      <c r="Q3" s="20">
        <f>IFERROR(__xludf.DUMMYFUNCTION("COUNTIFS(IMPORTRANGE('Survey Progress'!$B$32, ""data!$B$2:$B$800""), ""=""&amp;$A3, IMPORTRANGE('Survey Progress'!$B$32, ""data!$S$2:$S$800""), ""*""&amp;Q$2&amp;""*"")"),0.0)</f>
        <v>0</v>
      </c>
      <c r="R3" s="20">
        <f>IFERROR(__xludf.DUMMYFUNCTION("COUNTIFS(IMPORTRANGE('Survey Progress'!$B$32, ""data!$B$2:$B$800""), ""=""&amp;$A3, IMPORTRANGE('Survey Progress'!$B$32, ""data!$S$2:$S$800""), ""*""&amp;R$2&amp;""*"")"),0.0)</f>
        <v>0</v>
      </c>
      <c r="S3" s="20">
        <f>IFERROR(__xludf.DUMMYFUNCTION("COUNTIFS(IMPORTRANGE('Survey Progress'!$B$32, ""data!$B$2:$B$800""), ""=""&amp;$A3, IMPORTRANGE('Survey Progress'!$B$32, ""data!$S$2:$S$800""), ""*""&amp;S$2&amp;""*"")"),0.0)</f>
        <v>0</v>
      </c>
      <c r="T3" s="20">
        <f>IFERROR(__xludf.DUMMYFUNCTION("COUNTIFS(IMPORTRANGE('Survey Progress'!$B$32, ""data!$B$2:$B$800""), ""=""&amp;$A3, IMPORTRANGE('Survey Progress'!$B$32, ""data!$S$2:$S$800""), ""*""&amp;T$2&amp;""*"")"),0.0)</f>
        <v>0</v>
      </c>
    </row>
    <row r="4">
      <c r="A4" s="2" t="s">
        <v>26</v>
      </c>
      <c r="B4" s="17" t="s">
        <v>28</v>
      </c>
      <c r="C4" s="20">
        <f>IFERROR(__xludf.DUMMYFUNCTION("COUNTIFS(IMPORTRANGE('Survey Progress'!$B$33, ""data!B2:B800""), ""=""&amp;$A4, IMPORTRANGE('Survey Progress'!$B$33, ""data!O2:O800""), ""*""&amp;C$2&amp;""*"")"),0.0)</f>
        <v>0</v>
      </c>
      <c r="D4" s="20">
        <f>IFERROR(__xludf.DUMMYFUNCTION("COUNTIFS(IMPORTRANGE('Survey Progress'!$B$33, ""data!B2:B800""), ""=""&amp;$A4, IMPORTRANGE('Survey Progress'!$B$33, ""data!O2:O800""), ""*""&amp;D$2&amp;""*"")"),0.0)</f>
        <v>0</v>
      </c>
      <c r="E4" s="20">
        <f>IFERROR(__xludf.DUMMYFUNCTION("COUNTIFS(IMPORTRANGE('Survey Progress'!$B$33, ""data!B2:B800""), ""=""&amp;$A4, IMPORTRANGE('Survey Progress'!$B$33, ""data!O2:O800""), ""*""&amp;E$2&amp;""*"")"),0.0)</f>
        <v>0</v>
      </c>
      <c r="F4" s="20">
        <f>IFERROR(__xludf.DUMMYFUNCTION("COUNTIFS(IMPORTRANGE('Survey Progress'!$B$33, ""data!B2:B800""), ""=""&amp;$A4, IMPORTRANGE('Survey Progress'!$B$33, ""data!O2:O800""), ""*""&amp;F$2&amp;""*"")"),0.0)</f>
        <v>0</v>
      </c>
      <c r="G4" s="20">
        <f>IFERROR(__xludf.DUMMYFUNCTION("COUNTIFS(IMPORTRANGE('Survey Progress'!$B$33, ""data!B2:B800""), ""=""&amp;$A4, IMPORTRANGE('Survey Progress'!$B$33, ""data!O2:O800""), ""*""&amp;G$2&amp;""*"")"),0.0)</f>
        <v>0</v>
      </c>
      <c r="H4" s="20">
        <f>IFERROR(__xludf.DUMMYFUNCTION("COUNTIFS(IMPORTRANGE('Survey Progress'!$B$33, ""data!B2:B800""), ""=""&amp;$A4, IMPORTRANGE('Survey Progress'!$B$33, ""data!O2:O800""), ""*""&amp;H$2&amp;""*"")"),0.0)</f>
        <v>0</v>
      </c>
      <c r="I4" s="20">
        <f>IFERROR(__xludf.DUMMYFUNCTION("COUNTIFS(IMPORTRANGE('Survey Progress'!$B$33, ""data!B2:B800""), ""=""&amp;$A4, IMPORTRANGE('Survey Progress'!$B$33, ""data!O2:O800""), ""*""&amp;I$2&amp;""*"")"),0.0)</f>
        <v>0</v>
      </c>
      <c r="J4" s="20">
        <f>IFERROR(__xludf.DUMMYFUNCTION("COUNTIFS(IMPORTRANGE('Survey Progress'!$B$33, ""data!B2:B800""), ""=""&amp;$A4, IMPORTRANGE('Survey Progress'!$B$33, ""data!O2:O800""), ""*""&amp;J$2&amp;""*"")"),0.0)</f>
        <v>0</v>
      </c>
      <c r="K4" s="20">
        <f>IFERROR(__xludf.DUMMYFUNCTION("COUNTIFS(IMPORTRANGE('Survey Progress'!$B$33, ""data!B2:B800""), ""=""&amp;$A4, IMPORTRANGE('Survey Progress'!$B$33, ""data!O2:O800""), ""*""&amp;K$2&amp;""*"")"),0.0)</f>
        <v>0</v>
      </c>
      <c r="L4" s="20">
        <f>IFERROR(__xludf.DUMMYFUNCTION("COUNTIFS(IMPORTRANGE('Survey Progress'!$B$33, ""data!B2:B800""), ""=""&amp;$A4, IMPORTRANGE('Survey Progress'!$B$33, ""data!O2:O800""), ""*""&amp;L$2&amp;""*"")"),0.0)</f>
        <v>0</v>
      </c>
      <c r="M4" s="20">
        <f>IFERROR(__xludf.DUMMYFUNCTION("COUNTIFS(IMPORTRANGE('Survey Progress'!$B$33, ""data!B2:B800""), ""=""&amp;$A4, IMPORTRANGE('Survey Progress'!$B$33, ""data!O2:O800""), ""*""&amp;M$2&amp;""*"")"),0.0)</f>
        <v>0</v>
      </c>
      <c r="N4" s="20">
        <f>IFERROR(__xludf.DUMMYFUNCTION("COUNTIFS(IMPORTRANGE('Survey Progress'!$B$33, ""data!B2:B800""), ""=""&amp;$A4, IMPORTRANGE('Survey Progress'!$B$33, ""data!O2:O800""), ""*""&amp;N$2&amp;""*"")"),0.0)</f>
        <v>0</v>
      </c>
      <c r="O4" s="20">
        <f>IFERROR(__xludf.DUMMYFUNCTION("COUNTIFS(IMPORTRANGE('Survey Progress'!$B$33, ""data!B2:B800""), ""=""&amp;$A4, IMPORTRANGE('Survey Progress'!$B$33, ""data!O2:O800""), ""*""&amp;O$2&amp;""*"")"),0.0)</f>
        <v>0</v>
      </c>
      <c r="P4" s="20">
        <f>IFERROR(__xludf.DUMMYFUNCTION("COUNTIFS(IMPORTRANGE('Survey Progress'!$B$33, ""data!B2:B800""), ""=""&amp;$A4, IMPORTRANGE('Survey Progress'!$B$33, ""data!O2:O800""), ""*""&amp;P$2&amp;""*"")"),0.0)</f>
        <v>0</v>
      </c>
      <c r="Q4" s="20">
        <f>IFERROR(__xludf.DUMMYFUNCTION("COUNTIFS(IMPORTRANGE('Survey Progress'!$B$33, ""data!B2:B800""), ""=""&amp;$A4, IMPORTRANGE('Survey Progress'!$B$33, ""data!O2:O800""), ""*""&amp;Q$2&amp;""*"")"),0.0)</f>
        <v>0</v>
      </c>
      <c r="R4" s="20">
        <f>IFERROR(__xludf.DUMMYFUNCTION("COUNTIFS(IMPORTRANGE('Survey Progress'!$B$33, ""data!B2:B800""), ""=""&amp;$A4, IMPORTRANGE('Survey Progress'!$B$33, ""data!O2:O800""), ""*""&amp;R$2&amp;""*"")"),0.0)</f>
        <v>0</v>
      </c>
      <c r="S4" s="20">
        <f>IFERROR(__xludf.DUMMYFUNCTION("COUNTIFS(IMPORTRANGE('Survey Progress'!$B$33, ""data!B2:B800""), ""=""&amp;$A4, IMPORTRANGE('Survey Progress'!$B$33, ""data!O2:O800""), ""*""&amp;S$2&amp;""*"")"),0.0)</f>
        <v>0</v>
      </c>
      <c r="T4" s="20">
        <f>IFERROR(__xludf.DUMMYFUNCTION("COUNTIFS(IMPORTRANGE('Survey Progress'!$B$33, ""data!B2:B800""), ""=""&amp;$A4, IMPORTRANGE('Survey Progress'!$B$33, ""data!O2:O800""), ""*""&amp;T$2&amp;""*"")"),0.0)</f>
        <v>0</v>
      </c>
    </row>
    <row r="5">
      <c r="A5" s="2" t="s">
        <v>26</v>
      </c>
      <c r="B5" s="17" t="s">
        <v>30</v>
      </c>
      <c r="C5" s="20">
        <f>IFERROR(__xludf.DUMMYFUNCTION("COUNTIFS(IMPORTRANGE('Survey Progress'!$B$34, ""data!B2:B800""), ""=""&amp;$A5, IMPORTRANGE('Survey Progress'!$B$34, ""data!O2:O800""), ""*""&amp;C$2&amp;""*"")"),0.0)</f>
        <v>0</v>
      </c>
      <c r="D5" s="20">
        <f>IFERROR(__xludf.DUMMYFUNCTION("COUNTIFS(IMPORTRANGE('Survey Progress'!$B$34, ""data!B2:B800""), ""=""&amp;$A5, IMPORTRANGE('Survey Progress'!$B$34, ""data!O2:O800""), ""*""&amp;D$2&amp;""*"")"),0.0)</f>
        <v>0</v>
      </c>
      <c r="E5" s="20">
        <f>IFERROR(__xludf.DUMMYFUNCTION("COUNTIFS(IMPORTRANGE('Survey Progress'!$B$34, ""data!B2:B800""), ""=""&amp;$A5, IMPORTRANGE('Survey Progress'!$B$34, ""data!O2:O800""), ""*""&amp;E$2&amp;""*"")"),0.0)</f>
        <v>0</v>
      </c>
      <c r="F5" s="20">
        <f>IFERROR(__xludf.DUMMYFUNCTION("COUNTIFS(IMPORTRANGE('Survey Progress'!$B$34, ""data!B2:B800""), ""=""&amp;$A5, IMPORTRANGE('Survey Progress'!$B$34, ""data!O2:O800""), ""*""&amp;F$2&amp;""*"")"),0.0)</f>
        <v>0</v>
      </c>
      <c r="G5" s="20">
        <f>IFERROR(__xludf.DUMMYFUNCTION("COUNTIFS(IMPORTRANGE('Survey Progress'!$B$34, ""data!B2:B800""), ""=""&amp;$A5, IMPORTRANGE('Survey Progress'!$B$34, ""data!O2:O800""), ""*""&amp;G$2&amp;""*"")"),0.0)</f>
        <v>0</v>
      </c>
      <c r="H5" s="20">
        <f>IFERROR(__xludf.DUMMYFUNCTION("COUNTIFS(IMPORTRANGE('Survey Progress'!$B$34, ""data!B2:B800""), ""=""&amp;$A5, IMPORTRANGE('Survey Progress'!$B$34, ""data!O2:O800""), ""*""&amp;H$2&amp;""*"")"),0.0)</f>
        <v>0</v>
      </c>
      <c r="I5" s="20">
        <f>IFERROR(__xludf.DUMMYFUNCTION("COUNTIFS(IMPORTRANGE('Survey Progress'!$B$34, ""data!B2:B800""), ""=""&amp;$A5, IMPORTRANGE('Survey Progress'!$B$34, ""data!O2:O800""), ""*""&amp;I$2&amp;""*"")"),0.0)</f>
        <v>0</v>
      </c>
      <c r="J5" s="20">
        <f>IFERROR(__xludf.DUMMYFUNCTION("COUNTIFS(IMPORTRANGE('Survey Progress'!$B$34, ""data!B2:B800""), ""=""&amp;$A5, IMPORTRANGE('Survey Progress'!$B$34, ""data!O2:O800""), ""*""&amp;J$2&amp;""*"")"),0.0)</f>
        <v>0</v>
      </c>
      <c r="K5" s="20">
        <f>IFERROR(__xludf.DUMMYFUNCTION("COUNTIFS(IMPORTRANGE('Survey Progress'!$B$34, ""data!B2:B800""), ""=""&amp;$A5, IMPORTRANGE('Survey Progress'!$B$34, ""data!O2:O800""), ""*""&amp;K$2&amp;""*"")"),0.0)</f>
        <v>0</v>
      </c>
      <c r="L5" s="20">
        <f>IFERROR(__xludf.DUMMYFUNCTION("COUNTIFS(IMPORTRANGE('Survey Progress'!$B$34, ""data!B2:B800""), ""=""&amp;$A5, IMPORTRANGE('Survey Progress'!$B$34, ""data!O2:O800""), ""*""&amp;L$2&amp;""*"")"),0.0)</f>
        <v>0</v>
      </c>
      <c r="M5" s="20">
        <f>IFERROR(__xludf.DUMMYFUNCTION("COUNTIFS(IMPORTRANGE('Survey Progress'!$B$34, ""data!B2:B800""), ""=""&amp;$A5, IMPORTRANGE('Survey Progress'!$B$34, ""data!O2:O800""), ""*""&amp;M$2&amp;""*"")"),0.0)</f>
        <v>0</v>
      </c>
      <c r="N5" s="20">
        <f>IFERROR(__xludf.DUMMYFUNCTION("COUNTIFS(IMPORTRANGE('Survey Progress'!$B$34, ""data!B2:B800""), ""=""&amp;$A5, IMPORTRANGE('Survey Progress'!$B$34, ""data!O2:O800""), ""*""&amp;N$2&amp;""*"")"),0.0)</f>
        <v>0</v>
      </c>
      <c r="O5" s="20">
        <f>IFERROR(__xludf.DUMMYFUNCTION("COUNTIFS(IMPORTRANGE('Survey Progress'!$B$34, ""data!B2:B800""), ""=""&amp;$A5, IMPORTRANGE('Survey Progress'!$B$34, ""data!O2:O800""), ""*""&amp;O$2&amp;""*"")"),0.0)</f>
        <v>0</v>
      </c>
      <c r="P5" s="20">
        <f>IFERROR(__xludf.DUMMYFUNCTION("COUNTIFS(IMPORTRANGE('Survey Progress'!$B$34, ""data!B2:B800""), ""=""&amp;$A5, IMPORTRANGE('Survey Progress'!$B$34, ""data!O2:O800""), ""*""&amp;P$2&amp;""*"")"),0.0)</f>
        <v>0</v>
      </c>
      <c r="Q5" s="20">
        <f>IFERROR(__xludf.DUMMYFUNCTION("COUNTIFS(IMPORTRANGE('Survey Progress'!$B$34, ""data!B2:B800""), ""=""&amp;$A5, IMPORTRANGE('Survey Progress'!$B$34, ""data!O2:O800""), ""*""&amp;Q$2&amp;""*"")"),0.0)</f>
        <v>0</v>
      </c>
      <c r="R5" s="20">
        <f>IFERROR(__xludf.DUMMYFUNCTION("COUNTIFS(IMPORTRANGE('Survey Progress'!$B$34, ""data!B2:B800""), ""=""&amp;$A5, IMPORTRANGE('Survey Progress'!$B$34, ""data!O2:O800""), ""*""&amp;R$2&amp;""*"")"),0.0)</f>
        <v>0</v>
      </c>
      <c r="S5" s="20">
        <f>IFERROR(__xludf.DUMMYFUNCTION("COUNTIFS(IMPORTRANGE('Survey Progress'!$B$34, ""data!B2:B800""), ""=""&amp;$A5, IMPORTRANGE('Survey Progress'!$B$34, ""data!O2:O800""), ""*""&amp;S$2&amp;""*"")"),0.0)</f>
        <v>0</v>
      </c>
      <c r="T5" s="20">
        <f>IFERROR(__xludf.DUMMYFUNCTION("COUNTIFS(IMPORTRANGE('Survey Progress'!$B$34, ""data!B2:B800""), ""=""&amp;$A5, IMPORTRANGE('Survey Progress'!$B$34, ""data!O2:O800""), ""*""&amp;T$2&amp;""*"")"),0.0)</f>
        <v>0</v>
      </c>
    </row>
    <row r="6">
      <c r="A6" s="25" t="s">
        <v>37</v>
      </c>
      <c r="B6" s="26" t="s">
        <v>18</v>
      </c>
      <c r="C6" s="31">
        <f>IFERROR(__xludf.DUMMYFUNCTION("COUNTIFS(IMPORTRANGE('Survey Progress'!$B$32, ""data!$B$2:$B$800""), ""=""&amp;$A6, IMPORTRANGE('Survey Progress'!$B$32, ""data!$S$2:$S$800""), ""*""&amp;C$2&amp;""*"")"),0.0)</f>
        <v>0</v>
      </c>
      <c r="D6" s="31">
        <f>IFERROR(__xludf.DUMMYFUNCTION("COUNTIFS(IMPORTRANGE('Survey Progress'!$B$32, ""data!$B$2:$B$800""), ""=""&amp;$A6, IMPORTRANGE('Survey Progress'!$B$32, ""data!$S$2:$S$800""), ""*""&amp;D$2&amp;""*"")"),0.0)</f>
        <v>0</v>
      </c>
      <c r="E6" s="31">
        <f>IFERROR(__xludf.DUMMYFUNCTION("COUNTIFS(IMPORTRANGE('Survey Progress'!$B$32, ""data!$B$2:$B$800""), ""=""&amp;$A6, IMPORTRANGE('Survey Progress'!$B$32, ""data!$S$2:$S$800""), ""*""&amp;E$2&amp;""*"")"),0.0)</f>
        <v>0</v>
      </c>
      <c r="F6" s="31">
        <f>IFERROR(__xludf.DUMMYFUNCTION("COUNTIFS(IMPORTRANGE('Survey Progress'!$B$32, ""data!$B$2:$B$800""), ""=""&amp;$A6, IMPORTRANGE('Survey Progress'!$B$32, ""data!$S$2:$S$800""), ""*""&amp;F$2&amp;""*"")"),0.0)</f>
        <v>0</v>
      </c>
      <c r="G6" s="31">
        <f>IFERROR(__xludf.DUMMYFUNCTION("COUNTIFS(IMPORTRANGE('Survey Progress'!$B$32, ""data!$B$2:$B$800""), ""=""&amp;$A6, IMPORTRANGE('Survey Progress'!$B$32, ""data!$S$2:$S$800""), ""*""&amp;G$2&amp;""*"")"),0.0)</f>
        <v>0</v>
      </c>
      <c r="H6" s="31">
        <f>IFERROR(__xludf.DUMMYFUNCTION("COUNTIFS(IMPORTRANGE('Survey Progress'!$B$32, ""data!$B$2:$B$800""), ""=""&amp;$A6, IMPORTRANGE('Survey Progress'!$B$32, ""data!$S$2:$S$800""), ""*""&amp;H$2&amp;""*"")"),0.0)</f>
        <v>0</v>
      </c>
      <c r="I6" s="31">
        <f>IFERROR(__xludf.DUMMYFUNCTION("COUNTIFS(IMPORTRANGE('Survey Progress'!$B$32, ""data!$B$2:$B$800""), ""=""&amp;$A6, IMPORTRANGE('Survey Progress'!$B$32, ""data!$S$2:$S$800""), ""*""&amp;I$2&amp;""*"")"),0.0)</f>
        <v>0</v>
      </c>
      <c r="J6" s="31">
        <f>IFERROR(__xludf.DUMMYFUNCTION("COUNTIFS(IMPORTRANGE('Survey Progress'!$B$32, ""data!$B$2:$B$800""), ""=""&amp;$A6, IMPORTRANGE('Survey Progress'!$B$32, ""data!$S$2:$S$800""), ""*""&amp;J$2&amp;""*"")"),0.0)</f>
        <v>0</v>
      </c>
      <c r="K6" s="31">
        <f>IFERROR(__xludf.DUMMYFUNCTION("COUNTIFS(IMPORTRANGE('Survey Progress'!$B$32, ""data!$B$2:$B$800""), ""=""&amp;$A6, IMPORTRANGE('Survey Progress'!$B$32, ""data!$S$2:$S$800""), ""*""&amp;K$2&amp;""*"")"),0.0)</f>
        <v>0</v>
      </c>
      <c r="L6" s="31">
        <f>IFERROR(__xludf.DUMMYFUNCTION("COUNTIFS(IMPORTRANGE('Survey Progress'!$B$32, ""data!$B$2:$B$800""), ""=""&amp;$A6, IMPORTRANGE('Survey Progress'!$B$32, ""data!$S$2:$S$800""), ""*""&amp;L$2&amp;""*"")"),0.0)</f>
        <v>0</v>
      </c>
      <c r="M6" s="31">
        <f>IFERROR(__xludf.DUMMYFUNCTION("COUNTIFS(IMPORTRANGE('Survey Progress'!$B$32, ""data!$B$2:$B$800""), ""=""&amp;$A6, IMPORTRANGE('Survey Progress'!$B$32, ""data!$S$2:$S$800""), ""*""&amp;M$2&amp;""*"")"),0.0)</f>
        <v>0</v>
      </c>
      <c r="N6" s="31">
        <f>IFERROR(__xludf.DUMMYFUNCTION("COUNTIFS(IMPORTRANGE('Survey Progress'!$B$32, ""data!$B$2:$B$800""), ""=""&amp;$A6, IMPORTRANGE('Survey Progress'!$B$32, ""data!$S$2:$S$800""), ""*""&amp;N$2&amp;""*"")"),0.0)</f>
        <v>0</v>
      </c>
      <c r="O6" s="31">
        <f>IFERROR(__xludf.DUMMYFUNCTION("COUNTIFS(IMPORTRANGE('Survey Progress'!$B$32, ""data!$B$2:$B$800""), ""=""&amp;$A6, IMPORTRANGE('Survey Progress'!$B$32, ""data!$S$2:$S$800""), ""*""&amp;O$2&amp;""*"")"),0.0)</f>
        <v>0</v>
      </c>
      <c r="P6" s="31">
        <f>IFERROR(__xludf.DUMMYFUNCTION("COUNTIFS(IMPORTRANGE('Survey Progress'!$B$32, ""data!$B$2:$B$800""), ""=""&amp;$A6, IMPORTRANGE('Survey Progress'!$B$32, ""data!$S$2:$S$800""), ""*""&amp;P$2&amp;""*"")"),0.0)</f>
        <v>0</v>
      </c>
      <c r="Q6" s="31">
        <f>IFERROR(__xludf.DUMMYFUNCTION("COUNTIFS(IMPORTRANGE('Survey Progress'!$B$32, ""data!$B$2:$B$800""), ""=""&amp;$A6, IMPORTRANGE('Survey Progress'!$B$32, ""data!$S$2:$S$800""), ""*""&amp;Q$2&amp;""*"")"),0.0)</f>
        <v>0</v>
      </c>
      <c r="R6" s="31">
        <f>IFERROR(__xludf.DUMMYFUNCTION("COUNTIFS(IMPORTRANGE('Survey Progress'!$B$32, ""data!$B$2:$B$800""), ""=""&amp;$A6, IMPORTRANGE('Survey Progress'!$B$32, ""data!$S$2:$S$800""), ""*""&amp;R$2&amp;""*"")"),0.0)</f>
        <v>0</v>
      </c>
      <c r="S6" s="31">
        <f>IFERROR(__xludf.DUMMYFUNCTION("COUNTIFS(IMPORTRANGE('Survey Progress'!$B$32, ""data!$B$2:$B$800""), ""=""&amp;$A6, IMPORTRANGE('Survey Progress'!$B$32, ""data!$S$2:$S$800""), ""*""&amp;S$2&amp;""*"")"),0.0)</f>
        <v>0</v>
      </c>
      <c r="T6" s="31">
        <f>IFERROR(__xludf.DUMMYFUNCTION("COUNTIFS(IMPORTRANGE('Survey Progress'!$B$32, ""data!$B$2:$B$800""), ""=""&amp;$A6, IMPORTRANGE('Survey Progress'!$B$32, ""data!$S$2:$S$800""), ""*""&amp;T$2&amp;""*"")"),0.0)</f>
        <v>0</v>
      </c>
      <c r="U6" s="33"/>
      <c r="V6" s="33"/>
      <c r="W6" s="33"/>
      <c r="X6" s="33"/>
      <c r="Y6" s="33"/>
      <c r="Z6" s="33"/>
    </row>
    <row r="7">
      <c r="A7" s="2" t="s">
        <v>37</v>
      </c>
      <c r="B7" s="17" t="s">
        <v>28</v>
      </c>
      <c r="C7" s="20">
        <f>IFERROR(__xludf.DUMMYFUNCTION("COUNTIFS(IMPORTRANGE('Survey Progress'!$B$33, ""data!B2:B800""), ""=""&amp;$A7, IMPORTRANGE('Survey Progress'!$B$33, ""data!O2:O800""), ""*""&amp;C$2&amp;""*"")"),0.0)</f>
        <v>0</v>
      </c>
      <c r="D7" s="20">
        <f>IFERROR(__xludf.DUMMYFUNCTION("COUNTIFS(IMPORTRANGE('Survey Progress'!$B$33, ""data!B2:B800""), ""=""&amp;$A7, IMPORTRANGE('Survey Progress'!$B$33, ""data!O2:O800""), ""*""&amp;D$2&amp;""*"")"),0.0)</f>
        <v>0</v>
      </c>
      <c r="E7" s="20">
        <f>IFERROR(__xludf.DUMMYFUNCTION("COUNTIFS(IMPORTRANGE('Survey Progress'!$B$33, ""data!B2:B800""), ""=""&amp;$A7, IMPORTRANGE('Survey Progress'!$B$33, ""data!O2:O800""), ""*""&amp;E$2&amp;""*"")"),0.0)</f>
        <v>0</v>
      </c>
      <c r="F7" s="20">
        <f>IFERROR(__xludf.DUMMYFUNCTION("COUNTIFS(IMPORTRANGE('Survey Progress'!$B$33, ""data!B2:B800""), ""=""&amp;$A7, IMPORTRANGE('Survey Progress'!$B$33, ""data!O2:O800""), ""*""&amp;F$2&amp;""*"")"),0.0)</f>
        <v>0</v>
      </c>
      <c r="G7" s="20">
        <f>IFERROR(__xludf.DUMMYFUNCTION("COUNTIFS(IMPORTRANGE('Survey Progress'!$B$33, ""data!B2:B800""), ""=""&amp;$A7, IMPORTRANGE('Survey Progress'!$B$33, ""data!O2:O800""), ""*""&amp;G$2&amp;""*"")"),0.0)</f>
        <v>0</v>
      </c>
      <c r="H7" s="20">
        <f>IFERROR(__xludf.DUMMYFUNCTION("COUNTIFS(IMPORTRANGE('Survey Progress'!$B$33, ""data!B2:B800""), ""=""&amp;$A7, IMPORTRANGE('Survey Progress'!$B$33, ""data!O2:O800""), ""*""&amp;H$2&amp;""*"")"),0.0)</f>
        <v>0</v>
      </c>
      <c r="I7" s="20">
        <f>IFERROR(__xludf.DUMMYFUNCTION("COUNTIFS(IMPORTRANGE('Survey Progress'!$B$33, ""data!B2:B800""), ""=""&amp;$A7, IMPORTRANGE('Survey Progress'!$B$33, ""data!O2:O800""), ""*""&amp;I$2&amp;""*"")"),0.0)</f>
        <v>0</v>
      </c>
      <c r="J7" s="20">
        <f>IFERROR(__xludf.DUMMYFUNCTION("COUNTIFS(IMPORTRANGE('Survey Progress'!$B$33, ""data!B2:B800""), ""=""&amp;$A7, IMPORTRANGE('Survey Progress'!$B$33, ""data!O2:O800""), ""*""&amp;J$2&amp;""*"")"),0.0)</f>
        <v>0</v>
      </c>
      <c r="K7" s="20">
        <f>IFERROR(__xludf.DUMMYFUNCTION("COUNTIFS(IMPORTRANGE('Survey Progress'!$B$33, ""data!B2:B800""), ""=""&amp;$A7, IMPORTRANGE('Survey Progress'!$B$33, ""data!O2:O800""), ""*""&amp;K$2&amp;""*"")"),0.0)</f>
        <v>0</v>
      </c>
      <c r="L7" s="20">
        <f>IFERROR(__xludf.DUMMYFUNCTION("COUNTIFS(IMPORTRANGE('Survey Progress'!$B$33, ""data!B2:B800""), ""=""&amp;$A7, IMPORTRANGE('Survey Progress'!$B$33, ""data!O2:O800""), ""*""&amp;L$2&amp;""*"")"),0.0)</f>
        <v>0</v>
      </c>
      <c r="M7" s="20">
        <f>IFERROR(__xludf.DUMMYFUNCTION("COUNTIFS(IMPORTRANGE('Survey Progress'!$B$33, ""data!B2:B800""), ""=""&amp;$A7, IMPORTRANGE('Survey Progress'!$B$33, ""data!O2:O800""), ""*""&amp;M$2&amp;""*"")"),0.0)</f>
        <v>0</v>
      </c>
      <c r="N7" s="20">
        <f>IFERROR(__xludf.DUMMYFUNCTION("COUNTIFS(IMPORTRANGE('Survey Progress'!$B$33, ""data!B2:B800""), ""=""&amp;$A7, IMPORTRANGE('Survey Progress'!$B$33, ""data!O2:O800""), ""*""&amp;N$2&amp;""*"")"),0.0)</f>
        <v>0</v>
      </c>
      <c r="O7" s="20">
        <f>IFERROR(__xludf.DUMMYFUNCTION("COUNTIFS(IMPORTRANGE('Survey Progress'!$B$33, ""data!B2:B800""), ""=""&amp;$A7, IMPORTRANGE('Survey Progress'!$B$33, ""data!O2:O800""), ""*""&amp;O$2&amp;""*"")"),0.0)</f>
        <v>0</v>
      </c>
      <c r="P7" s="20">
        <f>IFERROR(__xludf.DUMMYFUNCTION("COUNTIFS(IMPORTRANGE('Survey Progress'!$B$33, ""data!B2:B800""), ""=""&amp;$A7, IMPORTRANGE('Survey Progress'!$B$33, ""data!O2:O800""), ""*""&amp;P$2&amp;""*"")"),0.0)</f>
        <v>0</v>
      </c>
      <c r="Q7" s="20">
        <f>IFERROR(__xludf.DUMMYFUNCTION("COUNTIFS(IMPORTRANGE('Survey Progress'!$B$33, ""data!B2:B800""), ""=""&amp;$A7, IMPORTRANGE('Survey Progress'!$B$33, ""data!O2:O800""), ""*""&amp;Q$2&amp;""*"")"),0.0)</f>
        <v>0</v>
      </c>
      <c r="R7" s="20">
        <f>IFERROR(__xludf.DUMMYFUNCTION("COUNTIFS(IMPORTRANGE('Survey Progress'!$B$33, ""data!B2:B800""), ""=""&amp;$A7, IMPORTRANGE('Survey Progress'!$B$33, ""data!O2:O800""), ""*""&amp;R$2&amp;""*"")"),0.0)</f>
        <v>0</v>
      </c>
      <c r="S7" s="20">
        <f>IFERROR(__xludf.DUMMYFUNCTION("COUNTIFS(IMPORTRANGE('Survey Progress'!$B$33, ""data!B2:B800""), ""=""&amp;$A7, IMPORTRANGE('Survey Progress'!$B$33, ""data!O2:O800""), ""*""&amp;S$2&amp;""*"")"),0.0)</f>
        <v>0</v>
      </c>
      <c r="T7" s="20">
        <f>IFERROR(__xludf.DUMMYFUNCTION("COUNTIFS(IMPORTRANGE('Survey Progress'!$B$33, ""data!B2:B800""), ""=""&amp;$A7, IMPORTRANGE('Survey Progress'!$B$33, ""data!O2:O800""), ""*""&amp;T$2&amp;""*"")"),0.0)</f>
        <v>0</v>
      </c>
    </row>
    <row r="8">
      <c r="A8" s="2" t="s">
        <v>37</v>
      </c>
      <c r="B8" s="17" t="s">
        <v>30</v>
      </c>
      <c r="C8" s="20">
        <f>IFERROR(__xludf.DUMMYFUNCTION("COUNTIFS(IMPORTRANGE('Survey Progress'!$B$34, ""data!B2:B800""), ""=""&amp;$A8, IMPORTRANGE('Survey Progress'!$B$34, ""data!O2:O800""), ""*""&amp;C$2&amp;""*"")"),0.0)</f>
        <v>0</v>
      </c>
      <c r="D8" s="20">
        <f>IFERROR(__xludf.DUMMYFUNCTION("COUNTIFS(IMPORTRANGE('Survey Progress'!$B$34, ""data!B2:B800""), ""=""&amp;$A8, IMPORTRANGE('Survey Progress'!$B$34, ""data!O2:O800""), ""*""&amp;D$2&amp;""*"")"),0.0)</f>
        <v>0</v>
      </c>
      <c r="E8" s="20">
        <f>IFERROR(__xludf.DUMMYFUNCTION("COUNTIFS(IMPORTRANGE('Survey Progress'!$B$34, ""data!B2:B800""), ""=""&amp;$A8, IMPORTRANGE('Survey Progress'!$B$34, ""data!O2:O800""), ""*""&amp;E$2&amp;""*"")"),0.0)</f>
        <v>0</v>
      </c>
      <c r="F8" s="20">
        <f>IFERROR(__xludf.DUMMYFUNCTION("COUNTIFS(IMPORTRANGE('Survey Progress'!$B$34, ""data!B2:B800""), ""=""&amp;$A8, IMPORTRANGE('Survey Progress'!$B$34, ""data!O2:O800""), ""*""&amp;F$2&amp;""*"")"),0.0)</f>
        <v>0</v>
      </c>
      <c r="G8" s="20">
        <f>IFERROR(__xludf.DUMMYFUNCTION("COUNTIFS(IMPORTRANGE('Survey Progress'!$B$34, ""data!B2:B800""), ""=""&amp;$A8, IMPORTRANGE('Survey Progress'!$B$34, ""data!O2:O800""), ""*""&amp;G$2&amp;""*"")"),0.0)</f>
        <v>0</v>
      </c>
      <c r="H8" s="20">
        <f>IFERROR(__xludf.DUMMYFUNCTION("COUNTIFS(IMPORTRANGE('Survey Progress'!$B$34, ""data!B2:B800""), ""=""&amp;$A8, IMPORTRANGE('Survey Progress'!$B$34, ""data!O2:O800""), ""*""&amp;H$2&amp;""*"")"),0.0)</f>
        <v>0</v>
      </c>
      <c r="I8" s="20">
        <f>IFERROR(__xludf.DUMMYFUNCTION("COUNTIFS(IMPORTRANGE('Survey Progress'!$B$34, ""data!B2:B800""), ""=""&amp;$A8, IMPORTRANGE('Survey Progress'!$B$34, ""data!O2:O800""), ""*""&amp;I$2&amp;""*"")"),0.0)</f>
        <v>0</v>
      </c>
      <c r="J8" s="20">
        <f>IFERROR(__xludf.DUMMYFUNCTION("COUNTIFS(IMPORTRANGE('Survey Progress'!$B$34, ""data!B2:B800""), ""=""&amp;$A8, IMPORTRANGE('Survey Progress'!$B$34, ""data!O2:O800""), ""*""&amp;J$2&amp;""*"")"),0.0)</f>
        <v>0</v>
      </c>
      <c r="K8" s="20">
        <f>IFERROR(__xludf.DUMMYFUNCTION("COUNTIFS(IMPORTRANGE('Survey Progress'!$B$34, ""data!B2:B800""), ""=""&amp;$A8, IMPORTRANGE('Survey Progress'!$B$34, ""data!O2:O800""), ""*""&amp;K$2&amp;""*"")"),0.0)</f>
        <v>0</v>
      </c>
      <c r="L8" s="20">
        <f>IFERROR(__xludf.DUMMYFUNCTION("COUNTIFS(IMPORTRANGE('Survey Progress'!$B$34, ""data!B2:B800""), ""=""&amp;$A8, IMPORTRANGE('Survey Progress'!$B$34, ""data!O2:O800""), ""*""&amp;L$2&amp;""*"")"),0.0)</f>
        <v>0</v>
      </c>
      <c r="M8" s="20">
        <f>IFERROR(__xludf.DUMMYFUNCTION("COUNTIFS(IMPORTRANGE('Survey Progress'!$B$34, ""data!B2:B800""), ""=""&amp;$A8, IMPORTRANGE('Survey Progress'!$B$34, ""data!O2:O800""), ""*""&amp;M$2&amp;""*"")"),0.0)</f>
        <v>0</v>
      </c>
      <c r="N8" s="20">
        <f>IFERROR(__xludf.DUMMYFUNCTION("COUNTIFS(IMPORTRANGE('Survey Progress'!$B$34, ""data!B2:B800""), ""=""&amp;$A8, IMPORTRANGE('Survey Progress'!$B$34, ""data!O2:O800""), ""*""&amp;N$2&amp;""*"")"),0.0)</f>
        <v>0</v>
      </c>
      <c r="O8" s="20">
        <f>IFERROR(__xludf.DUMMYFUNCTION("COUNTIFS(IMPORTRANGE('Survey Progress'!$B$34, ""data!B2:B800""), ""=""&amp;$A8, IMPORTRANGE('Survey Progress'!$B$34, ""data!O2:O800""), ""*""&amp;O$2&amp;""*"")"),0.0)</f>
        <v>0</v>
      </c>
      <c r="P8" s="20">
        <f>IFERROR(__xludf.DUMMYFUNCTION("COUNTIFS(IMPORTRANGE('Survey Progress'!$B$34, ""data!B2:B800""), ""=""&amp;$A8, IMPORTRANGE('Survey Progress'!$B$34, ""data!O2:O800""), ""*""&amp;P$2&amp;""*"")"),0.0)</f>
        <v>0</v>
      </c>
      <c r="Q8" s="20">
        <f>IFERROR(__xludf.DUMMYFUNCTION("COUNTIFS(IMPORTRANGE('Survey Progress'!$B$34, ""data!B2:B800""), ""=""&amp;$A8, IMPORTRANGE('Survey Progress'!$B$34, ""data!O2:O800""), ""*""&amp;Q$2&amp;""*"")"),0.0)</f>
        <v>0</v>
      </c>
      <c r="R8" s="20">
        <f>IFERROR(__xludf.DUMMYFUNCTION("COUNTIFS(IMPORTRANGE('Survey Progress'!$B$34, ""data!B2:B800""), ""=""&amp;$A8, IMPORTRANGE('Survey Progress'!$B$34, ""data!O2:O800""), ""*""&amp;R$2&amp;""*"")"),0.0)</f>
        <v>0</v>
      </c>
      <c r="S8" s="20">
        <f>IFERROR(__xludf.DUMMYFUNCTION("COUNTIFS(IMPORTRANGE('Survey Progress'!$B$34, ""data!B2:B800""), ""=""&amp;$A8, IMPORTRANGE('Survey Progress'!$B$34, ""data!O2:O800""), ""*""&amp;S$2&amp;""*"")"),0.0)</f>
        <v>0</v>
      </c>
      <c r="T8" s="20">
        <f>IFERROR(__xludf.DUMMYFUNCTION("COUNTIFS(IMPORTRANGE('Survey Progress'!$B$34, ""data!B2:B800""), ""=""&amp;$A8, IMPORTRANGE('Survey Progress'!$B$34, ""data!O2:O800""), ""*""&amp;T$2&amp;""*"")"),0.0)</f>
        <v>0</v>
      </c>
    </row>
    <row r="9">
      <c r="A9" s="25" t="s">
        <v>43</v>
      </c>
      <c r="B9" s="26" t="s">
        <v>18</v>
      </c>
      <c r="C9" s="31">
        <f>IFERROR(__xludf.DUMMYFUNCTION("COUNTIFS(IMPORTRANGE('Survey Progress'!$B$32, ""data!$B$2:$B$800""), ""=""&amp;$A9, IMPORTRANGE('Survey Progress'!$B$32, ""data!$S$2:$S$800""), ""*""&amp;C$2&amp;""*"")"),0.0)</f>
        <v>0</v>
      </c>
      <c r="D9" s="31">
        <f>IFERROR(__xludf.DUMMYFUNCTION("COUNTIFS(IMPORTRANGE('Survey Progress'!$B$32, ""data!$B$2:$B$800""), ""=""&amp;$A9, IMPORTRANGE('Survey Progress'!$B$32, ""data!$S$2:$S$800""), ""*""&amp;D$2&amp;""*"")"),0.0)</f>
        <v>0</v>
      </c>
      <c r="E9" s="31">
        <f>IFERROR(__xludf.DUMMYFUNCTION("COUNTIFS(IMPORTRANGE('Survey Progress'!$B$32, ""data!$B$2:$B$800""), ""=""&amp;$A9, IMPORTRANGE('Survey Progress'!$B$32, ""data!$S$2:$S$800""), ""*""&amp;E$2&amp;""*"")"),0.0)</f>
        <v>0</v>
      </c>
      <c r="F9" s="31">
        <f>IFERROR(__xludf.DUMMYFUNCTION("COUNTIFS(IMPORTRANGE('Survey Progress'!$B$32, ""data!$B$2:$B$800""), ""=""&amp;$A9, IMPORTRANGE('Survey Progress'!$B$32, ""data!$S$2:$S$800""), ""*""&amp;F$2&amp;""*"")"),0.0)</f>
        <v>0</v>
      </c>
      <c r="G9" s="31">
        <f>IFERROR(__xludf.DUMMYFUNCTION("COUNTIFS(IMPORTRANGE('Survey Progress'!$B$32, ""data!$B$2:$B$800""), ""=""&amp;$A9, IMPORTRANGE('Survey Progress'!$B$32, ""data!$S$2:$S$800""), ""*""&amp;G$2&amp;""*"")"),0.0)</f>
        <v>0</v>
      </c>
      <c r="H9" s="31">
        <f>IFERROR(__xludf.DUMMYFUNCTION("COUNTIFS(IMPORTRANGE('Survey Progress'!$B$32, ""data!$B$2:$B$800""), ""=""&amp;$A9, IMPORTRANGE('Survey Progress'!$B$32, ""data!$S$2:$S$800""), ""*""&amp;H$2&amp;""*"")"),0.0)</f>
        <v>0</v>
      </c>
      <c r="I9" s="31">
        <f>IFERROR(__xludf.DUMMYFUNCTION("COUNTIFS(IMPORTRANGE('Survey Progress'!$B$32, ""data!$B$2:$B$800""), ""=""&amp;$A9, IMPORTRANGE('Survey Progress'!$B$32, ""data!$S$2:$S$800""), ""*""&amp;I$2&amp;""*"")"),0.0)</f>
        <v>0</v>
      </c>
      <c r="J9" s="31">
        <f>IFERROR(__xludf.DUMMYFUNCTION("COUNTIFS(IMPORTRANGE('Survey Progress'!$B$32, ""data!$B$2:$B$800""), ""=""&amp;$A9, IMPORTRANGE('Survey Progress'!$B$32, ""data!$S$2:$S$800""), ""*""&amp;J$2&amp;""*"")"),0.0)</f>
        <v>0</v>
      </c>
      <c r="K9" s="31">
        <f>IFERROR(__xludf.DUMMYFUNCTION("COUNTIFS(IMPORTRANGE('Survey Progress'!$B$32, ""data!$B$2:$B$800""), ""=""&amp;$A9, IMPORTRANGE('Survey Progress'!$B$32, ""data!$S$2:$S$800""), ""*""&amp;K$2&amp;""*"")"),0.0)</f>
        <v>0</v>
      </c>
      <c r="L9" s="31">
        <f>IFERROR(__xludf.DUMMYFUNCTION("COUNTIFS(IMPORTRANGE('Survey Progress'!$B$32, ""data!$B$2:$B$800""), ""=""&amp;$A9, IMPORTRANGE('Survey Progress'!$B$32, ""data!$S$2:$S$800""), ""*""&amp;L$2&amp;""*"")"),0.0)</f>
        <v>0</v>
      </c>
      <c r="M9" s="31">
        <f>IFERROR(__xludf.DUMMYFUNCTION("COUNTIFS(IMPORTRANGE('Survey Progress'!$B$32, ""data!$B$2:$B$800""), ""=""&amp;$A9, IMPORTRANGE('Survey Progress'!$B$32, ""data!$S$2:$S$800""), ""*""&amp;M$2&amp;""*"")"),0.0)</f>
        <v>0</v>
      </c>
      <c r="N9" s="31">
        <f>IFERROR(__xludf.DUMMYFUNCTION("COUNTIFS(IMPORTRANGE('Survey Progress'!$B$32, ""data!$B$2:$B$800""), ""=""&amp;$A9, IMPORTRANGE('Survey Progress'!$B$32, ""data!$S$2:$S$800""), ""*""&amp;N$2&amp;""*"")"),0.0)</f>
        <v>0</v>
      </c>
      <c r="O9" s="31">
        <f>IFERROR(__xludf.DUMMYFUNCTION("COUNTIFS(IMPORTRANGE('Survey Progress'!$B$32, ""data!$B$2:$B$800""), ""=""&amp;$A9, IMPORTRANGE('Survey Progress'!$B$32, ""data!$S$2:$S$800""), ""*""&amp;O$2&amp;""*"")"),0.0)</f>
        <v>0</v>
      </c>
      <c r="P9" s="31">
        <f>IFERROR(__xludf.DUMMYFUNCTION("COUNTIFS(IMPORTRANGE('Survey Progress'!$B$32, ""data!$B$2:$B$800""), ""=""&amp;$A9, IMPORTRANGE('Survey Progress'!$B$32, ""data!$S$2:$S$800""), ""*""&amp;P$2&amp;""*"")"),0.0)</f>
        <v>0</v>
      </c>
      <c r="Q9" s="31">
        <f>IFERROR(__xludf.DUMMYFUNCTION("COUNTIFS(IMPORTRANGE('Survey Progress'!$B$32, ""data!$B$2:$B$800""), ""=""&amp;$A9, IMPORTRANGE('Survey Progress'!$B$32, ""data!$S$2:$S$800""), ""*""&amp;Q$2&amp;""*"")"),0.0)</f>
        <v>0</v>
      </c>
      <c r="R9" s="31">
        <f>IFERROR(__xludf.DUMMYFUNCTION("COUNTIFS(IMPORTRANGE('Survey Progress'!$B$32, ""data!$B$2:$B$800""), ""=""&amp;$A9, IMPORTRANGE('Survey Progress'!$B$32, ""data!$S$2:$S$800""), ""*""&amp;R$2&amp;""*"")"),0.0)</f>
        <v>0</v>
      </c>
      <c r="S9" s="31">
        <f>IFERROR(__xludf.DUMMYFUNCTION("COUNTIFS(IMPORTRANGE('Survey Progress'!$B$32, ""data!$B$2:$B$800""), ""=""&amp;$A9, IMPORTRANGE('Survey Progress'!$B$32, ""data!$S$2:$S$800""), ""*""&amp;S$2&amp;""*"")"),0.0)</f>
        <v>0</v>
      </c>
      <c r="T9" s="31">
        <f>IFERROR(__xludf.DUMMYFUNCTION("COUNTIFS(IMPORTRANGE('Survey Progress'!$B$32, ""data!$B$2:$B$800""), ""=""&amp;$A9, IMPORTRANGE('Survey Progress'!$B$32, ""data!$S$2:$S$800""), ""*""&amp;T$2&amp;""*"")"),0.0)</f>
        <v>0</v>
      </c>
      <c r="U9" s="33"/>
      <c r="V9" s="33"/>
      <c r="W9" s="33"/>
      <c r="X9" s="33"/>
      <c r="Y9" s="33"/>
      <c r="Z9" s="33"/>
    </row>
    <row r="10">
      <c r="A10" s="2" t="s">
        <v>43</v>
      </c>
      <c r="B10" s="17" t="s">
        <v>28</v>
      </c>
      <c r="C10" s="20">
        <f>IFERROR(__xludf.DUMMYFUNCTION("COUNTIFS(IMPORTRANGE('Survey Progress'!$B$33, ""data!B2:B800""), ""=""&amp;$A10, IMPORTRANGE('Survey Progress'!$B$33, ""data!O2:O800""), ""*""&amp;C$2&amp;""*"")"),0.0)</f>
        <v>0</v>
      </c>
      <c r="D10" s="20">
        <f>IFERROR(__xludf.DUMMYFUNCTION("COUNTIFS(IMPORTRANGE('Survey Progress'!$B$33, ""data!B2:B800""), ""=""&amp;$A10, IMPORTRANGE('Survey Progress'!$B$33, ""data!O2:O800""), ""*""&amp;D$2&amp;""*"")"),0.0)</f>
        <v>0</v>
      </c>
      <c r="E10" s="20">
        <f>IFERROR(__xludf.DUMMYFUNCTION("COUNTIFS(IMPORTRANGE('Survey Progress'!$B$33, ""data!B2:B800""), ""=""&amp;$A10, IMPORTRANGE('Survey Progress'!$B$33, ""data!O2:O800""), ""*""&amp;E$2&amp;""*"")"),0.0)</f>
        <v>0</v>
      </c>
      <c r="F10" s="20">
        <f>IFERROR(__xludf.DUMMYFUNCTION("COUNTIFS(IMPORTRANGE('Survey Progress'!$B$33, ""data!B2:B800""), ""=""&amp;$A10, IMPORTRANGE('Survey Progress'!$B$33, ""data!O2:O800""), ""*""&amp;F$2&amp;""*"")"),0.0)</f>
        <v>0</v>
      </c>
      <c r="G10" s="20">
        <f>IFERROR(__xludf.DUMMYFUNCTION("COUNTIFS(IMPORTRANGE('Survey Progress'!$B$33, ""data!B2:B800""), ""=""&amp;$A10, IMPORTRANGE('Survey Progress'!$B$33, ""data!O2:O800""), ""*""&amp;G$2&amp;""*"")"),0.0)</f>
        <v>0</v>
      </c>
      <c r="H10" s="20">
        <f>IFERROR(__xludf.DUMMYFUNCTION("COUNTIFS(IMPORTRANGE('Survey Progress'!$B$33, ""data!B2:B800""), ""=""&amp;$A10, IMPORTRANGE('Survey Progress'!$B$33, ""data!O2:O800""), ""*""&amp;H$2&amp;""*"")"),0.0)</f>
        <v>0</v>
      </c>
      <c r="I10" s="20">
        <f>IFERROR(__xludf.DUMMYFUNCTION("COUNTIFS(IMPORTRANGE('Survey Progress'!$B$33, ""data!B2:B800""), ""=""&amp;$A10, IMPORTRANGE('Survey Progress'!$B$33, ""data!O2:O800""), ""*""&amp;I$2&amp;""*"")"),0.0)</f>
        <v>0</v>
      </c>
      <c r="J10" s="20">
        <f>IFERROR(__xludf.DUMMYFUNCTION("COUNTIFS(IMPORTRANGE('Survey Progress'!$B$33, ""data!B2:B800""), ""=""&amp;$A10, IMPORTRANGE('Survey Progress'!$B$33, ""data!O2:O800""), ""*""&amp;J$2&amp;""*"")"),0.0)</f>
        <v>0</v>
      </c>
      <c r="K10" s="20">
        <f>IFERROR(__xludf.DUMMYFUNCTION("COUNTIFS(IMPORTRANGE('Survey Progress'!$B$33, ""data!B2:B800""), ""=""&amp;$A10, IMPORTRANGE('Survey Progress'!$B$33, ""data!O2:O800""), ""*""&amp;K$2&amp;""*"")"),0.0)</f>
        <v>0</v>
      </c>
      <c r="L10" s="20">
        <f>IFERROR(__xludf.DUMMYFUNCTION("COUNTIFS(IMPORTRANGE('Survey Progress'!$B$33, ""data!B2:B800""), ""=""&amp;$A10, IMPORTRANGE('Survey Progress'!$B$33, ""data!O2:O800""), ""*""&amp;L$2&amp;""*"")"),0.0)</f>
        <v>0</v>
      </c>
      <c r="M10" s="20">
        <f>IFERROR(__xludf.DUMMYFUNCTION("COUNTIFS(IMPORTRANGE('Survey Progress'!$B$33, ""data!B2:B800""), ""=""&amp;$A10, IMPORTRANGE('Survey Progress'!$B$33, ""data!O2:O800""), ""*""&amp;M$2&amp;""*"")"),0.0)</f>
        <v>0</v>
      </c>
      <c r="N10" s="20">
        <f>IFERROR(__xludf.DUMMYFUNCTION("COUNTIFS(IMPORTRANGE('Survey Progress'!$B$33, ""data!B2:B800""), ""=""&amp;$A10, IMPORTRANGE('Survey Progress'!$B$33, ""data!O2:O800""), ""*""&amp;N$2&amp;""*"")"),0.0)</f>
        <v>0</v>
      </c>
      <c r="O10" s="20">
        <f>IFERROR(__xludf.DUMMYFUNCTION("COUNTIFS(IMPORTRANGE('Survey Progress'!$B$33, ""data!B2:B800""), ""=""&amp;$A10, IMPORTRANGE('Survey Progress'!$B$33, ""data!O2:O800""), ""*""&amp;O$2&amp;""*"")"),0.0)</f>
        <v>0</v>
      </c>
      <c r="P10" s="20">
        <f>IFERROR(__xludf.DUMMYFUNCTION("COUNTIFS(IMPORTRANGE('Survey Progress'!$B$33, ""data!B2:B800""), ""=""&amp;$A10, IMPORTRANGE('Survey Progress'!$B$33, ""data!O2:O800""), ""*""&amp;P$2&amp;""*"")"),0.0)</f>
        <v>0</v>
      </c>
      <c r="Q10" s="20">
        <f>IFERROR(__xludf.DUMMYFUNCTION("COUNTIFS(IMPORTRANGE('Survey Progress'!$B$33, ""data!B2:B800""), ""=""&amp;$A10, IMPORTRANGE('Survey Progress'!$B$33, ""data!O2:O800""), ""*""&amp;Q$2&amp;""*"")"),0.0)</f>
        <v>0</v>
      </c>
      <c r="R10" s="20">
        <f>IFERROR(__xludf.DUMMYFUNCTION("COUNTIFS(IMPORTRANGE('Survey Progress'!$B$33, ""data!B2:B800""), ""=""&amp;$A10, IMPORTRANGE('Survey Progress'!$B$33, ""data!O2:O800""), ""*""&amp;R$2&amp;""*"")"),0.0)</f>
        <v>0</v>
      </c>
      <c r="S10" s="20">
        <f>IFERROR(__xludf.DUMMYFUNCTION("COUNTIFS(IMPORTRANGE('Survey Progress'!$B$33, ""data!B2:B800""), ""=""&amp;$A10, IMPORTRANGE('Survey Progress'!$B$33, ""data!O2:O800""), ""*""&amp;S$2&amp;""*"")"),0.0)</f>
        <v>0</v>
      </c>
      <c r="T10" s="20">
        <f>IFERROR(__xludf.DUMMYFUNCTION("COUNTIFS(IMPORTRANGE('Survey Progress'!$B$33, ""data!B2:B800""), ""=""&amp;$A10, IMPORTRANGE('Survey Progress'!$B$33, ""data!O2:O800""), ""*""&amp;T$2&amp;""*"")"),0.0)</f>
        <v>0</v>
      </c>
    </row>
    <row r="11">
      <c r="A11" s="2" t="s">
        <v>43</v>
      </c>
      <c r="B11" s="17" t="s">
        <v>30</v>
      </c>
      <c r="C11" s="20">
        <f>IFERROR(__xludf.DUMMYFUNCTION("COUNTIFS(IMPORTRANGE('Survey Progress'!$B$34, ""data!B2:B800""), ""=""&amp;$A11, IMPORTRANGE('Survey Progress'!$B$34, ""data!O2:O800""), ""*""&amp;C$2&amp;""*"")"),0.0)</f>
        <v>0</v>
      </c>
      <c r="D11" s="20">
        <f>IFERROR(__xludf.DUMMYFUNCTION("COUNTIFS(IMPORTRANGE('Survey Progress'!$B$34, ""data!B2:B800""), ""=""&amp;$A11, IMPORTRANGE('Survey Progress'!$B$34, ""data!O2:O800""), ""*""&amp;D$2&amp;""*"")"),0.0)</f>
        <v>0</v>
      </c>
      <c r="E11" s="20">
        <f>IFERROR(__xludf.DUMMYFUNCTION("COUNTIFS(IMPORTRANGE('Survey Progress'!$B$34, ""data!B2:B800""), ""=""&amp;$A11, IMPORTRANGE('Survey Progress'!$B$34, ""data!O2:O800""), ""*""&amp;E$2&amp;""*"")"),0.0)</f>
        <v>0</v>
      </c>
      <c r="F11" s="20">
        <f>IFERROR(__xludf.DUMMYFUNCTION("COUNTIFS(IMPORTRANGE('Survey Progress'!$B$34, ""data!B2:B800""), ""=""&amp;$A11, IMPORTRANGE('Survey Progress'!$B$34, ""data!O2:O800""), ""*""&amp;F$2&amp;""*"")"),0.0)</f>
        <v>0</v>
      </c>
      <c r="G11" s="20">
        <f>IFERROR(__xludf.DUMMYFUNCTION("COUNTIFS(IMPORTRANGE('Survey Progress'!$B$34, ""data!B2:B800""), ""=""&amp;$A11, IMPORTRANGE('Survey Progress'!$B$34, ""data!O2:O800""), ""*""&amp;G$2&amp;""*"")"),0.0)</f>
        <v>0</v>
      </c>
      <c r="H11" s="20">
        <f>IFERROR(__xludf.DUMMYFUNCTION("COUNTIFS(IMPORTRANGE('Survey Progress'!$B$34, ""data!B2:B800""), ""=""&amp;$A11, IMPORTRANGE('Survey Progress'!$B$34, ""data!O2:O800""), ""*""&amp;H$2&amp;""*"")"),0.0)</f>
        <v>0</v>
      </c>
      <c r="I11" s="20">
        <f>IFERROR(__xludf.DUMMYFUNCTION("COUNTIFS(IMPORTRANGE('Survey Progress'!$B$34, ""data!B2:B800""), ""=""&amp;$A11, IMPORTRANGE('Survey Progress'!$B$34, ""data!O2:O800""), ""*""&amp;I$2&amp;""*"")"),0.0)</f>
        <v>0</v>
      </c>
      <c r="J11" s="20">
        <f>IFERROR(__xludf.DUMMYFUNCTION("COUNTIFS(IMPORTRANGE('Survey Progress'!$B$34, ""data!B2:B800""), ""=""&amp;$A11, IMPORTRANGE('Survey Progress'!$B$34, ""data!O2:O800""), ""*""&amp;J$2&amp;""*"")"),0.0)</f>
        <v>0</v>
      </c>
      <c r="K11" s="20">
        <f>IFERROR(__xludf.DUMMYFUNCTION("COUNTIFS(IMPORTRANGE('Survey Progress'!$B$34, ""data!B2:B800""), ""=""&amp;$A11, IMPORTRANGE('Survey Progress'!$B$34, ""data!O2:O800""), ""*""&amp;K$2&amp;""*"")"),0.0)</f>
        <v>0</v>
      </c>
      <c r="L11" s="20">
        <f>IFERROR(__xludf.DUMMYFUNCTION("COUNTIFS(IMPORTRANGE('Survey Progress'!$B$34, ""data!B2:B800""), ""=""&amp;$A11, IMPORTRANGE('Survey Progress'!$B$34, ""data!O2:O800""), ""*""&amp;L$2&amp;""*"")"),0.0)</f>
        <v>0</v>
      </c>
      <c r="M11" s="20">
        <f>IFERROR(__xludf.DUMMYFUNCTION("COUNTIFS(IMPORTRANGE('Survey Progress'!$B$34, ""data!B2:B800""), ""=""&amp;$A11, IMPORTRANGE('Survey Progress'!$B$34, ""data!O2:O800""), ""*""&amp;M$2&amp;""*"")"),0.0)</f>
        <v>0</v>
      </c>
      <c r="N11" s="20">
        <f>IFERROR(__xludf.DUMMYFUNCTION("COUNTIFS(IMPORTRANGE('Survey Progress'!$B$34, ""data!B2:B800""), ""=""&amp;$A11, IMPORTRANGE('Survey Progress'!$B$34, ""data!O2:O800""), ""*""&amp;N$2&amp;""*"")"),0.0)</f>
        <v>0</v>
      </c>
      <c r="O11" s="20">
        <f>IFERROR(__xludf.DUMMYFUNCTION("COUNTIFS(IMPORTRANGE('Survey Progress'!$B$34, ""data!B2:B800""), ""=""&amp;$A11, IMPORTRANGE('Survey Progress'!$B$34, ""data!O2:O800""), ""*""&amp;O$2&amp;""*"")"),0.0)</f>
        <v>0</v>
      </c>
      <c r="P11" s="20">
        <f>IFERROR(__xludf.DUMMYFUNCTION("COUNTIFS(IMPORTRANGE('Survey Progress'!$B$34, ""data!B2:B800""), ""=""&amp;$A11, IMPORTRANGE('Survey Progress'!$B$34, ""data!O2:O800""), ""*""&amp;P$2&amp;""*"")"),0.0)</f>
        <v>0</v>
      </c>
      <c r="Q11" s="20">
        <f>IFERROR(__xludf.DUMMYFUNCTION("COUNTIFS(IMPORTRANGE('Survey Progress'!$B$34, ""data!B2:B800""), ""=""&amp;$A11, IMPORTRANGE('Survey Progress'!$B$34, ""data!O2:O800""), ""*""&amp;Q$2&amp;""*"")"),0.0)</f>
        <v>0</v>
      </c>
      <c r="R11" s="20">
        <f>IFERROR(__xludf.DUMMYFUNCTION("COUNTIFS(IMPORTRANGE('Survey Progress'!$B$34, ""data!B2:B800""), ""=""&amp;$A11, IMPORTRANGE('Survey Progress'!$B$34, ""data!O2:O800""), ""*""&amp;R$2&amp;""*"")"),0.0)</f>
        <v>0</v>
      </c>
      <c r="S11" s="20">
        <f>IFERROR(__xludf.DUMMYFUNCTION("COUNTIFS(IMPORTRANGE('Survey Progress'!$B$34, ""data!B2:B800""), ""=""&amp;$A11, IMPORTRANGE('Survey Progress'!$B$34, ""data!O2:O800""), ""*""&amp;S$2&amp;""*"")"),0.0)</f>
        <v>0</v>
      </c>
      <c r="T11" s="20">
        <f>IFERROR(__xludf.DUMMYFUNCTION("COUNTIFS(IMPORTRANGE('Survey Progress'!$B$34, ""data!B2:B800""), ""=""&amp;$A11, IMPORTRANGE('Survey Progress'!$B$34, ""data!O2:O800""), ""*""&amp;T$2&amp;""*"")"),0.0)</f>
        <v>0</v>
      </c>
    </row>
    <row r="12">
      <c r="A12" s="25" t="s">
        <v>44</v>
      </c>
      <c r="B12" s="26" t="s">
        <v>18</v>
      </c>
      <c r="C12" s="31">
        <f>IFERROR(__xludf.DUMMYFUNCTION("COUNTIFS(IMPORTRANGE('Survey Progress'!$B$32, ""data!$B$2:$B$800""), ""=""&amp;$A12, IMPORTRANGE('Survey Progress'!$B$32, ""data!$S$2:$S$800""), ""*""&amp;C$2&amp;""*"")"),0.0)</f>
        <v>0</v>
      </c>
      <c r="D12" s="31">
        <f>IFERROR(__xludf.DUMMYFUNCTION("COUNTIFS(IMPORTRANGE('Survey Progress'!$B$32, ""data!$B$2:$B$800""), ""=""&amp;$A12, IMPORTRANGE('Survey Progress'!$B$32, ""data!$S$2:$S$800""), ""*""&amp;D$2&amp;""*"")"),0.0)</f>
        <v>0</v>
      </c>
      <c r="E12" s="31">
        <f>IFERROR(__xludf.DUMMYFUNCTION("COUNTIFS(IMPORTRANGE('Survey Progress'!$B$32, ""data!$B$2:$B$800""), ""=""&amp;$A12, IMPORTRANGE('Survey Progress'!$B$32, ""data!$S$2:$S$800""), ""*""&amp;E$2&amp;""*"")"),0.0)</f>
        <v>0</v>
      </c>
      <c r="F12" s="31">
        <f>IFERROR(__xludf.DUMMYFUNCTION("COUNTIFS(IMPORTRANGE('Survey Progress'!$B$32, ""data!$B$2:$B$800""), ""=""&amp;$A12, IMPORTRANGE('Survey Progress'!$B$32, ""data!$S$2:$S$800""), ""*""&amp;F$2&amp;""*"")"),0.0)</f>
        <v>0</v>
      </c>
      <c r="G12" s="31">
        <f>IFERROR(__xludf.DUMMYFUNCTION("COUNTIFS(IMPORTRANGE('Survey Progress'!$B$32, ""data!$B$2:$B$800""), ""=""&amp;$A12, IMPORTRANGE('Survey Progress'!$B$32, ""data!$S$2:$S$800""), ""*""&amp;G$2&amp;""*"")"),0.0)</f>
        <v>0</v>
      </c>
      <c r="H12" s="31">
        <f>IFERROR(__xludf.DUMMYFUNCTION("COUNTIFS(IMPORTRANGE('Survey Progress'!$B$32, ""data!$B$2:$B$800""), ""=""&amp;$A12, IMPORTRANGE('Survey Progress'!$B$32, ""data!$S$2:$S$800""), ""*""&amp;H$2&amp;""*"")"),0.0)</f>
        <v>0</v>
      </c>
      <c r="I12" s="31">
        <f>IFERROR(__xludf.DUMMYFUNCTION("COUNTIFS(IMPORTRANGE('Survey Progress'!$B$32, ""data!$B$2:$B$800""), ""=""&amp;$A12, IMPORTRANGE('Survey Progress'!$B$32, ""data!$S$2:$S$800""), ""*""&amp;I$2&amp;""*"")"),0.0)</f>
        <v>0</v>
      </c>
      <c r="J12" s="31">
        <f>IFERROR(__xludf.DUMMYFUNCTION("COUNTIFS(IMPORTRANGE('Survey Progress'!$B$32, ""data!$B$2:$B$800""), ""=""&amp;$A12, IMPORTRANGE('Survey Progress'!$B$32, ""data!$S$2:$S$800""), ""*""&amp;J$2&amp;""*"")"),0.0)</f>
        <v>0</v>
      </c>
      <c r="K12" s="31">
        <f>IFERROR(__xludf.DUMMYFUNCTION("COUNTIFS(IMPORTRANGE('Survey Progress'!$B$32, ""data!$B$2:$B$800""), ""=""&amp;$A12, IMPORTRANGE('Survey Progress'!$B$32, ""data!$S$2:$S$800""), ""*""&amp;K$2&amp;""*"")"),0.0)</f>
        <v>0</v>
      </c>
      <c r="L12" s="31">
        <f>IFERROR(__xludf.DUMMYFUNCTION("COUNTIFS(IMPORTRANGE('Survey Progress'!$B$32, ""data!$B$2:$B$800""), ""=""&amp;$A12, IMPORTRANGE('Survey Progress'!$B$32, ""data!$S$2:$S$800""), ""*""&amp;L$2&amp;""*"")"),0.0)</f>
        <v>0</v>
      </c>
      <c r="M12" s="31">
        <f>IFERROR(__xludf.DUMMYFUNCTION("COUNTIFS(IMPORTRANGE('Survey Progress'!$B$32, ""data!$B$2:$B$800""), ""=""&amp;$A12, IMPORTRANGE('Survey Progress'!$B$32, ""data!$S$2:$S$800""), ""*""&amp;M$2&amp;""*"")"),0.0)</f>
        <v>0</v>
      </c>
      <c r="N12" s="31">
        <f>IFERROR(__xludf.DUMMYFUNCTION("COUNTIFS(IMPORTRANGE('Survey Progress'!$B$32, ""data!$B$2:$B$800""), ""=""&amp;$A12, IMPORTRANGE('Survey Progress'!$B$32, ""data!$S$2:$S$800""), ""*""&amp;N$2&amp;""*"")"),0.0)</f>
        <v>0</v>
      </c>
      <c r="O12" s="31">
        <f>IFERROR(__xludf.DUMMYFUNCTION("COUNTIFS(IMPORTRANGE('Survey Progress'!$B$32, ""data!$B$2:$B$800""), ""=""&amp;$A12, IMPORTRANGE('Survey Progress'!$B$32, ""data!$S$2:$S$800""), ""*""&amp;O$2&amp;""*"")"),0.0)</f>
        <v>0</v>
      </c>
      <c r="P12" s="31">
        <f>IFERROR(__xludf.DUMMYFUNCTION("COUNTIFS(IMPORTRANGE('Survey Progress'!$B$32, ""data!$B$2:$B$800""), ""=""&amp;$A12, IMPORTRANGE('Survey Progress'!$B$32, ""data!$S$2:$S$800""), ""*""&amp;P$2&amp;""*"")"),0.0)</f>
        <v>0</v>
      </c>
      <c r="Q12" s="31">
        <f>IFERROR(__xludf.DUMMYFUNCTION("COUNTIFS(IMPORTRANGE('Survey Progress'!$B$32, ""data!$B$2:$B$800""), ""=""&amp;$A12, IMPORTRANGE('Survey Progress'!$B$32, ""data!$S$2:$S$800""), ""*""&amp;Q$2&amp;""*"")"),0.0)</f>
        <v>0</v>
      </c>
      <c r="R12" s="31">
        <f>IFERROR(__xludf.DUMMYFUNCTION("COUNTIFS(IMPORTRANGE('Survey Progress'!$B$32, ""data!$B$2:$B$800""), ""=""&amp;$A12, IMPORTRANGE('Survey Progress'!$B$32, ""data!$S$2:$S$800""), ""*""&amp;R$2&amp;""*"")"),0.0)</f>
        <v>0</v>
      </c>
      <c r="S12" s="31">
        <f>IFERROR(__xludf.DUMMYFUNCTION("COUNTIFS(IMPORTRANGE('Survey Progress'!$B$32, ""data!$B$2:$B$800""), ""=""&amp;$A12, IMPORTRANGE('Survey Progress'!$B$32, ""data!$S$2:$S$800""), ""*""&amp;S$2&amp;""*"")"),0.0)</f>
        <v>0</v>
      </c>
      <c r="T12" s="31">
        <f>IFERROR(__xludf.DUMMYFUNCTION("COUNTIFS(IMPORTRANGE('Survey Progress'!$B$32, ""data!$B$2:$B$800""), ""=""&amp;$A12, IMPORTRANGE('Survey Progress'!$B$32, ""data!$S$2:$S$800""), ""*""&amp;T$2&amp;""*"")"),0.0)</f>
        <v>0</v>
      </c>
      <c r="U12" s="33"/>
      <c r="V12" s="33"/>
      <c r="W12" s="33"/>
      <c r="X12" s="33"/>
      <c r="Y12" s="33"/>
      <c r="Z12" s="33"/>
    </row>
    <row r="13">
      <c r="A13" s="2" t="s">
        <v>44</v>
      </c>
      <c r="B13" s="17" t="s">
        <v>28</v>
      </c>
      <c r="C13" s="20">
        <f>IFERROR(__xludf.DUMMYFUNCTION("COUNTIFS(IMPORTRANGE('Survey Progress'!$B$33, ""data!B2:B800""), ""=""&amp;$A13, IMPORTRANGE('Survey Progress'!$B$33, ""data!O2:O800""), ""*""&amp;C$2&amp;""*"")"),0.0)</f>
        <v>0</v>
      </c>
      <c r="D13" s="20">
        <f>IFERROR(__xludf.DUMMYFUNCTION("COUNTIFS(IMPORTRANGE('Survey Progress'!$B$33, ""data!B2:B800""), ""=""&amp;$A13, IMPORTRANGE('Survey Progress'!$B$33, ""data!O2:O800""), ""*""&amp;D$2&amp;""*"")"),0.0)</f>
        <v>0</v>
      </c>
      <c r="E13" s="20">
        <f>IFERROR(__xludf.DUMMYFUNCTION("COUNTIFS(IMPORTRANGE('Survey Progress'!$B$33, ""data!B2:B800""), ""=""&amp;$A13, IMPORTRANGE('Survey Progress'!$B$33, ""data!O2:O800""), ""*""&amp;E$2&amp;""*"")"),0.0)</f>
        <v>0</v>
      </c>
      <c r="F13" s="20">
        <f>IFERROR(__xludf.DUMMYFUNCTION("COUNTIFS(IMPORTRANGE('Survey Progress'!$B$33, ""data!B2:B800""), ""=""&amp;$A13, IMPORTRANGE('Survey Progress'!$B$33, ""data!O2:O800""), ""*""&amp;F$2&amp;""*"")"),0.0)</f>
        <v>0</v>
      </c>
      <c r="G13" s="20">
        <f>IFERROR(__xludf.DUMMYFUNCTION("COUNTIFS(IMPORTRANGE('Survey Progress'!$B$33, ""data!B2:B800""), ""=""&amp;$A13, IMPORTRANGE('Survey Progress'!$B$33, ""data!O2:O800""), ""*""&amp;G$2&amp;""*"")"),0.0)</f>
        <v>0</v>
      </c>
      <c r="H13" s="20">
        <f>IFERROR(__xludf.DUMMYFUNCTION("COUNTIFS(IMPORTRANGE('Survey Progress'!$B$33, ""data!B2:B800""), ""=""&amp;$A13, IMPORTRANGE('Survey Progress'!$B$33, ""data!O2:O800""), ""*""&amp;H$2&amp;""*"")"),0.0)</f>
        <v>0</v>
      </c>
      <c r="I13" s="20">
        <f>IFERROR(__xludf.DUMMYFUNCTION("COUNTIFS(IMPORTRANGE('Survey Progress'!$B$33, ""data!B2:B800""), ""=""&amp;$A13, IMPORTRANGE('Survey Progress'!$B$33, ""data!O2:O800""), ""*""&amp;I$2&amp;""*"")"),0.0)</f>
        <v>0</v>
      </c>
      <c r="J13" s="20">
        <f>IFERROR(__xludf.DUMMYFUNCTION("COUNTIFS(IMPORTRANGE('Survey Progress'!$B$33, ""data!B2:B800""), ""=""&amp;$A13, IMPORTRANGE('Survey Progress'!$B$33, ""data!O2:O800""), ""*""&amp;J$2&amp;""*"")"),0.0)</f>
        <v>0</v>
      </c>
      <c r="K13" s="20">
        <f>IFERROR(__xludf.DUMMYFUNCTION("COUNTIFS(IMPORTRANGE('Survey Progress'!$B$33, ""data!B2:B800""), ""=""&amp;$A13, IMPORTRANGE('Survey Progress'!$B$33, ""data!O2:O800""), ""*""&amp;K$2&amp;""*"")"),0.0)</f>
        <v>0</v>
      </c>
      <c r="L13" s="20">
        <f>IFERROR(__xludf.DUMMYFUNCTION("COUNTIFS(IMPORTRANGE('Survey Progress'!$B$33, ""data!B2:B800""), ""=""&amp;$A13, IMPORTRANGE('Survey Progress'!$B$33, ""data!O2:O800""), ""*""&amp;L$2&amp;""*"")"),0.0)</f>
        <v>0</v>
      </c>
      <c r="M13" s="20">
        <f>IFERROR(__xludf.DUMMYFUNCTION("COUNTIFS(IMPORTRANGE('Survey Progress'!$B$33, ""data!B2:B800""), ""=""&amp;$A13, IMPORTRANGE('Survey Progress'!$B$33, ""data!O2:O800""), ""*""&amp;M$2&amp;""*"")"),0.0)</f>
        <v>0</v>
      </c>
      <c r="N13" s="20">
        <f>IFERROR(__xludf.DUMMYFUNCTION("COUNTIFS(IMPORTRANGE('Survey Progress'!$B$33, ""data!B2:B800""), ""=""&amp;$A13, IMPORTRANGE('Survey Progress'!$B$33, ""data!O2:O800""), ""*""&amp;N$2&amp;""*"")"),0.0)</f>
        <v>0</v>
      </c>
      <c r="O13" s="20">
        <f>IFERROR(__xludf.DUMMYFUNCTION("COUNTIFS(IMPORTRANGE('Survey Progress'!$B$33, ""data!B2:B800""), ""=""&amp;$A13, IMPORTRANGE('Survey Progress'!$B$33, ""data!O2:O800""), ""*""&amp;O$2&amp;""*"")"),0.0)</f>
        <v>0</v>
      </c>
      <c r="P13" s="20">
        <f>IFERROR(__xludf.DUMMYFUNCTION("COUNTIFS(IMPORTRANGE('Survey Progress'!$B$33, ""data!B2:B800""), ""=""&amp;$A13, IMPORTRANGE('Survey Progress'!$B$33, ""data!O2:O800""), ""*""&amp;P$2&amp;""*"")"),0.0)</f>
        <v>0</v>
      </c>
      <c r="Q13" s="20">
        <f>IFERROR(__xludf.DUMMYFUNCTION("COUNTIFS(IMPORTRANGE('Survey Progress'!$B$33, ""data!B2:B800""), ""=""&amp;$A13, IMPORTRANGE('Survey Progress'!$B$33, ""data!O2:O800""), ""*""&amp;Q$2&amp;""*"")"),0.0)</f>
        <v>0</v>
      </c>
      <c r="R13" s="20">
        <f>IFERROR(__xludf.DUMMYFUNCTION("COUNTIFS(IMPORTRANGE('Survey Progress'!$B$33, ""data!B2:B800""), ""=""&amp;$A13, IMPORTRANGE('Survey Progress'!$B$33, ""data!O2:O800""), ""*""&amp;R$2&amp;""*"")"),0.0)</f>
        <v>0</v>
      </c>
      <c r="S13" s="20">
        <f>IFERROR(__xludf.DUMMYFUNCTION("COUNTIFS(IMPORTRANGE('Survey Progress'!$B$33, ""data!B2:B800""), ""=""&amp;$A13, IMPORTRANGE('Survey Progress'!$B$33, ""data!O2:O800""), ""*""&amp;S$2&amp;""*"")"),0.0)</f>
        <v>0</v>
      </c>
      <c r="T13" s="20">
        <f>IFERROR(__xludf.DUMMYFUNCTION("COUNTIFS(IMPORTRANGE('Survey Progress'!$B$33, ""data!B2:B800""), ""=""&amp;$A13, IMPORTRANGE('Survey Progress'!$B$33, ""data!O2:O800""), ""*""&amp;T$2&amp;""*"")"),0.0)</f>
        <v>0</v>
      </c>
    </row>
    <row r="14">
      <c r="A14" s="2" t="s">
        <v>44</v>
      </c>
      <c r="B14" s="17" t="s">
        <v>30</v>
      </c>
      <c r="C14" s="20">
        <f>IFERROR(__xludf.DUMMYFUNCTION("COUNTIFS(IMPORTRANGE('Survey Progress'!$B$34, ""data!B2:B800""), ""=""&amp;$A14, IMPORTRANGE('Survey Progress'!$B$34, ""data!O2:O800""), ""*""&amp;C$2&amp;""*"")"),0.0)</f>
        <v>0</v>
      </c>
      <c r="D14" s="20">
        <f>IFERROR(__xludf.DUMMYFUNCTION("COUNTIFS(IMPORTRANGE('Survey Progress'!$B$34, ""data!B2:B800""), ""=""&amp;$A14, IMPORTRANGE('Survey Progress'!$B$34, ""data!O2:O800""), ""*""&amp;D$2&amp;""*"")"),0.0)</f>
        <v>0</v>
      </c>
      <c r="E14" s="20">
        <f>IFERROR(__xludf.DUMMYFUNCTION("COUNTIFS(IMPORTRANGE('Survey Progress'!$B$34, ""data!B2:B800""), ""=""&amp;$A14, IMPORTRANGE('Survey Progress'!$B$34, ""data!O2:O800""), ""*""&amp;E$2&amp;""*"")"),0.0)</f>
        <v>0</v>
      </c>
      <c r="F14" s="20">
        <f>IFERROR(__xludf.DUMMYFUNCTION("COUNTIFS(IMPORTRANGE('Survey Progress'!$B$34, ""data!B2:B800""), ""=""&amp;$A14, IMPORTRANGE('Survey Progress'!$B$34, ""data!O2:O800""), ""*""&amp;F$2&amp;""*"")"),0.0)</f>
        <v>0</v>
      </c>
      <c r="G14" s="20">
        <f>IFERROR(__xludf.DUMMYFUNCTION("COUNTIFS(IMPORTRANGE('Survey Progress'!$B$34, ""data!B2:B800""), ""=""&amp;$A14, IMPORTRANGE('Survey Progress'!$B$34, ""data!O2:O800""), ""*""&amp;G$2&amp;""*"")"),0.0)</f>
        <v>0</v>
      </c>
      <c r="H14" s="20">
        <f>IFERROR(__xludf.DUMMYFUNCTION("COUNTIFS(IMPORTRANGE('Survey Progress'!$B$34, ""data!B2:B800""), ""=""&amp;$A14, IMPORTRANGE('Survey Progress'!$B$34, ""data!O2:O800""), ""*""&amp;H$2&amp;""*"")"),0.0)</f>
        <v>0</v>
      </c>
      <c r="I14" s="20">
        <f>IFERROR(__xludf.DUMMYFUNCTION("COUNTIFS(IMPORTRANGE('Survey Progress'!$B$34, ""data!B2:B800""), ""=""&amp;$A14, IMPORTRANGE('Survey Progress'!$B$34, ""data!O2:O800""), ""*""&amp;I$2&amp;""*"")"),0.0)</f>
        <v>0</v>
      </c>
      <c r="J14" s="20">
        <f>IFERROR(__xludf.DUMMYFUNCTION("COUNTIFS(IMPORTRANGE('Survey Progress'!$B$34, ""data!B2:B800""), ""=""&amp;$A14, IMPORTRANGE('Survey Progress'!$B$34, ""data!O2:O800""), ""*""&amp;J$2&amp;""*"")"),0.0)</f>
        <v>0</v>
      </c>
      <c r="K14" s="20">
        <f>IFERROR(__xludf.DUMMYFUNCTION("COUNTIFS(IMPORTRANGE('Survey Progress'!$B$34, ""data!B2:B800""), ""=""&amp;$A14, IMPORTRANGE('Survey Progress'!$B$34, ""data!O2:O800""), ""*""&amp;K$2&amp;""*"")"),0.0)</f>
        <v>0</v>
      </c>
      <c r="L14" s="20">
        <f>IFERROR(__xludf.DUMMYFUNCTION("COUNTIFS(IMPORTRANGE('Survey Progress'!$B$34, ""data!B2:B800""), ""=""&amp;$A14, IMPORTRANGE('Survey Progress'!$B$34, ""data!O2:O800""), ""*""&amp;L$2&amp;""*"")"),0.0)</f>
        <v>0</v>
      </c>
      <c r="M14" s="20">
        <f>IFERROR(__xludf.DUMMYFUNCTION("COUNTIFS(IMPORTRANGE('Survey Progress'!$B$34, ""data!B2:B800""), ""=""&amp;$A14, IMPORTRANGE('Survey Progress'!$B$34, ""data!O2:O800""), ""*""&amp;M$2&amp;""*"")"),0.0)</f>
        <v>0</v>
      </c>
      <c r="N14" s="20">
        <f>IFERROR(__xludf.DUMMYFUNCTION("COUNTIFS(IMPORTRANGE('Survey Progress'!$B$34, ""data!B2:B800""), ""=""&amp;$A14, IMPORTRANGE('Survey Progress'!$B$34, ""data!O2:O800""), ""*""&amp;N$2&amp;""*"")"),0.0)</f>
        <v>0</v>
      </c>
      <c r="O14" s="20">
        <f>IFERROR(__xludf.DUMMYFUNCTION("COUNTIFS(IMPORTRANGE('Survey Progress'!$B$34, ""data!B2:B800""), ""=""&amp;$A14, IMPORTRANGE('Survey Progress'!$B$34, ""data!O2:O800""), ""*""&amp;O$2&amp;""*"")"),0.0)</f>
        <v>0</v>
      </c>
      <c r="P14" s="20">
        <f>IFERROR(__xludf.DUMMYFUNCTION("COUNTIFS(IMPORTRANGE('Survey Progress'!$B$34, ""data!B2:B800""), ""=""&amp;$A14, IMPORTRANGE('Survey Progress'!$B$34, ""data!O2:O800""), ""*""&amp;P$2&amp;""*"")"),0.0)</f>
        <v>0</v>
      </c>
      <c r="Q14" s="20">
        <f>IFERROR(__xludf.DUMMYFUNCTION("COUNTIFS(IMPORTRANGE('Survey Progress'!$B$34, ""data!B2:B800""), ""=""&amp;$A14, IMPORTRANGE('Survey Progress'!$B$34, ""data!O2:O800""), ""*""&amp;Q$2&amp;""*"")"),0.0)</f>
        <v>0</v>
      </c>
      <c r="R14" s="20">
        <f>IFERROR(__xludf.DUMMYFUNCTION("COUNTIFS(IMPORTRANGE('Survey Progress'!$B$34, ""data!B2:B800""), ""=""&amp;$A14, IMPORTRANGE('Survey Progress'!$B$34, ""data!O2:O800""), ""*""&amp;R$2&amp;""*"")"),0.0)</f>
        <v>0</v>
      </c>
      <c r="S14" s="20">
        <f>IFERROR(__xludf.DUMMYFUNCTION("COUNTIFS(IMPORTRANGE('Survey Progress'!$B$34, ""data!B2:B800""), ""=""&amp;$A14, IMPORTRANGE('Survey Progress'!$B$34, ""data!O2:O800""), ""*""&amp;S$2&amp;""*"")"),0.0)</f>
        <v>0</v>
      </c>
      <c r="T14" s="20">
        <f>IFERROR(__xludf.DUMMYFUNCTION("COUNTIFS(IMPORTRANGE('Survey Progress'!$B$34, ""data!B2:B800""), ""=""&amp;$A14, IMPORTRANGE('Survey Progress'!$B$34, ""data!O2:O800""), ""*""&amp;T$2&amp;""*"")"),0.0)</f>
        <v>0</v>
      </c>
    </row>
    <row r="15">
      <c r="A15" s="25" t="s">
        <v>58</v>
      </c>
      <c r="B15" s="26" t="s">
        <v>18</v>
      </c>
      <c r="C15" s="31">
        <f>IFERROR(__xludf.DUMMYFUNCTION("COUNTIFS(IMPORTRANGE('Survey Progress'!$B$32, ""data!$B$2:$B$800""), ""=""&amp;$A15, IMPORTRANGE('Survey Progress'!$B$32, ""data!$S$2:$S$800""), ""*""&amp;C$2&amp;""*"")"),0.0)</f>
        <v>0</v>
      </c>
      <c r="D15" s="31">
        <f>IFERROR(__xludf.DUMMYFUNCTION("COUNTIFS(IMPORTRANGE('Survey Progress'!$B$32, ""data!$B$2:$B$800""), ""=""&amp;$A15, IMPORTRANGE('Survey Progress'!$B$32, ""data!$S$2:$S$800""), ""*""&amp;D$2&amp;""*"")"),0.0)</f>
        <v>0</v>
      </c>
      <c r="E15" s="31">
        <f>IFERROR(__xludf.DUMMYFUNCTION("COUNTIFS(IMPORTRANGE('Survey Progress'!$B$32, ""data!$B$2:$B$800""), ""=""&amp;$A15, IMPORTRANGE('Survey Progress'!$B$32, ""data!$S$2:$S$800""), ""*""&amp;E$2&amp;""*"")"),0.0)</f>
        <v>0</v>
      </c>
      <c r="F15" s="31">
        <f>IFERROR(__xludf.DUMMYFUNCTION("COUNTIFS(IMPORTRANGE('Survey Progress'!$B$32, ""data!$B$2:$B$800""), ""=""&amp;$A15, IMPORTRANGE('Survey Progress'!$B$32, ""data!$S$2:$S$800""), ""*""&amp;F$2&amp;""*"")"),0.0)</f>
        <v>0</v>
      </c>
      <c r="G15" s="31">
        <f>IFERROR(__xludf.DUMMYFUNCTION("COUNTIFS(IMPORTRANGE('Survey Progress'!$B$32, ""data!$B$2:$B$800""), ""=""&amp;$A15, IMPORTRANGE('Survey Progress'!$B$32, ""data!$S$2:$S$800""), ""*""&amp;G$2&amp;""*"")"),0.0)</f>
        <v>0</v>
      </c>
      <c r="H15" s="31">
        <f>IFERROR(__xludf.DUMMYFUNCTION("COUNTIFS(IMPORTRANGE('Survey Progress'!$B$32, ""data!$B$2:$B$800""), ""=""&amp;$A15, IMPORTRANGE('Survey Progress'!$B$32, ""data!$S$2:$S$800""), ""*""&amp;H$2&amp;""*"")"),0.0)</f>
        <v>0</v>
      </c>
      <c r="I15" s="31">
        <f>IFERROR(__xludf.DUMMYFUNCTION("COUNTIFS(IMPORTRANGE('Survey Progress'!$B$32, ""data!$B$2:$B$800""), ""=""&amp;$A15, IMPORTRANGE('Survey Progress'!$B$32, ""data!$S$2:$S$800""), ""*""&amp;I$2&amp;""*"")"),0.0)</f>
        <v>0</v>
      </c>
      <c r="J15" s="31">
        <f>IFERROR(__xludf.DUMMYFUNCTION("COUNTIFS(IMPORTRANGE('Survey Progress'!$B$32, ""data!$B$2:$B$800""), ""=""&amp;$A15, IMPORTRANGE('Survey Progress'!$B$32, ""data!$S$2:$S$800""), ""*""&amp;J$2&amp;""*"")"),0.0)</f>
        <v>0</v>
      </c>
      <c r="K15" s="31">
        <f>IFERROR(__xludf.DUMMYFUNCTION("COUNTIFS(IMPORTRANGE('Survey Progress'!$B$32, ""data!$B$2:$B$800""), ""=""&amp;$A15, IMPORTRANGE('Survey Progress'!$B$32, ""data!$S$2:$S$800""), ""*""&amp;K$2&amp;""*"")"),0.0)</f>
        <v>0</v>
      </c>
      <c r="L15" s="31">
        <f>IFERROR(__xludf.DUMMYFUNCTION("COUNTIFS(IMPORTRANGE('Survey Progress'!$B$32, ""data!$B$2:$B$800""), ""=""&amp;$A15, IMPORTRANGE('Survey Progress'!$B$32, ""data!$S$2:$S$800""), ""*""&amp;L$2&amp;""*"")"),0.0)</f>
        <v>0</v>
      </c>
      <c r="M15" s="31">
        <f>IFERROR(__xludf.DUMMYFUNCTION("COUNTIFS(IMPORTRANGE('Survey Progress'!$B$32, ""data!$B$2:$B$800""), ""=""&amp;$A15, IMPORTRANGE('Survey Progress'!$B$32, ""data!$S$2:$S$800""), ""*""&amp;M$2&amp;""*"")"),0.0)</f>
        <v>0</v>
      </c>
      <c r="N15" s="31">
        <f>IFERROR(__xludf.DUMMYFUNCTION("COUNTIFS(IMPORTRANGE('Survey Progress'!$B$32, ""data!$B$2:$B$800""), ""=""&amp;$A15, IMPORTRANGE('Survey Progress'!$B$32, ""data!$S$2:$S$800""), ""*""&amp;N$2&amp;""*"")"),0.0)</f>
        <v>0</v>
      </c>
      <c r="O15" s="31">
        <f>IFERROR(__xludf.DUMMYFUNCTION("COUNTIFS(IMPORTRANGE('Survey Progress'!$B$32, ""data!$B$2:$B$800""), ""=""&amp;$A15, IMPORTRANGE('Survey Progress'!$B$32, ""data!$S$2:$S$800""), ""*""&amp;O$2&amp;""*"")"),0.0)</f>
        <v>0</v>
      </c>
      <c r="P15" s="31">
        <f>IFERROR(__xludf.DUMMYFUNCTION("COUNTIFS(IMPORTRANGE('Survey Progress'!$B$32, ""data!$B$2:$B$800""), ""=""&amp;$A15, IMPORTRANGE('Survey Progress'!$B$32, ""data!$S$2:$S$800""), ""*""&amp;P$2&amp;""*"")"),0.0)</f>
        <v>0</v>
      </c>
      <c r="Q15" s="31">
        <f>IFERROR(__xludf.DUMMYFUNCTION("COUNTIFS(IMPORTRANGE('Survey Progress'!$B$32, ""data!$B$2:$B$800""), ""=""&amp;$A15, IMPORTRANGE('Survey Progress'!$B$32, ""data!$S$2:$S$800""), ""*""&amp;Q$2&amp;""*"")"),0.0)</f>
        <v>0</v>
      </c>
      <c r="R15" s="31">
        <f>IFERROR(__xludf.DUMMYFUNCTION("COUNTIFS(IMPORTRANGE('Survey Progress'!$B$32, ""data!$B$2:$B$800""), ""=""&amp;$A15, IMPORTRANGE('Survey Progress'!$B$32, ""data!$S$2:$S$800""), ""*""&amp;R$2&amp;""*"")"),0.0)</f>
        <v>0</v>
      </c>
      <c r="S15" s="31">
        <f>IFERROR(__xludf.DUMMYFUNCTION("COUNTIFS(IMPORTRANGE('Survey Progress'!$B$32, ""data!$B$2:$B$800""), ""=""&amp;$A15, IMPORTRANGE('Survey Progress'!$B$32, ""data!$S$2:$S$800""), ""*""&amp;S$2&amp;""*"")"),0.0)</f>
        <v>0</v>
      </c>
      <c r="T15" s="31">
        <f>IFERROR(__xludf.DUMMYFUNCTION("COUNTIFS(IMPORTRANGE('Survey Progress'!$B$32, ""data!$B$2:$B$800""), ""=""&amp;$A15, IMPORTRANGE('Survey Progress'!$B$32, ""data!$S$2:$S$800""), ""*""&amp;T$2&amp;""*"")"),0.0)</f>
        <v>0</v>
      </c>
      <c r="U15" s="33"/>
      <c r="V15" s="33"/>
      <c r="W15" s="33"/>
      <c r="X15" s="33"/>
      <c r="Y15" s="33"/>
      <c r="Z15" s="33"/>
    </row>
    <row r="16">
      <c r="A16" s="2" t="s">
        <v>58</v>
      </c>
      <c r="B16" s="17" t="s">
        <v>28</v>
      </c>
      <c r="C16" s="20">
        <f>IFERROR(__xludf.DUMMYFUNCTION("COUNTIFS(IMPORTRANGE('Survey Progress'!$B$33, ""data!B2:B800""), ""=""&amp;$A16, IMPORTRANGE('Survey Progress'!$B$33, ""data!O2:O800""), ""*""&amp;C$2&amp;""*"")"),0.0)</f>
        <v>0</v>
      </c>
      <c r="D16" s="20">
        <f>IFERROR(__xludf.DUMMYFUNCTION("COUNTIFS(IMPORTRANGE('Survey Progress'!$B$33, ""data!B2:B800""), ""=""&amp;$A16, IMPORTRANGE('Survey Progress'!$B$33, ""data!O2:O800""), ""*""&amp;D$2&amp;""*"")"),0.0)</f>
        <v>0</v>
      </c>
      <c r="E16" s="20">
        <f>IFERROR(__xludf.DUMMYFUNCTION("COUNTIFS(IMPORTRANGE('Survey Progress'!$B$33, ""data!B2:B800""), ""=""&amp;$A16, IMPORTRANGE('Survey Progress'!$B$33, ""data!O2:O800""), ""*""&amp;E$2&amp;""*"")"),0.0)</f>
        <v>0</v>
      </c>
      <c r="F16" s="20">
        <f>IFERROR(__xludf.DUMMYFUNCTION("COUNTIFS(IMPORTRANGE('Survey Progress'!$B$33, ""data!B2:B800""), ""=""&amp;$A16, IMPORTRANGE('Survey Progress'!$B$33, ""data!O2:O800""), ""*""&amp;F$2&amp;""*"")"),0.0)</f>
        <v>0</v>
      </c>
      <c r="G16" s="20">
        <f>IFERROR(__xludf.DUMMYFUNCTION("COUNTIFS(IMPORTRANGE('Survey Progress'!$B$33, ""data!B2:B800""), ""=""&amp;$A16, IMPORTRANGE('Survey Progress'!$B$33, ""data!O2:O800""), ""*""&amp;G$2&amp;""*"")"),0.0)</f>
        <v>0</v>
      </c>
      <c r="H16" s="20">
        <f>IFERROR(__xludf.DUMMYFUNCTION("COUNTIFS(IMPORTRANGE('Survey Progress'!$B$33, ""data!B2:B800""), ""=""&amp;$A16, IMPORTRANGE('Survey Progress'!$B$33, ""data!O2:O800""), ""*""&amp;H$2&amp;""*"")"),0.0)</f>
        <v>0</v>
      </c>
      <c r="I16" s="20">
        <f>IFERROR(__xludf.DUMMYFUNCTION("COUNTIFS(IMPORTRANGE('Survey Progress'!$B$33, ""data!B2:B800""), ""=""&amp;$A16, IMPORTRANGE('Survey Progress'!$B$33, ""data!O2:O800""), ""*""&amp;I$2&amp;""*"")"),0.0)</f>
        <v>0</v>
      </c>
      <c r="J16" s="20">
        <f>IFERROR(__xludf.DUMMYFUNCTION("COUNTIFS(IMPORTRANGE('Survey Progress'!$B$33, ""data!B2:B800""), ""=""&amp;$A16, IMPORTRANGE('Survey Progress'!$B$33, ""data!O2:O800""), ""*""&amp;J$2&amp;""*"")"),0.0)</f>
        <v>0</v>
      </c>
      <c r="K16" s="20">
        <f>IFERROR(__xludf.DUMMYFUNCTION("COUNTIFS(IMPORTRANGE('Survey Progress'!$B$33, ""data!B2:B800""), ""=""&amp;$A16, IMPORTRANGE('Survey Progress'!$B$33, ""data!O2:O800""), ""*""&amp;K$2&amp;""*"")"),0.0)</f>
        <v>0</v>
      </c>
      <c r="L16" s="20">
        <f>IFERROR(__xludf.DUMMYFUNCTION("COUNTIFS(IMPORTRANGE('Survey Progress'!$B$33, ""data!B2:B800""), ""=""&amp;$A16, IMPORTRANGE('Survey Progress'!$B$33, ""data!O2:O800""), ""*""&amp;L$2&amp;""*"")"),0.0)</f>
        <v>0</v>
      </c>
      <c r="M16" s="20">
        <f>IFERROR(__xludf.DUMMYFUNCTION("COUNTIFS(IMPORTRANGE('Survey Progress'!$B$33, ""data!B2:B800""), ""=""&amp;$A16, IMPORTRANGE('Survey Progress'!$B$33, ""data!O2:O800""), ""*""&amp;M$2&amp;""*"")"),0.0)</f>
        <v>0</v>
      </c>
      <c r="N16" s="20">
        <f>IFERROR(__xludf.DUMMYFUNCTION("COUNTIFS(IMPORTRANGE('Survey Progress'!$B$33, ""data!B2:B800""), ""=""&amp;$A16, IMPORTRANGE('Survey Progress'!$B$33, ""data!O2:O800""), ""*""&amp;N$2&amp;""*"")"),0.0)</f>
        <v>0</v>
      </c>
      <c r="O16" s="20">
        <f>IFERROR(__xludf.DUMMYFUNCTION("COUNTIFS(IMPORTRANGE('Survey Progress'!$B$33, ""data!B2:B800""), ""=""&amp;$A16, IMPORTRANGE('Survey Progress'!$B$33, ""data!O2:O800""), ""*""&amp;O$2&amp;""*"")"),0.0)</f>
        <v>0</v>
      </c>
      <c r="P16" s="20">
        <f>IFERROR(__xludf.DUMMYFUNCTION("COUNTIFS(IMPORTRANGE('Survey Progress'!$B$33, ""data!B2:B800""), ""=""&amp;$A16, IMPORTRANGE('Survey Progress'!$B$33, ""data!O2:O800""), ""*""&amp;P$2&amp;""*"")"),0.0)</f>
        <v>0</v>
      </c>
      <c r="Q16" s="20">
        <f>IFERROR(__xludf.DUMMYFUNCTION("COUNTIFS(IMPORTRANGE('Survey Progress'!$B$33, ""data!B2:B800""), ""=""&amp;$A16, IMPORTRANGE('Survey Progress'!$B$33, ""data!O2:O800""), ""*""&amp;Q$2&amp;""*"")"),0.0)</f>
        <v>0</v>
      </c>
      <c r="R16" s="20">
        <f>IFERROR(__xludf.DUMMYFUNCTION("COUNTIFS(IMPORTRANGE('Survey Progress'!$B$33, ""data!B2:B800""), ""=""&amp;$A16, IMPORTRANGE('Survey Progress'!$B$33, ""data!O2:O800""), ""*""&amp;R$2&amp;""*"")"),0.0)</f>
        <v>0</v>
      </c>
      <c r="S16" s="20">
        <f>IFERROR(__xludf.DUMMYFUNCTION("COUNTIFS(IMPORTRANGE('Survey Progress'!$B$33, ""data!B2:B800""), ""=""&amp;$A16, IMPORTRANGE('Survey Progress'!$B$33, ""data!O2:O800""), ""*""&amp;S$2&amp;""*"")"),0.0)</f>
        <v>0</v>
      </c>
      <c r="T16" s="20">
        <f>IFERROR(__xludf.DUMMYFUNCTION("COUNTIFS(IMPORTRANGE('Survey Progress'!$B$33, ""data!B2:B800""), ""=""&amp;$A16, IMPORTRANGE('Survey Progress'!$B$33, ""data!O2:O800""), ""*""&amp;T$2&amp;""*"")"),0.0)</f>
        <v>0</v>
      </c>
    </row>
    <row r="17">
      <c r="A17" s="2" t="s">
        <v>58</v>
      </c>
      <c r="B17" s="17" t="s">
        <v>30</v>
      </c>
      <c r="C17" s="20">
        <f>IFERROR(__xludf.DUMMYFUNCTION("COUNTIFS(IMPORTRANGE('Survey Progress'!$B$34, ""data!B2:B800""), ""=""&amp;$A17, IMPORTRANGE('Survey Progress'!$B$34, ""data!O2:O800""), ""*""&amp;C$2&amp;""*"")"),0.0)</f>
        <v>0</v>
      </c>
      <c r="D17" s="20">
        <f>IFERROR(__xludf.DUMMYFUNCTION("COUNTIFS(IMPORTRANGE('Survey Progress'!$B$34, ""data!B2:B800""), ""=""&amp;$A17, IMPORTRANGE('Survey Progress'!$B$34, ""data!O2:O800""), ""*""&amp;D$2&amp;""*"")"),0.0)</f>
        <v>0</v>
      </c>
      <c r="E17" s="20">
        <f>IFERROR(__xludf.DUMMYFUNCTION("COUNTIFS(IMPORTRANGE('Survey Progress'!$B$34, ""data!B2:B800""), ""=""&amp;$A17, IMPORTRANGE('Survey Progress'!$B$34, ""data!O2:O800""), ""*""&amp;E$2&amp;""*"")"),0.0)</f>
        <v>0</v>
      </c>
      <c r="F17" s="20">
        <f>IFERROR(__xludf.DUMMYFUNCTION("COUNTIFS(IMPORTRANGE('Survey Progress'!$B$34, ""data!B2:B800""), ""=""&amp;$A17, IMPORTRANGE('Survey Progress'!$B$34, ""data!O2:O800""), ""*""&amp;F$2&amp;""*"")"),0.0)</f>
        <v>0</v>
      </c>
      <c r="G17" s="20">
        <f>IFERROR(__xludf.DUMMYFUNCTION("COUNTIFS(IMPORTRANGE('Survey Progress'!$B$34, ""data!B2:B800""), ""=""&amp;$A17, IMPORTRANGE('Survey Progress'!$B$34, ""data!O2:O800""), ""*""&amp;G$2&amp;""*"")"),0.0)</f>
        <v>0</v>
      </c>
      <c r="H17" s="20">
        <f>IFERROR(__xludf.DUMMYFUNCTION("COUNTIFS(IMPORTRANGE('Survey Progress'!$B$34, ""data!B2:B800""), ""=""&amp;$A17, IMPORTRANGE('Survey Progress'!$B$34, ""data!O2:O800""), ""*""&amp;H$2&amp;""*"")"),0.0)</f>
        <v>0</v>
      </c>
      <c r="I17" s="20">
        <f>IFERROR(__xludf.DUMMYFUNCTION("COUNTIFS(IMPORTRANGE('Survey Progress'!$B$34, ""data!B2:B800""), ""=""&amp;$A17, IMPORTRANGE('Survey Progress'!$B$34, ""data!O2:O800""), ""*""&amp;I$2&amp;""*"")"),0.0)</f>
        <v>0</v>
      </c>
      <c r="J17" s="20">
        <f>IFERROR(__xludf.DUMMYFUNCTION("COUNTIFS(IMPORTRANGE('Survey Progress'!$B$34, ""data!B2:B800""), ""=""&amp;$A17, IMPORTRANGE('Survey Progress'!$B$34, ""data!O2:O800""), ""*""&amp;J$2&amp;""*"")"),0.0)</f>
        <v>0</v>
      </c>
      <c r="K17" s="20">
        <f>IFERROR(__xludf.DUMMYFUNCTION("COUNTIFS(IMPORTRANGE('Survey Progress'!$B$34, ""data!B2:B800""), ""=""&amp;$A17, IMPORTRANGE('Survey Progress'!$B$34, ""data!O2:O800""), ""*""&amp;K$2&amp;""*"")"),0.0)</f>
        <v>0</v>
      </c>
      <c r="L17" s="20">
        <f>IFERROR(__xludf.DUMMYFUNCTION("COUNTIFS(IMPORTRANGE('Survey Progress'!$B$34, ""data!B2:B800""), ""=""&amp;$A17, IMPORTRANGE('Survey Progress'!$B$34, ""data!O2:O800""), ""*""&amp;L$2&amp;""*"")"),0.0)</f>
        <v>0</v>
      </c>
      <c r="M17" s="20">
        <f>IFERROR(__xludf.DUMMYFUNCTION("COUNTIFS(IMPORTRANGE('Survey Progress'!$B$34, ""data!B2:B800""), ""=""&amp;$A17, IMPORTRANGE('Survey Progress'!$B$34, ""data!O2:O800""), ""*""&amp;M$2&amp;""*"")"),0.0)</f>
        <v>0</v>
      </c>
      <c r="N17" s="20">
        <f>IFERROR(__xludf.DUMMYFUNCTION("COUNTIFS(IMPORTRANGE('Survey Progress'!$B$34, ""data!B2:B800""), ""=""&amp;$A17, IMPORTRANGE('Survey Progress'!$B$34, ""data!O2:O800""), ""*""&amp;N$2&amp;""*"")"),0.0)</f>
        <v>0</v>
      </c>
      <c r="O17" s="20">
        <f>IFERROR(__xludf.DUMMYFUNCTION("COUNTIFS(IMPORTRANGE('Survey Progress'!$B$34, ""data!B2:B800""), ""=""&amp;$A17, IMPORTRANGE('Survey Progress'!$B$34, ""data!O2:O800""), ""*""&amp;O$2&amp;""*"")"),0.0)</f>
        <v>0</v>
      </c>
      <c r="P17" s="20">
        <f>IFERROR(__xludf.DUMMYFUNCTION("COUNTIFS(IMPORTRANGE('Survey Progress'!$B$34, ""data!B2:B800""), ""=""&amp;$A17, IMPORTRANGE('Survey Progress'!$B$34, ""data!O2:O800""), ""*""&amp;P$2&amp;""*"")"),0.0)</f>
        <v>0</v>
      </c>
      <c r="Q17" s="20">
        <f>IFERROR(__xludf.DUMMYFUNCTION("COUNTIFS(IMPORTRANGE('Survey Progress'!$B$34, ""data!B2:B800""), ""=""&amp;$A17, IMPORTRANGE('Survey Progress'!$B$34, ""data!O2:O800""), ""*""&amp;Q$2&amp;""*"")"),0.0)</f>
        <v>0</v>
      </c>
      <c r="R17" s="20">
        <f>IFERROR(__xludf.DUMMYFUNCTION("COUNTIFS(IMPORTRANGE('Survey Progress'!$B$34, ""data!B2:B800""), ""=""&amp;$A17, IMPORTRANGE('Survey Progress'!$B$34, ""data!O2:O800""), ""*""&amp;R$2&amp;""*"")"),0.0)</f>
        <v>0</v>
      </c>
      <c r="S17" s="20">
        <f>IFERROR(__xludf.DUMMYFUNCTION("COUNTIFS(IMPORTRANGE('Survey Progress'!$B$34, ""data!B2:B800""), ""=""&amp;$A17, IMPORTRANGE('Survey Progress'!$B$34, ""data!O2:O800""), ""*""&amp;S$2&amp;""*"")"),0.0)</f>
        <v>0</v>
      </c>
      <c r="T17" s="20">
        <f>IFERROR(__xludf.DUMMYFUNCTION("COUNTIFS(IMPORTRANGE('Survey Progress'!$B$34, ""data!B2:B800""), ""=""&amp;$A17, IMPORTRANGE('Survey Progress'!$B$34, ""data!O2:O800""), ""*""&amp;T$2&amp;""*"")"),0.0)</f>
        <v>0</v>
      </c>
    </row>
    <row r="18">
      <c r="A18" s="25" t="s">
        <v>66</v>
      </c>
      <c r="B18" s="26" t="s">
        <v>18</v>
      </c>
      <c r="C18" s="31">
        <f>IFERROR(__xludf.DUMMYFUNCTION("COUNTIFS(IMPORTRANGE('Survey Progress'!$B$32, ""data!$B$2:$B$800""), ""=""&amp;$A18, IMPORTRANGE('Survey Progress'!$B$32, ""data!$S$2:$S$800""), ""*""&amp;C$2&amp;""*"")"),0.0)</f>
        <v>0</v>
      </c>
      <c r="D18" s="31">
        <f>IFERROR(__xludf.DUMMYFUNCTION("COUNTIFS(IMPORTRANGE('Survey Progress'!$B$32, ""data!$B$2:$B$800""), ""=""&amp;$A18, IMPORTRANGE('Survey Progress'!$B$32, ""data!$S$2:$S$800""), ""*""&amp;D$2&amp;""*"")"),0.0)</f>
        <v>0</v>
      </c>
      <c r="E18" s="31">
        <f>IFERROR(__xludf.DUMMYFUNCTION("COUNTIFS(IMPORTRANGE('Survey Progress'!$B$32, ""data!$B$2:$B$800""), ""=""&amp;$A18, IMPORTRANGE('Survey Progress'!$B$32, ""data!$S$2:$S$800""), ""*""&amp;E$2&amp;""*"")"),0.0)</f>
        <v>0</v>
      </c>
      <c r="F18" s="31">
        <f>IFERROR(__xludf.DUMMYFUNCTION("COUNTIFS(IMPORTRANGE('Survey Progress'!$B$32, ""data!$B$2:$B$800""), ""=""&amp;$A18, IMPORTRANGE('Survey Progress'!$B$32, ""data!$S$2:$S$800""), ""*""&amp;F$2&amp;""*"")"),0.0)</f>
        <v>0</v>
      </c>
      <c r="G18" s="31">
        <f>IFERROR(__xludf.DUMMYFUNCTION("COUNTIFS(IMPORTRANGE('Survey Progress'!$B$32, ""data!$B$2:$B$800""), ""=""&amp;$A18, IMPORTRANGE('Survey Progress'!$B$32, ""data!$S$2:$S$800""), ""*""&amp;G$2&amp;""*"")"),0.0)</f>
        <v>0</v>
      </c>
      <c r="H18" s="31">
        <f>IFERROR(__xludf.DUMMYFUNCTION("COUNTIFS(IMPORTRANGE('Survey Progress'!$B$32, ""data!$B$2:$B$800""), ""=""&amp;$A18, IMPORTRANGE('Survey Progress'!$B$32, ""data!$S$2:$S$800""), ""*""&amp;H$2&amp;""*"")"),0.0)</f>
        <v>0</v>
      </c>
      <c r="I18" s="31">
        <f>IFERROR(__xludf.DUMMYFUNCTION("COUNTIFS(IMPORTRANGE('Survey Progress'!$B$32, ""data!$B$2:$B$800""), ""=""&amp;$A18, IMPORTRANGE('Survey Progress'!$B$32, ""data!$S$2:$S$800""), ""*""&amp;I$2&amp;""*"")"),0.0)</f>
        <v>0</v>
      </c>
      <c r="J18" s="31">
        <f>IFERROR(__xludf.DUMMYFUNCTION("COUNTIFS(IMPORTRANGE('Survey Progress'!$B$32, ""data!$B$2:$B$800""), ""=""&amp;$A18, IMPORTRANGE('Survey Progress'!$B$32, ""data!$S$2:$S$800""), ""*""&amp;J$2&amp;""*"")"),0.0)</f>
        <v>0</v>
      </c>
      <c r="K18" s="31">
        <f>IFERROR(__xludf.DUMMYFUNCTION("COUNTIFS(IMPORTRANGE('Survey Progress'!$B$32, ""data!$B$2:$B$800""), ""=""&amp;$A18, IMPORTRANGE('Survey Progress'!$B$32, ""data!$S$2:$S$800""), ""*""&amp;K$2&amp;""*"")"),0.0)</f>
        <v>0</v>
      </c>
      <c r="L18" s="31">
        <f>IFERROR(__xludf.DUMMYFUNCTION("COUNTIFS(IMPORTRANGE('Survey Progress'!$B$32, ""data!$B$2:$B$800""), ""=""&amp;$A18, IMPORTRANGE('Survey Progress'!$B$32, ""data!$S$2:$S$800""), ""*""&amp;L$2&amp;""*"")"),0.0)</f>
        <v>0</v>
      </c>
      <c r="M18" s="31">
        <f>IFERROR(__xludf.DUMMYFUNCTION("COUNTIFS(IMPORTRANGE('Survey Progress'!$B$32, ""data!$B$2:$B$800""), ""=""&amp;$A18, IMPORTRANGE('Survey Progress'!$B$32, ""data!$S$2:$S$800""), ""*""&amp;M$2&amp;""*"")"),0.0)</f>
        <v>0</v>
      </c>
      <c r="N18" s="31">
        <f>IFERROR(__xludf.DUMMYFUNCTION("COUNTIFS(IMPORTRANGE('Survey Progress'!$B$32, ""data!$B$2:$B$800""), ""=""&amp;$A18, IMPORTRANGE('Survey Progress'!$B$32, ""data!$S$2:$S$800""), ""*""&amp;N$2&amp;""*"")"),0.0)</f>
        <v>0</v>
      </c>
      <c r="O18" s="31">
        <f>IFERROR(__xludf.DUMMYFUNCTION("COUNTIFS(IMPORTRANGE('Survey Progress'!$B$32, ""data!$B$2:$B$800""), ""=""&amp;$A18, IMPORTRANGE('Survey Progress'!$B$32, ""data!$S$2:$S$800""), ""*""&amp;O$2&amp;""*"")"),0.0)</f>
        <v>0</v>
      </c>
      <c r="P18" s="31">
        <f>IFERROR(__xludf.DUMMYFUNCTION("COUNTIFS(IMPORTRANGE('Survey Progress'!$B$32, ""data!$B$2:$B$800""), ""=""&amp;$A18, IMPORTRANGE('Survey Progress'!$B$32, ""data!$S$2:$S$800""), ""*""&amp;P$2&amp;""*"")"),0.0)</f>
        <v>0</v>
      </c>
      <c r="Q18" s="31">
        <f>IFERROR(__xludf.DUMMYFUNCTION("COUNTIFS(IMPORTRANGE('Survey Progress'!$B$32, ""data!$B$2:$B$800""), ""=""&amp;$A18, IMPORTRANGE('Survey Progress'!$B$32, ""data!$S$2:$S$800""), ""*""&amp;Q$2&amp;""*"")"),0.0)</f>
        <v>0</v>
      </c>
      <c r="R18" s="31">
        <f>IFERROR(__xludf.DUMMYFUNCTION("COUNTIFS(IMPORTRANGE('Survey Progress'!$B$32, ""data!$B$2:$B$800""), ""=""&amp;$A18, IMPORTRANGE('Survey Progress'!$B$32, ""data!$S$2:$S$800""), ""*""&amp;R$2&amp;""*"")"),0.0)</f>
        <v>0</v>
      </c>
      <c r="S18" s="31">
        <f>IFERROR(__xludf.DUMMYFUNCTION("COUNTIFS(IMPORTRANGE('Survey Progress'!$B$32, ""data!$B$2:$B$800""), ""=""&amp;$A18, IMPORTRANGE('Survey Progress'!$B$32, ""data!$S$2:$S$800""), ""*""&amp;S$2&amp;""*"")"),0.0)</f>
        <v>0</v>
      </c>
      <c r="T18" s="31">
        <f>IFERROR(__xludf.DUMMYFUNCTION("COUNTIFS(IMPORTRANGE('Survey Progress'!$B$32, ""data!$B$2:$B$800""), ""=""&amp;$A18, IMPORTRANGE('Survey Progress'!$B$32, ""data!$S$2:$S$800""), ""*""&amp;T$2&amp;""*"")"),0.0)</f>
        <v>0</v>
      </c>
      <c r="U18" s="33"/>
      <c r="V18" s="33"/>
      <c r="W18" s="33"/>
      <c r="X18" s="33"/>
      <c r="Y18" s="33"/>
      <c r="Z18" s="33"/>
    </row>
    <row r="19">
      <c r="A19" s="2" t="s">
        <v>66</v>
      </c>
      <c r="B19" s="17" t="s">
        <v>28</v>
      </c>
      <c r="C19" s="20">
        <f>IFERROR(__xludf.DUMMYFUNCTION("COUNTIFS(IMPORTRANGE('Survey Progress'!$B$33, ""data!B2:B800""), ""=""&amp;$A19, IMPORTRANGE('Survey Progress'!$B$33, ""data!O2:O800""), ""*""&amp;C$2&amp;""*"")"),0.0)</f>
        <v>0</v>
      </c>
      <c r="D19" s="20">
        <f>IFERROR(__xludf.DUMMYFUNCTION("COUNTIFS(IMPORTRANGE('Survey Progress'!$B$33, ""data!B2:B800""), ""=""&amp;$A19, IMPORTRANGE('Survey Progress'!$B$33, ""data!O2:O800""), ""*""&amp;D$2&amp;""*"")"),0.0)</f>
        <v>0</v>
      </c>
      <c r="E19" s="20">
        <f>IFERROR(__xludf.DUMMYFUNCTION("COUNTIFS(IMPORTRANGE('Survey Progress'!$B$33, ""data!B2:B800""), ""=""&amp;$A19, IMPORTRANGE('Survey Progress'!$B$33, ""data!O2:O800""), ""*""&amp;E$2&amp;""*"")"),0.0)</f>
        <v>0</v>
      </c>
      <c r="F19" s="20">
        <f>IFERROR(__xludf.DUMMYFUNCTION("COUNTIFS(IMPORTRANGE('Survey Progress'!$B$33, ""data!B2:B800""), ""=""&amp;$A19, IMPORTRANGE('Survey Progress'!$B$33, ""data!O2:O800""), ""*""&amp;F$2&amp;""*"")"),0.0)</f>
        <v>0</v>
      </c>
      <c r="G19" s="20">
        <f>IFERROR(__xludf.DUMMYFUNCTION("COUNTIFS(IMPORTRANGE('Survey Progress'!$B$33, ""data!B2:B800""), ""=""&amp;$A19, IMPORTRANGE('Survey Progress'!$B$33, ""data!O2:O800""), ""*""&amp;G$2&amp;""*"")"),0.0)</f>
        <v>0</v>
      </c>
      <c r="H19" s="20">
        <f>IFERROR(__xludf.DUMMYFUNCTION("COUNTIFS(IMPORTRANGE('Survey Progress'!$B$33, ""data!B2:B800""), ""=""&amp;$A19, IMPORTRANGE('Survey Progress'!$B$33, ""data!O2:O800""), ""*""&amp;H$2&amp;""*"")"),0.0)</f>
        <v>0</v>
      </c>
      <c r="I19" s="20">
        <f>IFERROR(__xludf.DUMMYFUNCTION("COUNTIFS(IMPORTRANGE('Survey Progress'!$B$33, ""data!B2:B800""), ""=""&amp;$A19, IMPORTRANGE('Survey Progress'!$B$33, ""data!O2:O800""), ""*""&amp;I$2&amp;""*"")"),0.0)</f>
        <v>0</v>
      </c>
      <c r="J19" s="20">
        <f>IFERROR(__xludf.DUMMYFUNCTION("COUNTIFS(IMPORTRANGE('Survey Progress'!$B$33, ""data!B2:B800""), ""=""&amp;$A19, IMPORTRANGE('Survey Progress'!$B$33, ""data!O2:O800""), ""*""&amp;J$2&amp;""*"")"),0.0)</f>
        <v>0</v>
      </c>
      <c r="K19" s="20">
        <f>IFERROR(__xludf.DUMMYFUNCTION("COUNTIFS(IMPORTRANGE('Survey Progress'!$B$33, ""data!B2:B800""), ""=""&amp;$A19, IMPORTRANGE('Survey Progress'!$B$33, ""data!O2:O800""), ""*""&amp;K$2&amp;""*"")"),0.0)</f>
        <v>0</v>
      </c>
      <c r="L19" s="20">
        <f>IFERROR(__xludf.DUMMYFUNCTION("COUNTIFS(IMPORTRANGE('Survey Progress'!$B$33, ""data!B2:B800""), ""=""&amp;$A19, IMPORTRANGE('Survey Progress'!$B$33, ""data!O2:O800""), ""*""&amp;L$2&amp;""*"")"),0.0)</f>
        <v>0</v>
      </c>
      <c r="M19" s="20">
        <f>IFERROR(__xludf.DUMMYFUNCTION("COUNTIFS(IMPORTRANGE('Survey Progress'!$B$33, ""data!B2:B800""), ""=""&amp;$A19, IMPORTRANGE('Survey Progress'!$B$33, ""data!O2:O800""), ""*""&amp;M$2&amp;""*"")"),0.0)</f>
        <v>0</v>
      </c>
      <c r="N19" s="20">
        <f>IFERROR(__xludf.DUMMYFUNCTION("COUNTIFS(IMPORTRANGE('Survey Progress'!$B$33, ""data!B2:B800""), ""=""&amp;$A19, IMPORTRANGE('Survey Progress'!$B$33, ""data!O2:O800""), ""*""&amp;N$2&amp;""*"")"),0.0)</f>
        <v>0</v>
      </c>
      <c r="O19" s="20">
        <f>IFERROR(__xludf.DUMMYFUNCTION("COUNTIFS(IMPORTRANGE('Survey Progress'!$B$33, ""data!B2:B800""), ""=""&amp;$A19, IMPORTRANGE('Survey Progress'!$B$33, ""data!O2:O800""), ""*""&amp;O$2&amp;""*"")"),0.0)</f>
        <v>0</v>
      </c>
      <c r="P19" s="20">
        <f>IFERROR(__xludf.DUMMYFUNCTION("COUNTIFS(IMPORTRANGE('Survey Progress'!$B$33, ""data!B2:B800""), ""=""&amp;$A19, IMPORTRANGE('Survey Progress'!$B$33, ""data!O2:O800""), ""*""&amp;P$2&amp;""*"")"),0.0)</f>
        <v>0</v>
      </c>
      <c r="Q19" s="20">
        <f>IFERROR(__xludf.DUMMYFUNCTION("COUNTIFS(IMPORTRANGE('Survey Progress'!$B$33, ""data!B2:B800""), ""=""&amp;$A19, IMPORTRANGE('Survey Progress'!$B$33, ""data!O2:O800""), ""*""&amp;Q$2&amp;""*"")"),0.0)</f>
        <v>0</v>
      </c>
      <c r="R19" s="20">
        <f>IFERROR(__xludf.DUMMYFUNCTION("COUNTIFS(IMPORTRANGE('Survey Progress'!$B$33, ""data!B2:B800""), ""=""&amp;$A19, IMPORTRANGE('Survey Progress'!$B$33, ""data!O2:O800""), ""*""&amp;R$2&amp;""*"")"),0.0)</f>
        <v>0</v>
      </c>
      <c r="S19" s="20">
        <f>IFERROR(__xludf.DUMMYFUNCTION("COUNTIFS(IMPORTRANGE('Survey Progress'!$B$33, ""data!B2:B800""), ""=""&amp;$A19, IMPORTRANGE('Survey Progress'!$B$33, ""data!O2:O800""), ""*""&amp;S$2&amp;""*"")"),0.0)</f>
        <v>0</v>
      </c>
      <c r="T19" s="20">
        <f>IFERROR(__xludf.DUMMYFUNCTION("COUNTIFS(IMPORTRANGE('Survey Progress'!$B$33, ""data!B2:B800""), ""=""&amp;$A19, IMPORTRANGE('Survey Progress'!$B$33, ""data!O2:O800""), ""*""&amp;T$2&amp;""*"")"),0.0)</f>
        <v>0</v>
      </c>
    </row>
    <row r="20">
      <c r="A20" s="2" t="s">
        <v>66</v>
      </c>
      <c r="B20" s="17" t="s">
        <v>30</v>
      </c>
      <c r="C20" s="20">
        <f>IFERROR(__xludf.DUMMYFUNCTION("COUNTIFS(IMPORTRANGE('Survey Progress'!$B$34, ""data!B2:B800""), ""=""&amp;$A20, IMPORTRANGE('Survey Progress'!$B$34, ""data!O2:O800""), ""*""&amp;C$2&amp;""*"")"),0.0)</f>
        <v>0</v>
      </c>
      <c r="D20" s="20">
        <f>IFERROR(__xludf.DUMMYFUNCTION("COUNTIFS(IMPORTRANGE('Survey Progress'!$B$34, ""data!B2:B800""), ""=""&amp;$A20, IMPORTRANGE('Survey Progress'!$B$34, ""data!O2:O800""), ""*""&amp;D$2&amp;""*"")"),0.0)</f>
        <v>0</v>
      </c>
      <c r="E20" s="20">
        <f>IFERROR(__xludf.DUMMYFUNCTION("COUNTIFS(IMPORTRANGE('Survey Progress'!$B$34, ""data!B2:B800""), ""=""&amp;$A20, IMPORTRANGE('Survey Progress'!$B$34, ""data!O2:O800""), ""*""&amp;E$2&amp;""*"")"),0.0)</f>
        <v>0</v>
      </c>
      <c r="F20" s="20">
        <f>IFERROR(__xludf.DUMMYFUNCTION("COUNTIFS(IMPORTRANGE('Survey Progress'!$B$34, ""data!B2:B800""), ""=""&amp;$A20, IMPORTRANGE('Survey Progress'!$B$34, ""data!O2:O800""), ""*""&amp;F$2&amp;""*"")"),0.0)</f>
        <v>0</v>
      </c>
      <c r="G20" s="20">
        <f>IFERROR(__xludf.DUMMYFUNCTION("COUNTIFS(IMPORTRANGE('Survey Progress'!$B$34, ""data!B2:B800""), ""=""&amp;$A20, IMPORTRANGE('Survey Progress'!$B$34, ""data!O2:O800""), ""*""&amp;G$2&amp;""*"")"),0.0)</f>
        <v>0</v>
      </c>
      <c r="H20" s="20">
        <f>IFERROR(__xludf.DUMMYFUNCTION("COUNTIFS(IMPORTRANGE('Survey Progress'!$B$34, ""data!B2:B800""), ""=""&amp;$A20, IMPORTRANGE('Survey Progress'!$B$34, ""data!O2:O800""), ""*""&amp;H$2&amp;""*"")"),0.0)</f>
        <v>0</v>
      </c>
      <c r="I20" s="20">
        <f>IFERROR(__xludf.DUMMYFUNCTION("COUNTIFS(IMPORTRANGE('Survey Progress'!$B$34, ""data!B2:B800""), ""=""&amp;$A20, IMPORTRANGE('Survey Progress'!$B$34, ""data!O2:O800""), ""*""&amp;I$2&amp;""*"")"),0.0)</f>
        <v>0</v>
      </c>
      <c r="J20" s="20">
        <f>IFERROR(__xludf.DUMMYFUNCTION("COUNTIFS(IMPORTRANGE('Survey Progress'!$B$34, ""data!B2:B800""), ""=""&amp;$A20, IMPORTRANGE('Survey Progress'!$B$34, ""data!O2:O800""), ""*""&amp;J$2&amp;""*"")"),0.0)</f>
        <v>0</v>
      </c>
      <c r="K20" s="20">
        <f>IFERROR(__xludf.DUMMYFUNCTION("COUNTIFS(IMPORTRANGE('Survey Progress'!$B$34, ""data!B2:B800""), ""=""&amp;$A20, IMPORTRANGE('Survey Progress'!$B$34, ""data!O2:O800""), ""*""&amp;K$2&amp;""*"")"),0.0)</f>
        <v>0</v>
      </c>
      <c r="L20" s="20">
        <f>IFERROR(__xludf.DUMMYFUNCTION("COUNTIFS(IMPORTRANGE('Survey Progress'!$B$34, ""data!B2:B800""), ""=""&amp;$A20, IMPORTRANGE('Survey Progress'!$B$34, ""data!O2:O800""), ""*""&amp;L$2&amp;""*"")"),0.0)</f>
        <v>0</v>
      </c>
      <c r="M20" s="20">
        <f>IFERROR(__xludf.DUMMYFUNCTION("COUNTIFS(IMPORTRANGE('Survey Progress'!$B$34, ""data!B2:B800""), ""=""&amp;$A20, IMPORTRANGE('Survey Progress'!$B$34, ""data!O2:O800""), ""*""&amp;M$2&amp;""*"")"),0.0)</f>
        <v>0</v>
      </c>
      <c r="N20" s="20">
        <f>IFERROR(__xludf.DUMMYFUNCTION("COUNTIFS(IMPORTRANGE('Survey Progress'!$B$34, ""data!B2:B800""), ""=""&amp;$A20, IMPORTRANGE('Survey Progress'!$B$34, ""data!O2:O800""), ""*""&amp;N$2&amp;""*"")"),0.0)</f>
        <v>0</v>
      </c>
      <c r="O20" s="20">
        <f>IFERROR(__xludf.DUMMYFUNCTION("COUNTIFS(IMPORTRANGE('Survey Progress'!$B$34, ""data!B2:B800""), ""=""&amp;$A20, IMPORTRANGE('Survey Progress'!$B$34, ""data!O2:O800""), ""*""&amp;O$2&amp;""*"")"),0.0)</f>
        <v>0</v>
      </c>
      <c r="P20" s="20">
        <f>IFERROR(__xludf.DUMMYFUNCTION("COUNTIFS(IMPORTRANGE('Survey Progress'!$B$34, ""data!B2:B800""), ""=""&amp;$A20, IMPORTRANGE('Survey Progress'!$B$34, ""data!O2:O800""), ""*""&amp;P$2&amp;""*"")"),0.0)</f>
        <v>0</v>
      </c>
      <c r="Q20" s="20">
        <f>IFERROR(__xludf.DUMMYFUNCTION("COUNTIFS(IMPORTRANGE('Survey Progress'!$B$34, ""data!B2:B800""), ""=""&amp;$A20, IMPORTRANGE('Survey Progress'!$B$34, ""data!O2:O800""), ""*""&amp;Q$2&amp;""*"")"),0.0)</f>
        <v>0</v>
      </c>
      <c r="R20" s="20">
        <f>IFERROR(__xludf.DUMMYFUNCTION("COUNTIFS(IMPORTRANGE('Survey Progress'!$B$34, ""data!B2:B800""), ""=""&amp;$A20, IMPORTRANGE('Survey Progress'!$B$34, ""data!O2:O800""), ""*""&amp;R$2&amp;""*"")"),0.0)</f>
        <v>0</v>
      </c>
      <c r="S20" s="20">
        <f>IFERROR(__xludf.DUMMYFUNCTION("COUNTIFS(IMPORTRANGE('Survey Progress'!$B$34, ""data!B2:B800""), ""=""&amp;$A20, IMPORTRANGE('Survey Progress'!$B$34, ""data!O2:O800""), ""*""&amp;S$2&amp;""*"")"),0.0)</f>
        <v>0</v>
      </c>
      <c r="T20" s="20">
        <f>IFERROR(__xludf.DUMMYFUNCTION("COUNTIFS(IMPORTRANGE('Survey Progress'!$B$34, ""data!B2:B800""), ""=""&amp;$A20, IMPORTRANGE('Survey Progress'!$B$34, ""data!O2:O800""), ""*""&amp;T$2&amp;""*"")"),0.0)</f>
        <v>0</v>
      </c>
    </row>
    <row r="21">
      <c r="A21" s="25" t="s">
        <v>67</v>
      </c>
      <c r="B21" s="26" t="s">
        <v>18</v>
      </c>
      <c r="C21" s="31">
        <f>IFERROR(__xludf.DUMMYFUNCTION("COUNTIFS(IMPORTRANGE('Survey Progress'!$B$32, ""data!$B$2:$B$800""), ""=""&amp;$A21, IMPORTRANGE('Survey Progress'!$B$32, ""data!$S$2:$S$800""), ""*""&amp;C$2&amp;""*"")"),0.0)</f>
        <v>0</v>
      </c>
      <c r="D21" s="31">
        <f>IFERROR(__xludf.DUMMYFUNCTION("COUNTIFS(IMPORTRANGE('Survey Progress'!$B$32, ""data!$B$2:$B$800""), ""=""&amp;$A21, IMPORTRANGE('Survey Progress'!$B$32, ""data!$S$2:$S$800""), ""*""&amp;D$2&amp;""*"")"),0.0)</f>
        <v>0</v>
      </c>
      <c r="E21" s="31">
        <f>IFERROR(__xludf.DUMMYFUNCTION("COUNTIFS(IMPORTRANGE('Survey Progress'!$B$32, ""data!$B$2:$B$800""), ""=""&amp;$A21, IMPORTRANGE('Survey Progress'!$B$32, ""data!$S$2:$S$800""), ""*""&amp;E$2&amp;""*"")"),0.0)</f>
        <v>0</v>
      </c>
      <c r="F21" s="31">
        <f>IFERROR(__xludf.DUMMYFUNCTION("COUNTIFS(IMPORTRANGE('Survey Progress'!$B$32, ""data!$B$2:$B$800""), ""=""&amp;$A21, IMPORTRANGE('Survey Progress'!$B$32, ""data!$S$2:$S$800""), ""*""&amp;F$2&amp;""*"")"),0.0)</f>
        <v>0</v>
      </c>
      <c r="G21" s="31">
        <f>IFERROR(__xludf.DUMMYFUNCTION("COUNTIFS(IMPORTRANGE('Survey Progress'!$B$32, ""data!$B$2:$B$800""), ""=""&amp;$A21, IMPORTRANGE('Survey Progress'!$B$32, ""data!$S$2:$S$800""), ""*""&amp;G$2&amp;""*"")"),0.0)</f>
        <v>0</v>
      </c>
      <c r="H21" s="31">
        <f>IFERROR(__xludf.DUMMYFUNCTION("COUNTIFS(IMPORTRANGE('Survey Progress'!$B$32, ""data!$B$2:$B$800""), ""=""&amp;$A21, IMPORTRANGE('Survey Progress'!$B$32, ""data!$S$2:$S$800""), ""*""&amp;H$2&amp;""*"")"),0.0)</f>
        <v>0</v>
      </c>
      <c r="I21" s="31">
        <f>IFERROR(__xludf.DUMMYFUNCTION("COUNTIFS(IMPORTRANGE('Survey Progress'!$B$32, ""data!$B$2:$B$800""), ""=""&amp;$A21, IMPORTRANGE('Survey Progress'!$B$32, ""data!$S$2:$S$800""), ""*""&amp;I$2&amp;""*"")"),0.0)</f>
        <v>0</v>
      </c>
      <c r="J21" s="31">
        <f>IFERROR(__xludf.DUMMYFUNCTION("COUNTIFS(IMPORTRANGE('Survey Progress'!$B$32, ""data!$B$2:$B$800""), ""=""&amp;$A21, IMPORTRANGE('Survey Progress'!$B$32, ""data!$S$2:$S$800""), ""*""&amp;J$2&amp;""*"")"),0.0)</f>
        <v>0</v>
      </c>
      <c r="K21" s="31">
        <f>IFERROR(__xludf.DUMMYFUNCTION("COUNTIFS(IMPORTRANGE('Survey Progress'!$B$32, ""data!$B$2:$B$800""), ""=""&amp;$A21, IMPORTRANGE('Survey Progress'!$B$32, ""data!$S$2:$S$800""), ""*""&amp;K$2&amp;""*"")"),0.0)</f>
        <v>0</v>
      </c>
      <c r="L21" s="31">
        <f>IFERROR(__xludf.DUMMYFUNCTION("COUNTIFS(IMPORTRANGE('Survey Progress'!$B$32, ""data!$B$2:$B$800""), ""=""&amp;$A21, IMPORTRANGE('Survey Progress'!$B$32, ""data!$S$2:$S$800""), ""*""&amp;L$2&amp;""*"")"),0.0)</f>
        <v>0</v>
      </c>
      <c r="M21" s="31">
        <f>IFERROR(__xludf.DUMMYFUNCTION("COUNTIFS(IMPORTRANGE('Survey Progress'!$B$32, ""data!$B$2:$B$800""), ""=""&amp;$A21, IMPORTRANGE('Survey Progress'!$B$32, ""data!$S$2:$S$800""), ""*""&amp;M$2&amp;""*"")"),0.0)</f>
        <v>0</v>
      </c>
      <c r="N21" s="31">
        <f>IFERROR(__xludf.DUMMYFUNCTION("COUNTIFS(IMPORTRANGE('Survey Progress'!$B$32, ""data!$B$2:$B$800""), ""=""&amp;$A21, IMPORTRANGE('Survey Progress'!$B$32, ""data!$S$2:$S$800""), ""*""&amp;N$2&amp;""*"")"),0.0)</f>
        <v>0</v>
      </c>
      <c r="O21" s="31">
        <f>IFERROR(__xludf.DUMMYFUNCTION("COUNTIFS(IMPORTRANGE('Survey Progress'!$B$32, ""data!$B$2:$B$800""), ""=""&amp;$A21, IMPORTRANGE('Survey Progress'!$B$32, ""data!$S$2:$S$800""), ""*""&amp;O$2&amp;""*"")"),0.0)</f>
        <v>0</v>
      </c>
      <c r="P21" s="31">
        <f>IFERROR(__xludf.DUMMYFUNCTION("COUNTIFS(IMPORTRANGE('Survey Progress'!$B$32, ""data!$B$2:$B$800""), ""=""&amp;$A21, IMPORTRANGE('Survey Progress'!$B$32, ""data!$S$2:$S$800""), ""*""&amp;P$2&amp;""*"")"),0.0)</f>
        <v>0</v>
      </c>
      <c r="Q21" s="31">
        <f>IFERROR(__xludf.DUMMYFUNCTION("COUNTIFS(IMPORTRANGE('Survey Progress'!$B$32, ""data!$B$2:$B$800""), ""=""&amp;$A21, IMPORTRANGE('Survey Progress'!$B$32, ""data!$S$2:$S$800""), ""*""&amp;Q$2&amp;""*"")"),0.0)</f>
        <v>0</v>
      </c>
      <c r="R21" s="31">
        <f>IFERROR(__xludf.DUMMYFUNCTION("COUNTIFS(IMPORTRANGE('Survey Progress'!$B$32, ""data!$B$2:$B$800""), ""=""&amp;$A21, IMPORTRANGE('Survey Progress'!$B$32, ""data!$S$2:$S$800""), ""*""&amp;R$2&amp;""*"")"),0.0)</f>
        <v>0</v>
      </c>
      <c r="S21" s="31">
        <f>IFERROR(__xludf.DUMMYFUNCTION("COUNTIFS(IMPORTRANGE('Survey Progress'!$B$32, ""data!$B$2:$B$800""), ""=""&amp;$A21, IMPORTRANGE('Survey Progress'!$B$32, ""data!$S$2:$S$800""), ""*""&amp;S$2&amp;""*"")"),0.0)</f>
        <v>0</v>
      </c>
      <c r="T21" s="31">
        <f>IFERROR(__xludf.DUMMYFUNCTION("COUNTIFS(IMPORTRANGE('Survey Progress'!$B$32, ""data!$B$2:$B$800""), ""=""&amp;$A21, IMPORTRANGE('Survey Progress'!$B$32, ""data!$S$2:$S$800""), ""*""&amp;T$2&amp;""*"")"),0.0)</f>
        <v>0</v>
      </c>
      <c r="U21" s="33"/>
      <c r="V21" s="33"/>
      <c r="W21" s="33"/>
      <c r="X21" s="33"/>
      <c r="Y21" s="33"/>
      <c r="Z21" s="33"/>
    </row>
    <row r="22">
      <c r="A22" s="2" t="s">
        <v>67</v>
      </c>
      <c r="B22" s="17" t="s">
        <v>28</v>
      </c>
      <c r="C22" s="20">
        <f>IFERROR(__xludf.DUMMYFUNCTION("COUNTIFS(IMPORTRANGE('Survey Progress'!$B$33, ""data!B2:B800""), ""=""&amp;$A22, IMPORTRANGE('Survey Progress'!$B$33, ""data!O2:O800""), ""*""&amp;C$2&amp;""*"")"),0.0)</f>
        <v>0</v>
      </c>
      <c r="D22" s="20">
        <f>IFERROR(__xludf.DUMMYFUNCTION("COUNTIFS(IMPORTRANGE('Survey Progress'!$B$33, ""data!B2:B800""), ""=""&amp;$A22, IMPORTRANGE('Survey Progress'!$B$33, ""data!O2:O800""), ""*""&amp;D$2&amp;""*"")"),0.0)</f>
        <v>0</v>
      </c>
      <c r="E22" s="20">
        <f>IFERROR(__xludf.DUMMYFUNCTION("COUNTIFS(IMPORTRANGE('Survey Progress'!$B$33, ""data!B2:B800""), ""=""&amp;$A22, IMPORTRANGE('Survey Progress'!$B$33, ""data!O2:O800""), ""*""&amp;E$2&amp;""*"")"),0.0)</f>
        <v>0</v>
      </c>
      <c r="F22" s="20">
        <f>IFERROR(__xludf.DUMMYFUNCTION("COUNTIFS(IMPORTRANGE('Survey Progress'!$B$33, ""data!B2:B800""), ""=""&amp;$A22, IMPORTRANGE('Survey Progress'!$B$33, ""data!O2:O800""), ""*""&amp;F$2&amp;""*"")"),0.0)</f>
        <v>0</v>
      </c>
      <c r="G22" s="20">
        <f>IFERROR(__xludf.DUMMYFUNCTION("COUNTIFS(IMPORTRANGE('Survey Progress'!$B$33, ""data!B2:B800""), ""=""&amp;$A22, IMPORTRANGE('Survey Progress'!$B$33, ""data!O2:O800""), ""*""&amp;G$2&amp;""*"")"),0.0)</f>
        <v>0</v>
      </c>
      <c r="H22" s="20">
        <f>IFERROR(__xludf.DUMMYFUNCTION("COUNTIFS(IMPORTRANGE('Survey Progress'!$B$33, ""data!B2:B800""), ""=""&amp;$A22, IMPORTRANGE('Survey Progress'!$B$33, ""data!O2:O800""), ""*""&amp;H$2&amp;""*"")"),0.0)</f>
        <v>0</v>
      </c>
      <c r="I22" s="20">
        <f>IFERROR(__xludf.DUMMYFUNCTION("COUNTIFS(IMPORTRANGE('Survey Progress'!$B$33, ""data!B2:B800""), ""=""&amp;$A22, IMPORTRANGE('Survey Progress'!$B$33, ""data!O2:O800""), ""*""&amp;I$2&amp;""*"")"),0.0)</f>
        <v>0</v>
      </c>
      <c r="J22" s="20">
        <f>IFERROR(__xludf.DUMMYFUNCTION("COUNTIFS(IMPORTRANGE('Survey Progress'!$B$33, ""data!B2:B800""), ""=""&amp;$A22, IMPORTRANGE('Survey Progress'!$B$33, ""data!O2:O800""), ""*""&amp;J$2&amp;""*"")"),0.0)</f>
        <v>0</v>
      </c>
      <c r="K22" s="20">
        <f>IFERROR(__xludf.DUMMYFUNCTION("COUNTIFS(IMPORTRANGE('Survey Progress'!$B$33, ""data!B2:B800""), ""=""&amp;$A22, IMPORTRANGE('Survey Progress'!$B$33, ""data!O2:O800""), ""*""&amp;K$2&amp;""*"")"),0.0)</f>
        <v>0</v>
      </c>
      <c r="L22" s="20">
        <f>IFERROR(__xludf.DUMMYFUNCTION("COUNTIFS(IMPORTRANGE('Survey Progress'!$B$33, ""data!B2:B800""), ""=""&amp;$A22, IMPORTRANGE('Survey Progress'!$B$33, ""data!O2:O800""), ""*""&amp;L$2&amp;""*"")"),0.0)</f>
        <v>0</v>
      </c>
      <c r="M22" s="20">
        <f>IFERROR(__xludf.DUMMYFUNCTION("COUNTIFS(IMPORTRANGE('Survey Progress'!$B$33, ""data!B2:B800""), ""=""&amp;$A22, IMPORTRANGE('Survey Progress'!$B$33, ""data!O2:O800""), ""*""&amp;M$2&amp;""*"")"),0.0)</f>
        <v>0</v>
      </c>
      <c r="N22" s="20">
        <f>IFERROR(__xludf.DUMMYFUNCTION("COUNTIFS(IMPORTRANGE('Survey Progress'!$B$33, ""data!B2:B800""), ""=""&amp;$A22, IMPORTRANGE('Survey Progress'!$B$33, ""data!O2:O800""), ""*""&amp;N$2&amp;""*"")"),0.0)</f>
        <v>0</v>
      </c>
      <c r="O22" s="20">
        <f>IFERROR(__xludf.DUMMYFUNCTION("COUNTIFS(IMPORTRANGE('Survey Progress'!$B$33, ""data!B2:B800""), ""=""&amp;$A22, IMPORTRANGE('Survey Progress'!$B$33, ""data!O2:O800""), ""*""&amp;O$2&amp;""*"")"),0.0)</f>
        <v>0</v>
      </c>
      <c r="P22" s="20">
        <f>IFERROR(__xludf.DUMMYFUNCTION("COUNTIFS(IMPORTRANGE('Survey Progress'!$B$33, ""data!B2:B800""), ""=""&amp;$A22, IMPORTRANGE('Survey Progress'!$B$33, ""data!O2:O800""), ""*""&amp;P$2&amp;""*"")"),0.0)</f>
        <v>0</v>
      </c>
      <c r="Q22" s="20">
        <f>IFERROR(__xludf.DUMMYFUNCTION("COUNTIFS(IMPORTRANGE('Survey Progress'!$B$33, ""data!B2:B800""), ""=""&amp;$A22, IMPORTRANGE('Survey Progress'!$B$33, ""data!O2:O800""), ""*""&amp;Q$2&amp;""*"")"),0.0)</f>
        <v>0</v>
      </c>
      <c r="R22" s="20">
        <f>IFERROR(__xludf.DUMMYFUNCTION("COUNTIFS(IMPORTRANGE('Survey Progress'!$B$33, ""data!B2:B800""), ""=""&amp;$A22, IMPORTRANGE('Survey Progress'!$B$33, ""data!O2:O800""), ""*""&amp;R$2&amp;""*"")"),0.0)</f>
        <v>0</v>
      </c>
      <c r="S22" s="20">
        <f>IFERROR(__xludf.DUMMYFUNCTION("COUNTIFS(IMPORTRANGE('Survey Progress'!$B$33, ""data!B2:B800""), ""=""&amp;$A22, IMPORTRANGE('Survey Progress'!$B$33, ""data!O2:O800""), ""*""&amp;S$2&amp;""*"")"),0.0)</f>
        <v>0</v>
      </c>
      <c r="T22" s="20">
        <f>IFERROR(__xludf.DUMMYFUNCTION("COUNTIFS(IMPORTRANGE('Survey Progress'!$B$33, ""data!B2:B800""), ""=""&amp;$A22, IMPORTRANGE('Survey Progress'!$B$33, ""data!O2:O800""), ""*""&amp;T$2&amp;""*"")"),0.0)</f>
        <v>0</v>
      </c>
    </row>
    <row r="23">
      <c r="A23" s="2" t="s">
        <v>67</v>
      </c>
      <c r="B23" s="17" t="s">
        <v>30</v>
      </c>
      <c r="C23" s="20">
        <f>IFERROR(__xludf.DUMMYFUNCTION("COUNTIFS(IMPORTRANGE('Survey Progress'!$B$34, ""data!B2:B800""), ""=""&amp;$A23, IMPORTRANGE('Survey Progress'!$B$34, ""data!O2:O800""), ""*""&amp;C$2&amp;""*"")"),0.0)</f>
        <v>0</v>
      </c>
      <c r="D23" s="20">
        <f>IFERROR(__xludf.DUMMYFUNCTION("COUNTIFS(IMPORTRANGE('Survey Progress'!$B$34, ""data!B2:B800""), ""=""&amp;$A23, IMPORTRANGE('Survey Progress'!$B$34, ""data!O2:O800""), ""*""&amp;D$2&amp;""*"")"),0.0)</f>
        <v>0</v>
      </c>
      <c r="E23" s="20">
        <f>IFERROR(__xludf.DUMMYFUNCTION("COUNTIFS(IMPORTRANGE('Survey Progress'!$B$34, ""data!B2:B800""), ""=""&amp;$A23, IMPORTRANGE('Survey Progress'!$B$34, ""data!O2:O800""), ""*""&amp;E$2&amp;""*"")"),0.0)</f>
        <v>0</v>
      </c>
      <c r="F23" s="20">
        <f>IFERROR(__xludf.DUMMYFUNCTION("COUNTIFS(IMPORTRANGE('Survey Progress'!$B$34, ""data!B2:B800""), ""=""&amp;$A23, IMPORTRANGE('Survey Progress'!$B$34, ""data!O2:O800""), ""*""&amp;F$2&amp;""*"")"),0.0)</f>
        <v>0</v>
      </c>
      <c r="G23" s="20">
        <f>IFERROR(__xludf.DUMMYFUNCTION("COUNTIFS(IMPORTRANGE('Survey Progress'!$B$34, ""data!B2:B800""), ""=""&amp;$A23, IMPORTRANGE('Survey Progress'!$B$34, ""data!O2:O800""), ""*""&amp;G$2&amp;""*"")"),0.0)</f>
        <v>0</v>
      </c>
      <c r="H23" s="20">
        <f>IFERROR(__xludf.DUMMYFUNCTION("COUNTIFS(IMPORTRANGE('Survey Progress'!$B$34, ""data!B2:B800""), ""=""&amp;$A23, IMPORTRANGE('Survey Progress'!$B$34, ""data!O2:O800""), ""*""&amp;H$2&amp;""*"")"),0.0)</f>
        <v>0</v>
      </c>
      <c r="I23" s="20">
        <f>IFERROR(__xludf.DUMMYFUNCTION("COUNTIFS(IMPORTRANGE('Survey Progress'!$B$34, ""data!B2:B800""), ""=""&amp;$A23, IMPORTRANGE('Survey Progress'!$B$34, ""data!O2:O800""), ""*""&amp;I$2&amp;""*"")"),0.0)</f>
        <v>0</v>
      </c>
      <c r="J23" s="20">
        <f>IFERROR(__xludf.DUMMYFUNCTION("COUNTIFS(IMPORTRANGE('Survey Progress'!$B$34, ""data!B2:B800""), ""=""&amp;$A23, IMPORTRANGE('Survey Progress'!$B$34, ""data!O2:O800""), ""*""&amp;J$2&amp;""*"")"),0.0)</f>
        <v>0</v>
      </c>
      <c r="K23" s="20">
        <f>IFERROR(__xludf.DUMMYFUNCTION("COUNTIFS(IMPORTRANGE('Survey Progress'!$B$34, ""data!B2:B800""), ""=""&amp;$A23, IMPORTRANGE('Survey Progress'!$B$34, ""data!O2:O800""), ""*""&amp;K$2&amp;""*"")"),0.0)</f>
        <v>0</v>
      </c>
      <c r="L23" s="20">
        <f>IFERROR(__xludf.DUMMYFUNCTION("COUNTIFS(IMPORTRANGE('Survey Progress'!$B$34, ""data!B2:B800""), ""=""&amp;$A23, IMPORTRANGE('Survey Progress'!$B$34, ""data!O2:O800""), ""*""&amp;L$2&amp;""*"")"),0.0)</f>
        <v>0</v>
      </c>
      <c r="M23" s="20">
        <f>IFERROR(__xludf.DUMMYFUNCTION("COUNTIFS(IMPORTRANGE('Survey Progress'!$B$34, ""data!B2:B800""), ""=""&amp;$A23, IMPORTRANGE('Survey Progress'!$B$34, ""data!O2:O800""), ""*""&amp;M$2&amp;""*"")"),0.0)</f>
        <v>0</v>
      </c>
      <c r="N23" s="20">
        <f>IFERROR(__xludf.DUMMYFUNCTION("COUNTIFS(IMPORTRANGE('Survey Progress'!$B$34, ""data!B2:B800""), ""=""&amp;$A23, IMPORTRANGE('Survey Progress'!$B$34, ""data!O2:O800""), ""*""&amp;N$2&amp;""*"")"),0.0)</f>
        <v>0</v>
      </c>
      <c r="O23" s="20">
        <f>IFERROR(__xludf.DUMMYFUNCTION("COUNTIFS(IMPORTRANGE('Survey Progress'!$B$34, ""data!B2:B800""), ""=""&amp;$A23, IMPORTRANGE('Survey Progress'!$B$34, ""data!O2:O800""), ""*""&amp;O$2&amp;""*"")"),0.0)</f>
        <v>0</v>
      </c>
      <c r="P23" s="20">
        <f>IFERROR(__xludf.DUMMYFUNCTION("COUNTIFS(IMPORTRANGE('Survey Progress'!$B$34, ""data!B2:B800""), ""=""&amp;$A23, IMPORTRANGE('Survey Progress'!$B$34, ""data!O2:O800""), ""*""&amp;P$2&amp;""*"")"),0.0)</f>
        <v>0</v>
      </c>
      <c r="Q23" s="20">
        <f>IFERROR(__xludf.DUMMYFUNCTION("COUNTIFS(IMPORTRANGE('Survey Progress'!$B$34, ""data!B2:B800""), ""=""&amp;$A23, IMPORTRANGE('Survey Progress'!$B$34, ""data!O2:O800""), ""*""&amp;Q$2&amp;""*"")"),0.0)</f>
        <v>0</v>
      </c>
      <c r="R23" s="20">
        <f>IFERROR(__xludf.DUMMYFUNCTION("COUNTIFS(IMPORTRANGE('Survey Progress'!$B$34, ""data!B2:B800""), ""=""&amp;$A23, IMPORTRANGE('Survey Progress'!$B$34, ""data!O2:O800""), ""*""&amp;R$2&amp;""*"")"),0.0)</f>
        <v>0</v>
      </c>
      <c r="S23" s="20">
        <f>IFERROR(__xludf.DUMMYFUNCTION("COUNTIFS(IMPORTRANGE('Survey Progress'!$B$34, ""data!B2:B800""), ""=""&amp;$A23, IMPORTRANGE('Survey Progress'!$B$34, ""data!O2:O800""), ""*""&amp;S$2&amp;""*"")"),0.0)</f>
        <v>0</v>
      </c>
      <c r="T23" s="20">
        <f>IFERROR(__xludf.DUMMYFUNCTION("COUNTIFS(IMPORTRANGE('Survey Progress'!$B$34, ""data!B2:B800""), ""=""&amp;$A23, IMPORTRANGE('Survey Progress'!$B$34, ""data!O2:O800""), ""*""&amp;T$2&amp;""*"")"),0.0)</f>
        <v>0</v>
      </c>
    </row>
    <row r="24">
      <c r="A24" s="25" t="s">
        <v>68</v>
      </c>
      <c r="B24" s="26" t="s">
        <v>18</v>
      </c>
      <c r="C24" s="31">
        <f>IFERROR(__xludf.DUMMYFUNCTION("COUNTIFS(IMPORTRANGE('Survey Progress'!$B$32, ""data!$B$2:$B$800""), ""=""&amp;$A24, IMPORTRANGE('Survey Progress'!$B$32, ""data!$S$2:$S$800""), ""*""&amp;C$2&amp;""*"")"),0.0)</f>
        <v>0</v>
      </c>
      <c r="D24" s="31">
        <f>IFERROR(__xludf.DUMMYFUNCTION("COUNTIFS(IMPORTRANGE('Survey Progress'!$B$32, ""data!$B$2:$B$800""), ""=""&amp;$A24, IMPORTRANGE('Survey Progress'!$B$32, ""data!$S$2:$S$800""), ""*""&amp;D$2&amp;""*"")"),0.0)</f>
        <v>0</v>
      </c>
      <c r="E24" s="31">
        <f>IFERROR(__xludf.DUMMYFUNCTION("COUNTIFS(IMPORTRANGE('Survey Progress'!$B$32, ""data!$B$2:$B$800""), ""=""&amp;$A24, IMPORTRANGE('Survey Progress'!$B$32, ""data!$S$2:$S$800""), ""*""&amp;E$2&amp;""*"")"),0.0)</f>
        <v>0</v>
      </c>
      <c r="F24" s="31">
        <f>IFERROR(__xludf.DUMMYFUNCTION("COUNTIFS(IMPORTRANGE('Survey Progress'!$B$32, ""data!$B$2:$B$800""), ""=""&amp;$A24, IMPORTRANGE('Survey Progress'!$B$32, ""data!$S$2:$S$800""), ""*""&amp;F$2&amp;""*"")"),0.0)</f>
        <v>0</v>
      </c>
      <c r="G24" s="31">
        <f>IFERROR(__xludf.DUMMYFUNCTION("COUNTIFS(IMPORTRANGE('Survey Progress'!$B$32, ""data!$B$2:$B$800""), ""=""&amp;$A24, IMPORTRANGE('Survey Progress'!$B$32, ""data!$S$2:$S$800""), ""*""&amp;G$2&amp;""*"")"),0.0)</f>
        <v>0</v>
      </c>
      <c r="H24" s="31">
        <f>IFERROR(__xludf.DUMMYFUNCTION("COUNTIFS(IMPORTRANGE('Survey Progress'!$B$32, ""data!$B$2:$B$800""), ""=""&amp;$A24, IMPORTRANGE('Survey Progress'!$B$32, ""data!$S$2:$S$800""), ""*""&amp;H$2&amp;""*"")"),0.0)</f>
        <v>0</v>
      </c>
      <c r="I24" s="31">
        <f>IFERROR(__xludf.DUMMYFUNCTION("COUNTIFS(IMPORTRANGE('Survey Progress'!$B$32, ""data!$B$2:$B$800""), ""=""&amp;$A24, IMPORTRANGE('Survey Progress'!$B$32, ""data!$S$2:$S$800""), ""*""&amp;I$2&amp;""*"")"),0.0)</f>
        <v>0</v>
      </c>
      <c r="J24" s="31">
        <f>IFERROR(__xludf.DUMMYFUNCTION("COUNTIFS(IMPORTRANGE('Survey Progress'!$B$32, ""data!$B$2:$B$800""), ""=""&amp;$A24, IMPORTRANGE('Survey Progress'!$B$32, ""data!$S$2:$S$800""), ""*""&amp;J$2&amp;""*"")"),0.0)</f>
        <v>0</v>
      </c>
      <c r="K24" s="31">
        <f>IFERROR(__xludf.DUMMYFUNCTION("COUNTIFS(IMPORTRANGE('Survey Progress'!$B$32, ""data!$B$2:$B$800""), ""=""&amp;$A24, IMPORTRANGE('Survey Progress'!$B$32, ""data!$S$2:$S$800""), ""*""&amp;K$2&amp;""*"")"),0.0)</f>
        <v>0</v>
      </c>
      <c r="L24" s="31">
        <f>IFERROR(__xludf.DUMMYFUNCTION("COUNTIFS(IMPORTRANGE('Survey Progress'!$B$32, ""data!$B$2:$B$800""), ""=""&amp;$A24, IMPORTRANGE('Survey Progress'!$B$32, ""data!$S$2:$S$800""), ""*""&amp;L$2&amp;""*"")"),0.0)</f>
        <v>0</v>
      </c>
      <c r="M24" s="31">
        <f>IFERROR(__xludf.DUMMYFUNCTION("COUNTIFS(IMPORTRANGE('Survey Progress'!$B$32, ""data!$B$2:$B$800""), ""=""&amp;$A24, IMPORTRANGE('Survey Progress'!$B$32, ""data!$S$2:$S$800""), ""*""&amp;M$2&amp;""*"")"),0.0)</f>
        <v>0</v>
      </c>
      <c r="N24" s="31">
        <f>IFERROR(__xludf.DUMMYFUNCTION("COUNTIFS(IMPORTRANGE('Survey Progress'!$B$32, ""data!$B$2:$B$800""), ""=""&amp;$A24, IMPORTRANGE('Survey Progress'!$B$32, ""data!$S$2:$S$800""), ""*""&amp;N$2&amp;""*"")"),0.0)</f>
        <v>0</v>
      </c>
      <c r="O24" s="31">
        <f>IFERROR(__xludf.DUMMYFUNCTION("COUNTIFS(IMPORTRANGE('Survey Progress'!$B$32, ""data!$B$2:$B$800""), ""=""&amp;$A24, IMPORTRANGE('Survey Progress'!$B$32, ""data!$S$2:$S$800""), ""*""&amp;O$2&amp;""*"")"),0.0)</f>
        <v>0</v>
      </c>
      <c r="P24" s="31">
        <f>IFERROR(__xludf.DUMMYFUNCTION("COUNTIFS(IMPORTRANGE('Survey Progress'!$B$32, ""data!$B$2:$B$800""), ""=""&amp;$A24, IMPORTRANGE('Survey Progress'!$B$32, ""data!$S$2:$S$800""), ""*""&amp;P$2&amp;""*"")"),0.0)</f>
        <v>0</v>
      </c>
      <c r="Q24" s="31">
        <f>IFERROR(__xludf.DUMMYFUNCTION("COUNTIFS(IMPORTRANGE('Survey Progress'!$B$32, ""data!$B$2:$B$800""), ""=""&amp;$A24, IMPORTRANGE('Survey Progress'!$B$32, ""data!$S$2:$S$800""), ""*""&amp;Q$2&amp;""*"")"),0.0)</f>
        <v>0</v>
      </c>
      <c r="R24" s="31">
        <f>IFERROR(__xludf.DUMMYFUNCTION("COUNTIFS(IMPORTRANGE('Survey Progress'!$B$32, ""data!$B$2:$B$800""), ""=""&amp;$A24, IMPORTRANGE('Survey Progress'!$B$32, ""data!$S$2:$S$800""), ""*""&amp;R$2&amp;""*"")"),0.0)</f>
        <v>0</v>
      </c>
      <c r="S24" s="31">
        <f>IFERROR(__xludf.DUMMYFUNCTION("COUNTIFS(IMPORTRANGE('Survey Progress'!$B$32, ""data!$B$2:$B$800""), ""=""&amp;$A24, IMPORTRANGE('Survey Progress'!$B$32, ""data!$S$2:$S$800""), ""*""&amp;S$2&amp;""*"")"),0.0)</f>
        <v>0</v>
      </c>
      <c r="T24" s="31">
        <f>IFERROR(__xludf.DUMMYFUNCTION("COUNTIFS(IMPORTRANGE('Survey Progress'!$B$32, ""data!$B$2:$B$800""), ""=""&amp;$A24, IMPORTRANGE('Survey Progress'!$B$32, ""data!$S$2:$S$800""), ""*""&amp;T$2&amp;""*"")"),0.0)</f>
        <v>0</v>
      </c>
      <c r="U24" s="33"/>
      <c r="V24" s="33"/>
      <c r="W24" s="33"/>
      <c r="X24" s="33"/>
      <c r="Y24" s="33"/>
      <c r="Z24" s="33"/>
    </row>
    <row r="25">
      <c r="A25" s="2" t="s">
        <v>68</v>
      </c>
      <c r="B25" s="17" t="s">
        <v>28</v>
      </c>
      <c r="C25" s="20">
        <f>IFERROR(__xludf.DUMMYFUNCTION("COUNTIFS(IMPORTRANGE('Survey Progress'!$B$33, ""data!B2:B800""), ""=""&amp;$A25, IMPORTRANGE('Survey Progress'!$B$33, ""data!O2:O800""), ""*""&amp;C$2&amp;""*"")"),0.0)</f>
        <v>0</v>
      </c>
      <c r="D25" s="20">
        <f>IFERROR(__xludf.DUMMYFUNCTION("COUNTIFS(IMPORTRANGE('Survey Progress'!$B$33, ""data!B2:B800""), ""=""&amp;$A25, IMPORTRANGE('Survey Progress'!$B$33, ""data!O2:O800""), ""*""&amp;D$2&amp;""*"")"),0.0)</f>
        <v>0</v>
      </c>
      <c r="E25" s="20">
        <f>IFERROR(__xludf.DUMMYFUNCTION("COUNTIFS(IMPORTRANGE('Survey Progress'!$B$33, ""data!B2:B800""), ""=""&amp;$A25, IMPORTRANGE('Survey Progress'!$B$33, ""data!O2:O800""), ""*""&amp;E$2&amp;""*"")"),0.0)</f>
        <v>0</v>
      </c>
      <c r="F25" s="20">
        <f>IFERROR(__xludf.DUMMYFUNCTION("COUNTIFS(IMPORTRANGE('Survey Progress'!$B$33, ""data!B2:B800""), ""=""&amp;$A25, IMPORTRANGE('Survey Progress'!$B$33, ""data!O2:O800""), ""*""&amp;F$2&amp;""*"")"),0.0)</f>
        <v>0</v>
      </c>
      <c r="G25" s="20">
        <f>IFERROR(__xludf.DUMMYFUNCTION("COUNTIFS(IMPORTRANGE('Survey Progress'!$B$33, ""data!B2:B800""), ""=""&amp;$A25, IMPORTRANGE('Survey Progress'!$B$33, ""data!O2:O800""), ""*""&amp;G$2&amp;""*"")"),0.0)</f>
        <v>0</v>
      </c>
      <c r="H25" s="20">
        <f>IFERROR(__xludf.DUMMYFUNCTION("COUNTIFS(IMPORTRANGE('Survey Progress'!$B$33, ""data!B2:B800""), ""=""&amp;$A25, IMPORTRANGE('Survey Progress'!$B$33, ""data!O2:O800""), ""*""&amp;H$2&amp;""*"")"),0.0)</f>
        <v>0</v>
      </c>
      <c r="I25" s="20">
        <f>IFERROR(__xludf.DUMMYFUNCTION("COUNTIFS(IMPORTRANGE('Survey Progress'!$B$33, ""data!B2:B800""), ""=""&amp;$A25, IMPORTRANGE('Survey Progress'!$B$33, ""data!O2:O800""), ""*""&amp;I$2&amp;""*"")"),0.0)</f>
        <v>0</v>
      </c>
      <c r="J25" s="20">
        <f>IFERROR(__xludf.DUMMYFUNCTION("COUNTIFS(IMPORTRANGE('Survey Progress'!$B$33, ""data!B2:B800""), ""=""&amp;$A25, IMPORTRANGE('Survey Progress'!$B$33, ""data!O2:O800""), ""*""&amp;J$2&amp;""*"")"),0.0)</f>
        <v>0</v>
      </c>
      <c r="K25" s="20">
        <f>IFERROR(__xludf.DUMMYFUNCTION("COUNTIFS(IMPORTRANGE('Survey Progress'!$B$33, ""data!B2:B800""), ""=""&amp;$A25, IMPORTRANGE('Survey Progress'!$B$33, ""data!O2:O800""), ""*""&amp;K$2&amp;""*"")"),0.0)</f>
        <v>0</v>
      </c>
      <c r="L25" s="20">
        <f>IFERROR(__xludf.DUMMYFUNCTION("COUNTIFS(IMPORTRANGE('Survey Progress'!$B$33, ""data!B2:B800""), ""=""&amp;$A25, IMPORTRANGE('Survey Progress'!$B$33, ""data!O2:O800""), ""*""&amp;L$2&amp;""*"")"),0.0)</f>
        <v>0</v>
      </c>
      <c r="M25" s="20">
        <f>IFERROR(__xludf.DUMMYFUNCTION("COUNTIFS(IMPORTRANGE('Survey Progress'!$B$33, ""data!B2:B800""), ""=""&amp;$A25, IMPORTRANGE('Survey Progress'!$B$33, ""data!O2:O800""), ""*""&amp;M$2&amp;""*"")"),0.0)</f>
        <v>0</v>
      </c>
      <c r="N25" s="20">
        <f>IFERROR(__xludf.DUMMYFUNCTION("COUNTIFS(IMPORTRANGE('Survey Progress'!$B$33, ""data!B2:B800""), ""=""&amp;$A25, IMPORTRANGE('Survey Progress'!$B$33, ""data!O2:O800""), ""*""&amp;N$2&amp;""*"")"),0.0)</f>
        <v>0</v>
      </c>
      <c r="O25" s="20">
        <f>IFERROR(__xludf.DUMMYFUNCTION("COUNTIFS(IMPORTRANGE('Survey Progress'!$B$33, ""data!B2:B800""), ""=""&amp;$A25, IMPORTRANGE('Survey Progress'!$B$33, ""data!O2:O800""), ""*""&amp;O$2&amp;""*"")"),0.0)</f>
        <v>0</v>
      </c>
      <c r="P25" s="20">
        <f>IFERROR(__xludf.DUMMYFUNCTION("COUNTIFS(IMPORTRANGE('Survey Progress'!$B$33, ""data!B2:B800""), ""=""&amp;$A25, IMPORTRANGE('Survey Progress'!$B$33, ""data!O2:O800""), ""*""&amp;P$2&amp;""*"")"),0.0)</f>
        <v>0</v>
      </c>
      <c r="Q25" s="20">
        <f>IFERROR(__xludf.DUMMYFUNCTION("COUNTIFS(IMPORTRANGE('Survey Progress'!$B$33, ""data!B2:B800""), ""=""&amp;$A25, IMPORTRANGE('Survey Progress'!$B$33, ""data!O2:O800""), ""*""&amp;Q$2&amp;""*"")"),0.0)</f>
        <v>0</v>
      </c>
      <c r="R25" s="20">
        <f>IFERROR(__xludf.DUMMYFUNCTION("COUNTIFS(IMPORTRANGE('Survey Progress'!$B$33, ""data!B2:B800""), ""=""&amp;$A25, IMPORTRANGE('Survey Progress'!$B$33, ""data!O2:O800""), ""*""&amp;R$2&amp;""*"")"),0.0)</f>
        <v>0</v>
      </c>
      <c r="S25" s="20">
        <f>IFERROR(__xludf.DUMMYFUNCTION("COUNTIFS(IMPORTRANGE('Survey Progress'!$B$33, ""data!B2:B800""), ""=""&amp;$A25, IMPORTRANGE('Survey Progress'!$B$33, ""data!O2:O800""), ""*""&amp;S$2&amp;""*"")"),0.0)</f>
        <v>0</v>
      </c>
      <c r="T25" s="20">
        <f>IFERROR(__xludf.DUMMYFUNCTION("COUNTIFS(IMPORTRANGE('Survey Progress'!$B$33, ""data!B2:B800""), ""=""&amp;$A25, IMPORTRANGE('Survey Progress'!$B$33, ""data!O2:O800""), ""*""&amp;T$2&amp;""*"")"),0.0)</f>
        <v>0</v>
      </c>
    </row>
    <row r="26">
      <c r="A26" s="2" t="s">
        <v>68</v>
      </c>
      <c r="B26" s="17" t="s">
        <v>30</v>
      </c>
      <c r="C26" s="20">
        <f>IFERROR(__xludf.DUMMYFUNCTION("COUNTIFS(IMPORTRANGE('Survey Progress'!$B$34, ""data!B2:B800""), ""=""&amp;$A26, IMPORTRANGE('Survey Progress'!$B$34, ""data!O2:O800""), ""*""&amp;C$2&amp;""*"")"),0.0)</f>
        <v>0</v>
      </c>
      <c r="D26" s="20">
        <f>IFERROR(__xludf.DUMMYFUNCTION("COUNTIFS(IMPORTRANGE('Survey Progress'!$B$34, ""data!B2:B800""), ""=""&amp;$A26, IMPORTRANGE('Survey Progress'!$B$34, ""data!O2:O800""), ""*""&amp;D$2&amp;""*"")"),0.0)</f>
        <v>0</v>
      </c>
      <c r="E26" s="20">
        <f>IFERROR(__xludf.DUMMYFUNCTION("COUNTIFS(IMPORTRANGE('Survey Progress'!$B$34, ""data!B2:B800""), ""=""&amp;$A26, IMPORTRANGE('Survey Progress'!$B$34, ""data!O2:O800""), ""*""&amp;E$2&amp;""*"")"),0.0)</f>
        <v>0</v>
      </c>
      <c r="F26" s="20">
        <f>IFERROR(__xludf.DUMMYFUNCTION("COUNTIFS(IMPORTRANGE('Survey Progress'!$B$34, ""data!B2:B800""), ""=""&amp;$A26, IMPORTRANGE('Survey Progress'!$B$34, ""data!O2:O800""), ""*""&amp;F$2&amp;""*"")"),0.0)</f>
        <v>0</v>
      </c>
      <c r="G26" s="20">
        <f>IFERROR(__xludf.DUMMYFUNCTION("COUNTIFS(IMPORTRANGE('Survey Progress'!$B$34, ""data!B2:B800""), ""=""&amp;$A26, IMPORTRANGE('Survey Progress'!$B$34, ""data!O2:O800""), ""*""&amp;G$2&amp;""*"")"),0.0)</f>
        <v>0</v>
      </c>
      <c r="H26" s="20">
        <f>IFERROR(__xludf.DUMMYFUNCTION("COUNTIFS(IMPORTRANGE('Survey Progress'!$B$34, ""data!B2:B800""), ""=""&amp;$A26, IMPORTRANGE('Survey Progress'!$B$34, ""data!O2:O800""), ""*""&amp;H$2&amp;""*"")"),0.0)</f>
        <v>0</v>
      </c>
      <c r="I26" s="20">
        <f>IFERROR(__xludf.DUMMYFUNCTION("COUNTIFS(IMPORTRANGE('Survey Progress'!$B$34, ""data!B2:B800""), ""=""&amp;$A26, IMPORTRANGE('Survey Progress'!$B$34, ""data!O2:O800""), ""*""&amp;I$2&amp;""*"")"),0.0)</f>
        <v>0</v>
      </c>
      <c r="J26" s="20">
        <f>IFERROR(__xludf.DUMMYFUNCTION("COUNTIFS(IMPORTRANGE('Survey Progress'!$B$34, ""data!B2:B800""), ""=""&amp;$A26, IMPORTRANGE('Survey Progress'!$B$34, ""data!O2:O800""), ""*""&amp;J$2&amp;""*"")"),0.0)</f>
        <v>0</v>
      </c>
      <c r="K26" s="20">
        <f>IFERROR(__xludf.DUMMYFUNCTION("COUNTIFS(IMPORTRANGE('Survey Progress'!$B$34, ""data!B2:B800""), ""=""&amp;$A26, IMPORTRANGE('Survey Progress'!$B$34, ""data!O2:O800""), ""*""&amp;K$2&amp;""*"")"),0.0)</f>
        <v>0</v>
      </c>
      <c r="L26" s="20">
        <f>IFERROR(__xludf.DUMMYFUNCTION("COUNTIFS(IMPORTRANGE('Survey Progress'!$B$34, ""data!B2:B800""), ""=""&amp;$A26, IMPORTRANGE('Survey Progress'!$B$34, ""data!O2:O800""), ""*""&amp;L$2&amp;""*"")"),0.0)</f>
        <v>0</v>
      </c>
      <c r="M26" s="20">
        <f>IFERROR(__xludf.DUMMYFUNCTION("COUNTIFS(IMPORTRANGE('Survey Progress'!$B$34, ""data!B2:B800""), ""=""&amp;$A26, IMPORTRANGE('Survey Progress'!$B$34, ""data!O2:O800""), ""*""&amp;M$2&amp;""*"")"),0.0)</f>
        <v>0</v>
      </c>
      <c r="N26" s="20">
        <f>IFERROR(__xludf.DUMMYFUNCTION("COUNTIFS(IMPORTRANGE('Survey Progress'!$B$34, ""data!B2:B800""), ""=""&amp;$A26, IMPORTRANGE('Survey Progress'!$B$34, ""data!O2:O800""), ""*""&amp;N$2&amp;""*"")"),0.0)</f>
        <v>0</v>
      </c>
      <c r="O26" s="20">
        <f>IFERROR(__xludf.DUMMYFUNCTION("COUNTIFS(IMPORTRANGE('Survey Progress'!$B$34, ""data!B2:B800""), ""=""&amp;$A26, IMPORTRANGE('Survey Progress'!$B$34, ""data!O2:O800""), ""*""&amp;O$2&amp;""*"")"),0.0)</f>
        <v>0</v>
      </c>
      <c r="P26" s="20">
        <f>IFERROR(__xludf.DUMMYFUNCTION("COUNTIFS(IMPORTRANGE('Survey Progress'!$B$34, ""data!B2:B800""), ""=""&amp;$A26, IMPORTRANGE('Survey Progress'!$B$34, ""data!O2:O800""), ""*""&amp;P$2&amp;""*"")"),0.0)</f>
        <v>0</v>
      </c>
      <c r="Q26" s="20">
        <f>IFERROR(__xludf.DUMMYFUNCTION("COUNTIFS(IMPORTRANGE('Survey Progress'!$B$34, ""data!B2:B800""), ""=""&amp;$A26, IMPORTRANGE('Survey Progress'!$B$34, ""data!O2:O800""), ""*""&amp;Q$2&amp;""*"")"),0.0)</f>
        <v>0</v>
      </c>
      <c r="R26" s="20">
        <f>IFERROR(__xludf.DUMMYFUNCTION("COUNTIFS(IMPORTRANGE('Survey Progress'!$B$34, ""data!B2:B800""), ""=""&amp;$A26, IMPORTRANGE('Survey Progress'!$B$34, ""data!O2:O800""), ""*""&amp;R$2&amp;""*"")"),0.0)</f>
        <v>0</v>
      </c>
      <c r="S26" s="20">
        <f>IFERROR(__xludf.DUMMYFUNCTION("COUNTIFS(IMPORTRANGE('Survey Progress'!$B$34, ""data!B2:B800""), ""=""&amp;$A26, IMPORTRANGE('Survey Progress'!$B$34, ""data!O2:O800""), ""*""&amp;S$2&amp;""*"")"),0.0)</f>
        <v>0</v>
      </c>
      <c r="T26" s="20">
        <f>IFERROR(__xludf.DUMMYFUNCTION("COUNTIFS(IMPORTRANGE('Survey Progress'!$B$34, ""data!B2:B800""), ""=""&amp;$A26, IMPORTRANGE('Survey Progress'!$B$34, ""data!O2:O800""), ""*""&amp;T$2&amp;""*"")"),0.0)</f>
        <v>0</v>
      </c>
    </row>
    <row r="27">
      <c r="A27" s="25" t="s">
        <v>69</v>
      </c>
      <c r="B27" s="26" t="s">
        <v>18</v>
      </c>
      <c r="C27" s="31">
        <f>IFERROR(__xludf.DUMMYFUNCTION("COUNTIFS(IMPORTRANGE('Survey Progress'!$B$32, ""data!$B$2:$B$800""), ""=""&amp;$A27, IMPORTRANGE('Survey Progress'!$B$32, ""data!$S$2:$S$800""), ""*""&amp;C$2&amp;""*"")"),0.0)</f>
        <v>0</v>
      </c>
      <c r="D27" s="31">
        <f>IFERROR(__xludf.DUMMYFUNCTION("COUNTIFS(IMPORTRANGE('Survey Progress'!$B$32, ""data!$B$2:$B$800""), ""=""&amp;$A27, IMPORTRANGE('Survey Progress'!$B$32, ""data!$S$2:$S$800""), ""*""&amp;D$2&amp;""*"")"),0.0)</f>
        <v>0</v>
      </c>
      <c r="E27" s="31">
        <f>IFERROR(__xludf.DUMMYFUNCTION("COUNTIFS(IMPORTRANGE('Survey Progress'!$B$32, ""data!$B$2:$B$800""), ""=""&amp;$A27, IMPORTRANGE('Survey Progress'!$B$32, ""data!$S$2:$S$800""), ""*""&amp;E$2&amp;""*"")"),0.0)</f>
        <v>0</v>
      </c>
      <c r="F27" s="31">
        <f>IFERROR(__xludf.DUMMYFUNCTION("COUNTIFS(IMPORTRANGE('Survey Progress'!$B$32, ""data!$B$2:$B$800""), ""=""&amp;$A27, IMPORTRANGE('Survey Progress'!$B$32, ""data!$S$2:$S$800""), ""*""&amp;F$2&amp;""*"")"),0.0)</f>
        <v>0</v>
      </c>
      <c r="G27" s="31">
        <f>IFERROR(__xludf.DUMMYFUNCTION("COUNTIFS(IMPORTRANGE('Survey Progress'!$B$32, ""data!$B$2:$B$800""), ""=""&amp;$A27, IMPORTRANGE('Survey Progress'!$B$32, ""data!$S$2:$S$800""), ""*""&amp;G$2&amp;""*"")"),0.0)</f>
        <v>0</v>
      </c>
      <c r="H27" s="31">
        <f>IFERROR(__xludf.DUMMYFUNCTION("COUNTIFS(IMPORTRANGE('Survey Progress'!$B$32, ""data!$B$2:$B$800""), ""=""&amp;$A27, IMPORTRANGE('Survey Progress'!$B$32, ""data!$S$2:$S$800""), ""*""&amp;H$2&amp;""*"")"),0.0)</f>
        <v>0</v>
      </c>
      <c r="I27" s="31">
        <f>IFERROR(__xludf.DUMMYFUNCTION("COUNTIFS(IMPORTRANGE('Survey Progress'!$B$32, ""data!$B$2:$B$800""), ""=""&amp;$A27, IMPORTRANGE('Survey Progress'!$B$32, ""data!$S$2:$S$800""), ""*""&amp;I$2&amp;""*"")"),0.0)</f>
        <v>0</v>
      </c>
      <c r="J27" s="31">
        <f>IFERROR(__xludf.DUMMYFUNCTION("COUNTIFS(IMPORTRANGE('Survey Progress'!$B$32, ""data!$B$2:$B$800""), ""=""&amp;$A27, IMPORTRANGE('Survey Progress'!$B$32, ""data!$S$2:$S$800""), ""*""&amp;J$2&amp;""*"")"),0.0)</f>
        <v>0</v>
      </c>
      <c r="K27" s="31">
        <f>IFERROR(__xludf.DUMMYFUNCTION("COUNTIFS(IMPORTRANGE('Survey Progress'!$B$32, ""data!$B$2:$B$800""), ""=""&amp;$A27, IMPORTRANGE('Survey Progress'!$B$32, ""data!$S$2:$S$800""), ""*""&amp;K$2&amp;""*"")"),0.0)</f>
        <v>0</v>
      </c>
      <c r="L27" s="31">
        <f>IFERROR(__xludf.DUMMYFUNCTION("COUNTIFS(IMPORTRANGE('Survey Progress'!$B$32, ""data!$B$2:$B$800""), ""=""&amp;$A27, IMPORTRANGE('Survey Progress'!$B$32, ""data!$S$2:$S$800""), ""*""&amp;L$2&amp;""*"")"),0.0)</f>
        <v>0</v>
      </c>
      <c r="M27" s="31">
        <f>IFERROR(__xludf.DUMMYFUNCTION("COUNTIFS(IMPORTRANGE('Survey Progress'!$B$32, ""data!$B$2:$B$800""), ""=""&amp;$A27, IMPORTRANGE('Survey Progress'!$B$32, ""data!$S$2:$S$800""), ""*""&amp;M$2&amp;""*"")"),0.0)</f>
        <v>0</v>
      </c>
      <c r="N27" s="31">
        <f>IFERROR(__xludf.DUMMYFUNCTION("COUNTIFS(IMPORTRANGE('Survey Progress'!$B$32, ""data!$B$2:$B$800""), ""=""&amp;$A27, IMPORTRANGE('Survey Progress'!$B$32, ""data!$S$2:$S$800""), ""*""&amp;N$2&amp;""*"")"),0.0)</f>
        <v>0</v>
      </c>
      <c r="O27" s="31">
        <f>IFERROR(__xludf.DUMMYFUNCTION("COUNTIFS(IMPORTRANGE('Survey Progress'!$B$32, ""data!$B$2:$B$800""), ""=""&amp;$A27, IMPORTRANGE('Survey Progress'!$B$32, ""data!$S$2:$S$800""), ""*""&amp;O$2&amp;""*"")"),0.0)</f>
        <v>0</v>
      </c>
      <c r="P27" s="31">
        <f>IFERROR(__xludf.DUMMYFUNCTION("COUNTIFS(IMPORTRANGE('Survey Progress'!$B$32, ""data!$B$2:$B$800""), ""=""&amp;$A27, IMPORTRANGE('Survey Progress'!$B$32, ""data!$S$2:$S$800""), ""*""&amp;P$2&amp;""*"")"),0.0)</f>
        <v>0</v>
      </c>
      <c r="Q27" s="31">
        <f>IFERROR(__xludf.DUMMYFUNCTION("COUNTIFS(IMPORTRANGE('Survey Progress'!$B$32, ""data!$B$2:$B$800""), ""=""&amp;$A27, IMPORTRANGE('Survey Progress'!$B$32, ""data!$S$2:$S$800""), ""*""&amp;Q$2&amp;""*"")"),0.0)</f>
        <v>0</v>
      </c>
      <c r="R27" s="31">
        <f>IFERROR(__xludf.DUMMYFUNCTION("COUNTIFS(IMPORTRANGE('Survey Progress'!$B$32, ""data!$B$2:$B$800""), ""=""&amp;$A27, IMPORTRANGE('Survey Progress'!$B$32, ""data!$S$2:$S$800""), ""*""&amp;R$2&amp;""*"")"),0.0)</f>
        <v>0</v>
      </c>
      <c r="S27" s="31">
        <f>IFERROR(__xludf.DUMMYFUNCTION("COUNTIFS(IMPORTRANGE('Survey Progress'!$B$32, ""data!$B$2:$B$800""), ""=""&amp;$A27, IMPORTRANGE('Survey Progress'!$B$32, ""data!$S$2:$S$800""), ""*""&amp;S$2&amp;""*"")"),0.0)</f>
        <v>0</v>
      </c>
      <c r="T27" s="31">
        <f>IFERROR(__xludf.DUMMYFUNCTION("COUNTIFS(IMPORTRANGE('Survey Progress'!$B$32, ""data!$B$2:$B$800""), ""=""&amp;$A27, IMPORTRANGE('Survey Progress'!$B$32, ""data!$S$2:$S$800""), ""*""&amp;T$2&amp;""*"")"),0.0)</f>
        <v>0</v>
      </c>
      <c r="U27" s="33"/>
      <c r="V27" s="33"/>
      <c r="W27" s="33"/>
      <c r="X27" s="33"/>
      <c r="Y27" s="33"/>
      <c r="Z27" s="33"/>
    </row>
    <row r="28">
      <c r="A28" s="2" t="s">
        <v>69</v>
      </c>
      <c r="B28" s="17" t="s">
        <v>28</v>
      </c>
      <c r="C28" s="20">
        <f>IFERROR(__xludf.DUMMYFUNCTION("COUNTIFS(IMPORTRANGE('Survey Progress'!$B$33, ""data!B2:B800""), ""=""&amp;$A28, IMPORTRANGE('Survey Progress'!$B$33, ""data!O2:O800""), ""*""&amp;C$2&amp;""*"")"),0.0)</f>
        <v>0</v>
      </c>
      <c r="D28" s="20">
        <f>IFERROR(__xludf.DUMMYFUNCTION("COUNTIFS(IMPORTRANGE('Survey Progress'!$B$33, ""data!B2:B800""), ""=""&amp;$A28, IMPORTRANGE('Survey Progress'!$B$33, ""data!O2:O800""), ""*""&amp;D$2&amp;""*"")"),0.0)</f>
        <v>0</v>
      </c>
      <c r="E28" s="20">
        <f>IFERROR(__xludf.DUMMYFUNCTION("COUNTIFS(IMPORTRANGE('Survey Progress'!$B$33, ""data!B2:B800""), ""=""&amp;$A28, IMPORTRANGE('Survey Progress'!$B$33, ""data!O2:O800""), ""*""&amp;E$2&amp;""*"")"),0.0)</f>
        <v>0</v>
      </c>
      <c r="F28" s="20">
        <f>IFERROR(__xludf.DUMMYFUNCTION("COUNTIFS(IMPORTRANGE('Survey Progress'!$B$33, ""data!B2:B800""), ""=""&amp;$A28, IMPORTRANGE('Survey Progress'!$B$33, ""data!O2:O800""), ""*""&amp;F$2&amp;""*"")"),0.0)</f>
        <v>0</v>
      </c>
      <c r="G28" s="20">
        <f>IFERROR(__xludf.DUMMYFUNCTION("COUNTIFS(IMPORTRANGE('Survey Progress'!$B$33, ""data!B2:B800""), ""=""&amp;$A28, IMPORTRANGE('Survey Progress'!$B$33, ""data!O2:O800""), ""*""&amp;G$2&amp;""*"")"),0.0)</f>
        <v>0</v>
      </c>
      <c r="H28" s="20">
        <f>IFERROR(__xludf.DUMMYFUNCTION("COUNTIFS(IMPORTRANGE('Survey Progress'!$B$33, ""data!B2:B800""), ""=""&amp;$A28, IMPORTRANGE('Survey Progress'!$B$33, ""data!O2:O800""), ""*""&amp;H$2&amp;""*"")"),0.0)</f>
        <v>0</v>
      </c>
      <c r="I28" s="20">
        <f>IFERROR(__xludf.DUMMYFUNCTION("COUNTIFS(IMPORTRANGE('Survey Progress'!$B$33, ""data!B2:B800""), ""=""&amp;$A28, IMPORTRANGE('Survey Progress'!$B$33, ""data!O2:O800""), ""*""&amp;I$2&amp;""*"")"),0.0)</f>
        <v>0</v>
      </c>
      <c r="J28" s="20">
        <f>IFERROR(__xludf.DUMMYFUNCTION("COUNTIFS(IMPORTRANGE('Survey Progress'!$B$33, ""data!B2:B800""), ""=""&amp;$A28, IMPORTRANGE('Survey Progress'!$B$33, ""data!O2:O800""), ""*""&amp;J$2&amp;""*"")"),0.0)</f>
        <v>0</v>
      </c>
      <c r="K28" s="20">
        <f>IFERROR(__xludf.DUMMYFUNCTION("COUNTIFS(IMPORTRANGE('Survey Progress'!$B$33, ""data!B2:B800""), ""=""&amp;$A28, IMPORTRANGE('Survey Progress'!$B$33, ""data!O2:O800""), ""*""&amp;K$2&amp;""*"")"),0.0)</f>
        <v>0</v>
      </c>
      <c r="L28" s="20">
        <f>IFERROR(__xludf.DUMMYFUNCTION("COUNTIFS(IMPORTRANGE('Survey Progress'!$B$33, ""data!B2:B800""), ""=""&amp;$A28, IMPORTRANGE('Survey Progress'!$B$33, ""data!O2:O800""), ""*""&amp;L$2&amp;""*"")"),0.0)</f>
        <v>0</v>
      </c>
      <c r="M28" s="20">
        <f>IFERROR(__xludf.DUMMYFUNCTION("COUNTIFS(IMPORTRANGE('Survey Progress'!$B$33, ""data!B2:B800""), ""=""&amp;$A28, IMPORTRANGE('Survey Progress'!$B$33, ""data!O2:O800""), ""*""&amp;M$2&amp;""*"")"),0.0)</f>
        <v>0</v>
      </c>
      <c r="N28" s="20">
        <f>IFERROR(__xludf.DUMMYFUNCTION("COUNTIFS(IMPORTRANGE('Survey Progress'!$B$33, ""data!B2:B800""), ""=""&amp;$A28, IMPORTRANGE('Survey Progress'!$B$33, ""data!O2:O800""), ""*""&amp;N$2&amp;""*"")"),0.0)</f>
        <v>0</v>
      </c>
      <c r="O28" s="20">
        <f>IFERROR(__xludf.DUMMYFUNCTION("COUNTIFS(IMPORTRANGE('Survey Progress'!$B$33, ""data!B2:B800""), ""=""&amp;$A28, IMPORTRANGE('Survey Progress'!$B$33, ""data!O2:O800""), ""*""&amp;O$2&amp;""*"")"),0.0)</f>
        <v>0</v>
      </c>
      <c r="P28" s="20">
        <f>IFERROR(__xludf.DUMMYFUNCTION("COUNTIFS(IMPORTRANGE('Survey Progress'!$B$33, ""data!B2:B800""), ""=""&amp;$A28, IMPORTRANGE('Survey Progress'!$B$33, ""data!O2:O800""), ""*""&amp;P$2&amp;""*"")"),0.0)</f>
        <v>0</v>
      </c>
      <c r="Q28" s="20">
        <f>IFERROR(__xludf.DUMMYFUNCTION("COUNTIFS(IMPORTRANGE('Survey Progress'!$B$33, ""data!B2:B800""), ""=""&amp;$A28, IMPORTRANGE('Survey Progress'!$B$33, ""data!O2:O800""), ""*""&amp;Q$2&amp;""*"")"),0.0)</f>
        <v>0</v>
      </c>
      <c r="R28" s="20">
        <f>IFERROR(__xludf.DUMMYFUNCTION("COUNTIFS(IMPORTRANGE('Survey Progress'!$B$33, ""data!B2:B800""), ""=""&amp;$A28, IMPORTRANGE('Survey Progress'!$B$33, ""data!O2:O800""), ""*""&amp;R$2&amp;""*"")"),0.0)</f>
        <v>0</v>
      </c>
      <c r="S28" s="20">
        <f>IFERROR(__xludf.DUMMYFUNCTION("COUNTIFS(IMPORTRANGE('Survey Progress'!$B$33, ""data!B2:B800""), ""=""&amp;$A28, IMPORTRANGE('Survey Progress'!$B$33, ""data!O2:O800""), ""*""&amp;S$2&amp;""*"")"),0.0)</f>
        <v>0</v>
      </c>
      <c r="T28" s="20">
        <f>IFERROR(__xludf.DUMMYFUNCTION("COUNTIFS(IMPORTRANGE('Survey Progress'!$B$33, ""data!B2:B800""), ""=""&amp;$A28, IMPORTRANGE('Survey Progress'!$B$33, ""data!O2:O800""), ""*""&amp;T$2&amp;""*"")"),0.0)</f>
        <v>0</v>
      </c>
    </row>
    <row r="29">
      <c r="A29" s="2" t="s">
        <v>69</v>
      </c>
      <c r="B29" s="17" t="s">
        <v>30</v>
      </c>
      <c r="C29" s="20">
        <f>IFERROR(__xludf.DUMMYFUNCTION("COUNTIFS(IMPORTRANGE('Survey Progress'!$B$34, ""data!B2:B800""), ""=""&amp;$A29, IMPORTRANGE('Survey Progress'!$B$34, ""data!O2:O800""), ""*""&amp;C$2&amp;""*"")"),0.0)</f>
        <v>0</v>
      </c>
      <c r="D29" s="20">
        <f>IFERROR(__xludf.DUMMYFUNCTION("COUNTIFS(IMPORTRANGE('Survey Progress'!$B$34, ""data!B2:B800""), ""=""&amp;$A29, IMPORTRANGE('Survey Progress'!$B$34, ""data!O2:O800""), ""*""&amp;D$2&amp;""*"")"),0.0)</f>
        <v>0</v>
      </c>
      <c r="E29" s="20">
        <f>IFERROR(__xludf.DUMMYFUNCTION("COUNTIFS(IMPORTRANGE('Survey Progress'!$B$34, ""data!B2:B800""), ""=""&amp;$A29, IMPORTRANGE('Survey Progress'!$B$34, ""data!O2:O800""), ""*""&amp;E$2&amp;""*"")"),0.0)</f>
        <v>0</v>
      </c>
      <c r="F29" s="20">
        <f>IFERROR(__xludf.DUMMYFUNCTION("COUNTIFS(IMPORTRANGE('Survey Progress'!$B$34, ""data!B2:B800""), ""=""&amp;$A29, IMPORTRANGE('Survey Progress'!$B$34, ""data!O2:O800""), ""*""&amp;F$2&amp;""*"")"),0.0)</f>
        <v>0</v>
      </c>
      <c r="G29" s="20">
        <f>IFERROR(__xludf.DUMMYFUNCTION("COUNTIFS(IMPORTRANGE('Survey Progress'!$B$34, ""data!B2:B800""), ""=""&amp;$A29, IMPORTRANGE('Survey Progress'!$B$34, ""data!O2:O800""), ""*""&amp;G$2&amp;""*"")"),0.0)</f>
        <v>0</v>
      </c>
      <c r="H29" s="20">
        <f>IFERROR(__xludf.DUMMYFUNCTION("COUNTIFS(IMPORTRANGE('Survey Progress'!$B$34, ""data!B2:B800""), ""=""&amp;$A29, IMPORTRANGE('Survey Progress'!$B$34, ""data!O2:O800""), ""*""&amp;H$2&amp;""*"")"),0.0)</f>
        <v>0</v>
      </c>
      <c r="I29" s="20">
        <f>IFERROR(__xludf.DUMMYFUNCTION("COUNTIFS(IMPORTRANGE('Survey Progress'!$B$34, ""data!B2:B800""), ""=""&amp;$A29, IMPORTRANGE('Survey Progress'!$B$34, ""data!O2:O800""), ""*""&amp;I$2&amp;""*"")"),0.0)</f>
        <v>0</v>
      </c>
      <c r="J29" s="20">
        <f>IFERROR(__xludf.DUMMYFUNCTION("COUNTIFS(IMPORTRANGE('Survey Progress'!$B$34, ""data!B2:B800""), ""=""&amp;$A29, IMPORTRANGE('Survey Progress'!$B$34, ""data!O2:O800""), ""*""&amp;J$2&amp;""*"")"),0.0)</f>
        <v>0</v>
      </c>
      <c r="K29" s="20">
        <f>IFERROR(__xludf.DUMMYFUNCTION("COUNTIFS(IMPORTRANGE('Survey Progress'!$B$34, ""data!B2:B800""), ""=""&amp;$A29, IMPORTRANGE('Survey Progress'!$B$34, ""data!O2:O800""), ""*""&amp;K$2&amp;""*"")"),0.0)</f>
        <v>0</v>
      </c>
      <c r="L29" s="20">
        <f>IFERROR(__xludf.DUMMYFUNCTION("COUNTIFS(IMPORTRANGE('Survey Progress'!$B$34, ""data!B2:B800""), ""=""&amp;$A29, IMPORTRANGE('Survey Progress'!$B$34, ""data!O2:O800""), ""*""&amp;L$2&amp;""*"")"),0.0)</f>
        <v>0</v>
      </c>
      <c r="M29" s="20">
        <f>IFERROR(__xludf.DUMMYFUNCTION("COUNTIFS(IMPORTRANGE('Survey Progress'!$B$34, ""data!B2:B800""), ""=""&amp;$A29, IMPORTRANGE('Survey Progress'!$B$34, ""data!O2:O800""), ""*""&amp;M$2&amp;""*"")"),0.0)</f>
        <v>0</v>
      </c>
      <c r="N29" s="20">
        <f>IFERROR(__xludf.DUMMYFUNCTION("COUNTIFS(IMPORTRANGE('Survey Progress'!$B$34, ""data!B2:B800""), ""=""&amp;$A29, IMPORTRANGE('Survey Progress'!$B$34, ""data!O2:O800""), ""*""&amp;N$2&amp;""*"")"),0.0)</f>
        <v>0</v>
      </c>
      <c r="O29" s="20">
        <f>IFERROR(__xludf.DUMMYFUNCTION("COUNTIFS(IMPORTRANGE('Survey Progress'!$B$34, ""data!B2:B800""), ""=""&amp;$A29, IMPORTRANGE('Survey Progress'!$B$34, ""data!O2:O800""), ""*""&amp;O$2&amp;""*"")"),0.0)</f>
        <v>0</v>
      </c>
      <c r="P29" s="20">
        <f>IFERROR(__xludf.DUMMYFUNCTION("COUNTIFS(IMPORTRANGE('Survey Progress'!$B$34, ""data!B2:B800""), ""=""&amp;$A29, IMPORTRANGE('Survey Progress'!$B$34, ""data!O2:O800""), ""*""&amp;P$2&amp;""*"")"),0.0)</f>
        <v>0</v>
      </c>
      <c r="Q29" s="20">
        <f>IFERROR(__xludf.DUMMYFUNCTION("COUNTIFS(IMPORTRANGE('Survey Progress'!$B$34, ""data!B2:B800""), ""=""&amp;$A29, IMPORTRANGE('Survey Progress'!$B$34, ""data!O2:O800""), ""*""&amp;Q$2&amp;""*"")"),0.0)</f>
        <v>0</v>
      </c>
      <c r="R29" s="20">
        <f>IFERROR(__xludf.DUMMYFUNCTION("COUNTIFS(IMPORTRANGE('Survey Progress'!$B$34, ""data!B2:B800""), ""=""&amp;$A29, IMPORTRANGE('Survey Progress'!$B$34, ""data!O2:O800""), ""*""&amp;R$2&amp;""*"")"),0.0)</f>
        <v>0</v>
      </c>
      <c r="S29" s="20">
        <f>IFERROR(__xludf.DUMMYFUNCTION("COUNTIFS(IMPORTRANGE('Survey Progress'!$B$34, ""data!B2:B800""), ""=""&amp;$A29, IMPORTRANGE('Survey Progress'!$B$34, ""data!O2:O800""), ""*""&amp;S$2&amp;""*"")"),0.0)</f>
        <v>0</v>
      </c>
      <c r="T29" s="20">
        <f>IFERROR(__xludf.DUMMYFUNCTION("COUNTIFS(IMPORTRANGE('Survey Progress'!$B$34, ""data!B2:B800""), ""=""&amp;$A29, IMPORTRANGE('Survey Progress'!$B$34, ""data!O2:O800""), ""*""&amp;T$2&amp;""*"")"),0.0)</f>
        <v>0</v>
      </c>
    </row>
    <row r="30">
      <c r="A30" s="25" t="s">
        <v>70</v>
      </c>
      <c r="B30" s="26" t="s">
        <v>18</v>
      </c>
      <c r="C30" s="31">
        <f>IFERROR(__xludf.DUMMYFUNCTION("COUNTIFS(IMPORTRANGE('Survey Progress'!$B$32, ""data!$B$2:$B$800""), ""=""&amp;$A30, IMPORTRANGE('Survey Progress'!$B$32, ""data!$S$2:$S$800""), ""*""&amp;C$2&amp;""*"")"),0.0)</f>
        <v>0</v>
      </c>
      <c r="D30" s="31">
        <f>IFERROR(__xludf.DUMMYFUNCTION("COUNTIFS(IMPORTRANGE('Survey Progress'!$B$32, ""data!$B$2:$B$800""), ""=""&amp;$A30, IMPORTRANGE('Survey Progress'!$B$32, ""data!$S$2:$S$800""), ""*""&amp;D$2&amp;""*"")"),0.0)</f>
        <v>0</v>
      </c>
      <c r="E30" s="31">
        <f>IFERROR(__xludf.DUMMYFUNCTION("COUNTIFS(IMPORTRANGE('Survey Progress'!$B$32, ""data!$B$2:$B$800""), ""=""&amp;$A30, IMPORTRANGE('Survey Progress'!$B$32, ""data!$S$2:$S$800""), ""*""&amp;E$2&amp;""*"")"),0.0)</f>
        <v>0</v>
      </c>
      <c r="F30" s="31">
        <f>IFERROR(__xludf.DUMMYFUNCTION("COUNTIFS(IMPORTRANGE('Survey Progress'!$B$32, ""data!$B$2:$B$800""), ""=""&amp;$A30, IMPORTRANGE('Survey Progress'!$B$32, ""data!$S$2:$S$800""), ""*""&amp;F$2&amp;""*"")"),0.0)</f>
        <v>0</v>
      </c>
      <c r="G30" s="31">
        <f>IFERROR(__xludf.DUMMYFUNCTION("COUNTIFS(IMPORTRANGE('Survey Progress'!$B$32, ""data!$B$2:$B$800""), ""=""&amp;$A30, IMPORTRANGE('Survey Progress'!$B$32, ""data!$S$2:$S$800""), ""*""&amp;G$2&amp;""*"")"),0.0)</f>
        <v>0</v>
      </c>
      <c r="H30" s="31">
        <f>IFERROR(__xludf.DUMMYFUNCTION("COUNTIFS(IMPORTRANGE('Survey Progress'!$B$32, ""data!$B$2:$B$800""), ""=""&amp;$A30, IMPORTRANGE('Survey Progress'!$B$32, ""data!$S$2:$S$800""), ""*""&amp;H$2&amp;""*"")"),0.0)</f>
        <v>0</v>
      </c>
      <c r="I30" s="31">
        <f>IFERROR(__xludf.DUMMYFUNCTION("COUNTIFS(IMPORTRANGE('Survey Progress'!$B$32, ""data!$B$2:$B$800""), ""=""&amp;$A30, IMPORTRANGE('Survey Progress'!$B$32, ""data!$S$2:$S$800""), ""*""&amp;I$2&amp;""*"")"),0.0)</f>
        <v>0</v>
      </c>
      <c r="J30" s="31">
        <f>IFERROR(__xludf.DUMMYFUNCTION("COUNTIFS(IMPORTRANGE('Survey Progress'!$B$32, ""data!$B$2:$B$800""), ""=""&amp;$A30, IMPORTRANGE('Survey Progress'!$B$32, ""data!$S$2:$S$800""), ""*""&amp;J$2&amp;""*"")"),0.0)</f>
        <v>0</v>
      </c>
      <c r="K30" s="31">
        <f>IFERROR(__xludf.DUMMYFUNCTION("COUNTIFS(IMPORTRANGE('Survey Progress'!$B$32, ""data!$B$2:$B$800""), ""=""&amp;$A30, IMPORTRANGE('Survey Progress'!$B$32, ""data!$S$2:$S$800""), ""*""&amp;K$2&amp;""*"")"),0.0)</f>
        <v>0</v>
      </c>
      <c r="L30" s="31">
        <f>IFERROR(__xludf.DUMMYFUNCTION("COUNTIFS(IMPORTRANGE('Survey Progress'!$B$32, ""data!$B$2:$B$800""), ""=""&amp;$A30, IMPORTRANGE('Survey Progress'!$B$32, ""data!$S$2:$S$800""), ""*""&amp;L$2&amp;""*"")"),0.0)</f>
        <v>0</v>
      </c>
      <c r="M30" s="31">
        <f>IFERROR(__xludf.DUMMYFUNCTION("COUNTIFS(IMPORTRANGE('Survey Progress'!$B$32, ""data!$B$2:$B$800""), ""=""&amp;$A30, IMPORTRANGE('Survey Progress'!$B$32, ""data!$S$2:$S$800""), ""*""&amp;M$2&amp;""*"")"),0.0)</f>
        <v>0</v>
      </c>
      <c r="N30" s="31">
        <f>IFERROR(__xludf.DUMMYFUNCTION("COUNTIFS(IMPORTRANGE('Survey Progress'!$B$32, ""data!$B$2:$B$800""), ""=""&amp;$A30, IMPORTRANGE('Survey Progress'!$B$32, ""data!$S$2:$S$800""), ""*""&amp;N$2&amp;""*"")"),0.0)</f>
        <v>0</v>
      </c>
      <c r="O30" s="31">
        <f>IFERROR(__xludf.DUMMYFUNCTION("COUNTIFS(IMPORTRANGE('Survey Progress'!$B$32, ""data!$B$2:$B$800""), ""=""&amp;$A30, IMPORTRANGE('Survey Progress'!$B$32, ""data!$S$2:$S$800""), ""*""&amp;O$2&amp;""*"")"),0.0)</f>
        <v>0</v>
      </c>
      <c r="P30" s="31">
        <f>IFERROR(__xludf.DUMMYFUNCTION("COUNTIFS(IMPORTRANGE('Survey Progress'!$B$32, ""data!$B$2:$B$800""), ""=""&amp;$A30, IMPORTRANGE('Survey Progress'!$B$32, ""data!$S$2:$S$800""), ""*""&amp;P$2&amp;""*"")"),0.0)</f>
        <v>0</v>
      </c>
      <c r="Q30" s="31">
        <f>IFERROR(__xludf.DUMMYFUNCTION("COUNTIFS(IMPORTRANGE('Survey Progress'!$B$32, ""data!$B$2:$B$800""), ""=""&amp;$A30, IMPORTRANGE('Survey Progress'!$B$32, ""data!$S$2:$S$800""), ""*""&amp;Q$2&amp;""*"")"),0.0)</f>
        <v>0</v>
      </c>
      <c r="R30" s="31">
        <f>IFERROR(__xludf.DUMMYFUNCTION("COUNTIFS(IMPORTRANGE('Survey Progress'!$B$32, ""data!$B$2:$B$800""), ""=""&amp;$A30, IMPORTRANGE('Survey Progress'!$B$32, ""data!$S$2:$S$800""), ""*""&amp;R$2&amp;""*"")"),0.0)</f>
        <v>0</v>
      </c>
      <c r="S30" s="31">
        <f>IFERROR(__xludf.DUMMYFUNCTION("COUNTIFS(IMPORTRANGE('Survey Progress'!$B$32, ""data!$B$2:$B$800""), ""=""&amp;$A30, IMPORTRANGE('Survey Progress'!$B$32, ""data!$S$2:$S$800""), ""*""&amp;S$2&amp;""*"")"),0.0)</f>
        <v>0</v>
      </c>
      <c r="T30" s="31">
        <f>IFERROR(__xludf.DUMMYFUNCTION("COUNTIFS(IMPORTRANGE('Survey Progress'!$B$32, ""data!$B$2:$B$800""), ""=""&amp;$A30, IMPORTRANGE('Survey Progress'!$B$32, ""data!$S$2:$S$800""), ""*""&amp;T$2&amp;""*"")"),0.0)</f>
        <v>0</v>
      </c>
      <c r="U30" s="33"/>
      <c r="V30" s="33"/>
      <c r="W30" s="33"/>
      <c r="X30" s="33"/>
      <c r="Y30" s="33"/>
      <c r="Z30" s="33"/>
    </row>
    <row r="31">
      <c r="A31" s="2" t="s">
        <v>70</v>
      </c>
      <c r="B31" s="17" t="s">
        <v>28</v>
      </c>
      <c r="C31" s="20">
        <f>IFERROR(__xludf.DUMMYFUNCTION("COUNTIFS(IMPORTRANGE('Survey Progress'!$B$33, ""data!B2:B800""), ""=""&amp;$A31, IMPORTRANGE('Survey Progress'!$B$33, ""data!O2:O800""), ""*""&amp;C$2&amp;""*"")"),0.0)</f>
        <v>0</v>
      </c>
      <c r="D31" s="20">
        <f>IFERROR(__xludf.DUMMYFUNCTION("COUNTIFS(IMPORTRANGE('Survey Progress'!$B$33, ""data!B2:B800""), ""=""&amp;$A31, IMPORTRANGE('Survey Progress'!$B$33, ""data!O2:O800""), ""*""&amp;D$2&amp;""*"")"),0.0)</f>
        <v>0</v>
      </c>
      <c r="E31" s="20">
        <f>IFERROR(__xludf.DUMMYFUNCTION("COUNTIFS(IMPORTRANGE('Survey Progress'!$B$33, ""data!B2:B800""), ""=""&amp;$A31, IMPORTRANGE('Survey Progress'!$B$33, ""data!O2:O800""), ""*""&amp;E$2&amp;""*"")"),0.0)</f>
        <v>0</v>
      </c>
      <c r="F31" s="20">
        <f>IFERROR(__xludf.DUMMYFUNCTION("COUNTIFS(IMPORTRANGE('Survey Progress'!$B$33, ""data!B2:B800""), ""=""&amp;$A31, IMPORTRANGE('Survey Progress'!$B$33, ""data!O2:O800""), ""*""&amp;F$2&amp;""*"")"),0.0)</f>
        <v>0</v>
      </c>
      <c r="G31" s="20">
        <f>IFERROR(__xludf.DUMMYFUNCTION("COUNTIFS(IMPORTRANGE('Survey Progress'!$B$33, ""data!B2:B800""), ""=""&amp;$A31, IMPORTRANGE('Survey Progress'!$B$33, ""data!O2:O800""), ""*""&amp;G$2&amp;""*"")"),0.0)</f>
        <v>0</v>
      </c>
      <c r="H31" s="20">
        <f>IFERROR(__xludf.DUMMYFUNCTION("COUNTIFS(IMPORTRANGE('Survey Progress'!$B$33, ""data!B2:B800""), ""=""&amp;$A31, IMPORTRANGE('Survey Progress'!$B$33, ""data!O2:O800""), ""*""&amp;H$2&amp;""*"")"),0.0)</f>
        <v>0</v>
      </c>
      <c r="I31" s="20">
        <f>IFERROR(__xludf.DUMMYFUNCTION("COUNTIFS(IMPORTRANGE('Survey Progress'!$B$33, ""data!B2:B800""), ""=""&amp;$A31, IMPORTRANGE('Survey Progress'!$B$33, ""data!O2:O800""), ""*""&amp;I$2&amp;""*"")"),0.0)</f>
        <v>0</v>
      </c>
      <c r="J31" s="20">
        <f>IFERROR(__xludf.DUMMYFUNCTION("COUNTIFS(IMPORTRANGE('Survey Progress'!$B$33, ""data!B2:B800""), ""=""&amp;$A31, IMPORTRANGE('Survey Progress'!$B$33, ""data!O2:O800""), ""*""&amp;J$2&amp;""*"")"),0.0)</f>
        <v>0</v>
      </c>
      <c r="K31" s="20">
        <f>IFERROR(__xludf.DUMMYFUNCTION("COUNTIFS(IMPORTRANGE('Survey Progress'!$B$33, ""data!B2:B800""), ""=""&amp;$A31, IMPORTRANGE('Survey Progress'!$B$33, ""data!O2:O800""), ""*""&amp;K$2&amp;""*"")"),0.0)</f>
        <v>0</v>
      </c>
      <c r="L31" s="20">
        <f>IFERROR(__xludf.DUMMYFUNCTION("COUNTIFS(IMPORTRANGE('Survey Progress'!$B$33, ""data!B2:B800""), ""=""&amp;$A31, IMPORTRANGE('Survey Progress'!$B$33, ""data!O2:O800""), ""*""&amp;L$2&amp;""*"")"),0.0)</f>
        <v>0</v>
      </c>
      <c r="M31" s="20">
        <f>IFERROR(__xludf.DUMMYFUNCTION("COUNTIFS(IMPORTRANGE('Survey Progress'!$B$33, ""data!B2:B800""), ""=""&amp;$A31, IMPORTRANGE('Survey Progress'!$B$33, ""data!O2:O800""), ""*""&amp;M$2&amp;""*"")"),0.0)</f>
        <v>0</v>
      </c>
      <c r="N31" s="20">
        <f>IFERROR(__xludf.DUMMYFUNCTION("COUNTIFS(IMPORTRANGE('Survey Progress'!$B$33, ""data!B2:B800""), ""=""&amp;$A31, IMPORTRANGE('Survey Progress'!$B$33, ""data!O2:O800""), ""*""&amp;N$2&amp;""*"")"),0.0)</f>
        <v>0</v>
      </c>
      <c r="O31" s="20">
        <f>IFERROR(__xludf.DUMMYFUNCTION("COUNTIFS(IMPORTRANGE('Survey Progress'!$B$33, ""data!B2:B800""), ""=""&amp;$A31, IMPORTRANGE('Survey Progress'!$B$33, ""data!O2:O800""), ""*""&amp;O$2&amp;""*"")"),0.0)</f>
        <v>0</v>
      </c>
      <c r="P31" s="20">
        <f>IFERROR(__xludf.DUMMYFUNCTION("COUNTIFS(IMPORTRANGE('Survey Progress'!$B$33, ""data!B2:B800""), ""=""&amp;$A31, IMPORTRANGE('Survey Progress'!$B$33, ""data!O2:O800""), ""*""&amp;P$2&amp;""*"")"),0.0)</f>
        <v>0</v>
      </c>
      <c r="Q31" s="20">
        <f>IFERROR(__xludf.DUMMYFUNCTION("COUNTIFS(IMPORTRANGE('Survey Progress'!$B$33, ""data!B2:B800""), ""=""&amp;$A31, IMPORTRANGE('Survey Progress'!$B$33, ""data!O2:O800""), ""*""&amp;Q$2&amp;""*"")"),0.0)</f>
        <v>0</v>
      </c>
      <c r="R31" s="20">
        <f>IFERROR(__xludf.DUMMYFUNCTION("COUNTIFS(IMPORTRANGE('Survey Progress'!$B$33, ""data!B2:B800""), ""=""&amp;$A31, IMPORTRANGE('Survey Progress'!$B$33, ""data!O2:O800""), ""*""&amp;R$2&amp;""*"")"),0.0)</f>
        <v>0</v>
      </c>
      <c r="S31" s="20">
        <f>IFERROR(__xludf.DUMMYFUNCTION("COUNTIFS(IMPORTRANGE('Survey Progress'!$B$33, ""data!B2:B800""), ""=""&amp;$A31, IMPORTRANGE('Survey Progress'!$B$33, ""data!O2:O800""), ""*""&amp;S$2&amp;""*"")"),0.0)</f>
        <v>0</v>
      </c>
      <c r="T31" s="20">
        <f>IFERROR(__xludf.DUMMYFUNCTION("COUNTIFS(IMPORTRANGE('Survey Progress'!$B$33, ""data!B2:B800""), ""=""&amp;$A31, IMPORTRANGE('Survey Progress'!$B$33, ""data!O2:O800""), ""*""&amp;T$2&amp;""*"")"),0.0)</f>
        <v>0</v>
      </c>
    </row>
    <row r="32">
      <c r="A32" s="2" t="s">
        <v>70</v>
      </c>
      <c r="B32" s="17" t="s">
        <v>30</v>
      </c>
      <c r="C32" s="20">
        <f>IFERROR(__xludf.DUMMYFUNCTION("COUNTIFS(IMPORTRANGE('Survey Progress'!$B$34, ""data!B2:B800""), ""=""&amp;$A32, IMPORTRANGE('Survey Progress'!$B$34, ""data!O2:O800""), ""*""&amp;C$2&amp;""*"")"),0.0)</f>
        <v>0</v>
      </c>
      <c r="D32" s="20">
        <f>IFERROR(__xludf.DUMMYFUNCTION("COUNTIFS(IMPORTRANGE('Survey Progress'!$B$34, ""data!B2:B800""), ""=""&amp;$A32, IMPORTRANGE('Survey Progress'!$B$34, ""data!O2:O800""), ""*""&amp;D$2&amp;""*"")"),0.0)</f>
        <v>0</v>
      </c>
      <c r="E32" s="20">
        <f>IFERROR(__xludf.DUMMYFUNCTION("COUNTIFS(IMPORTRANGE('Survey Progress'!$B$34, ""data!B2:B800""), ""=""&amp;$A32, IMPORTRANGE('Survey Progress'!$B$34, ""data!O2:O800""), ""*""&amp;E$2&amp;""*"")"),0.0)</f>
        <v>0</v>
      </c>
      <c r="F32" s="20">
        <f>IFERROR(__xludf.DUMMYFUNCTION("COUNTIFS(IMPORTRANGE('Survey Progress'!$B$34, ""data!B2:B800""), ""=""&amp;$A32, IMPORTRANGE('Survey Progress'!$B$34, ""data!O2:O800""), ""*""&amp;F$2&amp;""*"")"),0.0)</f>
        <v>0</v>
      </c>
      <c r="G32" s="20">
        <f>IFERROR(__xludf.DUMMYFUNCTION("COUNTIFS(IMPORTRANGE('Survey Progress'!$B$34, ""data!B2:B800""), ""=""&amp;$A32, IMPORTRANGE('Survey Progress'!$B$34, ""data!O2:O800""), ""*""&amp;G$2&amp;""*"")"),0.0)</f>
        <v>0</v>
      </c>
      <c r="H32" s="20">
        <f>IFERROR(__xludf.DUMMYFUNCTION("COUNTIFS(IMPORTRANGE('Survey Progress'!$B$34, ""data!B2:B800""), ""=""&amp;$A32, IMPORTRANGE('Survey Progress'!$B$34, ""data!O2:O800""), ""*""&amp;H$2&amp;""*"")"),0.0)</f>
        <v>0</v>
      </c>
      <c r="I32" s="20">
        <f>IFERROR(__xludf.DUMMYFUNCTION("COUNTIFS(IMPORTRANGE('Survey Progress'!$B$34, ""data!B2:B800""), ""=""&amp;$A32, IMPORTRANGE('Survey Progress'!$B$34, ""data!O2:O800""), ""*""&amp;I$2&amp;""*"")"),0.0)</f>
        <v>0</v>
      </c>
      <c r="J32" s="20">
        <f>IFERROR(__xludf.DUMMYFUNCTION("COUNTIFS(IMPORTRANGE('Survey Progress'!$B$34, ""data!B2:B800""), ""=""&amp;$A32, IMPORTRANGE('Survey Progress'!$B$34, ""data!O2:O800""), ""*""&amp;J$2&amp;""*"")"),0.0)</f>
        <v>0</v>
      </c>
      <c r="K32" s="20">
        <f>IFERROR(__xludf.DUMMYFUNCTION("COUNTIFS(IMPORTRANGE('Survey Progress'!$B$34, ""data!B2:B800""), ""=""&amp;$A32, IMPORTRANGE('Survey Progress'!$B$34, ""data!O2:O800""), ""*""&amp;K$2&amp;""*"")"),0.0)</f>
        <v>0</v>
      </c>
      <c r="L32" s="20">
        <f>IFERROR(__xludf.DUMMYFUNCTION("COUNTIFS(IMPORTRANGE('Survey Progress'!$B$34, ""data!B2:B800""), ""=""&amp;$A32, IMPORTRANGE('Survey Progress'!$B$34, ""data!O2:O800""), ""*""&amp;L$2&amp;""*"")"),0.0)</f>
        <v>0</v>
      </c>
      <c r="M32" s="20">
        <f>IFERROR(__xludf.DUMMYFUNCTION("COUNTIFS(IMPORTRANGE('Survey Progress'!$B$34, ""data!B2:B800""), ""=""&amp;$A32, IMPORTRANGE('Survey Progress'!$B$34, ""data!O2:O800""), ""*""&amp;M$2&amp;""*"")"),0.0)</f>
        <v>0</v>
      </c>
      <c r="N32" s="20">
        <f>IFERROR(__xludf.DUMMYFUNCTION("COUNTIFS(IMPORTRANGE('Survey Progress'!$B$34, ""data!B2:B800""), ""=""&amp;$A32, IMPORTRANGE('Survey Progress'!$B$34, ""data!O2:O800""), ""*""&amp;N$2&amp;""*"")"),0.0)</f>
        <v>0</v>
      </c>
      <c r="O32" s="20">
        <f>IFERROR(__xludf.DUMMYFUNCTION("COUNTIFS(IMPORTRANGE('Survey Progress'!$B$34, ""data!B2:B800""), ""=""&amp;$A32, IMPORTRANGE('Survey Progress'!$B$34, ""data!O2:O800""), ""*""&amp;O$2&amp;""*"")"),0.0)</f>
        <v>0</v>
      </c>
      <c r="P32" s="20">
        <f>IFERROR(__xludf.DUMMYFUNCTION("COUNTIFS(IMPORTRANGE('Survey Progress'!$B$34, ""data!B2:B800""), ""=""&amp;$A32, IMPORTRANGE('Survey Progress'!$B$34, ""data!O2:O800""), ""*""&amp;P$2&amp;""*"")"),0.0)</f>
        <v>0</v>
      </c>
      <c r="Q32" s="20">
        <f>IFERROR(__xludf.DUMMYFUNCTION("COUNTIFS(IMPORTRANGE('Survey Progress'!$B$34, ""data!B2:B800""), ""=""&amp;$A32, IMPORTRANGE('Survey Progress'!$B$34, ""data!O2:O800""), ""*""&amp;Q$2&amp;""*"")"),0.0)</f>
        <v>0</v>
      </c>
      <c r="R32" s="20">
        <f>IFERROR(__xludf.DUMMYFUNCTION("COUNTIFS(IMPORTRANGE('Survey Progress'!$B$34, ""data!B2:B800""), ""=""&amp;$A32, IMPORTRANGE('Survey Progress'!$B$34, ""data!O2:O800""), ""*""&amp;R$2&amp;""*"")"),0.0)</f>
        <v>0</v>
      </c>
      <c r="S32" s="20">
        <f>IFERROR(__xludf.DUMMYFUNCTION("COUNTIFS(IMPORTRANGE('Survey Progress'!$B$34, ""data!B2:B800""), ""=""&amp;$A32, IMPORTRANGE('Survey Progress'!$B$34, ""data!O2:O800""), ""*""&amp;S$2&amp;""*"")"),0.0)</f>
        <v>0</v>
      </c>
      <c r="T32" s="20">
        <f>IFERROR(__xludf.DUMMYFUNCTION("COUNTIFS(IMPORTRANGE('Survey Progress'!$B$34, ""data!B2:B800""), ""=""&amp;$A32, IMPORTRANGE('Survey Progress'!$B$34, ""data!O2:O800""), ""*""&amp;T$2&amp;""*"")"),0.0)</f>
        <v>0</v>
      </c>
    </row>
    <row r="33">
      <c r="A33" s="33"/>
      <c r="B33" s="4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</sheetData>
  <conditionalFormatting sqref="C3:T32">
    <cfRule type="colorScale" priority="1">
      <colorScale>
        <cfvo type="formula" val="0"/>
        <cfvo type="percentile" val="50"/>
        <cfvo type="max"/>
        <color rgb="FFE67C73"/>
        <color rgb="FFFFD666"/>
        <color rgb="FF57BB8A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4.13"/>
  </cols>
  <sheetData>
    <row r="1">
      <c r="A1" s="5" t="s">
        <v>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/>
      <c r="B2" s="12"/>
      <c r="C2" s="13" t="s">
        <v>7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3" t="s">
        <v>13</v>
      </c>
      <c r="J2" s="13" t="s">
        <v>14</v>
      </c>
      <c r="K2" s="13" t="s">
        <v>15</v>
      </c>
      <c r="L2" s="13" t="s">
        <v>16</v>
      </c>
      <c r="M2" s="13" t="s">
        <v>17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13" t="s">
        <v>25</v>
      </c>
      <c r="U2" s="9"/>
      <c r="V2" s="9"/>
      <c r="W2" s="9"/>
      <c r="X2" s="9"/>
      <c r="Y2" s="9"/>
      <c r="Z2" s="9"/>
    </row>
    <row r="3">
      <c r="A3" s="25" t="s">
        <v>26</v>
      </c>
      <c r="B3" s="26" t="s">
        <v>18</v>
      </c>
      <c r="C3" s="29" t="str">
        <f>IF(ISERROR(averageifs('_durationdata'!$B:$B, '_durationdata'!$A:$A, "*"&amp;$A3&amp;"*", '_durationdata'!$C:$C, "*"&amp;C$2&amp;"*")), "", averageifs('_durationdata'!$B:$B, '_durationdata'!$A:$A, "*"&amp;$A3&amp;"*", '_durationdata'!$C:$C, "*"&amp;C$2&amp;"*")/60)</f>
        <v/>
      </c>
      <c r="D3" s="29" t="str">
        <f>IF(ISERROR(averageifs('_durationdata'!$B:$B, '_durationdata'!$A:$A, "*"&amp;$A3&amp;"*", '_durationdata'!$C:$C, "*"&amp;D$2&amp;"*")), "", averageifs('_durationdata'!$B:$B, '_durationdata'!$A:$A, "*"&amp;$A3&amp;"*", '_durationdata'!$C:$C, "*"&amp;D$2&amp;"*")/60)</f>
        <v/>
      </c>
      <c r="E3" s="29" t="str">
        <f>IF(ISERROR(averageifs('_durationdata'!$B:$B, '_durationdata'!$A:$A, "*"&amp;$A3&amp;"*", '_durationdata'!$C:$C, "*"&amp;E$2&amp;"*")), "", averageifs('_durationdata'!$B:$B, '_durationdata'!$A:$A, "*"&amp;$A3&amp;"*", '_durationdata'!$C:$C, "*"&amp;E$2&amp;"*")/60)</f>
        <v/>
      </c>
      <c r="F3" s="29" t="str">
        <f>IF(ISERROR(averageifs('_durationdata'!$B:$B, '_durationdata'!$A:$A, "*"&amp;$A3&amp;"*", '_durationdata'!$C:$C, "*"&amp;F$2&amp;"*")), "", averageifs('_durationdata'!$B:$B, '_durationdata'!$A:$A, "*"&amp;$A3&amp;"*", '_durationdata'!$C:$C, "*"&amp;F$2&amp;"*")/60)</f>
        <v/>
      </c>
      <c r="G3" s="29" t="str">
        <f>IF(ISERROR(averageifs('_durationdata'!$B:$B, '_durationdata'!$A:$A, "*"&amp;$A3&amp;"*", '_durationdata'!$C:$C, "*"&amp;G$2&amp;"*")), "", averageifs('_durationdata'!$B:$B, '_durationdata'!$A:$A, "*"&amp;$A3&amp;"*", '_durationdata'!$C:$C, "*"&amp;G$2&amp;"*")/60)</f>
        <v/>
      </c>
      <c r="H3" s="29" t="str">
        <f>IF(ISERROR(averageifs('_durationdata'!$B:$B, '_durationdata'!$A:$A, "*"&amp;$A3&amp;"*", '_durationdata'!$C:$C, "*"&amp;H$2&amp;"*")), "", averageifs('_durationdata'!$B:$B, '_durationdata'!$A:$A, "*"&amp;$A3&amp;"*", '_durationdata'!$C:$C, "*"&amp;H$2&amp;"*")/60)</f>
        <v/>
      </c>
      <c r="I3" s="29" t="str">
        <f>IF(ISERROR(averageifs('_durationdata'!$B:$B, '_durationdata'!$A:$A, "*"&amp;$A3&amp;"*", '_durationdata'!$C:$C, "*"&amp;I$2&amp;"*")), "", averageifs('_durationdata'!$B:$B, '_durationdata'!$A:$A, "*"&amp;$A3&amp;"*", '_durationdata'!$C:$C, "*"&amp;I$2&amp;"*")/60)</f>
        <v/>
      </c>
      <c r="J3" s="29" t="str">
        <f>IF(ISERROR(averageifs('_durationdata'!$B:$B, '_durationdata'!$A:$A, "*"&amp;$A3&amp;"*", '_durationdata'!$C:$C, "*"&amp;J$2&amp;"*")), "", averageifs('_durationdata'!$B:$B, '_durationdata'!$A:$A, "*"&amp;$A3&amp;"*", '_durationdata'!$C:$C, "*"&amp;J$2&amp;"*")/60)</f>
        <v/>
      </c>
      <c r="K3" s="29" t="str">
        <f>IF(ISERROR(averageifs('_durationdata'!$B:$B, '_durationdata'!$A:$A, "*"&amp;$A3&amp;"*", '_durationdata'!$C:$C, "*"&amp;K$2&amp;"*")), "", averageifs('_durationdata'!$B:$B, '_durationdata'!$A:$A, "*"&amp;$A3&amp;"*", '_durationdata'!$C:$C, "*"&amp;K$2&amp;"*")/60)</f>
        <v/>
      </c>
      <c r="L3" s="29" t="str">
        <f>IF(ISERROR(averageifs('_durationdata'!$B:$B, '_durationdata'!$A:$A, "*"&amp;$A3&amp;"*", '_durationdata'!$C:$C, "*"&amp;L$2&amp;"*")), "", averageifs('_durationdata'!$B:$B, '_durationdata'!$A:$A, "*"&amp;$A3&amp;"*", '_durationdata'!$C:$C, "*"&amp;L$2&amp;"*")/60)</f>
        <v/>
      </c>
      <c r="M3" s="29" t="str">
        <f>IF(ISERROR(averageifs('_durationdata'!$B:$B, '_durationdata'!$A:$A, "*"&amp;$A3&amp;"*", '_durationdata'!$C:$C, "*"&amp;M$2&amp;"*")), "", averageifs('_durationdata'!$B:$B, '_durationdata'!$A:$A, "*"&amp;$A3&amp;"*", '_durationdata'!$C:$C, "*"&amp;M$2&amp;"*")/60)</f>
        <v/>
      </c>
      <c r="N3" s="29" t="str">
        <f>IF(ISERROR(averageifs('_durationdata'!$B:$B, '_durationdata'!$A:$A, "*"&amp;$A3&amp;"*", '_durationdata'!$C:$C, "*"&amp;N$2&amp;"*")), "", averageifs('_durationdata'!$B:$B, '_durationdata'!$A:$A, "*"&amp;$A3&amp;"*", '_durationdata'!$C:$C, "*"&amp;N$2&amp;"*")/60)</f>
        <v/>
      </c>
      <c r="O3" s="29" t="str">
        <f>IF(ISERROR(averageifs('_durationdata'!$B:$B, '_durationdata'!$A:$A, "*"&amp;$A3&amp;"*", '_durationdata'!$C:$C, "*"&amp;O$2&amp;"*")), "", averageifs('_durationdata'!$B:$B, '_durationdata'!$A:$A, "*"&amp;$A3&amp;"*", '_durationdata'!$C:$C, "*"&amp;O$2&amp;"*")/60)</f>
        <v/>
      </c>
      <c r="P3" s="29" t="str">
        <f>IF(ISERROR(averageifs('_durationdata'!$B:$B, '_durationdata'!$A:$A, "*"&amp;$A3&amp;"*", '_durationdata'!$C:$C, "*"&amp;P$2&amp;"*")), "", averageifs('_durationdata'!$B:$B, '_durationdata'!$A:$A, "*"&amp;$A3&amp;"*", '_durationdata'!$C:$C, "*"&amp;P$2&amp;"*")/60)</f>
        <v/>
      </c>
      <c r="Q3" s="29" t="str">
        <f>IF(ISERROR(averageifs('_durationdata'!$B:$B, '_durationdata'!$A:$A, "*"&amp;$A3&amp;"*", '_durationdata'!$C:$C, "*"&amp;Q$2&amp;"*")), "", averageifs('_durationdata'!$B:$B, '_durationdata'!$A:$A, "*"&amp;$A3&amp;"*", '_durationdata'!$C:$C, "*"&amp;Q$2&amp;"*")/60)</f>
        <v/>
      </c>
      <c r="R3" s="29" t="str">
        <f>IF(ISERROR(averageifs('_durationdata'!$B:$B, '_durationdata'!$A:$A, "*"&amp;$A3&amp;"*", '_durationdata'!$C:$C, "*"&amp;R$2&amp;"*")), "", averageifs('_durationdata'!$B:$B, '_durationdata'!$A:$A, "*"&amp;$A3&amp;"*", '_durationdata'!$C:$C, "*"&amp;R$2&amp;"*")/60)</f>
        <v/>
      </c>
      <c r="S3" s="29" t="str">
        <f>IF(ISERROR(averageifs('_durationdata'!$B:$B, '_durationdata'!$A:$A, "*"&amp;$A3&amp;"*", '_durationdata'!$C:$C, "*"&amp;S$2&amp;"*")), "", averageifs('_durationdata'!$B:$B, '_durationdata'!$A:$A, "*"&amp;$A3&amp;"*", '_durationdata'!$C:$C, "*"&amp;S$2&amp;"*")/60)</f>
        <v/>
      </c>
      <c r="T3" s="29" t="str">
        <f>IF(ISERROR(averageifs('_durationdata'!$B:$B, '_durationdata'!$A:$A, "*"&amp;$A3&amp;"*", '_durationdata'!$C:$C, "*"&amp;T$2&amp;"*")), "", averageifs('_durationdata'!$B:$B, '_durationdata'!$A:$A, "*"&amp;$A3&amp;"*", '_durationdata'!$C:$C, "*"&amp;T$2&amp;"*")/60)</f>
        <v/>
      </c>
      <c r="U3" s="33"/>
      <c r="V3" s="33"/>
      <c r="W3" s="33"/>
      <c r="X3" s="33"/>
      <c r="Y3" s="33"/>
      <c r="Z3" s="33"/>
    </row>
    <row r="4">
      <c r="A4" s="2" t="s">
        <v>26</v>
      </c>
      <c r="B4" s="17" t="s">
        <v>28</v>
      </c>
      <c r="C4" s="38" t="str">
        <f>IF(iserror(averageifs('_durationdata'!$G:$G, '_durationdata'!$F:$F, "*"&amp;$A4&amp;"*", '_durationdata'!$H:$H, "*"&amp;C$2&amp;"*")), "", averageifs('_durationdata'!$G:$G, '_durationdata'!$F:$F, "*"&amp;$A4&amp;"*", '_durationdata'!$H:$H, "*"&amp;C$2&amp;"*")/60)</f>
        <v/>
      </c>
      <c r="D4" s="38" t="str">
        <f>IF(iserror(averageifs('_durationdata'!$G:$G, '_durationdata'!$F:$F, "*"&amp;$A4&amp;"*", '_durationdata'!$H:$H, "*"&amp;D$2&amp;"*")), "", averageifs('_durationdata'!$G:$G, '_durationdata'!$F:$F, "*"&amp;$A4&amp;"*", '_durationdata'!$H:$H, "*"&amp;D$2&amp;"*")/60)</f>
        <v/>
      </c>
      <c r="E4" s="38" t="str">
        <f>IF(iserror(averageifs('_durationdata'!$G:$G, '_durationdata'!$F:$F, "*"&amp;$A4&amp;"*", '_durationdata'!$H:$H, "*"&amp;E$2&amp;"*")), "", averageifs('_durationdata'!$G:$G, '_durationdata'!$F:$F, "*"&amp;$A4&amp;"*", '_durationdata'!$H:$H, "*"&amp;E$2&amp;"*")/60)</f>
        <v/>
      </c>
      <c r="F4" s="38" t="str">
        <f>IF(iserror(averageifs('_durationdata'!$G:$G, '_durationdata'!$F:$F, "*"&amp;$A4&amp;"*", '_durationdata'!$H:$H, "*"&amp;F$2&amp;"*")), "", averageifs('_durationdata'!$G:$G, '_durationdata'!$F:$F, "*"&amp;$A4&amp;"*", '_durationdata'!$H:$H, "*"&amp;F$2&amp;"*")/60)</f>
        <v/>
      </c>
      <c r="G4" s="38" t="str">
        <f>IF(iserror(averageifs('_durationdata'!$G:$G, '_durationdata'!$F:$F, "*"&amp;$A4&amp;"*", '_durationdata'!$H:$H, "*"&amp;G$2&amp;"*")), "", averageifs('_durationdata'!$G:$G, '_durationdata'!$F:$F, "*"&amp;$A4&amp;"*", '_durationdata'!$H:$H, "*"&amp;G$2&amp;"*")/60)</f>
        <v/>
      </c>
      <c r="H4" s="38" t="str">
        <f>IF(iserror(averageifs('_durationdata'!$G:$G, '_durationdata'!$F:$F, "*"&amp;$A4&amp;"*", '_durationdata'!$H:$H, "*"&amp;H$2&amp;"*")), "", averageifs('_durationdata'!$G:$G, '_durationdata'!$F:$F, "*"&amp;$A4&amp;"*", '_durationdata'!$H:$H, "*"&amp;H$2&amp;"*")/60)</f>
        <v/>
      </c>
      <c r="I4" s="38" t="str">
        <f>IF(iserror(averageifs('_durationdata'!$G:$G, '_durationdata'!$F:$F, "*"&amp;$A4&amp;"*", '_durationdata'!$H:$H, "*"&amp;I$2&amp;"*")), "", averageifs('_durationdata'!$G:$G, '_durationdata'!$F:$F, "*"&amp;$A4&amp;"*", '_durationdata'!$H:$H, "*"&amp;I$2&amp;"*")/60)</f>
        <v/>
      </c>
      <c r="J4" s="38" t="str">
        <f>IF(iserror(averageifs('_durationdata'!$G:$G, '_durationdata'!$F:$F, "*"&amp;$A4&amp;"*", '_durationdata'!$H:$H, "*"&amp;J$2&amp;"*")), "", averageifs('_durationdata'!$G:$G, '_durationdata'!$F:$F, "*"&amp;$A4&amp;"*", '_durationdata'!$H:$H, "*"&amp;J$2&amp;"*")/60)</f>
        <v/>
      </c>
      <c r="K4" s="38" t="str">
        <f>IF(iserror(averageifs('_durationdata'!$G:$G, '_durationdata'!$F:$F, "*"&amp;$A4&amp;"*", '_durationdata'!$H:$H, "*"&amp;K$2&amp;"*")), "", averageifs('_durationdata'!$G:$G, '_durationdata'!$F:$F, "*"&amp;$A4&amp;"*", '_durationdata'!$H:$H, "*"&amp;K$2&amp;"*")/60)</f>
        <v/>
      </c>
      <c r="L4" s="38" t="str">
        <f>IF(iserror(averageifs('_durationdata'!$G:$G, '_durationdata'!$F:$F, "*"&amp;$A4&amp;"*", '_durationdata'!$H:$H, "*"&amp;L$2&amp;"*")), "", averageifs('_durationdata'!$G:$G, '_durationdata'!$F:$F, "*"&amp;$A4&amp;"*", '_durationdata'!$H:$H, "*"&amp;L$2&amp;"*")/60)</f>
        <v/>
      </c>
      <c r="M4" s="38" t="str">
        <f>IF(iserror(averageifs('_durationdata'!$G:$G, '_durationdata'!$F:$F, "*"&amp;$A4&amp;"*", '_durationdata'!$H:$H, "*"&amp;M$2&amp;"*")), "", averageifs('_durationdata'!$G:$G, '_durationdata'!$F:$F, "*"&amp;$A4&amp;"*", '_durationdata'!$H:$H, "*"&amp;M$2&amp;"*")/60)</f>
        <v/>
      </c>
      <c r="N4" s="38" t="str">
        <f>IF(iserror(averageifs('_durationdata'!$G:$G, '_durationdata'!$F:$F, "*"&amp;$A4&amp;"*", '_durationdata'!$H:$H, "*"&amp;N$2&amp;"*")), "", averageifs('_durationdata'!$G:$G, '_durationdata'!$F:$F, "*"&amp;$A4&amp;"*", '_durationdata'!$H:$H, "*"&amp;N$2&amp;"*")/60)</f>
        <v/>
      </c>
      <c r="O4" s="38" t="str">
        <f>IF(iserror(averageifs('_durationdata'!$G:$G, '_durationdata'!$F:$F, "*"&amp;$A4&amp;"*", '_durationdata'!$H:$H, "*"&amp;O$2&amp;"*")), "", averageifs('_durationdata'!$G:$G, '_durationdata'!$F:$F, "*"&amp;$A4&amp;"*", '_durationdata'!$H:$H, "*"&amp;O$2&amp;"*")/60)</f>
        <v/>
      </c>
      <c r="P4" s="38" t="str">
        <f>IF(iserror(averageifs('_durationdata'!$G:$G, '_durationdata'!$F:$F, "*"&amp;$A4&amp;"*", '_durationdata'!$H:$H, "*"&amp;P$2&amp;"*")), "", averageifs('_durationdata'!$G:$G, '_durationdata'!$F:$F, "*"&amp;$A4&amp;"*", '_durationdata'!$H:$H, "*"&amp;P$2&amp;"*")/60)</f>
        <v/>
      </c>
      <c r="Q4" s="38" t="str">
        <f>IF(iserror(averageifs('_durationdata'!$G:$G, '_durationdata'!$F:$F, "*"&amp;$A4&amp;"*", '_durationdata'!$H:$H, "*"&amp;Q$2&amp;"*")), "", averageifs('_durationdata'!$G:$G, '_durationdata'!$F:$F, "*"&amp;$A4&amp;"*", '_durationdata'!$H:$H, "*"&amp;Q$2&amp;"*")/60)</f>
        <v/>
      </c>
      <c r="R4" s="38" t="str">
        <f>IF(iserror(averageifs('_durationdata'!$G:$G, '_durationdata'!$F:$F, "*"&amp;$A4&amp;"*", '_durationdata'!$H:$H, "*"&amp;R$2&amp;"*")), "", averageifs('_durationdata'!$G:$G, '_durationdata'!$F:$F, "*"&amp;$A4&amp;"*", '_durationdata'!$H:$H, "*"&amp;R$2&amp;"*")/60)</f>
        <v/>
      </c>
      <c r="S4" s="38" t="str">
        <f>IF(iserror(averageifs('_durationdata'!$G:$G, '_durationdata'!$F:$F, "*"&amp;$A4&amp;"*", '_durationdata'!$H:$H, "*"&amp;S$2&amp;"*")), "", averageifs('_durationdata'!$G:$G, '_durationdata'!$F:$F, "*"&amp;$A4&amp;"*", '_durationdata'!$H:$H, "*"&amp;S$2&amp;"*")/60)</f>
        <v/>
      </c>
      <c r="T4" s="38" t="str">
        <f>IF(iserror(averageifs('_durationdata'!$G:$G, '_durationdata'!$F:$F, "*"&amp;$A4&amp;"*", '_durationdata'!$H:$H, "*"&amp;T$2&amp;"*")), "", averageifs('_durationdata'!$G:$G, '_durationdata'!$F:$F, "*"&amp;$A4&amp;"*", '_durationdata'!$H:$H, "*"&amp;T$2&amp;"*")/60)</f>
        <v/>
      </c>
    </row>
    <row r="5">
      <c r="A5" s="2" t="s">
        <v>26</v>
      </c>
      <c r="B5" s="17" t="s">
        <v>30</v>
      </c>
      <c r="C5" s="38" t="str">
        <f>IF(ISERROR(averageifs('_durationdata'!$L:$L, '_durationdata'!$K:$K, "*"&amp;$A5&amp;"*", '_durationdata'!$M:$M, "*"&amp;C$2&amp;"*")), "", averageifs('_durationdata'!$L:$L, '_durationdata'!$K:$K, "*"&amp;$A5&amp;"*", '_durationdata'!$M:$M, "*"&amp;C$2&amp;"*")/60)</f>
        <v/>
      </c>
      <c r="D5" s="38" t="str">
        <f>IF(ISERROR(averageifs('_durationdata'!$L:$L, '_durationdata'!$K:$K, "*"&amp;$A5&amp;"*", '_durationdata'!$M:$M, "*"&amp;D$2&amp;"*")), "", averageifs('_durationdata'!$L:$L, '_durationdata'!$K:$K, "*"&amp;$A5&amp;"*", '_durationdata'!$M:$M, "*"&amp;D$2&amp;"*")/60)</f>
        <v/>
      </c>
      <c r="E5" s="38" t="str">
        <f>IF(ISERROR(averageifs('_durationdata'!$L:$L, '_durationdata'!$K:$K, "*"&amp;$A5&amp;"*", '_durationdata'!$M:$M, "*"&amp;E$2&amp;"*")), "", averageifs('_durationdata'!$L:$L, '_durationdata'!$K:$K, "*"&amp;$A5&amp;"*", '_durationdata'!$M:$M, "*"&amp;E$2&amp;"*")/60)</f>
        <v/>
      </c>
      <c r="F5" s="38" t="str">
        <f>IF(ISERROR(averageifs('_durationdata'!$L:$L, '_durationdata'!$K:$K, "*"&amp;$A5&amp;"*", '_durationdata'!$M:$M, "*"&amp;F$2&amp;"*")), "", averageifs('_durationdata'!$L:$L, '_durationdata'!$K:$K, "*"&amp;$A5&amp;"*", '_durationdata'!$M:$M, "*"&amp;F$2&amp;"*")/60)</f>
        <v/>
      </c>
      <c r="G5" s="38" t="str">
        <f>IF(ISERROR(averageifs('_durationdata'!$L:$L, '_durationdata'!$K:$K, "*"&amp;$A5&amp;"*", '_durationdata'!$M:$M, "*"&amp;G$2&amp;"*")), "", averageifs('_durationdata'!$L:$L, '_durationdata'!$K:$K, "*"&amp;$A5&amp;"*", '_durationdata'!$M:$M, "*"&amp;G$2&amp;"*")/60)</f>
        <v/>
      </c>
      <c r="H5" s="38" t="str">
        <f>IF(ISERROR(averageifs('_durationdata'!$L:$L, '_durationdata'!$K:$K, "*"&amp;$A5&amp;"*", '_durationdata'!$M:$M, "*"&amp;H$2&amp;"*")), "", averageifs('_durationdata'!$L:$L, '_durationdata'!$K:$K, "*"&amp;$A5&amp;"*", '_durationdata'!$M:$M, "*"&amp;H$2&amp;"*")/60)</f>
        <v/>
      </c>
      <c r="I5" s="38" t="str">
        <f>IF(ISERROR(averageifs('_durationdata'!$L:$L, '_durationdata'!$K:$K, "*"&amp;$A5&amp;"*", '_durationdata'!$M:$M, "*"&amp;I$2&amp;"*")), "", averageifs('_durationdata'!$L:$L, '_durationdata'!$K:$K, "*"&amp;$A5&amp;"*", '_durationdata'!$M:$M, "*"&amp;I$2&amp;"*")/60)</f>
        <v/>
      </c>
      <c r="J5" s="38" t="str">
        <f>IF(ISERROR(averageifs('_durationdata'!$L:$L, '_durationdata'!$K:$K, "*"&amp;$A5&amp;"*", '_durationdata'!$M:$M, "*"&amp;J$2&amp;"*")), "", averageifs('_durationdata'!$L:$L, '_durationdata'!$K:$K, "*"&amp;$A5&amp;"*", '_durationdata'!$M:$M, "*"&amp;J$2&amp;"*")/60)</f>
        <v/>
      </c>
      <c r="K5" s="38" t="str">
        <f>IF(ISERROR(averageifs('_durationdata'!$L:$L, '_durationdata'!$K:$K, "*"&amp;$A5&amp;"*", '_durationdata'!$M:$M, "*"&amp;K$2&amp;"*")), "", averageifs('_durationdata'!$L:$L, '_durationdata'!$K:$K, "*"&amp;$A5&amp;"*", '_durationdata'!$M:$M, "*"&amp;K$2&amp;"*")/60)</f>
        <v/>
      </c>
      <c r="L5" s="38" t="str">
        <f>IF(ISERROR(averageifs('_durationdata'!$L:$L, '_durationdata'!$K:$K, "*"&amp;$A5&amp;"*", '_durationdata'!$M:$M, "*"&amp;L$2&amp;"*")), "", averageifs('_durationdata'!$L:$L, '_durationdata'!$K:$K, "*"&amp;$A5&amp;"*", '_durationdata'!$M:$M, "*"&amp;L$2&amp;"*")/60)</f>
        <v/>
      </c>
      <c r="M5" s="38" t="str">
        <f>IF(ISERROR(averageifs('_durationdata'!$L:$L, '_durationdata'!$K:$K, "*"&amp;$A5&amp;"*", '_durationdata'!$M:$M, "*"&amp;M$2&amp;"*")), "", averageifs('_durationdata'!$L:$L, '_durationdata'!$K:$K, "*"&amp;$A5&amp;"*", '_durationdata'!$M:$M, "*"&amp;M$2&amp;"*")/60)</f>
        <v/>
      </c>
      <c r="N5" s="38" t="str">
        <f>IF(ISERROR(averageifs('_durationdata'!$L:$L, '_durationdata'!$K:$K, "*"&amp;$A5&amp;"*", '_durationdata'!$M:$M, "*"&amp;N$2&amp;"*")), "", averageifs('_durationdata'!$L:$L, '_durationdata'!$K:$K, "*"&amp;$A5&amp;"*", '_durationdata'!$M:$M, "*"&amp;N$2&amp;"*")/60)</f>
        <v/>
      </c>
      <c r="O5" s="38" t="str">
        <f>IF(ISERROR(averageifs('_durationdata'!$L:$L, '_durationdata'!$K:$K, "*"&amp;$A5&amp;"*", '_durationdata'!$M:$M, "*"&amp;O$2&amp;"*")), "", averageifs('_durationdata'!$L:$L, '_durationdata'!$K:$K, "*"&amp;$A5&amp;"*", '_durationdata'!$M:$M, "*"&amp;O$2&amp;"*")/60)</f>
        <v/>
      </c>
      <c r="P5" s="38" t="str">
        <f>IF(ISERROR(averageifs('_durationdata'!$L:$L, '_durationdata'!$K:$K, "*"&amp;$A5&amp;"*", '_durationdata'!$M:$M, "*"&amp;P$2&amp;"*")), "", averageifs('_durationdata'!$L:$L, '_durationdata'!$K:$K, "*"&amp;$A5&amp;"*", '_durationdata'!$M:$M, "*"&amp;P$2&amp;"*")/60)</f>
        <v/>
      </c>
      <c r="Q5" s="38" t="str">
        <f>IF(ISERROR(averageifs('_durationdata'!$L:$L, '_durationdata'!$K:$K, "*"&amp;$A5&amp;"*", '_durationdata'!$M:$M, "*"&amp;Q$2&amp;"*")), "", averageifs('_durationdata'!$L:$L, '_durationdata'!$K:$K, "*"&amp;$A5&amp;"*", '_durationdata'!$M:$M, "*"&amp;Q$2&amp;"*")/60)</f>
        <v/>
      </c>
      <c r="R5" s="38" t="str">
        <f>IF(ISERROR(averageifs('_durationdata'!$L:$L, '_durationdata'!$K:$K, "*"&amp;$A5&amp;"*", '_durationdata'!$M:$M, "*"&amp;R$2&amp;"*")), "", averageifs('_durationdata'!$L:$L, '_durationdata'!$K:$K, "*"&amp;$A5&amp;"*", '_durationdata'!$M:$M, "*"&amp;R$2&amp;"*")/60)</f>
        <v/>
      </c>
      <c r="S5" s="38" t="str">
        <f>IF(ISERROR(averageifs('_durationdata'!$L:$L, '_durationdata'!$K:$K, "*"&amp;$A5&amp;"*", '_durationdata'!$M:$M, "*"&amp;S$2&amp;"*")), "", averageifs('_durationdata'!$L:$L, '_durationdata'!$K:$K, "*"&amp;$A5&amp;"*", '_durationdata'!$M:$M, "*"&amp;S$2&amp;"*")/60)</f>
        <v/>
      </c>
      <c r="T5" s="38" t="str">
        <f>IF(ISERROR(averageifs('_durationdata'!$L:$L, '_durationdata'!$K:$K, "*"&amp;$A5&amp;"*", '_durationdata'!$M:$M, "*"&amp;T$2&amp;"*")), "", averageifs('_durationdata'!$L:$L, '_durationdata'!$K:$K, "*"&amp;$A5&amp;"*", '_durationdata'!$M:$M, "*"&amp;T$2&amp;"*")/60)</f>
        <v/>
      </c>
    </row>
    <row r="6">
      <c r="A6" s="25" t="s">
        <v>37</v>
      </c>
      <c r="B6" s="26" t="s">
        <v>18</v>
      </c>
      <c r="C6" s="29" t="str">
        <f>IF(ISERROR(averageifs('_durationdata'!$B:$B, '_durationdata'!$A:$A, "*"&amp;$A6&amp;"*", '_durationdata'!$C:$C, "*"&amp;C$2&amp;"*")), "", averageifs('_durationdata'!$B:$B, '_durationdata'!$A:$A, "*"&amp;$A6&amp;"*", '_durationdata'!$C:$C, "*"&amp;C$2&amp;"*")/60)</f>
        <v/>
      </c>
      <c r="D6" s="29" t="str">
        <f>IF(ISERROR(averageifs('_durationdata'!$B:$B, '_durationdata'!$A:$A, "*"&amp;$A6&amp;"*", '_durationdata'!$C:$C, "*"&amp;D$2&amp;"*")), "", averageifs('_durationdata'!$B:$B, '_durationdata'!$A:$A, "*"&amp;$A6&amp;"*", '_durationdata'!$C:$C, "*"&amp;D$2&amp;"*")/60)</f>
        <v/>
      </c>
      <c r="E6" s="29" t="str">
        <f>IF(ISERROR(averageifs('_durationdata'!$B:$B, '_durationdata'!$A:$A, "*"&amp;$A6&amp;"*", '_durationdata'!$C:$C, "*"&amp;E$2&amp;"*")), "", averageifs('_durationdata'!$B:$B, '_durationdata'!$A:$A, "*"&amp;$A6&amp;"*", '_durationdata'!$C:$C, "*"&amp;E$2&amp;"*")/60)</f>
        <v/>
      </c>
      <c r="F6" s="29" t="str">
        <f>IF(ISERROR(averageifs('_durationdata'!$B:$B, '_durationdata'!$A:$A, "*"&amp;$A6&amp;"*", '_durationdata'!$C:$C, "*"&amp;F$2&amp;"*")), "", averageifs('_durationdata'!$B:$B, '_durationdata'!$A:$A, "*"&amp;$A6&amp;"*", '_durationdata'!$C:$C, "*"&amp;F$2&amp;"*")/60)</f>
        <v/>
      </c>
      <c r="G6" s="29" t="str">
        <f>IF(ISERROR(averageifs('_durationdata'!$B:$B, '_durationdata'!$A:$A, "*"&amp;$A6&amp;"*", '_durationdata'!$C:$C, "*"&amp;G$2&amp;"*")), "", averageifs('_durationdata'!$B:$B, '_durationdata'!$A:$A, "*"&amp;$A6&amp;"*", '_durationdata'!$C:$C, "*"&amp;G$2&amp;"*")/60)</f>
        <v/>
      </c>
      <c r="H6" s="29" t="str">
        <f>IF(ISERROR(averageifs('_durationdata'!$B:$B, '_durationdata'!$A:$A, "*"&amp;$A6&amp;"*", '_durationdata'!$C:$C, "*"&amp;H$2&amp;"*")), "", averageifs('_durationdata'!$B:$B, '_durationdata'!$A:$A, "*"&amp;$A6&amp;"*", '_durationdata'!$C:$C, "*"&amp;H$2&amp;"*")/60)</f>
        <v/>
      </c>
      <c r="I6" s="29" t="str">
        <f>IF(ISERROR(averageifs('_durationdata'!$B:$B, '_durationdata'!$A:$A, "*"&amp;$A6&amp;"*", '_durationdata'!$C:$C, "*"&amp;I$2&amp;"*")), "", averageifs('_durationdata'!$B:$B, '_durationdata'!$A:$A, "*"&amp;$A6&amp;"*", '_durationdata'!$C:$C, "*"&amp;I$2&amp;"*")/60)</f>
        <v/>
      </c>
      <c r="J6" s="29" t="str">
        <f>IF(ISERROR(averageifs('_durationdata'!$B:$B, '_durationdata'!$A:$A, "*"&amp;$A6&amp;"*", '_durationdata'!$C:$C, "*"&amp;J$2&amp;"*")), "", averageifs('_durationdata'!$B:$B, '_durationdata'!$A:$A, "*"&amp;$A6&amp;"*", '_durationdata'!$C:$C, "*"&amp;J$2&amp;"*")/60)</f>
        <v/>
      </c>
      <c r="K6" s="29" t="str">
        <f>IF(ISERROR(averageifs('_durationdata'!$B:$B, '_durationdata'!$A:$A, "*"&amp;$A6&amp;"*", '_durationdata'!$C:$C, "*"&amp;K$2&amp;"*")), "", averageifs('_durationdata'!$B:$B, '_durationdata'!$A:$A, "*"&amp;$A6&amp;"*", '_durationdata'!$C:$C, "*"&amp;K$2&amp;"*")/60)</f>
        <v/>
      </c>
      <c r="L6" s="29" t="str">
        <f>IF(ISERROR(averageifs('_durationdata'!$B:$B, '_durationdata'!$A:$A, "*"&amp;$A6&amp;"*", '_durationdata'!$C:$C, "*"&amp;L$2&amp;"*")), "", averageifs('_durationdata'!$B:$B, '_durationdata'!$A:$A, "*"&amp;$A6&amp;"*", '_durationdata'!$C:$C, "*"&amp;L$2&amp;"*")/60)</f>
        <v/>
      </c>
      <c r="M6" s="29" t="str">
        <f>IF(ISERROR(averageifs('_durationdata'!$B:$B, '_durationdata'!$A:$A, "*"&amp;$A6&amp;"*", '_durationdata'!$C:$C, "*"&amp;M$2&amp;"*")), "", averageifs('_durationdata'!$B:$B, '_durationdata'!$A:$A, "*"&amp;$A6&amp;"*", '_durationdata'!$C:$C, "*"&amp;M$2&amp;"*")/60)</f>
        <v/>
      </c>
      <c r="N6" s="29" t="str">
        <f>IF(ISERROR(averageifs('_durationdata'!$B:$B, '_durationdata'!$A:$A, "*"&amp;$A6&amp;"*", '_durationdata'!$C:$C, "*"&amp;N$2&amp;"*")), "", averageifs('_durationdata'!$B:$B, '_durationdata'!$A:$A, "*"&amp;$A6&amp;"*", '_durationdata'!$C:$C, "*"&amp;N$2&amp;"*")/60)</f>
        <v/>
      </c>
      <c r="O6" s="29" t="str">
        <f>IF(ISERROR(averageifs('_durationdata'!$B:$B, '_durationdata'!$A:$A, "*"&amp;$A6&amp;"*", '_durationdata'!$C:$C, "*"&amp;O$2&amp;"*")), "", averageifs('_durationdata'!$B:$B, '_durationdata'!$A:$A, "*"&amp;$A6&amp;"*", '_durationdata'!$C:$C, "*"&amp;O$2&amp;"*")/60)</f>
        <v/>
      </c>
      <c r="P6" s="29" t="str">
        <f>IF(ISERROR(averageifs('_durationdata'!$B:$B, '_durationdata'!$A:$A, "*"&amp;$A6&amp;"*", '_durationdata'!$C:$C, "*"&amp;P$2&amp;"*")), "", averageifs('_durationdata'!$B:$B, '_durationdata'!$A:$A, "*"&amp;$A6&amp;"*", '_durationdata'!$C:$C, "*"&amp;P$2&amp;"*")/60)</f>
        <v/>
      </c>
      <c r="Q6" s="29" t="str">
        <f>IF(ISERROR(averageifs('_durationdata'!$B:$B, '_durationdata'!$A:$A, "*"&amp;$A6&amp;"*", '_durationdata'!$C:$C, "*"&amp;Q$2&amp;"*")), "", averageifs('_durationdata'!$B:$B, '_durationdata'!$A:$A, "*"&amp;$A6&amp;"*", '_durationdata'!$C:$C, "*"&amp;Q$2&amp;"*")/60)</f>
        <v/>
      </c>
      <c r="R6" s="29" t="str">
        <f>IF(ISERROR(averageifs('_durationdata'!$B:$B, '_durationdata'!$A:$A, "*"&amp;$A6&amp;"*", '_durationdata'!$C:$C, "*"&amp;R$2&amp;"*")), "", averageifs('_durationdata'!$B:$B, '_durationdata'!$A:$A, "*"&amp;$A6&amp;"*", '_durationdata'!$C:$C, "*"&amp;R$2&amp;"*")/60)</f>
        <v/>
      </c>
      <c r="S6" s="29" t="str">
        <f>IF(ISERROR(averageifs('_durationdata'!$B:$B, '_durationdata'!$A:$A, "*"&amp;$A6&amp;"*", '_durationdata'!$C:$C, "*"&amp;S$2&amp;"*")), "", averageifs('_durationdata'!$B:$B, '_durationdata'!$A:$A, "*"&amp;$A6&amp;"*", '_durationdata'!$C:$C, "*"&amp;S$2&amp;"*")/60)</f>
        <v/>
      </c>
      <c r="T6" s="29" t="str">
        <f>IF(ISERROR(averageifs('_durationdata'!$B:$B, '_durationdata'!$A:$A, "*"&amp;$A6&amp;"*", '_durationdata'!$C:$C, "*"&amp;T$2&amp;"*")), "", averageifs('_durationdata'!$B:$B, '_durationdata'!$A:$A, "*"&amp;$A6&amp;"*", '_durationdata'!$C:$C, "*"&amp;T$2&amp;"*")/60)</f>
        <v/>
      </c>
      <c r="U6" s="33"/>
      <c r="V6" s="33"/>
      <c r="W6" s="33"/>
      <c r="X6" s="33"/>
      <c r="Y6" s="33"/>
      <c r="Z6" s="33"/>
    </row>
    <row r="7">
      <c r="A7" s="2" t="s">
        <v>37</v>
      </c>
      <c r="B7" s="17" t="s">
        <v>28</v>
      </c>
      <c r="C7" s="38" t="str">
        <f>IF(iserror(averageifs('_durationdata'!$G:$G, '_durationdata'!$F:$F, "*"&amp;$A7&amp;"*", '_durationdata'!$H:$H, "*"&amp;C$2&amp;"*")), "", averageifs('_durationdata'!$G:$G, '_durationdata'!$F:$F, "*"&amp;$A7&amp;"*", '_durationdata'!$H:$H, "*"&amp;C$2&amp;"*")/60)</f>
        <v/>
      </c>
      <c r="D7" s="38" t="str">
        <f>IF(iserror(averageifs('_durationdata'!$G:$G, '_durationdata'!$F:$F, "*"&amp;$A7&amp;"*", '_durationdata'!$H:$H, "*"&amp;D$2&amp;"*")), "", averageifs('_durationdata'!$G:$G, '_durationdata'!$F:$F, "*"&amp;$A7&amp;"*", '_durationdata'!$H:$H, "*"&amp;D$2&amp;"*")/60)</f>
        <v/>
      </c>
      <c r="E7" s="38" t="str">
        <f>IF(iserror(averageifs('_durationdata'!$G:$G, '_durationdata'!$F:$F, "*"&amp;$A7&amp;"*", '_durationdata'!$H:$H, "*"&amp;E$2&amp;"*")), "", averageifs('_durationdata'!$G:$G, '_durationdata'!$F:$F, "*"&amp;$A7&amp;"*", '_durationdata'!$H:$H, "*"&amp;E$2&amp;"*")/60)</f>
        <v/>
      </c>
      <c r="F7" s="38" t="str">
        <f>IF(iserror(averageifs('_durationdata'!$G:$G, '_durationdata'!$F:$F, "*"&amp;$A7&amp;"*", '_durationdata'!$H:$H, "*"&amp;F$2&amp;"*")), "", averageifs('_durationdata'!$G:$G, '_durationdata'!$F:$F, "*"&amp;$A7&amp;"*", '_durationdata'!$H:$H, "*"&amp;F$2&amp;"*")/60)</f>
        <v/>
      </c>
      <c r="G7" s="38" t="str">
        <f>IF(iserror(averageifs('_durationdata'!$G:$G, '_durationdata'!$F:$F, "*"&amp;$A7&amp;"*", '_durationdata'!$H:$H, "*"&amp;G$2&amp;"*")), "", averageifs('_durationdata'!$G:$G, '_durationdata'!$F:$F, "*"&amp;$A7&amp;"*", '_durationdata'!$H:$H, "*"&amp;G$2&amp;"*")/60)</f>
        <v/>
      </c>
      <c r="H7" s="38" t="str">
        <f>IF(iserror(averageifs('_durationdata'!$G:$G, '_durationdata'!$F:$F, "*"&amp;$A7&amp;"*", '_durationdata'!$H:$H, "*"&amp;H$2&amp;"*")), "", averageifs('_durationdata'!$G:$G, '_durationdata'!$F:$F, "*"&amp;$A7&amp;"*", '_durationdata'!$H:$H, "*"&amp;H$2&amp;"*")/60)</f>
        <v/>
      </c>
      <c r="I7" s="38" t="str">
        <f>IF(iserror(averageifs('_durationdata'!$G:$G, '_durationdata'!$F:$F, "*"&amp;$A7&amp;"*", '_durationdata'!$H:$H, "*"&amp;I$2&amp;"*")), "", averageifs('_durationdata'!$G:$G, '_durationdata'!$F:$F, "*"&amp;$A7&amp;"*", '_durationdata'!$H:$H, "*"&amp;I$2&amp;"*")/60)</f>
        <v/>
      </c>
      <c r="J7" s="38" t="str">
        <f>IF(iserror(averageifs('_durationdata'!$G:$G, '_durationdata'!$F:$F, "*"&amp;$A7&amp;"*", '_durationdata'!$H:$H, "*"&amp;J$2&amp;"*")), "", averageifs('_durationdata'!$G:$G, '_durationdata'!$F:$F, "*"&amp;$A7&amp;"*", '_durationdata'!$H:$H, "*"&amp;J$2&amp;"*")/60)</f>
        <v/>
      </c>
      <c r="K7" s="38" t="str">
        <f>IF(iserror(averageifs('_durationdata'!$G:$G, '_durationdata'!$F:$F, "*"&amp;$A7&amp;"*", '_durationdata'!$H:$H, "*"&amp;K$2&amp;"*")), "", averageifs('_durationdata'!$G:$G, '_durationdata'!$F:$F, "*"&amp;$A7&amp;"*", '_durationdata'!$H:$H, "*"&amp;K$2&amp;"*")/60)</f>
        <v/>
      </c>
      <c r="L7" s="38" t="str">
        <f>IF(iserror(averageifs('_durationdata'!$G:$G, '_durationdata'!$F:$F, "*"&amp;$A7&amp;"*", '_durationdata'!$H:$H, "*"&amp;L$2&amp;"*")), "", averageifs('_durationdata'!$G:$G, '_durationdata'!$F:$F, "*"&amp;$A7&amp;"*", '_durationdata'!$H:$H, "*"&amp;L$2&amp;"*")/60)</f>
        <v/>
      </c>
      <c r="M7" s="38" t="str">
        <f>IF(iserror(averageifs('_durationdata'!$G:$G, '_durationdata'!$F:$F, "*"&amp;$A7&amp;"*", '_durationdata'!$H:$H, "*"&amp;M$2&amp;"*")), "", averageifs('_durationdata'!$G:$G, '_durationdata'!$F:$F, "*"&amp;$A7&amp;"*", '_durationdata'!$H:$H, "*"&amp;M$2&amp;"*")/60)</f>
        <v/>
      </c>
      <c r="N7" s="38" t="str">
        <f>IF(iserror(averageifs('_durationdata'!$G:$G, '_durationdata'!$F:$F, "*"&amp;$A7&amp;"*", '_durationdata'!$H:$H, "*"&amp;N$2&amp;"*")), "", averageifs('_durationdata'!$G:$G, '_durationdata'!$F:$F, "*"&amp;$A7&amp;"*", '_durationdata'!$H:$H, "*"&amp;N$2&amp;"*")/60)</f>
        <v/>
      </c>
      <c r="O7" s="38" t="str">
        <f>IF(iserror(averageifs('_durationdata'!$G:$G, '_durationdata'!$F:$F, "*"&amp;$A7&amp;"*", '_durationdata'!$H:$H, "*"&amp;O$2&amp;"*")), "", averageifs('_durationdata'!$G:$G, '_durationdata'!$F:$F, "*"&amp;$A7&amp;"*", '_durationdata'!$H:$H, "*"&amp;O$2&amp;"*")/60)</f>
        <v/>
      </c>
      <c r="P7" s="38" t="str">
        <f>IF(iserror(averageifs('_durationdata'!$G:$G, '_durationdata'!$F:$F, "*"&amp;$A7&amp;"*", '_durationdata'!$H:$H, "*"&amp;P$2&amp;"*")), "", averageifs('_durationdata'!$G:$G, '_durationdata'!$F:$F, "*"&amp;$A7&amp;"*", '_durationdata'!$H:$H, "*"&amp;P$2&amp;"*")/60)</f>
        <v/>
      </c>
      <c r="Q7" s="38" t="str">
        <f>IF(iserror(averageifs('_durationdata'!$G:$G, '_durationdata'!$F:$F, "*"&amp;$A7&amp;"*", '_durationdata'!$H:$H, "*"&amp;Q$2&amp;"*")), "", averageifs('_durationdata'!$G:$G, '_durationdata'!$F:$F, "*"&amp;$A7&amp;"*", '_durationdata'!$H:$H, "*"&amp;Q$2&amp;"*")/60)</f>
        <v/>
      </c>
      <c r="R7" s="38" t="str">
        <f>IF(iserror(averageifs('_durationdata'!$G:$G, '_durationdata'!$F:$F, "*"&amp;$A7&amp;"*", '_durationdata'!$H:$H, "*"&amp;R$2&amp;"*")), "", averageifs('_durationdata'!$G:$G, '_durationdata'!$F:$F, "*"&amp;$A7&amp;"*", '_durationdata'!$H:$H, "*"&amp;R$2&amp;"*")/60)</f>
        <v/>
      </c>
      <c r="S7" s="38" t="str">
        <f>IF(iserror(averageifs('_durationdata'!$G:$G, '_durationdata'!$F:$F, "*"&amp;$A7&amp;"*", '_durationdata'!$H:$H, "*"&amp;S$2&amp;"*")), "", averageifs('_durationdata'!$G:$G, '_durationdata'!$F:$F, "*"&amp;$A7&amp;"*", '_durationdata'!$H:$H, "*"&amp;S$2&amp;"*")/60)</f>
        <v/>
      </c>
      <c r="T7" s="38" t="str">
        <f>IF(iserror(averageifs('_durationdata'!$G:$G, '_durationdata'!$F:$F, "*"&amp;$A7&amp;"*", '_durationdata'!$H:$H, "*"&amp;T$2&amp;"*")), "", averageifs('_durationdata'!$G:$G, '_durationdata'!$F:$F, "*"&amp;$A7&amp;"*", '_durationdata'!$H:$H, "*"&amp;T$2&amp;"*")/60)</f>
        <v/>
      </c>
    </row>
    <row r="8">
      <c r="A8" s="2" t="s">
        <v>37</v>
      </c>
      <c r="B8" s="17" t="s">
        <v>30</v>
      </c>
      <c r="C8" s="38" t="str">
        <f>IF(ISERROR(averageifs('_durationdata'!$L:$L, '_durationdata'!$K:$K, "*"&amp;$A8&amp;"*", '_durationdata'!$M:$M, "*"&amp;C$2&amp;"*")), "", averageifs('_durationdata'!$L:$L, '_durationdata'!$K:$K, "*"&amp;$A8&amp;"*", '_durationdata'!$M:$M, "*"&amp;C$2&amp;"*")/60)</f>
        <v/>
      </c>
      <c r="D8" s="38" t="str">
        <f>IF(ISERROR(averageifs('_durationdata'!$L:$L, '_durationdata'!$K:$K, "*"&amp;$A8&amp;"*", '_durationdata'!$M:$M, "*"&amp;D$2&amp;"*")), "", averageifs('_durationdata'!$L:$L, '_durationdata'!$K:$K, "*"&amp;$A8&amp;"*", '_durationdata'!$M:$M, "*"&amp;D$2&amp;"*")/60)</f>
        <v/>
      </c>
      <c r="E8" s="38" t="str">
        <f>IF(ISERROR(averageifs('_durationdata'!$L:$L, '_durationdata'!$K:$K, "*"&amp;$A8&amp;"*", '_durationdata'!$M:$M, "*"&amp;E$2&amp;"*")), "", averageifs('_durationdata'!$L:$L, '_durationdata'!$K:$K, "*"&amp;$A8&amp;"*", '_durationdata'!$M:$M, "*"&amp;E$2&amp;"*")/60)</f>
        <v/>
      </c>
      <c r="F8" s="38" t="str">
        <f>IF(ISERROR(averageifs('_durationdata'!$L:$L, '_durationdata'!$K:$K, "*"&amp;$A8&amp;"*", '_durationdata'!$M:$M, "*"&amp;F$2&amp;"*")), "", averageifs('_durationdata'!$L:$L, '_durationdata'!$K:$K, "*"&amp;$A8&amp;"*", '_durationdata'!$M:$M, "*"&amp;F$2&amp;"*")/60)</f>
        <v/>
      </c>
      <c r="G8" s="38" t="str">
        <f>IF(ISERROR(averageifs('_durationdata'!$L:$L, '_durationdata'!$K:$K, "*"&amp;$A8&amp;"*", '_durationdata'!$M:$M, "*"&amp;G$2&amp;"*")), "", averageifs('_durationdata'!$L:$L, '_durationdata'!$K:$K, "*"&amp;$A8&amp;"*", '_durationdata'!$M:$M, "*"&amp;G$2&amp;"*")/60)</f>
        <v/>
      </c>
      <c r="H8" s="38" t="str">
        <f>IF(ISERROR(averageifs('_durationdata'!$L:$L, '_durationdata'!$K:$K, "*"&amp;$A8&amp;"*", '_durationdata'!$M:$M, "*"&amp;H$2&amp;"*")), "", averageifs('_durationdata'!$L:$L, '_durationdata'!$K:$K, "*"&amp;$A8&amp;"*", '_durationdata'!$M:$M, "*"&amp;H$2&amp;"*")/60)</f>
        <v/>
      </c>
      <c r="I8" s="38" t="str">
        <f>IF(ISERROR(averageifs('_durationdata'!$L:$L, '_durationdata'!$K:$K, "*"&amp;$A8&amp;"*", '_durationdata'!$M:$M, "*"&amp;I$2&amp;"*")), "", averageifs('_durationdata'!$L:$L, '_durationdata'!$K:$K, "*"&amp;$A8&amp;"*", '_durationdata'!$M:$M, "*"&amp;I$2&amp;"*")/60)</f>
        <v/>
      </c>
      <c r="J8" s="38" t="str">
        <f>IF(ISERROR(averageifs('_durationdata'!$L:$L, '_durationdata'!$K:$K, "*"&amp;$A8&amp;"*", '_durationdata'!$M:$M, "*"&amp;J$2&amp;"*")), "", averageifs('_durationdata'!$L:$L, '_durationdata'!$K:$K, "*"&amp;$A8&amp;"*", '_durationdata'!$M:$M, "*"&amp;J$2&amp;"*")/60)</f>
        <v/>
      </c>
      <c r="K8" s="38" t="str">
        <f>IF(ISERROR(averageifs('_durationdata'!$L:$L, '_durationdata'!$K:$K, "*"&amp;$A8&amp;"*", '_durationdata'!$M:$M, "*"&amp;K$2&amp;"*")), "", averageifs('_durationdata'!$L:$L, '_durationdata'!$K:$K, "*"&amp;$A8&amp;"*", '_durationdata'!$M:$M, "*"&amp;K$2&amp;"*")/60)</f>
        <v/>
      </c>
      <c r="L8" s="38" t="str">
        <f>IF(ISERROR(averageifs('_durationdata'!$L:$L, '_durationdata'!$K:$K, "*"&amp;$A8&amp;"*", '_durationdata'!$M:$M, "*"&amp;L$2&amp;"*")), "", averageifs('_durationdata'!$L:$L, '_durationdata'!$K:$K, "*"&amp;$A8&amp;"*", '_durationdata'!$M:$M, "*"&amp;L$2&amp;"*")/60)</f>
        <v/>
      </c>
      <c r="M8" s="38" t="str">
        <f>IF(ISERROR(averageifs('_durationdata'!$L:$L, '_durationdata'!$K:$K, "*"&amp;$A8&amp;"*", '_durationdata'!$M:$M, "*"&amp;M$2&amp;"*")), "", averageifs('_durationdata'!$L:$L, '_durationdata'!$K:$K, "*"&amp;$A8&amp;"*", '_durationdata'!$M:$M, "*"&amp;M$2&amp;"*")/60)</f>
        <v/>
      </c>
      <c r="N8" s="38" t="str">
        <f>IF(ISERROR(averageifs('_durationdata'!$L:$L, '_durationdata'!$K:$K, "*"&amp;$A8&amp;"*", '_durationdata'!$M:$M, "*"&amp;N$2&amp;"*")), "", averageifs('_durationdata'!$L:$L, '_durationdata'!$K:$K, "*"&amp;$A8&amp;"*", '_durationdata'!$M:$M, "*"&amp;N$2&amp;"*")/60)</f>
        <v/>
      </c>
      <c r="O8" s="38" t="str">
        <f>IF(ISERROR(averageifs('_durationdata'!$L:$L, '_durationdata'!$K:$K, "*"&amp;$A8&amp;"*", '_durationdata'!$M:$M, "*"&amp;O$2&amp;"*")), "", averageifs('_durationdata'!$L:$L, '_durationdata'!$K:$K, "*"&amp;$A8&amp;"*", '_durationdata'!$M:$M, "*"&amp;O$2&amp;"*")/60)</f>
        <v/>
      </c>
      <c r="P8" s="38" t="str">
        <f>IF(ISERROR(averageifs('_durationdata'!$L:$L, '_durationdata'!$K:$K, "*"&amp;$A8&amp;"*", '_durationdata'!$M:$M, "*"&amp;P$2&amp;"*")), "", averageifs('_durationdata'!$L:$L, '_durationdata'!$K:$K, "*"&amp;$A8&amp;"*", '_durationdata'!$M:$M, "*"&amp;P$2&amp;"*")/60)</f>
        <v/>
      </c>
      <c r="Q8" s="38" t="str">
        <f>IF(ISERROR(averageifs('_durationdata'!$L:$L, '_durationdata'!$K:$K, "*"&amp;$A8&amp;"*", '_durationdata'!$M:$M, "*"&amp;Q$2&amp;"*")), "", averageifs('_durationdata'!$L:$L, '_durationdata'!$K:$K, "*"&amp;$A8&amp;"*", '_durationdata'!$M:$M, "*"&amp;Q$2&amp;"*")/60)</f>
        <v/>
      </c>
      <c r="R8" s="38" t="str">
        <f>IF(ISERROR(averageifs('_durationdata'!$L:$L, '_durationdata'!$K:$K, "*"&amp;$A8&amp;"*", '_durationdata'!$M:$M, "*"&amp;R$2&amp;"*")), "", averageifs('_durationdata'!$L:$L, '_durationdata'!$K:$K, "*"&amp;$A8&amp;"*", '_durationdata'!$M:$M, "*"&amp;R$2&amp;"*")/60)</f>
        <v/>
      </c>
      <c r="S8" s="38" t="str">
        <f>IF(ISERROR(averageifs('_durationdata'!$L:$L, '_durationdata'!$K:$K, "*"&amp;$A8&amp;"*", '_durationdata'!$M:$M, "*"&amp;S$2&amp;"*")), "", averageifs('_durationdata'!$L:$L, '_durationdata'!$K:$K, "*"&amp;$A8&amp;"*", '_durationdata'!$M:$M, "*"&amp;S$2&amp;"*")/60)</f>
        <v/>
      </c>
      <c r="T8" s="38" t="str">
        <f>IF(ISERROR(averageifs('_durationdata'!$L:$L, '_durationdata'!$K:$K, "*"&amp;$A8&amp;"*", '_durationdata'!$M:$M, "*"&amp;T$2&amp;"*")), "", averageifs('_durationdata'!$L:$L, '_durationdata'!$K:$K, "*"&amp;$A8&amp;"*", '_durationdata'!$M:$M, "*"&amp;T$2&amp;"*")/60)</f>
        <v/>
      </c>
    </row>
    <row r="9">
      <c r="A9" s="25" t="s">
        <v>43</v>
      </c>
      <c r="B9" s="26" t="s">
        <v>18</v>
      </c>
      <c r="C9" s="29" t="str">
        <f>IF(ISERROR(averageifs('_durationdata'!$B:$B, '_durationdata'!$A:$A, "*"&amp;$A9&amp;"*", '_durationdata'!$C:$C, "*"&amp;C$2&amp;"*")), "", averageifs('_durationdata'!$B:$B, '_durationdata'!$A:$A, "*"&amp;$A9&amp;"*", '_durationdata'!$C:$C, "*"&amp;C$2&amp;"*")/60)</f>
        <v/>
      </c>
      <c r="D9" s="29" t="str">
        <f>IF(ISERROR(averageifs('_durationdata'!$B:$B, '_durationdata'!$A:$A, "*"&amp;$A9&amp;"*", '_durationdata'!$C:$C, "*"&amp;D$2&amp;"*")), "", averageifs('_durationdata'!$B:$B, '_durationdata'!$A:$A, "*"&amp;$A9&amp;"*", '_durationdata'!$C:$C, "*"&amp;D$2&amp;"*")/60)</f>
        <v/>
      </c>
      <c r="E9" s="29" t="str">
        <f>IF(ISERROR(averageifs('_durationdata'!$B:$B, '_durationdata'!$A:$A, "*"&amp;$A9&amp;"*", '_durationdata'!$C:$C, "*"&amp;E$2&amp;"*")), "", averageifs('_durationdata'!$B:$B, '_durationdata'!$A:$A, "*"&amp;$A9&amp;"*", '_durationdata'!$C:$C, "*"&amp;E$2&amp;"*")/60)</f>
        <v/>
      </c>
      <c r="F9" s="29" t="str">
        <f>IF(ISERROR(averageifs('_durationdata'!$B:$B, '_durationdata'!$A:$A, "*"&amp;$A9&amp;"*", '_durationdata'!$C:$C, "*"&amp;F$2&amp;"*")), "", averageifs('_durationdata'!$B:$B, '_durationdata'!$A:$A, "*"&amp;$A9&amp;"*", '_durationdata'!$C:$C, "*"&amp;F$2&amp;"*")/60)</f>
        <v/>
      </c>
      <c r="G9" s="29" t="str">
        <f>IF(ISERROR(averageifs('_durationdata'!$B:$B, '_durationdata'!$A:$A, "*"&amp;$A9&amp;"*", '_durationdata'!$C:$C, "*"&amp;G$2&amp;"*")), "", averageifs('_durationdata'!$B:$B, '_durationdata'!$A:$A, "*"&amp;$A9&amp;"*", '_durationdata'!$C:$C, "*"&amp;G$2&amp;"*")/60)</f>
        <v/>
      </c>
      <c r="H9" s="29" t="str">
        <f>IF(ISERROR(averageifs('_durationdata'!$B:$B, '_durationdata'!$A:$A, "*"&amp;$A9&amp;"*", '_durationdata'!$C:$C, "*"&amp;H$2&amp;"*")), "", averageifs('_durationdata'!$B:$B, '_durationdata'!$A:$A, "*"&amp;$A9&amp;"*", '_durationdata'!$C:$C, "*"&amp;H$2&amp;"*")/60)</f>
        <v/>
      </c>
      <c r="I9" s="29" t="str">
        <f>IF(ISERROR(averageifs('_durationdata'!$B:$B, '_durationdata'!$A:$A, "*"&amp;$A9&amp;"*", '_durationdata'!$C:$C, "*"&amp;I$2&amp;"*")), "", averageifs('_durationdata'!$B:$B, '_durationdata'!$A:$A, "*"&amp;$A9&amp;"*", '_durationdata'!$C:$C, "*"&amp;I$2&amp;"*")/60)</f>
        <v/>
      </c>
      <c r="J9" s="29" t="str">
        <f>IF(ISERROR(averageifs('_durationdata'!$B:$B, '_durationdata'!$A:$A, "*"&amp;$A9&amp;"*", '_durationdata'!$C:$C, "*"&amp;J$2&amp;"*")), "", averageifs('_durationdata'!$B:$B, '_durationdata'!$A:$A, "*"&amp;$A9&amp;"*", '_durationdata'!$C:$C, "*"&amp;J$2&amp;"*")/60)</f>
        <v/>
      </c>
      <c r="K9" s="29" t="str">
        <f>IF(ISERROR(averageifs('_durationdata'!$B:$B, '_durationdata'!$A:$A, "*"&amp;$A9&amp;"*", '_durationdata'!$C:$C, "*"&amp;K$2&amp;"*")), "", averageifs('_durationdata'!$B:$B, '_durationdata'!$A:$A, "*"&amp;$A9&amp;"*", '_durationdata'!$C:$C, "*"&amp;K$2&amp;"*")/60)</f>
        <v/>
      </c>
      <c r="L9" s="29" t="str">
        <f>IF(ISERROR(averageifs('_durationdata'!$B:$B, '_durationdata'!$A:$A, "*"&amp;$A9&amp;"*", '_durationdata'!$C:$C, "*"&amp;L$2&amp;"*")), "", averageifs('_durationdata'!$B:$B, '_durationdata'!$A:$A, "*"&amp;$A9&amp;"*", '_durationdata'!$C:$C, "*"&amp;L$2&amp;"*")/60)</f>
        <v/>
      </c>
      <c r="M9" s="29" t="str">
        <f>IF(ISERROR(averageifs('_durationdata'!$B:$B, '_durationdata'!$A:$A, "*"&amp;$A9&amp;"*", '_durationdata'!$C:$C, "*"&amp;M$2&amp;"*")), "", averageifs('_durationdata'!$B:$B, '_durationdata'!$A:$A, "*"&amp;$A9&amp;"*", '_durationdata'!$C:$C, "*"&amp;M$2&amp;"*")/60)</f>
        <v/>
      </c>
      <c r="N9" s="29" t="str">
        <f>IF(ISERROR(averageifs('_durationdata'!$B:$B, '_durationdata'!$A:$A, "*"&amp;$A9&amp;"*", '_durationdata'!$C:$C, "*"&amp;N$2&amp;"*")), "", averageifs('_durationdata'!$B:$B, '_durationdata'!$A:$A, "*"&amp;$A9&amp;"*", '_durationdata'!$C:$C, "*"&amp;N$2&amp;"*")/60)</f>
        <v/>
      </c>
      <c r="O9" s="29" t="str">
        <f>IF(ISERROR(averageifs('_durationdata'!$B:$B, '_durationdata'!$A:$A, "*"&amp;$A9&amp;"*", '_durationdata'!$C:$C, "*"&amp;O$2&amp;"*")), "", averageifs('_durationdata'!$B:$B, '_durationdata'!$A:$A, "*"&amp;$A9&amp;"*", '_durationdata'!$C:$C, "*"&amp;O$2&amp;"*")/60)</f>
        <v/>
      </c>
      <c r="P9" s="29" t="str">
        <f>IF(ISERROR(averageifs('_durationdata'!$B:$B, '_durationdata'!$A:$A, "*"&amp;$A9&amp;"*", '_durationdata'!$C:$C, "*"&amp;P$2&amp;"*")), "", averageifs('_durationdata'!$B:$B, '_durationdata'!$A:$A, "*"&amp;$A9&amp;"*", '_durationdata'!$C:$C, "*"&amp;P$2&amp;"*")/60)</f>
        <v/>
      </c>
      <c r="Q9" s="29" t="str">
        <f>IF(ISERROR(averageifs('_durationdata'!$B:$B, '_durationdata'!$A:$A, "*"&amp;$A9&amp;"*", '_durationdata'!$C:$C, "*"&amp;Q$2&amp;"*")), "", averageifs('_durationdata'!$B:$B, '_durationdata'!$A:$A, "*"&amp;$A9&amp;"*", '_durationdata'!$C:$C, "*"&amp;Q$2&amp;"*")/60)</f>
        <v/>
      </c>
      <c r="R9" s="29" t="str">
        <f>IF(ISERROR(averageifs('_durationdata'!$B:$B, '_durationdata'!$A:$A, "*"&amp;$A9&amp;"*", '_durationdata'!$C:$C, "*"&amp;R$2&amp;"*")), "", averageifs('_durationdata'!$B:$B, '_durationdata'!$A:$A, "*"&amp;$A9&amp;"*", '_durationdata'!$C:$C, "*"&amp;R$2&amp;"*")/60)</f>
        <v/>
      </c>
      <c r="S9" s="29" t="str">
        <f>IF(ISERROR(averageifs('_durationdata'!$B:$B, '_durationdata'!$A:$A, "*"&amp;$A9&amp;"*", '_durationdata'!$C:$C, "*"&amp;S$2&amp;"*")), "", averageifs('_durationdata'!$B:$B, '_durationdata'!$A:$A, "*"&amp;$A9&amp;"*", '_durationdata'!$C:$C, "*"&amp;S$2&amp;"*")/60)</f>
        <v/>
      </c>
      <c r="T9" s="29" t="str">
        <f>IF(ISERROR(averageifs('_durationdata'!$B:$B, '_durationdata'!$A:$A, "*"&amp;$A9&amp;"*", '_durationdata'!$C:$C, "*"&amp;T$2&amp;"*")), "", averageifs('_durationdata'!$B:$B, '_durationdata'!$A:$A, "*"&amp;$A9&amp;"*", '_durationdata'!$C:$C, "*"&amp;T$2&amp;"*")/60)</f>
        <v/>
      </c>
      <c r="U9" s="33"/>
      <c r="V9" s="33"/>
      <c r="W9" s="33"/>
      <c r="X9" s="33"/>
      <c r="Y9" s="33"/>
      <c r="Z9" s="33"/>
    </row>
    <row r="10">
      <c r="A10" s="2" t="s">
        <v>43</v>
      </c>
      <c r="B10" s="17" t="s">
        <v>28</v>
      </c>
      <c r="C10" s="38" t="str">
        <f>IF(iserror(averageifs('_durationdata'!$G:$G, '_durationdata'!$F:$F, "*"&amp;$A10&amp;"*", '_durationdata'!$H:$H, "*"&amp;C$2&amp;"*")), "", averageifs('_durationdata'!$G:$G, '_durationdata'!$F:$F, "*"&amp;$A10&amp;"*", '_durationdata'!$H:$H, "*"&amp;C$2&amp;"*")/60)</f>
        <v/>
      </c>
      <c r="D10" s="38" t="str">
        <f>IF(iserror(averageifs('_durationdata'!$G:$G, '_durationdata'!$F:$F, "*"&amp;$A10&amp;"*", '_durationdata'!$H:$H, "*"&amp;D$2&amp;"*")), "", averageifs('_durationdata'!$G:$G, '_durationdata'!$F:$F, "*"&amp;$A10&amp;"*", '_durationdata'!$H:$H, "*"&amp;D$2&amp;"*")/60)</f>
        <v/>
      </c>
      <c r="E10" s="38" t="str">
        <f>IF(iserror(averageifs('_durationdata'!$G:$G, '_durationdata'!$F:$F, "*"&amp;$A10&amp;"*", '_durationdata'!$H:$H, "*"&amp;E$2&amp;"*")), "", averageifs('_durationdata'!$G:$G, '_durationdata'!$F:$F, "*"&amp;$A10&amp;"*", '_durationdata'!$H:$H, "*"&amp;E$2&amp;"*")/60)</f>
        <v/>
      </c>
      <c r="F10" s="38" t="str">
        <f>IF(iserror(averageifs('_durationdata'!$G:$G, '_durationdata'!$F:$F, "*"&amp;$A10&amp;"*", '_durationdata'!$H:$H, "*"&amp;F$2&amp;"*")), "", averageifs('_durationdata'!$G:$G, '_durationdata'!$F:$F, "*"&amp;$A10&amp;"*", '_durationdata'!$H:$H, "*"&amp;F$2&amp;"*")/60)</f>
        <v/>
      </c>
      <c r="G10" s="38" t="str">
        <f>IF(iserror(averageifs('_durationdata'!$G:$G, '_durationdata'!$F:$F, "*"&amp;$A10&amp;"*", '_durationdata'!$H:$H, "*"&amp;G$2&amp;"*")), "", averageifs('_durationdata'!$G:$G, '_durationdata'!$F:$F, "*"&amp;$A10&amp;"*", '_durationdata'!$H:$H, "*"&amp;G$2&amp;"*")/60)</f>
        <v/>
      </c>
      <c r="H10" s="38" t="str">
        <f>IF(iserror(averageifs('_durationdata'!$G:$G, '_durationdata'!$F:$F, "*"&amp;$A10&amp;"*", '_durationdata'!$H:$H, "*"&amp;H$2&amp;"*")), "", averageifs('_durationdata'!$G:$G, '_durationdata'!$F:$F, "*"&amp;$A10&amp;"*", '_durationdata'!$H:$H, "*"&amp;H$2&amp;"*")/60)</f>
        <v/>
      </c>
      <c r="I10" s="38" t="str">
        <f>IF(iserror(averageifs('_durationdata'!$G:$G, '_durationdata'!$F:$F, "*"&amp;$A10&amp;"*", '_durationdata'!$H:$H, "*"&amp;I$2&amp;"*")), "", averageifs('_durationdata'!$G:$G, '_durationdata'!$F:$F, "*"&amp;$A10&amp;"*", '_durationdata'!$H:$H, "*"&amp;I$2&amp;"*")/60)</f>
        <v/>
      </c>
      <c r="J10" s="38" t="str">
        <f>IF(iserror(averageifs('_durationdata'!$G:$G, '_durationdata'!$F:$F, "*"&amp;$A10&amp;"*", '_durationdata'!$H:$H, "*"&amp;J$2&amp;"*")), "", averageifs('_durationdata'!$G:$G, '_durationdata'!$F:$F, "*"&amp;$A10&amp;"*", '_durationdata'!$H:$H, "*"&amp;J$2&amp;"*")/60)</f>
        <v/>
      </c>
      <c r="K10" s="38" t="str">
        <f>IF(iserror(averageifs('_durationdata'!$G:$G, '_durationdata'!$F:$F, "*"&amp;$A10&amp;"*", '_durationdata'!$H:$H, "*"&amp;K$2&amp;"*")), "", averageifs('_durationdata'!$G:$G, '_durationdata'!$F:$F, "*"&amp;$A10&amp;"*", '_durationdata'!$H:$H, "*"&amp;K$2&amp;"*")/60)</f>
        <v/>
      </c>
      <c r="L10" s="38" t="str">
        <f>IF(iserror(averageifs('_durationdata'!$G:$G, '_durationdata'!$F:$F, "*"&amp;$A10&amp;"*", '_durationdata'!$H:$H, "*"&amp;L$2&amp;"*")), "", averageifs('_durationdata'!$G:$G, '_durationdata'!$F:$F, "*"&amp;$A10&amp;"*", '_durationdata'!$H:$H, "*"&amp;L$2&amp;"*")/60)</f>
        <v/>
      </c>
      <c r="M10" s="38" t="str">
        <f>IF(iserror(averageifs('_durationdata'!$G:$G, '_durationdata'!$F:$F, "*"&amp;$A10&amp;"*", '_durationdata'!$H:$H, "*"&amp;M$2&amp;"*")), "", averageifs('_durationdata'!$G:$G, '_durationdata'!$F:$F, "*"&amp;$A10&amp;"*", '_durationdata'!$H:$H, "*"&amp;M$2&amp;"*")/60)</f>
        <v/>
      </c>
      <c r="N10" s="38" t="str">
        <f>IF(iserror(averageifs('_durationdata'!$G:$G, '_durationdata'!$F:$F, "*"&amp;$A10&amp;"*", '_durationdata'!$H:$H, "*"&amp;N$2&amp;"*")), "", averageifs('_durationdata'!$G:$G, '_durationdata'!$F:$F, "*"&amp;$A10&amp;"*", '_durationdata'!$H:$H, "*"&amp;N$2&amp;"*")/60)</f>
        <v/>
      </c>
      <c r="O10" s="38" t="str">
        <f>IF(iserror(averageifs('_durationdata'!$G:$G, '_durationdata'!$F:$F, "*"&amp;$A10&amp;"*", '_durationdata'!$H:$H, "*"&amp;O$2&amp;"*")), "", averageifs('_durationdata'!$G:$G, '_durationdata'!$F:$F, "*"&amp;$A10&amp;"*", '_durationdata'!$H:$H, "*"&amp;O$2&amp;"*")/60)</f>
        <v/>
      </c>
      <c r="P10" s="38" t="str">
        <f>IF(iserror(averageifs('_durationdata'!$G:$G, '_durationdata'!$F:$F, "*"&amp;$A10&amp;"*", '_durationdata'!$H:$H, "*"&amp;P$2&amp;"*")), "", averageifs('_durationdata'!$G:$G, '_durationdata'!$F:$F, "*"&amp;$A10&amp;"*", '_durationdata'!$H:$H, "*"&amp;P$2&amp;"*")/60)</f>
        <v/>
      </c>
      <c r="Q10" s="38" t="str">
        <f>IF(iserror(averageifs('_durationdata'!$G:$G, '_durationdata'!$F:$F, "*"&amp;$A10&amp;"*", '_durationdata'!$H:$H, "*"&amp;Q$2&amp;"*")), "", averageifs('_durationdata'!$G:$G, '_durationdata'!$F:$F, "*"&amp;$A10&amp;"*", '_durationdata'!$H:$H, "*"&amp;Q$2&amp;"*")/60)</f>
        <v/>
      </c>
      <c r="R10" s="38" t="str">
        <f>IF(iserror(averageifs('_durationdata'!$G:$G, '_durationdata'!$F:$F, "*"&amp;$A10&amp;"*", '_durationdata'!$H:$H, "*"&amp;R$2&amp;"*")), "", averageifs('_durationdata'!$G:$G, '_durationdata'!$F:$F, "*"&amp;$A10&amp;"*", '_durationdata'!$H:$H, "*"&amp;R$2&amp;"*")/60)</f>
        <v/>
      </c>
      <c r="S10" s="38" t="str">
        <f>IF(iserror(averageifs('_durationdata'!$G:$G, '_durationdata'!$F:$F, "*"&amp;$A10&amp;"*", '_durationdata'!$H:$H, "*"&amp;S$2&amp;"*")), "", averageifs('_durationdata'!$G:$G, '_durationdata'!$F:$F, "*"&amp;$A10&amp;"*", '_durationdata'!$H:$H, "*"&amp;S$2&amp;"*")/60)</f>
        <v/>
      </c>
      <c r="T10" s="38" t="str">
        <f>IF(iserror(averageifs('_durationdata'!$G:$G, '_durationdata'!$F:$F, "*"&amp;$A10&amp;"*", '_durationdata'!$H:$H, "*"&amp;T$2&amp;"*")), "", averageifs('_durationdata'!$G:$G, '_durationdata'!$F:$F, "*"&amp;$A10&amp;"*", '_durationdata'!$H:$H, "*"&amp;T$2&amp;"*")/60)</f>
        <v/>
      </c>
    </row>
    <row r="11">
      <c r="A11" s="2" t="s">
        <v>43</v>
      </c>
      <c r="B11" s="17" t="s">
        <v>30</v>
      </c>
      <c r="C11" s="38" t="str">
        <f>IF(ISERROR(averageifs('_durationdata'!$L:$L, '_durationdata'!$K:$K, "*"&amp;$A11&amp;"*", '_durationdata'!$M:$M, "*"&amp;C$2&amp;"*")), "", averageifs('_durationdata'!$L:$L, '_durationdata'!$K:$K, "*"&amp;$A11&amp;"*", '_durationdata'!$M:$M, "*"&amp;C$2&amp;"*")/60)</f>
        <v/>
      </c>
      <c r="D11" s="38" t="str">
        <f>IF(ISERROR(averageifs('_durationdata'!$L:$L, '_durationdata'!$K:$K, "*"&amp;$A11&amp;"*", '_durationdata'!$M:$M, "*"&amp;D$2&amp;"*")), "", averageifs('_durationdata'!$L:$L, '_durationdata'!$K:$K, "*"&amp;$A11&amp;"*", '_durationdata'!$M:$M, "*"&amp;D$2&amp;"*")/60)</f>
        <v/>
      </c>
      <c r="E11" s="38" t="str">
        <f>IF(ISERROR(averageifs('_durationdata'!$L:$L, '_durationdata'!$K:$K, "*"&amp;$A11&amp;"*", '_durationdata'!$M:$M, "*"&amp;E$2&amp;"*")), "", averageifs('_durationdata'!$L:$L, '_durationdata'!$K:$K, "*"&amp;$A11&amp;"*", '_durationdata'!$M:$M, "*"&amp;E$2&amp;"*")/60)</f>
        <v/>
      </c>
      <c r="F11" s="38" t="str">
        <f>IF(ISERROR(averageifs('_durationdata'!$L:$L, '_durationdata'!$K:$K, "*"&amp;$A11&amp;"*", '_durationdata'!$M:$M, "*"&amp;F$2&amp;"*")), "", averageifs('_durationdata'!$L:$L, '_durationdata'!$K:$K, "*"&amp;$A11&amp;"*", '_durationdata'!$M:$M, "*"&amp;F$2&amp;"*")/60)</f>
        <v/>
      </c>
      <c r="G11" s="38" t="str">
        <f>IF(ISERROR(averageifs('_durationdata'!$L:$L, '_durationdata'!$K:$K, "*"&amp;$A11&amp;"*", '_durationdata'!$M:$M, "*"&amp;G$2&amp;"*")), "", averageifs('_durationdata'!$L:$L, '_durationdata'!$K:$K, "*"&amp;$A11&amp;"*", '_durationdata'!$M:$M, "*"&amp;G$2&amp;"*")/60)</f>
        <v/>
      </c>
      <c r="H11" s="38" t="str">
        <f>IF(ISERROR(averageifs('_durationdata'!$L:$L, '_durationdata'!$K:$K, "*"&amp;$A11&amp;"*", '_durationdata'!$M:$M, "*"&amp;H$2&amp;"*")), "", averageifs('_durationdata'!$L:$L, '_durationdata'!$K:$K, "*"&amp;$A11&amp;"*", '_durationdata'!$M:$M, "*"&amp;H$2&amp;"*")/60)</f>
        <v/>
      </c>
      <c r="I11" s="38" t="str">
        <f>IF(ISERROR(averageifs('_durationdata'!$L:$L, '_durationdata'!$K:$K, "*"&amp;$A11&amp;"*", '_durationdata'!$M:$M, "*"&amp;I$2&amp;"*")), "", averageifs('_durationdata'!$L:$L, '_durationdata'!$K:$K, "*"&amp;$A11&amp;"*", '_durationdata'!$M:$M, "*"&amp;I$2&amp;"*")/60)</f>
        <v/>
      </c>
      <c r="J11" s="38" t="str">
        <f>IF(ISERROR(averageifs('_durationdata'!$L:$L, '_durationdata'!$K:$K, "*"&amp;$A11&amp;"*", '_durationdata'!$M:$M, "*"&amp;J$2&amp;"*")), "", averageifs('_durationdata'!$L:$L, '_durationdata'!$K:$K, "*"&amp;$A11&amp;"*", '_durationdata'!$M:$M, "*"&amp;J$2&amp;"*")/60)</f>
        <v/>
      </c>
      <c r="K11" s="38" t="str">
        <f>IF(ISERROR(averageifs('_durationdata'!$L:$L, '_durationdata'!$K:$K, "*"&amp;$A11&amp;"*", '_durationdata'!$M:$M, "*"&amp;K$2&amp;"*")), "", averageifs('_durationdata'!$L:$L, '_durationdata'!$K:$K, "*"&amp;$A11&amp;"*", '_durationdata'!$M:$M, "*"&amp;K$2&amp;"*")/60)</f>
        <v/>
      </c>
      <c r="L11" s="38" t="str">
        <f>IF(ISERROR(averageifs('_durationdata'!$L:$L, '_durationdata'!$K:$K, "*"&amp;$A11&amp;"*", '_durationdata'!$M:$M, "*"&amp;L$2&amp;"*")), "", averageifs('_durationdata'!$L:$L, '_durationdata'!$K:$K, "*"&amp;$A11&amp;"*", '_durationdata'!$M:$M, "*"&amp;L$2&amp;"*")/60)</f>
        <v/>
      </c>
      <c r="M11" s="38" t="str">
        <f>IF(ISERROR(averageifs('_durationdata'!$L:$L, '_durationdata'!$K:$K, "*"&amp;$A11&amp;"*", '_durationdata'!$M:$M, "*"&amp;M$2&amp;"*")), "", averageifs('_durationdata'!$L:$L, '_durationdata'!$K:$K, "*"&amp;$A11&amp;"*", '_durationdata'!$M:$M, "*"&amp;M$2&amp;"*")/60)</f>
        <v/>
      </c>
      <c r="N11" s="38" t="str">
        <f>IF(ISERROR(averageifs('_durationdata'!$L:$L, '_durationdata'!$K:$K, "*"&amp;$A11&amp;"*", '_durationdata'!$M:$M, "*"&amp;N$2&amp;"*")), "", averageifs('_durationdata'!$L:$L, '_durationdata'!$K:$K, "*"&amp;$A11&amp;"*", '_durationdata'!$M:$M, "*"&amp;N$2&amp;"*")/60)</f>
        <v/>
      </c>
      <c r="O11" s="38" t="str">
        <f>IF(ISERROR(averageifs('_durationdata'!$L:$L, '_durationdata'!$K:$K, "*"&amp;$A11&amp;"*", '_durationdata'!$M:$M, "*"&amp;O$2&amp;"*")), "", averageifs('_durationdata'!$L:$L, '_durationdata'!$K:$K, "*"&amp;$A11&amp;"*", '_durationdata'!$M:$M, "*"&amp;O$2&amp;"*")/60)</f>
        <v/>
      </c>
      <c r="P11" s="38" t="str">
        <f>IF(ISERROR(averageifs('_durationdata'!$L:$L, '_durationdata'!$K:$K, "*"&amp;$A11&amp;"*", '_durationdata'!$M:$M, "*"&amp;P$2&amp;"*")), "", averageifs('_durationdata'!$L:$L, '_durationdata'!$K:$K, "*"&amp;$A11&amp;"*", '_durationdata'!$M:$M, "*"&amp;P$2&amp;"*")/60)</f>
        <v/>
      </c>
      <c r="Q11" s="38" t="str">
        <f>IF(ISERROR(averageifs('_durationdata'!$L:$L, '_durationdata'!$K:$K, "*"&amp;$A11&amp;"*", '_durationdata'!$M:$M, "*"&amp;Q$2&amp;"*")), "", averageifs('_durationdata'!$L:$L, '_durationdata'!$K:$K, "*"&amp;$A11&amp;"*", '_durationdata'!$M:$M, "*"&amp;Q$2&amp;"*")/60)</f>
        <v/>
      </c>
      <c r="R11" s="38" t="str">
        <f>IF(ISERROR(averageifs('_durationdata'!$L:$L, '_durationdata'!$K:$K, "*"&amp;$A11&amp;"*", '_durationdata'!$M:$M, "*"&amp;R$2&amp;"*")), "", averageifs('_durationdata'!$L:$L, '_durationdata'!$K:$K, "*"&amp;$A11&amp;"*", '_durationdata'!$M:$M, "*"&amp;R$2&amp;"*")/60)</f>
        <v/>
      </c>
      <c r="S11" s="38" t="str">
        <f>IF(ISERROR(averageifs('_durationdata'!$L:$L, '_durationdata'!$K:$K, "*"&amp;$A11&amp;"*", '_durationdata'!$M:$M, "*"&amp;S$2&amp;"*")), "", averageifs('_durationdata'!$L:$L, '_durationdata'!$K:$K, "*"&amp;$A11&amp;"*", '_durationdata'!$M:$M, "*"&amp;S$2&amp;"*")/60)</f>
        <v/>
      </c>
      <c r="T11" s="38" t="str">
        <f>IF(ISERROR(averageifs('_durationdata'!$L:$L, '_durationdata'!$K:$K, "*"&amp;$A11&amp;"*", '_durationdata'!$M:$M, "*"&amp;T$2&amp;"*")), "", averageifs('_durationdata'!$L:$L, '_durationdata'!$K:$K, "*"&amp;$A11&amp;"*", '_durationdata'!$M:$M, "*"&amp;T$2&amp;"*")/60)</f>
        <v/>
      </c>
    </row>
    <row r="12">
      <c r="A12" s="25" t="s">
        <v>44</v>
      </c>
      <c r="B12" s="26" t="s">
        <v>18</v>
      </c>
      <c r="C12" s="29" t="str">
        <f>IF(ISERROR(averageifs('_durationdata'!$B:$B, '_durationdata'!$A:$A, "*"&amp;$A12&amp;"*", '_durationdata'!$C:$C, "*"&amp;C$2&amp;"*")), "", averageifs('_durationdata'!$B:$B, '_durationdata'!$A:$A, "*"&amp;$A12&amp;"*", '_durationdata'!$C:$C, "*"&amp;C$2&amp;"*")/60)</f>
        <v/>
      </c>
      <c r="D12" s="29" t="str">
        <f>IF(ISERROR(averageifs('_durationdata'!$B:$B, '_durationdata'!$A:$A, "*"&amp;$A12&amp;"*", '_durationdata'!$C:$C, "*"&amp;D$2&amp;"*")), "", averageifs('_durationdata'!$B:$B, '_durationdata'!$A:$A, "*"&amp;$A12&amp;"*", '_durationdata'!$C:$C, "*"&amp;D$2&amp;"*")/60)</f>
        <v/>
      </c>
      <c r="E12" s="29" t="str">
        <f>IF(ISERROR(averageifs('_durationdata'!$B:$B, '_durationdata'!$A:$A, "*"&amp;$A12&amp;"*", '_durationdata'!$C:$C, "*"&amp;E$2&amp;"*")), "", averageifs('_durationdata'!$B:$B, '_durationdata'!$A:$A, "*"&amp;$A12&amp;"*", '_durationdata'!$C:$C, "*"&amp;E$2&amp;"*")/60)</f>
        <v/>
      </c>
      <c r="F12" s="29" t="str">
        <f>IF(ISERROR(averageifs('_durationdata'!$B:$B, '_durationdata'!$A:$A, "*"&amp;$A12&amp;"*", '_durationdata'!$C:$C, "*"&amp;F$2&amp;"*")), "", averageifs('_durationdata'!$B:$B, '_durationdata'!$A:$A, "*"&amp;$A12&amp;"*", '_durationdata'!$C:$C, "*"&amp;F$2&amp;"*")/60)</f>
        <v/>
      </c>
      <c r="G12" s="29" t="str">
        <f>IF(ISERROR(averageifs('_durationdata'!$B:$B, '_durationdata'!$A:$A, "*"&amp;$A12&amp;"*", '_durationdata'!$C:$C, "*"&amp;G$2&amp;"*")), "", averageifs('_durationdata'!$B:$B, '_durationdata'!$A:$A, "*"&amp;$A12&amp;"*", '_durationdata'!$C:$C, "*"&amp;G$2&amp;"*")/60)</f>
        <v/>
      </c>
      <c r="H12" s="29" t="str">
        <f>IF(ISERROR(averageifs('_durationdata'!$B:$B, '_durationdata'!$A:$A, "*"&amp;$A12&amp;"*", '_durationdata'!$C:$C, "*"&amp;H$2&amp;"*")), "", averageifs('_durationdata'!$B:$B, '_durationdata'!$A:$A, "*"&amp;$A12&amp;"*", '_durationdata'!$C:$C, "*"&amp;H$2&amp;"*")/60)</f>
        <v/>
      </c>
      <c r="I12" s="29" t="str">
        <f>IF(ISERROR(averageifs('_durationdata'!$B:$B, '_durationdata'!$A:$A, "*"&amp;$A12&amp;"*", '_durationdata'!$C:$C, "*"&amp;I$2&amp;"*")), "", averageifs('_durationdata'!$B:$B, '_durationdata'!$A:$A, "*"&amp;$A12&amp;"*", '_durationdata'!$C:$C, "*"&amp;I$2&amp;"*")/60)</f>
        <v/>
      </c>
      <c r="J12" s="29" t="str">
        <f>IF(ISERROR(averageifs('_durationdata'!$B:$B, '_durationdata'!$A:$A, "*"&amp;$A12&amp;"*", '_durationdata'!$C:$C, "*"&amp;J$2&amp;"*")), "", averageifs('_durationdata'!$B:$B, '_durationdata'!$A:$A, "*"&amp;$A12&amp;"*", '_durationdata'!$C:$C, "*"&amp;J$2&amp;"*")/60)</f>
        <v/>
      </c>
      <c r="K12" s="29" t="str">
        <f>IF(ISERROR(averageifs('_durationdata'!$B:$B, '_durationdata'!$A:$A, "*"&amp;$A12&amp;"*", '_durationdata'!$C:$C, "*"&amp;K$2&amp;"*")), "", averageifs('_durationdata'!$B:$B, '_durationdata'!$A:$A, "*"&amp;$A12&amp;"*", '_durationdata'!$C:$C, "*"&amp;K$2&amp;"*")/60)</f>
        <v/>
      </c>
      <c r="L12" s="29" t="str">
        <f>IF(ISERROR(averageifs('_durationdata'!$B:$B, '_durationdata'!$A:$A, "*"&amp;$A12&amp;"*", '_durationdata'!$C:$C, "*"&amp;L$2&amp;"*")), "", averageifs('_durationdata'!$B:$B, '_durationdata'!$A:$A, "*"&amp;$A12&amp;"*", '_durationdata'!$C:$C, "*"&amp;L$2&amp;"*")/60)</f>
        <v/>
      </c>
      <c r="M12" s="29" t="str">
        <f>IF(ISERROR(averageifs('_durationdata'!$B:$B, '_durationdata'!$A:$A, "*"&amp;$A12&amp;"*", '_durationdata'!$C:$C, "*"&amp;M$2&amp;"*")), "", averageifs('_durationdata'!$B:$B, '_durationdata'!$A:$A, "*"&amp;$A12&amp;"*", '_durationdata'!$C:$C, "*"&amp;M$2&amp;"*")/60)</f>
        <v/>
      </c>
      <c r="N12" s="29" t="str">
        <f>IF(ISERROR(averageifs('_durationdata'!$B:$B, '_durationdata'!$A:$A, "*"&amp;$A12&amp;"*", '_durationdata'!$C:$C, "*"&amp;N$2&amp;"*")), "", averageifs('_durationdata'!$B:$B, '_durationdata'!$A:$A, "*"&amp;$A12&amp;"*", '_durationdata'!$C:$C, "*"&amp;N$2&amp;"*")/60)</f>
        <v/>
      </c>
      <c r="O12" s="29" t="str">
        <f>IF(ISERROR(averageifs('_durationdata'!$B:$B, '_durationdata'!$A:$A, "*"&amp;$A12&amp;"*", '_durationdata'!$C:$C, "*"&amp;O$2&amp;"*")), "", averageifs('_durationdata'!$B:$B, '_durationdata'!$A:$A, "*"&amp;$A12&amp;"*", '_durationdata'!$C:$C, "*"&amp;O$2&amp;"*")/60)</f>
        <v/>
      </c>
      <c r="P12" s="29" t="str">
        <f>IF(ISERROR(averageifs('_durationdata'!$B:$B, '_durationdata'!$A:$A, "*"&amp;$A12&amp;"*", '_durationdata'!$C:$C, "*"&amp;P$2&amp;"*")), "", averageifs('_durationdata'!$B:$B, '_durationdata'!$A:$A, "*"&amp;$A12&amp;"*", '_durationdata'!$C:$C, "*"&amp;P$2&amp;"*")/60)</f>
        <v/>
      </c>
      <c r="Q12" s="29" t="str">
        <f>IF(ISERROR(averageifs('_durationdata'!$B:$B, '_durationdata'!$A:$A, "*"&amp;$A12&amp;"*", '_durationdata'!$C:$C, "*"&amp;Q$2&amp;"*")), "", averageifs('_durationdata'!$B:$B, '_durationdata'!$A:$A, "*"&amp;$A12&amp;"*", '_durationdata'!$C:$C, "*"&amp;Q$2&amp;"*")/60)</f>
        <v/>
      </c>
      <c r="R12" s="29" t="str">
        <f>IF(ISERROR(averageifs('_durationdata'!$B:$B, '_durationdata'!$A:$A, "*"&amp;$A12&amp;"*", '_durationdata'!$C:$C, "*"&amp;R$2&amp;"*")), "", averageifs('_durationdata'!$B:$B, '_durationdata'!$A:$A, "*"&amp;$A12&amp;"*", '_durationdata'!$C:$C, "*"&amp;R$2&amp;"*")/60)</f>
        <v/>
      </c>
      <c r="S12" s="29" t="str">
        <f>IF(ISERROR(averageifs('_durationdata'!$B:$B, '_durationdata'!$A:$A, "*"&amp;$A12&amp;"*", '_durationdata'!$C:$C, "*"&amp;S$2&amp;"*")), "", averageifs('_durationdata'!$B:$B, '_durationdata'!$A:$A, "*"&amp;$A12&amp;"*", '_durationdata'!$C:$C, "*"&amp;S$2&amp;"*")/60)</f>
        <v/>
      </c>
      <c r="T12" s="29" t="str">
        <f>IF(ISERROR(averageifs('_durationdata'!$B:$B, '_durationdata'!$A:$A, "*"&amp;$A12&amp;"*", '_durationdata'!$C:$C, "*"&amp;T$2&amp;"*")), "", averageifs('_durationdata'!$B:$B, '_durationdata'!$A:$A, "*"&amp;$A12&amp;"*", '_durationdata'!$C:$C, "*"&amp;T$2&amp;"*")/60)</f>
        <v/>
      </c>
      <c r="U12" s="33"/>
      <c r="V12" s="33"/>
      <c r="W12" s="33"/>
      <c r="X12" s="33"/>
      <c r="Y12" s="33"/>
      <c r="Z12" s="33"/>
    </row>
    <row r="13">
      <c r="A13" s="2" t="s">
        <v>44</v>
      </c>
      <c r="B13" s="17" t="s">
        <v>28</v>
      </c>
      <c r="C13" s="38" t="str">
        <f>IF(iserror(averageifs('_durationdata'!$G:$G, '_durationdata'!$F:$F, "*"&amp;$A13&amp;"*", '_durationdata'!$H:$H, "*"&amp;C$2&amp;"*")), "", averageifs('_durationdata'!$G:$G, '_durationdata'!$F:$F, "*"&amp;$A13&amp;"*", '_durationdata'!$H:$H, "*"&amp;C$2&amp;"*")/60)</f>
        <v/>
      </c>
      <c r="D13" s="38" t="str">
        <f>IF(iserror(averageifs('_durationdata'!$G:$G, '_durationdata'!$F:$F, "*"&amp;$A13&amp;"*", '_durationdata'!$H:$H, "*"&amp;D$2&amp;"*")), "", averageifs('_durationdata'!$G:$G, '_durationdata'!$F:$F, "*"&amp;$A13&amp;"*", '_durationdata'!$H:$H, "*"&amp;D$2&amp;"*")/60)</f>
        <v/>
      </c>
      <c r="E13" s="38" t="str">
        <f>IF(iserror(averageifs('_durationdata'!$G:$G, '_durationdata'!$F:$F, "*"&amp;$A13&amp;"*", '_durationdata'!$H:$H, "*"&amp;E$2&amp;"*")), "", averageifs('_durationdata'!$G:$G, '_durationdata'!$F:$F, "*"&amp;$A13&amp;"*", '_durationdata'!$H:$H, "*"&amp;E$2&amp;"*")/60)</f>
        <v/>
      </c>
      <c r="F13" s="38" t="str">
        <f>IF(iserror(averageifs('_durationdata'!$G:$G, '_durationdata'!$F:$F, "*"&amp;$A13&amp;"*", '_durationdata'!$H:$H, "*"&amp;F$2&amp;"*")), "", averageifs('_durationdata'!$G:$G, '_durationdata'!$F:$F, "*"&amp;$A13&amp;"*", '_durationdata'!$H:$H, "*"&amp;F$2&amp;"*")/60)</f>
        <v/>
      </c>
      <c r="G13" s="38" t="str">
        <f>IF(iserror(averageifs('_durationdata'!$G:$G, '_durationdata'!$F:$F, "*"&amp;$A13&amp;"*", '_durationdata'!$H:$H, "*"&amp;G$2&amp;"*")), "", averageifs('_durationdata'!$G:$G, '_durationdata'!$F:$F, "*"&amp;$A13&amp;"*", '_durationdata'!$H:$H, "*"&amp;G$2&amp;"*")/60)</f>
        <v/>
      </c>
      <c r="H13" s="38" t="str">
        <f>IF(iserror(averageifs('_durationdata'!$G:$G, '_durationdata'!$F:$F, "*"&amp;$A13&amp;"*", '_durationdata'!$H:$H, "*"&amp;H$2&amp;"*")), "", averageifs('_durationdata'!$G:$G, '_durationdata'!$F:$F, "*"&amp;$A13&amp;"*", '_durationdata'!$H:$H, "*"&amp;H$2&amp;"*")/60)</f>
        <v/>
      </c>
      <c r="I13" s="38" t="str">
        <f>IF(iserror(averageifs('_durationdata'!$G:$G, '_durationdata'!$F:$F, "*"&amp;$A13&amp;"*", '_durationdata'!$H:$H, "*"&amp;I$2&amp;"*")), "", averageifs('_durationdata'!$G:$G, '_durationdata'!$F:$F, "*"&amp;$A13&amp;"*", '_durationdata'!$H:$H, "*"&amp;I$2&amp;"*")/60)</f>
        <v/>
      </c>
      <c r="J13" s="38" t="str">
        <f>IF(iserror(averageifs('_durationdata'!$G:$G, '_durationdata'!$F:$F, "*"&amp;$A13&amp;"*", '_durationdata'!$H:$H, "*"&amp;J$2&amp;"*")), "", averageifs('_durationdata'!$G:$G, '_durationdata'!$F:$F, "*"&amp;$A13&amp;"*", '_durationdata'!$H:$H, "*"&amp;J$2&amp;"*")/60)</f>
        <v/>
      </c>
      <c r="K13" s="38" t="str">
        <f>IF(iserror(averageifs('_durationdata'!$G:$G, '_durationdata'!$F:$F, "*"&amp;$A13&amp;"*", '_durationdata'!$H:$H, "*"&amp;K$2&amp;"*")), "", averageifs('_durationdata'!$G:$G, '_durationdata'!$F:$F, "*"&amp;$A13&amp;"*", '_durationdata'!$H:$H, "*"&amp;K$2&amp;"*")/60)</f>
        <v/>
      </c>
      <c r="L13" s="38" t="str">
        <f>IF(iserror(averageifs('_durationdata'!$G:$G, '_durationdata'!$F:$F, "*"&amp;$A13&amp;"*", '_durationdata'!$H:$H, "*"&amp;L$2&amp;"*")), "", averageifs('_durationdata'!$G:$G, '_durationdata'!$F:$F, "*"&amp;$A13&amp;"*", '_durationdata'!$H:$H, "*"&amp;L$2&amp;"*")/60)</f>
        <v/>
      </c>
      <c r="M13" s="38" t="str">
        <f>IF(iserror(averageifs('_durationdata'!$G:$G, '_durationdata'!$F:$F, "*"&amp;$A13&amp;"*", '_durationdata'!$H:$H, "*"&amp;M$2&amp;"*")), "", averageifs('_durationdata'!$G:$G, '_durationdata'!$F:$F, "*"&amp;$A13&amp;"*", '_durationdata'!$H:$H, "*"&amp;M$2&amp;"*")/60)</f>
        <v/>
      </c>
      <c r="N13" s="38" t="str">
        <f>IF(iserror(averageifs('_durationdata'!$G:$G, '_durationdata'!$F:$F, "*"&amp;$A13&amp;"*", '_durationdata'!$H:$H, "*"&amp;N$2&amp;"*")), "", averageifs('_durationdata'!$G:$G, '_durationdata'!$F:$F, "*"&amp;$A13&amp;"*", '_durationdata'!$H:$H, "*"&amp;N$2&amp;"*")/60)</f>
        <v/>
      </c>
      <c r="O13" s="38" t="str">
        <f>IF(iserror(averageifs('_durationdata'!$G:$G, '_durationdata'!$F:$F, "*"&amp;$A13&amp;"*", '_durationdata'!$H:$H, "*"&amp;O$2&amp;"*")), "", averageifs('_durationdata'!$G:$G, '_durationdata'!$F:$F, "*"&amp;$A13&amp;"*", '_durationdata'!$H:$H, "*"&amp;O$2&amp;"*")/60)</f>
        <v/>
      </c>
      <c r="P13" s="38" t="str">
        <f>IF(iserror(averageifs('_durationdata'!$G:$G, '_durationdata'!$F:$F, "*"&amp;$A13&amp;"*", '_durationdata'!$H:$H, "*"&amp;P$2&amp;"*")), "", averageifs('_durationdata'!$G:$G, '_durationdata'!$F:$F, "*"&amp;$A13&amp;"*", '_durationdata'!$H:$H, "*"&amp;P$2&amp;"*")/60)</f>
        <v/>
      </c>
      <c r="Q13" s="38" t="str">
        <f>IF(iserror(averageifs('_durationdata'!$G:$G, '_durationdata'!$F:$F, "*"&amp;$A13&amp;"*", '_durationdata'!$H:$H, "*"&amp;Q$2&amp;"*")), "", averageifs('_durationdata'!$G:$G, '_durationdata'!$F:$F, "*"&amp;$A13&amp;"*", '_durationdata'!$H:$H, "*"&amp;Q$2&amp;"*")/60)</f>
        <v/>
      </c>
      <c r="R13" s="38" t="str">
        <f>IF(iserror(averageifs('_durationdata'!$G:$G, '_durationdata'!$F:$F, "*"&amp;$A13&amp;"*", '_durationdata'!$H:$H, "*"&amp;R$2&amp;"*")), "", averageifs('_durationdata'!$G:$G, '_durationdata'!$F:$F, "*"&amp;$A13&amp;"*", '_durationdata'!$H:$H, "*"&amp;R$2&amp;"*")/60)</f>
        <v/>
      </c>
      <c r="S13" s="38" t="str">
        <f>IF(iserror(averageifs('_durationdata'!$G:$G, '_durationdata'!$F:$F, "*"&amp;$A13&amp;"*", '_durationdata'!$H:$H, "*"&amp;S$2&amp;"*")), "", averageifs('_durationdata'!$G:$G, '_durationdata'!$F:$F, "*"&amp;$A13&amp;"*", '_durationdata'!$H:$H, "*"&amp;S$2&amp;"*")/60)</f>
        <v/>
      </c>
      <c r="T13" s="38" t="str">
        <f>IF(iserror(averageifs('_durationdata'!$G:$G, '_durationdata'!$F:$F, "*"&amp;$A13&amp;"*", '_durationdata'!$H:$H, "*"&amp;T$2&amp;"*")), "", averageifs('_durationdata'!$G:$G, '_durationdata'!$F:$F, "*"&amp;$A13&amp;"*", '_durationdata'!$H:$H, "*"&amp;T$2&amp;"*")/60)</f>
        <v/>
      </c>
    </row>
    <row r="14">
      <c r="A14" s="2" t="s">
        <v>44</v>
      </c>
      <c r="B14" s="17" t="s">
        <v>30</v>
      </c>
      <c r="C14" s="38" t="str">
        <f>IF(ISERROR(averageifs('_durationdata'!$L:$L, '_durationdata'!$K:$K, "*"&amp;$A14&amp;"*", '_durationdata'!$M:$M, "*"&amp;C$2&amp;"*")), "", averageifs('_durationdata'!$L:$L, '_durationdata'!$K:$K, "*"&amp;$A14&amp;"*", '_durationdata'!$M:$M, "*"&amp;C$2&amp;"*")/60)</f>
        <v/>
      </c>
      <c r="D14" s="38" t="str">
        <f>IF(ISERROR(averageifs('_durationdata'!$L:$L, '_durationdata'!$K:$K, "*"&amp;$A14&amp;"*", '_durationdata'!$M:$M, "*"&amp;D$2&amp;"*")), "", averageifs('_durationdata'!$L:$L, '_durationdata'!$K:$K, "*"&amp;$A14&amp;"*", '_durationdata'!$M:$M, "*"&amp;D$2&amp;"*")/60)</f>
        <v/>
      </c>
      <c r="E14" s="38" t="str">
        <f>IF(ISERROR(averageifs('_durationdata'!$L:$L, '_durationdata'!$K:$K, "*"&amp;$A14&amp;"*", '_durationdata'!$M:$M, "*"&amp;E$2&amp;"*")), "", averageifs('_durationdata'!$L:$L, '_durationdata'!$K:$K, "*"&amp;$A14&amp;"*", '_durationdata'!$M:$M, "*"&amp;E$2&amp;"*")/60)</f>
        <v/>
      </c>
      <c r="F14" s="38" t="str">
        <f>IF(ISERROR(averageifs('_durationdata'!$L:$L, '_durationdata'!$K:$K, "*"&amp;$A14&amp;"*", '_durationdata'!$M:$M, "*"&amp;F$2&amp;"*")), "", averageifs('_durationdata'!$L:$L, '_durationdata'!$K:$K, "*"&amp;$A14&amp;"*", '_durationdata'!$M:$M, "*"&amp;F$2&amp;"*")/60)</f>
        <v/>
      </c>
      <c r="G14" s="38" t="str">
        <f>IF(ISERROR(averageifs('_durationdata'!$L:$L, '_durationdata'!$K:$K, "*"&amp;$A14&amp;"*", '_durationdata'!$M:$M, "*"&amp;G$2&amp;"*")), "", averageifs('_durationdata'!$L:$L, '_durationdata'!$K:$K, "*"&amp;$A14&amp;"*", '_durationdata'!$M:$M, "*"&amp;G$2&amp;"*")/60)</f>
        <v/>
      </c>
      <c r="H14" s="38" t="str">
        <f>IF(ISERROR(averageifs('_durationdata'!$L:$L, '_durationdata'!$K:$K, "*"&amp;$A14&amp;"*", '_durationdata'!$M:$M, "*"&amp;H$2&amp;"*")), "", averageifs('_durationdata'!$L:$L, '_durationdata'!$K:$K, "*"&amp;$A14&amp;"*", '_durationdata'!$M:$M, "*"&amp;H$2&amp;"*")/60)</f>
        <v/>
      </c>
      <c r="I14" s="38" t="str">
        <f>IF(ISERROR(averageifs('_durationdata'!$L:$L, '_durationdata'!$K:$K, "*"&amp;$A14&amp;"*", '_durationdata'!$M:$M, "*"&amp;I$2&amp;"*")), "", averageifs('_durationdata'!$L:$L, '_durationdata'!$K:$K, "*"&amp;$A14&amp;"*", '_durationdata'!$M:$M, "*"&amp;I$2&amp;"*")/60)</f>
        <v/>
      </c>
      <c r="J14" s="38" t="str">
        <f>IF(ISERROR(averageifs('_durationdata'!$L:$L, '_durationdata'!$K:$K, "*"&amp;$A14&amp;"*", '_durationdata'!$M:$M, "*"&amp;J$2&amp;"*")), "", averageifs('_durationdata'!$L:$L, '_durationdata'!$K:$K, "*"&amp;$A14&amp;"*", '_durationdata'!$M:$M, "*"&amp;J$2&amp;"*")/60)</f>
        <v/>
      </c>
      <c r="K14" s="38" t="str">
        <f>IF(ISERROR(averageifs('_durationdata'!$L:$L, '_durationdata'!$K:$K, "*"&amp;$A14&amp;"*", '_durationdata'!$M:$M, "*"&amp;K$2&amp;"*")), "", averageifs('_durationdata'!$L:$L, '_durationdata'!$K:$K, "*"&amp;$A14&amp;"*", '_durationdata'!$M:$M, "*"&amp;K$2&amp;"*")/60)</f>
        <v/>
      </c>
      <c r="L14" s="38" t="str">
        <f>IF(ISERROR(averageifs('_durationdata'!$L:$L, '_durationdata'!$K:$K, "*"&amp;$A14&amp;"*", '_durationdata'!$M:$M, "*"&amp;L$2&amp;"*")), "", averageifs('_durationdata'!$L:$L, '_durationdata'!$K:$K, "*"&amp;$A14&amp;"*", '_durationdata'!$M:$M, "*"&amp;L$2&amp;"*")/60)</f>
        <v/>
      </c>
      <c r="M14" s="38" t="str">
        <f>IF(ISERROR(averageifs('_durationdata'!$L:$L, '_durationdata'!$K:$K, "*"&amp;$A14&amp;"*", '_durationdata'!$M:$M, "*"&amp;M$2&amp;"*")), "", averageifs('_durationdata'!$L:$L, '_durationdata'!$K:$K, "*"&amp;$A14&amp;"*", '_durationdata'!$M:$M, "*"&amp;M$2&amp;"*")/60)</f>
        <v/>
      </c>
      <c r="N14" s="38" t="str">
        <f>IF(ISERROR(averageifs('_durationdata'!$L:$L, '_durationdata'!$K:$K, "*"&amp;$A14&amp;"*", '_durationdata'!$M:$M, "*"&amp;N$2&amp;"*")), "", averageifs('_durationdata'!$L:$L, '_durationdata'!$K:$K, "*"&amp;$A14&amp;"*", '_durationdata'!$M:$M, "*"&amp;N$2&amp;"*")/60)</f>
        <v/>
      </c>
      <c r="O14" s="38" t="str">
        <f>IF(ISERROR(averageifs('_durationdata'!$L:$L, '_durationdata'!$K:$K, "*"&amp;$A14&amp;"*", '_durationdata'!$M:$M, "*"&amp;O$2&amp;"*")), "", averageifs('_durationdata'!$L:$L, '_durationdata'!$K:$K, "*"&amp;$A14&amp;"*", '_durationdata'!$M:$M, "*"&amp;O$2&amp;"*")/60)</f>
        <v/>
      </c>
      <c r="P14" s="38" t="str">
        <f>IF(ISERROR(averageifs('_durationdata'!$L:$L, '_durationdata'!$K:$K, "*"&amp;$A14&amp;"*", '_durationdata'!$M:$M, "*"&amp;P$2&amp;"*")), "", averageifs('_durationdata'!$L:$L, '_durationdata'!$K:$K, "*"&amp;$A14&amp;"*", '_durationdata'!$M:$M, "*"&amp;P$2&amp;"*")/60)</f>
        <v/>
      </c>
      <c r="Q14" s="38" t="str">
        <f>IF(ISERROR(averageifs('_durationdata'!$L:$L, '_durationdata'!$K:$K, "*"&amp;$A14&amp;"*", '_durationdata'!$M:$M, "*"&amp;Q$2&amp;"*")), "", averageifs('_durationdata'!$L:$L, '_durationdata'!$K:$K, "*"&amp;$A14&amp;"*", '_durationdata'!$M:$M, "*"&amp;Q$2&amp;"*")/60)</f>
        <v/>
      </c>
      <c r="R14" s="38" t="str">
        <f>IF(ISERROR(averageifs('_durationdata'!$L:$L, '_durationdata'!$K:$K, "*"&amp;$A14&amp;"*", '_durationdata'!$M:$M, "*"&amp;R$2&amp;"*")), "", averageifs('_durationdata'!$L:$L, '_durationdata'!$K:$K, "*"&amp;$A14&amp;"*", '_durationdata'!$M:$M, "*"&amp;R$2&amp;"*")/60)</f>
        <v/>
      </c>
      <c r="S14" s="38" t="str">
        <f>IF(ISERROR(averageifs('_durationdata'!$L:$L, '_durationdata'!$K:$K, "*"&amp;$A14&amp;"*", '_durationdata'!$M:$M, "*"&amp;S$2&amp;"*")), "", averageifs('_durationdata'!$L:$L, '_durationdata'!$K:$K, "*"&amp;$A14&amp;"*", '_durationdata'!$M:$M, "*"&amp;S$2&amp;"*")/60)</f>
        <v/>
      </c>
      <c r="T14" s="38" t="str">
        <f>IF(ISERROR(averageifs('_durationdata'!$L:$L, '_durationdata'!$K:$K, "*"&amp;$A14&amp;"*", '_durationdata'!$M:$M, "*"&amp;T$2&amp;"*")), "", averageifs('_durationdata'!$L:$L, '_durationdata'!$K:$K, "*"&amp;$A14&amp;"*", '_durationdata'!$M:$M, "*"&amp;T$2&amp;"*")/60)</f>
        <v/>
      </c>
    </row>
    <row r="15">
      <c r="A15" s="25" t="s">
        <v>58</v>
      </c>
      <c r="B15" s="26" t="s">
        <v>18</v>
      </c>
      <c r="C15" s="29" t="str">
        <f>IF(ISERROR(averageifs('_durationdata'!$B:$B, '_durationdata'!$A:$A, "*"&amp;$A15&amp;"*", '_durationdata'!$C:$C, "*"&amp;C$2&amp;"*")), "", averageifs('_durationdata'!$B:$B, '_durationdata'!$A:$A, "*"&amp;$A15&amp;"*", '_durationdata'!$C:$C, "*"&amp;C$2&amp;"*")/60)</f>
        <v/>
      </c>
      <c r="D15" s="29" t="str">
        <f>IF(ISERROR(averageifs('_durationdata'!$B:$B, '_durationdata'!$A:$A, "*"&amp;$A15&amp;"*", '_durationdata'!$C:$C, "*"&amp;D$2&amp;"*")), "", averageifs('_durationdata'!$B:$B, '_durationdata'!$A:$A, "*"&amp;$A15&amp;"*", '_durationdata'!$C:$C, "*"&amp;D$2&amp;"*")/60)</f>
        <v/>
      </c>
      <c r="E15" s="29" t="str">
        <f>IF(ISERROR(averageifs('_durationdata'!$B:$B, '_durationdata'!$A:$A, "*"&amp;$A15&amp;"*", '_durationdata'!$C:$C, "*"&amp;E$2&amp;"*")), "", averageifs('_durationdata'!$B:$B, '_durationdata'!$A:$A, "*"&amp;$A15&amp;"*", '_durationdata'!$C:$C, "*"&amp;E$2&amp;"*")/60)</f>
        <v/>
      </c>
      <c r="F15" s="29" t="str">
        <f>IF(ISERROR(averageifs('_durationdata'!$B:$B, '_durationdata'!$A:$A, "*"&amp;$A15&amp;"*", '_durationdata'!$C:$C, "*"&amp;F$2&amp;"*")), "", averageifs('_durationdata'!$B:$B, '_durationdata'!$A:$A, "*"&amp;$A15&amp;"*", '_durationdata'!$C:$C, "*"&amp;F$2&amp;"*")/60)</f>
        <v/>
      </c>
      <c r="G15" s="29" t="str">
        <f>IF(ISERROR(averageifs('_durationdata'!$B:$B, '_durationdata'!$A:$A, "*"&amp;$A15&amp;"*", '_durationdata'!$C:$C, "*"&amp;G$2&amp;"*")), "", averageifs('_durationdata'!$B:$B, '_durationdata'!$A:$A, "*"&amp;$A15&amp;"*", '_durationdata'!$C:$C, "*"&amp;G$2&amp;"*")/60)</f>
        <v/>
      </c>
      <c r="H15" s="29" t="str">
        <f>IF(ISERROR(averageifs('_durationdata'!$B:$B, '_durationdata'!$A:$A, "*"&amp;$A15&amp;"*", '_durationdata'!$C:$C, "*"&amp;H$2&amp;"*")), "", averageifs('_durationdata'!$B:$B, '_durationdata'!$A:$A, "*"&amp;$A15&amp;"*", '_durationdata'!$C:$C, "*"&amp;H$2&amp;"*")/60)</f>
        <v/>
      </c>
      <c r="I15" s="29" t="str">
        <f>IF(ISERROR(averageifs('_durationdata'!$B:$B, '_durationdata'!$A:$A, "*"&amp;$A15&amp;"*", '_durationdata'!$C:$C, "*"&amp;I$2&amp;"*")), "", averageifs('_durationdata'!$B:$B, '_durationdata'!$A:$A, "*"&amp;$A15&amp;"*", '_durationdata'!$C:$C, "*"&amp;I$2&amp;"*")/60)</f>
        <v/>
      </c>
      <c r="J15" s="29" t="str">
        <f>IF(ISERROR(averageifs('_durationdata'!$B:$B, '_durationdata'!$A:$A, "*"&amp;$A15&amp;"*", '_durationdata'!$C:$C, "*"&amp;J$2&amp;"*")), "", averageifs('_durationdata'!$B:$B, '_durationdata'!$A:$A, "*"&amp;$A15&amp;"*", '_durationdata'!$C:$C, "*"&amp;J$2&amp;"*")/60)</f>
        <v/>
      </c>
      <c r="K15" s="29" t="str">
        <f>IF(ISERROR(averageifs('_durationdata'!$B:$B, '_durationdata'!$A:$A, "*"&amp;$A15&amp;"*", '_durationdata'!$C:$C, "*"&amp;K$2&amp;"*")), "", averageifs('_durationdata'!$B:$B, '_durationdata'!$A:$A, "*"&amp;$A15&amp;"*", '_durationdata'!$C:$C, "*"&amp;K$2&amp;"*")/60)</f>
        <v/>
      </c>
      <c r="L15" s="29" t="str">
        <f>IF(ISERROR(averageifs('_durationdata'!$B:$B, '_durationdata'!$A:$A, "*"&amp;$A15&amp;"*", '_durationdata'!$C:$C, "*"&amp;L$2&amp;"*")), "", averageifs('_durationdata'!$B:$B, '_durationdata'!$A:$A, "*"&amp;$A15&amp;"*", '_durationdata'!$C:$C, "*"&amp;L$2&amp;"*")/60)</f>
        <v/>
      </c>
      <c r="M15" s="29" t="str">
        <f>IF(ISERROR(averageifs('_durationdata'!$B:$B, '_durationdata'!$A:$A, "*"&amp;$A15&amp;"*", '_durationdata'!$C:$C, "*"&amp;M$2&amp;"*")), "", averageifs('_durationdata'!$B:$B, '_durationdata'!$A:$A, "*"&amp;$A15&amp;"*", '_durationdata'!$C:$C, "*"&amp;M$2&amp;"*")/60)</f>
        <v/>
      </c>
      <c r="N15" s="29" t="str">
        <f>IF(ISERROR(averageifs('_durationdata'!$B:$B, '_durationdata'!$A:$A, "*"&amp;$A15&amp;"*", '_durationdata'!$C:$C, "*"&amp;N$2&amp;"*")), "", averageifs('_durationdata'!$B:$B, '_durationdata'!$A:$A, "*"&amp;$A15&amp;"*", '_durationdata'!$C:$C, "*"&amp;N$2&amp;"*")/60)</f>
        <v/>
      </c>
      <c r="O15" s="29" t="str">
        <f>IF(ISERROR(averageifs('_durationdata'!$B:$B, '_durationdata'!$A:$A, "*"&amp;$A15&amp;"*", '_durationdata'!$C:$C, "*"&amp;O$2&amp;"*")), "", averageifs('_durationdata'!$B:$B, '_durationdata'!$A:$A, "*"&amp;$A15&amp;"*", '_durationdata'!$C:$C, "*"&amp;O$2&amp;"*")/60)</f>
        <v/>
      </c>
      <c r="P15" s="29" t="str">
        <f>IF(ISERROR(averageifs('_durationdata'!$B:$B, '_durationdata'!$A:$A, "*"&amp;$A15&amp;"*", '_durationdata'!$C:$C, "*"&amp;P$2&amp;"*")), "", averageifs('_durationdata'!$B:$B, '_durationdata'!$A:$A, "*"&amp;$A15&amp;"*", '_durationdata'!$C:$C, "*"&amp;P$2&amp;"*")/60)</f>
        <v/>
      </c>
      <c r="Q15" s="29" t="str">
        <f>IF(ISERROR(averageifs('_durationdata'!$B:$B, '_durationdata'!$A:$A, "*"&amp;$A15&amp;"*", '_durationdata'!$C:$C, "*"&amp;Q$2&amp;"*")), "", averageifs('_durationdata'!$B:$B, '_durationdata'!$A:$A, "*"&amp;$A15&amp;"*", '_durationdata'!$C:$C, "*"&amp;Q$2&amp;"*")/60)</f>
        <v/>
      </c>
      <c r="R15" s="29" t="str">
        <f>IF(ISERROR(averageifs('_durationdata'!$B:$B, '_durationdata'!$A:$A, "*"&amp;$A15&amp;"*", '_durationdata'!$C:$C, "*"&amp;R$2&amp;"*")), "", averageifs('_durationdata'!$B:$B, '_durationdata'!$A:$A, "*"&amp;$A15&amp;"*", '_durationdata'!$C:$C, "*"&amp;R$2&amp;"*")/60)</f>
        <v/>
      </c>
      <c r="S15" s="29" t="str">
        <f>IF(ISERROR(averageifs('_durationdata'!$B:$B, '_durationdata'!$A:$A, "*"&amp;$A15&amp;"*", '_durationdata'!$C:$C, "*"&amp;S$2&amp;"*")), "", averageifs('_durationdata'!$B:$B, '_durationdata'!$A:$A, "*"&amp;$A15&amp;"*", '_durationdata'!$C:$C, "*"&amp;S$2&amp;"*")/60)</f>
        <v/>
      </c>
      <c r="T15" s="29" t="str">
        <f>IF(ISERROR(averageifs('_durationdata'!$B:$B, '_durationdata'!$A:$A, "*"&amp;$A15&amp;"*", '_durationdata'!$C:$C, "*"&amp;T$2&amp;"*")), "", averageifs('_durationdata'!$B:$B, '_durationdata'!$A:$A, "*"&amp;$A15&amp;"*", '_durationdata'!$C:$C, "*"&amp;T$2&amp;"*")/60)</f>
        <v/>
      </c>
      <c r="U15" s="33"/>
      <c r="V15" s="33"/>
      <c r="W15" s="33"/>
      <c r="X15" s="33"/>
      <c r="Y15" s="33"/>
      <c r="Z15" s="33"/>
    </row>
    <row r="16">
      <c r="A16" s="2" t="s">
        <v>58</v>
      </c>
      <c r="B16" s="17" t="s">
        <v>28</v>
      </c>
      <c r="C16" s="38" t="str">
        <f>IF(iserror(averageifs('_durationdata'!$G:$G, '_durationdata'!$F:$F, "*"&amp;$A16&amp;"*", '_durationdata'!$H:$H, "*"&amp;C$2&amp;"*")), "", averageifs('_durationdata'!$G:$G, '_durationdata'!$F:$F, "*"&amp;$A16&amp;"*", '_durationdata'!$H:$H, "*"&amp;C$2&amp;"*")/60)</f>
        <v/>
      </c>
      <c r="D16" s="38" t="str">
        <f>IF(iserror(averageifs('_durationdata'!$G:$G, '_durationdata'!$F:$F, "*"&amp;$A16&amp;"*", '_durationdata'!$H:$H, "*"&amp;D$2&amp;"*")), "", averageifs('_durationdata'!$G:$G, '_durationdata'!$F:$F, "*"&amp;$A16&amp;"*", '_durationdata'!$H:$H, "*"&amp;D$2&amp;"*")/60)</f>
        <v/>
      </c>
      <c r="E16" s="38" t="str">
        <f>IF(iserror(averageifs('_durationdata'!$G:$G, '_durationdata'!$F:$F, "*"&amp;$A16&amp;"*", '_durationdata'!$H:$H, "*"&amp;E$2&amp;"*")), "", averageifs('_durationdata'!$G:$G, '_durationdata'!$F:$F, "*"&amp;$A16&amp;"*", '_durationdata'!$H:$H, "*"&amp;E$2&amp;"*")/60)</f>
        <v/>
      </c>
      <c r="F16" s="38" t="str">
        <f>IF(iserror(averageifs('_durationdata'!$G:$G, '_durationdata'!$F:$F, "*"&amp;$A16&amp;"*", '_durationdata'!$H:$H, "*"&amp;F$2&amp;"*")), "", averageifs('_durationdata'!$G:$G, '_durationdata'!$F:$F, "*"&amp;$A16&amp;"*", '_durationdata'!$H:$H, "*"&amp;F$2&amp;"*")/60)</f>
        <v/>
      </c>
      <c r="G16" s="38" t="str">
        <f>IF(iserror(averageifs('_durationdata'!$G:$G, '_durationdata'!$F:$F, "*"&amp;$A16&amp;"*", '_durationdata'!$H:$H, "*"&amp;G$2&amp;"*")), "", averageifs('_durationdata'!$G:$G, '_durationdata'!$F:$F, "*"&amp;$A16&amp;"*", '_durationdata'!$H:$H, "*"&amp;G$2&amp;"*")/60)</f>
        <v/>
      </c>
      <c r="H16" s="38" t="str">
        <f>IF(iserror(averageifs('_durationdata'!$G:$G, '_durationdata'!$F:$F, "*"&amp;$A16&amp;"*", '_durationdata'!$H:$H, "*"&amp;H$2&amp;"*")), "", averageifs('_durationdata'!$G:$G, '_durationdata'!$F:$F, "*"&amp;$A16&amp;"*", '_durationdata'!$H:$H, "*"&amp;H$2&amp;"*")/60)</f>
        <v/>
      </c>
      <c r="I16" s="38" t="str">
        <f>IF(iserror(averageifs('_durationdata'!$G:$G, '_durationdata'!$F:$F, "*"&amp;$A16&amp;"*", '_durationdata'!$H:$H, "*"&amp;I$2&amp;"*")), "", averageifs('_durationdata'!$G:$G, '_durationdata'!$F:$F, "*"&amp;$A16&amp;"*", '_durationdata'!$H:$H, "*"&amp;I$2&amp;"*")/60)</f>
        <v/>
      </c>
      <c r="J16" s="38" t="str">
        <f>IF(iserror(averageifs('_durationdata'!$G:$G, '_durationdata'!$F:$F, "*"&amp;$A16&amp;"*", '_durationdata'!$H:$H, "*"&amp;J$2&amp;"*")), "", averageifs('_durationdata'!$G:$G, '_durationdata'!$F:$F, "*"&amp;$A16&amp;"*", '_durationdata'!$H:$H, "*"&amp;J$2&amp;"*")/60)</f>
        <v/>
      </c>
      <c r="K16" s="38" t="str">
        <f>IF(iserror(averageifs('_durationdata'!$G:$G, '_durationdata'!$F:$F, "*"&amp;$A16&amp;"*", '_durationdata'!$H:$H, "*"&amp;K$2&amp;"*")), "", averageifs('_durationdata'!$G:$G, '_durationdata'!$F:$F, "*"&amp;$A16&amp;"*", '_durationdata'!$H:$H, "*"&amp;K$2&amp;"*")/60)</f>
        <v/>
      </c>
      <c r="L16" s="38" t="str">
        <f>IF(iserror(averageifs('_durationdata'!$G:$G, '_durationdata'!$F:$F, "*"&amp;$A16&amp;"*", '_durationdata'!$H:$H, "*"&amp;L$2&amp;"*")), "", averageifs('_durationdata'!$G:$G, '_durationdata'!$F:$F, "*"&amp;$A16&amp;"*", '_durationdata'!$H:$H, "*"&amp;L$2&amp;"*")/60)</f>
        <v/>
      </c>
      <c r="M16" s="38" t="str">
        <f>IF(iserror(averageifs('_durationdata'!$G:$G, '_durationdata'!$F:$F, "*"&amp;$A16&amp;"*", '_durationdata'!$H:$H, "*"&amp;M$2&amp;"*")), "", averageifs('_durationdata'!$G:$G, '_durationdata'!$F:$F, "*"&amp;$A16&amp;"*", '_durationdata'!$H:$H, "*"&amp;M$2&amp;"*")/60)</f>
        <v/>
      </c>
      <c r="N16" s="38" t="str">
        <f>IF(iserror(averageifs('_durationdata'!$G:$G, '_durationdata'!$F:$F, "*"&amp;$A16&amp;"*", '_durationdata'!$H:$H, "*"&amp;N$2&amp;"*")), "", averageifs('_durationdata'!$G:$G, '_durationdata'!$F:$F, "*"&amp;$A16&amp;"*", '_durationdata'!$H:$H, "*"&amp;N$2&amp;"*")/60)</f>
        <v/>
      </c>
      <c r="O16" s="38" t="str">
        <f>IF(iserror(averageifs('_durationdata'!$G:$G, '_durationdata'!$F:$F, "*"&amp;$A16&amp;"*", '_durationdata'!$H:$H, "*"&amp;O$2&amp;"*")), "", averageifs('_durationdata'!$G:$G, '_durationdata'!$F:$F, "*"&amp;$A16&amp;"*", '_durationdata'!$H:$H, "*"&amp;O$2&amp;"*")/60)</f>
        <v/>
      </c>
      <c r="P16" s="38" t="str">
        <f>IF(iserror(averageifs('_durationdata'!$G:$G, '_durationdata'!$F:$F, "*"&amp;$A16&amp;"*", '_durationdata'!$H:$H, "*"&amp;P$2&amp;"*")), "", averageifs('_durationdata'!$G:$G, '_durationdata'!$F:$F, "*"&amp;$A16&amp;"*", '_durationdata'!$H:$H, "*"&amp;P$2&amp;"*")/60)</f>
        <v/>
      </c>
      <c r="Q16" s="38" t="str">
        <f>IF(iserror(averageifs('_durationdata'!$G:$G, '_durationdata'!$F:$F, "*"&amp;$A16&amp;"*", '_durationdata'!$H:$H, "*"&amp;Q$2&amp;"*")), "", averageifs('_durationdata'!$G:$G, '_durationdata'!$F:$F, "*"&amp;$A16&amp;"*", '_durationdata'!$H:$H, "*"&amp;Q$2&amp;"*")/60)</f>
        <v/>
      </c>
      <c r="R16" s="38" t="str">
        <f>IF(iserror(averageifs('_durationdata'!$G:$G, '_durationdata'!$F:$F, "*"&amp;$A16&amp;"*", '_durationdata'!$H:$H, "*"&amp;R$2&amp;"*")), "", averageifs('_durationdata'!$G:$G, '_durationdata'!$F:$F, "*"&amp;$A16&amp;"*", '_durationdata'!$H:$H, "*"&amp;R$2&amp;"*")/60)</f>
        <v/>
      </c>
      <c r="S16" s="38" t="str">
        <f>IF(iserror(averageifs('_durationdata'!$G:$G, '_durationdata'!$F:$F, "*"&amp;$A16&amp;"*", '_durationdata'!$H:$H, "*"&amp;S$2&amp;"*")), "", averageifs('_durationdata'!$G:$G, '_durationdata'!$F:$F, "*"&amp;$A16&amp;"*", '_durationdata'!$H:$H, "*"&amp;S$2&amp;"*")/60)</f>
        <v/>
      </c>
      <c r="T16" s="38" t="str">
        <f>IF(iserror(averageifs('_durationdata'!$G:$G, '_durationdata'!$F:$F, "*"&amp;$A16&amp;"*", '_durationdata'!$H:$H, "*"&amp;T$2&amp;"*")), "", averageifs('_durationdata'!$G:$G, '_durationdata'!$F:$F, "*"&amp;$A16&amp;"*", '_durationdata'!$H:$H, "*"&amp;T$2&amp;"*")/60)</f>
        <v/>
      </c>
    </row>
    <row r="17">
      <c r="A17" s="2" t="s">
        <v>58</v>
      </c>
      <c r="B17" s="17" t="s">
        <v>30</v>
      </c>
      <c r="C17" s="38" t="str">
        <f>IF(ISERROR(averageifs('_durationdata'!$L:$L, '_durationdata'!$K:$K, "*"&amp;$A17&amp;"*", '_durationdata'!$M:$M, "*"&amp;C$2&amp;"*")), "", averageifs('_durationdata'!$L:$L, '_durationdata'!$K:$K, "*"&amp;$A17&amp;"*", '_durationdata'!$M:$M, "*"&amp;C$2&amp;"*")/60)</f>
        <v/>
      </c>
      <c r="D17" s="38" t="str">
        <f>IF(ISERROR(averageifs('_durationdata'!$L:$L, '_durationdata'!$K:$K, "*"&amp;$A17&amp;"*", '_durationdata'!$M:$M, "*"&amp;D$2&amp;"*")), "", averageifs('_durationdata'!$L:$L, '_durationdata'!$K:$K, "*"&amp;$A17&amp;"*", '_durationdata'!$M:$M, "*"&amp;D$2&amp;"*")/60)</f>
        <v/>
      </c>
      <c r="E17" s="38" t="str">
        <f>IF(ISERROR(averageifs('_durationdata'!$L:$L, '_durationdata'!$K:$K, "*"&amp;$A17&amp;"*", '_durationdata'!$M:$M, "*"&amp;E$2&amp;"*")), "", averageifs('_durationdata'!$L:$L, '_durationdata'!$K:$K, "*"&amp;$A17&amp;"*", '_durationdata'!$M:$M, "*"&amp;E$2&amp;"*")/60)</f>
        <v/>
      </c>
      <c r="F17" s="38" t="str">
        <f>IF(ISERROR(averageifs('_durationdata'!$L:$L, '_durationdata'!$K:$K, "*"&amp;$A17&amp;"*", '_durationdata'!$M:$M, "*"&amp;F$2&amp;"*")), "", averageifs('_durationdata'!$L:$L, '_durationdata'!$K:$K, "*"&amp;$A17&amp;"*", '_durationdata'!$M:$M, "*"&amp;F$2&amp;"*")/60)</f>
        <v/>
      </c>
      <c r="G17" s="38" t="str">
        <f>IF(ISERROR(averageifs('_durationdata'!$L:$L, '_durationdata'!$K:$K, "*"&amp;$A17&amp;"*", '_durationdata'!$M:$M, "*"&amp;G$2&amp;"*")), "", averageifs('_durationdata'!$L:$L, '_durationdata'!$K:$K, "*"&amp;$A17&amp;"*", '_durationdata'!$M:$M, "*"&amp;G$2&amp;"*")/60)</f>
        <v/>
      </c>
      <c r="H17" s="38" t="str">
        <f>IF(ISERROR(averageifs('_durationdata'!$L:$L, '_durationdata'!$K:$K, "*"&amp;$A17&amp;"*", '_durationdata'!$M:$M, "*"&amp;H$2&amp;"*")), "", averageifs('_durationdata'!$L:$L, '_durationdata'!$K:$K, "*"&amp;$A17&amp;"*", '_durationdata'!$M:$M, "*"&amp;H$2&amp;"*")/60)</f>
        <v/>
      </c>
      <c r="I17" s="38" t="str">
        <f>IF(ISERROR(averageifs('_durationdata'!$L:$L, '_durationdata'!$K:$K, "*"&amp;$A17&amp;"*", '_durationdata'!$M:$M, "*"&amp;I$2&amp;"*")), "", averageifs('_durationdata'!$L:$L, '_durationdata'!$K:$K, "*"&amp;$A17&amp;"*", '_durationdata'!$M:$M, "*"&amp;I$2&amp;"*")/60)</f>
        <v/>
      </c>
      <c r="J17" s="38" t="str">
        <f>IF(ISERROR(averageifs('_durationdata'!$L:$L, '_durationdata'!$K:$K, "*"&amp;$A17&amp;"*", '_durationdata'!$M:$M, "*"&amp;J$2&amp;"*")), "", averageifs('_durationdata'!$L:$L, '_durationdata'!$K:$K, "*"&amp;$A17&amp;"*", '_durationdata'!$M:$M, "*"&amp;J$2&amp;"*")/60)</f>
        <v/>
      </c>
      <c r="K17" s="38" t="str">
        <f>IF(ISERROR(averageifs('_durationdata'!$L:$L, '_durationdata'!$K:$K, "*"&amp;$A17&amp;"*", '_durationdata'!$M:$M, "*"&amp;K$2&amp;"*")), "", averageifs('_durationdata'!$L:$L, '_durationdata'!$K:$K, "*"&amp;$A17&amp;"*", '_durationdata'!$M:$M, "*"&amp;K$2&amp;"*")/60)</f>
        <v/>
      </c>
      <c r="L17" s="38" t="str">
        <f>IF(ISERROR(averageifs('_durationdata'!$L:$L, '_durationdata'!$K:$K, "*"&amp;$A17&amp;"*", '_durationdata'!$M:$M, "*"&amp;L$2&amp;"*")), "", averageifs('_durationdata'!$L:$L, '_durationdata'!$K:$K, "*"&amp;$A17&amp;"*", '_durationdata'!$M:$M, "*"&amp;L$2&amp;"*")/60)</f>
        <v/>
      </c>
      <c r="M17" s="38" t="str">
        <f>IF(ISERROR(averageifs('_durationdata'!$L:$L, '_durationdata'!$K:$K, "*"&amp;$A17&amp;"*", '_durationdata'!$M:$M, "*"&amp;M$2&amp;"*")), "", averageifs('_durationdata'!$L:$L, '_durationdata'!$K:$K, "*"&amp;$A17&amp;"*", '_durationdata'!$M:$M, "*"&amp;M$2&amp;"*")/60)</f>
        <v/>
      </c>
      <c r="N17" s="38" t="str">
        <f>IF(ISERROR(averageifs('_durationdata'!$L:$L, '_durationdata'!$K:$K, "*"&amp;$A17&amp;"*", '_durationdata'!$M:$M, "*"&amp;N$2&amp;"*")), "", averageifs('_durationdata'!$L:$L, '_durationdata'!$K:$K, "*"&amp;$A17&amp;"*", '_durationdata'!$M:$M, "*"&amp;N$2&amp;"*")/60)</f>
        <v/>
      </c>
      <c r="O17" s="38" t="str">
        <f>IF(ISERROR(averageifs('_durationdata'!$L:$L, '_durationdata'!$K:$K, "*"&amp;$A17&amp;"*", '_durationdata'!$M:$M, "*"&amp;O$2&amp;"*")), "", averageifs('_durationdata'!$L:$L, '_durationdata'!$K:$K, "*"&amp;$A17&amp;"*", '_durationdata'!$M:$M, "*"&amp;O$2&amp;"*")/60)</f>
        <v/>
      </c>
      <c r="P17" s="38" t="str">
        <f>IF(ISERROR(averageifs('_durationdata'!$L:$L, '_durationdata'!$K:$K, "*"&amp;$A17&amp;"*", '_durationdata'!$M:$M, "*"&amp;P$2&amp;"*")), "", averageifs('_durationdata'!$L:$L, '_durationdata'!$K:$K, "*"&amp;$A17&amp;"*", '_durationdata'!$M:$M, "*"&amp;P$2&amp;"*")/60)</f>
        <v/>
      </c>
      <c r="Q17" s="38" t="str">
        <f>IF(ISERROR(averageifs('_durationdata'!$L:$L, '_durationdata'!$K:$K, "*"&amp;$A17&amp;"*", '_durationdata'!$M:$M, "*"&amp;Q$2&amp;"*")), "", averageifs('_durationdata'!$L:$L, '_durationdata'!$K:$K, "*"&amp;$A17&amp;"*", '_durationdata'!$M:$M, "*"&amp;Q$2&amp;"*")/60)</f>
        <v/>
      </c>
      <c r="R17" s="38" t="str">
        <f>IF(ISERROR(averageifs('_durationdata'!$L:$L, '_durationdata'!$K:$K, "*"&amp;$A17&amp;"*", '_durationdata'!$M:$M, "*"&amp;R$2&amp;"*")), "", averageifs('_durationdata'!$L:$L, '_durationdata'!$K:$K, "*"&amp;$A17&amp;"*", '_durationdata'!$M:$M, "*"&amp;R$2&amp;"*")/60)</f>
        <v/>
      </c>
      <c r="S17" s="38" t="str">
        <f>IF(ISERROR(averageifs('_durationdata'!$L:$L, '_durationdata'!$K:$K, "*"&amp;$A17&amp;"*", '_durationdata'!$M:$M, "*"&amp;S$2&amp;"*")), "", averageifs('_durationdata'!$L:$L, '_durationdata'!$K:$K, "*"&amp;$A17&amp;"*", '_durationdata'!$M:$M, "*"&amp;S$2&amp;"*")/60)</f>
        <v/>
      </c>
      <c r="T17" s="38" t="str">
        <f>IF(ISERROR(averageifs('_durationdata'!$L:$L, '_durationdata'!$K:$K, "*"&amp;$A17&amp;"*", '_durationdata'!$M:$M, "*"&amp;T$2&amp;"*")), "", averageifs('_durationdata'!$L:$L, '_durationdata'!$K:$K, "*"&amp;$A17&amp;"*", '_durationdata'!$M:$M, "*"&amp;T$2&amp;"*")/60)</f>
        <v/>
      </c>
    </row>
    <row r="18">
      <c r="A18" s="25" t="s">
        <v>66</v>
      </c>
      <c r="B18" s="26" t="s">
        <v>18</v>
      </c>
      <c r="C18" s="29" t="str">
        <f>IF(ISERROR(averageifs('_durationdata'!$B:$B, '_durationdata'!$A:$A, "*"&amp;$A18&amp;"*", '_durationdata'!$C:$C, "*"&amp;C$2&amp;"*")), "", averageifs('_durationdata'!$B:$B, '_durationdata'!$A:$A, "*"&amp;$A18&amp;"*", '_durationdata'!$C:$C, "*"&amp;C$2&amp;"*")/60)</f>
        <v/>
      </c>
      <c r="D18" s="29" t="str">
        <f>IF(ISERROR(averageifs('_durationdata'!$B:$B, '_durationdata'!$A:$A, "*"&amp;$A18&amp;"*", '_durationdata'!$C:$C, "*"&amp;D$2&amp;"*")), "", averageifs('_durationdata'!$B:$B, '_durationdata'!$A:$A, "*"&amp;$A18&amp;"*", '_durationdata'!$C:$C, "*"&amp;D$2&amp;"*")/60)</f>
        <v/>
      </c>
      <c r="E18" s="29" t="str">
        <f>IF(ISERROR(averageifs('_durationdata'!$B:$B, '_durationdata'!$A:$A, "*"&amp;$A18&amp;"*", '_durationdata'!$C:$C, "*"&amp;E$2&amp;"*")), "", averageifs('_durationdata'!$B:$B, '_durationdata'!$A:$A, "*"&amp;$A18&amp;"*", '_durationdata'!$C:$C, "*"&amp;E$2&amp;"*")/60)</f>
        <v/>
      </c>
      <c r="F18" s="29" t="str">
        <f>IF(ISERROR(averageifs('_durationdata'!$B:$B, '_durationdata'!$A:$A, "*"&amp;$A18&amp;"*", '_durationdata'!$C:$C, "*"&amp;F$2&amp;"*")), "", averageifs('_durationdata'!$B:$B, '_durationdata'!$A:$A, "*"&amp;$A18&amp;"*", '_durationdata'!$C:$C, "*"&amp;F$2&amp;"*")/60)</f>
        <v/>
      </c>
      <c r="G18" s="29" t="str">
        <f>IF(ISERROR(averageifs('_durationdata'!$B:$B, '_durationdata'!$A:$A, "*"&amp;$A18&amp;"*", '_durationdata'!$C:$C, "*"&amp;G$2&amp;"*")), "", averageifs('_durationdata'!$B:$B, '_durationdata'!$A:$A, "*"&amp;$A18&amp;"*", '_durationdata'!$C:$C, "*"&amp;G$2&amp;"*")/60)</f>
        <v/>
      </c>
      <c r="H18" s="29" t="str">
        <f>IF(ISERROR(averageifs('_durationdata'!$B:$B, '_durationdata'!$A:$A, "*"&amp;$A18&amp;"*", '_durationdata'!$C:$C, "*"&amp;H$2&amp;"*")), "", averageifs('_durationdata'!$B:$B, '_durationdata'!$A:$A, "*"&amp;$A18&amp;"*", '_durationdata'!$C:$C, "*"&amp;H$2&amp;"*")/60)</f>
        <v/>
      </c>
      <c r="I18" s="29" t="str">
        <f>IF(ISERROR(averageifs('_durationdata'!$B:$B, '_durationdata'!$A:$A, "*"&amp;$A18&amp;"*", '_durationdata'!$C:$C, "*"&amp;I$2&amp;"*")), "", averageifs('_durationdata'!$B:$B, '_durationdata'!$A:$A, "*"&amp;$A18&amp;"*", '_durationdata'!$C:$C, "*"&amp;I$2&amp;"*")/60)</f>
        <v/>
      </c>
      <c r="J18" s="29" t="str">
        <f>IF(ISERROR(averageifs('_durationdata'!$B:$B, '_durationdata'!$A:$A, "*"&amp;$A18&amp;"*", '_durationdata'!$C:$C, "*"&amp;J$2&amp;"*")), "", averageifs('_durationdata'!$B:$B, '_durationdata'!$A:$A, "*"&amp;$A18&amp;"*", '_durationdata'!$C:$C, "*"&amp;J$2&amp;"*")/60)</f>
        <v/>
      </c>
      <c r="K18" s="29" t="str">
        <f>IF(ISERROR(averageifs('_durationdata'!$B:$B, '_durationdata'!$A:$A, "*"&amp;$A18&amp;"*", '_durationdata'!$C:$C, "*"&amp;K$2&amp;"*")), "", averageifs('_durationdata'!$B:$B, '_durationdata'!$A:$A, "*"&amp;$A18&amp;"*", '_durationdata'!$C:$C, "*"&amp;K$2&amp;"*")/60)</f>
        <v/>
      </c>
      <c r="L18" s="29" t="str">
        <f>IF(ISERROR(averageifs('_durationdata'!$B:$B, '_durationdata'!$A:$A, "*"&amp;$A18&amp;"*", '_durationdata'!$C:$C, "*"&amp;L$2&amp;"*")), "", averageifs('_durationdata'!$B:$B, '_durationdata'!$A:$A, "*"&amp;$A18&amp;"*", '_durationdata'!$C:$C, "*"&amp;L$2&amp;"*")/60)</f>
        <v/>
      </c>
      <c r="M18" s="29" t="str">
        <f>IF(ISERROR(averageifs('_durationdata'!$B:$B, '_durationdata'!$A:$A, "*"&amp;$A18&amp;"*", '_durationdata'!$C:$C, "*"&amp;M$2&amp;"*")), "", averageifs('_durationdata'!$B:$B, '_durationdata'!$A:$A, "*"&amp;$A18&amp;"*", '_durationdata'!$C:$C, "*"&amp;M$2&amp;"*")/60)</f>
        <v/>
      </c>
      <c r="N18" s="29" t="str">
        <f>IF(ISERROR(averageifs('_durationdata'!$B:$B, '_durationdata'!$A:$A, "*"&amp;$A18&amp;"*", '_durationdata'!$C:$C, "*"&amp;N$2&amp;"*")), "", averageifs('_durationdata'!$B:$B, '_durationdata'!$A:$A, "*"&amp;$A18&amp;"*", '_durationdata'!$C:$C, "*"&amp;N$2&amp;"*")/60)</f>
        <v/>
      </c>
      <c r="O18" s="29" t="str">
        <f>IF(ISERROR(averageifs('_durationdata'!$B:$B, '_durationdata'!$A:$A, "*"&amp;$A18&amp;"*", '_durationdata'!$C:$C, "*"&amp;O$2&amp;"*")), "", averageifs('_durationdata'!$B:$B, '_durationdata'!$A:$A, "*"&amp;$A18&amp;"*", '_durationdata'!$C:$C, "*"&amp;O$2&amp;"*")/60)</f>
        <v/>
      </c>
      <c r="P18" s="29" t="str">
        <f>IF(ISERROR(averageifs('_durationdata'!$B:$B, '_durationdata'!$A:$A, "*"&amp;$A18&amp;"*", '_durationdata'!$C:$C, "*"&amp;P$2&amp;"*")), "", averageifs('_durationdata'!$B:$B, '_durationdata'!$A:$A, "*"&amp;$A18&amp;"*", '_durationdata'!$C:$C, "*"&amp;P$2&amp;"*")/60)</f>
        <v/>
      </c>
      <c r="Q18" s="29" t="str">
        <f>IF(ISERROR(averageifs('_durationdata'!$B:$B, '_durationdata'!$A:$A, "*"&amp;$A18&amp;"*", '_durationdata'!$C:$C, "*"&amp;Q$2&amp;"*")), "", averageifs('_durationdata'!$B:$B, '_durationdata'!$A:$A, "*"&amp;$A18&amp;"*", '_durationdata'!$C:$C, "*"&amp;Q$2&amp;"*")/60)</f>
        <v/>
      </c>
      <c r="R18" s="29" t="str">
        <f>IF(ISERROR(averageifs('_durationdata'!$B:$B, '_durationdata'!$A:$A, "*"&amp;$A18&amp;"*", '_durationdata'!$C:$C, "*"&amp;R$2&amp;"*")), "", averageifs('_durationdata'!$B:$B, '_durationdata'!$A:$A, "*"&amp;$A18&amp;"*", '_durationdata'!$C:$C, "*"&amp;R$2&amp;"*")/60)</f>
        <v/>
      </c>
      <c r="S18" s="29" t="str">
        <f>IF(ISERROR(averageifs('_durationdata'!$B:$B, '_durationdata'!$A:$A, "*"&amp;$A18&amp;"*", '_durationdata'!$C:$C, "*"&amp;S$2&amp;"*")), "", averageifs('_durationdata'!$B:$B, '_durationdata'!$A:$A, "*"&amp;$A18&amp;"*", '_durationdata'!$C:$C, "*"&amp;S$2&amp;"*")/60)</f>
        <v/>
      </c>
      <c r="T18" s="29" t="str">
        <f>IF(ISERROR(averageifs('_durationdata'!$B:$B, '_durationdata'!$A:$A, "*"&amp;$A18&amp;"*", '_durationdata'!$C:$C, "*"&amp;T$2&amp;"*")), "", averageifs('_durationdata'!$B:$B, '_durationdata'!$A:$A, "*"&amp;$A18&amp;"*", '_durationdata'!$C:$C, "*"&amp;T$2&amp;"*")/60)</f>
        <v/>
      </c>
      <c r="U18" s="33"/>
      <c r="V18" s="33"/>
      <c r="W18" s="33"/>
      <c r="X18" s="33"/>
      <c r="Y18" s="33"/>
      <c r="Z18" s="33"/>
    </row>
    <row r="19">
      <c r="A19" s="2" t="s">
        <v>66</v>
      </c>
      <c r="B19" s="17" t="s">
        <v>28</v>
      </c>
      <c r="C19" s="38" t="str">
        <f>IF(iserror(averageifs('_durationdata'!$G:$G, '_durationdata'!$F:$F, "*"&amp;$A19&amp;"*", '_durationdata'!$H:$H, "*"&amp;C$2&amp;"*")), "", averageifs('_durationdata'!$G:$G, '_durationdata'!$F:$F, "*"&amp;$A19&amp;"*", '_durationdata'!$H:$H, "*"&amp;C$2&amp;"*")/60)</f>
        <v/>
      </c>
      <c r="D19" s="38" t="str">
        <f>IF(iserror(averageifs('_durationdata'!$G:$G, '_durationdata'!$F:$F, "*"&amp;$A19&amp;"*", '_durationdata'!$H:$H, "*"&amp;D$2&amp;"*")), "", averageifs('_durationdata'!$G:$G, '_durationdata'!$F:$F, "*"&amp;$A19&amp;"*", '_durationdata'!$H:$H, "*"&amp;D$2&amp;"*")/60)</f>
        <v/>
      </c>
      <c r="E19" s="38" t="str">
        <f>IF(iserror(averageifs('_durationdata'!$G:$G, '_durationdata'!$F:$F, "*"&amp;$A19&amp;"*", '_durationdata'!$H:$H, "*"&amp;E$2&amp;"*")), "", averageifs('_durationdata'!$G:$G, '_durationdata'!$F:$F, "*"&amp;$A19&amp;"*", '_durationdata'!$H:$H, "*"&amp;E$2&amp;"*")/60)</f>
        <v/>
      </c>
      <c r="F19" s="38" t="str">
        <f>IF(iserror(averageifs('_durationdata'!$G:$G, '_durationdata'!$F:$F, "*"&amp;$A19&amp;"*", '_durationdata'!$H:$H, "*"&amp;F$2&amp;"*")), "", averageifs('_durationdata'!$G:$G, '_durationdata'!$F:$F, "*"&amp;$A19&amp;"*", '_durationdata'!$H:$H, "*"&amp;F$2&amp;"*")/60)</f>
        <v/>
      </c>
      <c r="G19" s="38" t="str">
        <f>IF(iserror(averageifs('_durationdata'!$G:$G, '_durationdata'!$F:$F, "*"&amp;$A19&amp;"*", '_durationdata'!$H:$H, "*"&amp;G$2&amp;"*")), "", averageifs('_durationdata'!$G:$G, '_durationdata'!$F:$F, "*"&amp;$A19&amp;"*", '_durationdata'!$H:$H, "*"&amp;G$2&amp;"*")/60)</f>
        <v/>
      </c>
      <c r="H19" s="38" t="str">
        <f>IF(iserror(averageifs('_durationdata'!$G:$G, '_durationdata'!$F:$F, "*"&amp;$A19&amp;"*", '_durationdata'!$H:$H, "*"&amp;H$2&amp;"*")), "", averageifs('_durationdata'!$G:$G, '_durationdata'!$F:$F, "*"&amp;$A19&amp;"*", '_durationdata'!$H:$H, "*"&amp;H$2&amp;"*")/60)</f>
        <v/>
      </c>
      <c r="I19" s="38" t="str">
        <f>IF(iserror(averageifs('_durationdata'!$G:$G, '_durationdata'!$F:$F, "*"&amp;$A19&amp;"*", '_durationdata'!$H:$H, "*"&amp;I$2&amp;"*")), "", averageifs('_durationdata'!$G:$G, '_durationdata'!$F:$F, "*"&amp;$A19&amp;"*", '_durationdata'!$H:$H, "*"&amp;I$2&amp;"*")/60)</f>
        <v/>
      </c>
      <c r="J19" s="38" t="str">
        <f>IF(iserror(averageifs('_durationdata'!$G:$G, '_durationdata'!$F:$F, "*"&amp;$A19&amp;"*", '_durationdata'!$H:$H, "*"&amp;J$2&amp;"*")), "", averageifs('_durationdata'!$G:$G, '_durationdata'!$F:$F, "*"&amp;$A19&amp;"*", '_durationdata'!$H:$H, "*"&amp;J$2&amp;"*")/60)</f>
        <v/>
      </c>
      <c r="K19" s="38" t="str">
        <f>IF(iserror(averageifs('_durationdata'!$G:$G, '_durationdata'!$F:$F, "*"&amp;$A19&amp;"*", '_durationdata'!$H:$H, "*"&amp;K$2&amp;"*")), "", averageifs('_durationdata'!$G:$G, '_durationdata'!$F:$F, "*"&amp;$A19&amp;"*", '_durationdata'!$H:$H, "*"&amp;K$2&amp;"*")/60)</f>
        <v/>
      </c>
      <c r="L19" s="38" t="str">
        <f>IF(iserror(averageifs('_durationdata'!$G:$G, '_durationdata'!$F:$F, "*"&amp;$A19&amp;"*", '_durationdata'!$H:$H, "*"&amp;L$2&amp;"*")), "", averageifs('_durationdata'!$G:$G, '_durationdata'!$F:$F, "*"&amp;$A19&amp;"*", '_durationdata'!$H:$H, "*"&amp;L$2&amp;"*")/60)</f>
        <v/>
      </c>
      <c r="M19" s="38" t="str">
        <f>IF(iserror(averageifs('_durationdata'!$G:$G, '_durationdata'!$F:$F, "*"&amp;$A19&amp;"*", '_durationdata'!$H:$H, "*"&amp;M$2&amp;"*")), "", averageifs('_durationdata'!$G:$G, '_durationdata'!$F:$F, "*"&amp;$A19&amp;"*", '_durationdata'!$H:$H, "*"&amp;M$2&amp;"*")/60)</f>
        <v/>
      </c>
      <c r="N19" s="38" t="str">
        <f>IF(iserror(averageifs('_durationdata'!$G:$G, '_durationdata'!$F:$F, "*"&amp;$A19&amp;"*", '_durationdata'!$H:$H, "*"&amp;N$2&amp;"*")), "", averageifs('_durationdata'!$G:$G, '_durationdata'!$F:$F, "*"&amp;$A19&amp;"*", '_durationdata'!$H:$H, "*"&amp;N$2&amp;"*")/60)</f>
        <v/>
      </c>
      <c r="O19" s="38" t="str">
        <f>IF(iserror(averageifs('_durationdata'!$G:$G, '_durationdata'!$F:$F, "*"&amp;$A19&amp;"*", '_durationdata'!$H:$H, "*"&amp;O$2&amp;"*")), "", averageifs('_durationdata'!$G:$G, '_durationdata'!$F:$F, "*"&amp;$A19&amp;"*", '_durationdata'!$H:$H, "*"&amp;O$2&amp;"*")/60)</f>
        <v/>
      </c>
      <c r="P19" s="38" t="str">
        <f>IF(iserror(averageifs('_durationdata'!$G:$G, '_durationdata'!$F:$F, "*"&amp;$A19&amp;"*", '_durationdata'!$H:$H, "*"&amp;P$2&amp;"*")), "", averageifs('_durationdata'!$G:$G, '_durationdata'!$F:$F, "*"&amp;$A19&amp;"*", '_durationdata'!$H:$H, "*"&amp;P$2&amp;"*")/60)</f>
        <v/>
      </c>
      <c r="Q19" s="38" t="str">
        <f>IF(iserror(averageifs('_durationdata'!$G:$G, '_durationdata'!$F:$F, "*"&amp;$A19&amp;"*", '_durationdata'!$H:$H, "*"&amp;Q$2&amp;"*")), "", averageifs('_durationdata'!$G:$G, '_durationdata'!$F:$F, "*"&amp;$A19&amp;"*", '_durationdata'!$H:$H, "*"&amp;Q$2&amp;"*")/60)</f>
        <v/>
      </c>
      <c r="R19" s="38" t="str">
        <f>IF(iserror(averageifs('_durationdata'!$G:$G, '_durationdata'!$F:$F, "*"&amp;$A19&amp;"*", '_durationdata'!$H:$H, "*"&amp;R$2&amp;"*")), "", averageifs('_durationdata'!$G:$G, '_durationdata'!$F:$F, "*"&amp;$A19&amp;"*", '_durationdata'!$H:$H, "*"&amp;R$2&amp;"*")/60)</f>
        <v/>
      </c>
      <c r="S19" s="38" t="str">
        <f>IF(iserror(averageifs('_durationdata'!$G:$G, '_durationdata'!$F:$F, "*"&amp;$A19&amp;"*", '_durationdata'!$H:$H, "*"&amp;S$2&amp;"*")), "", averageifs('_durationdata'!$G:$G, '_durationdata'!$F:$F, "*"&amp;$A19&amp;"*", '_durationdata'!$H:$H, "*"&amp;S$2&amp;"*")/60)</f>
        <v/>
      </c>
      <c r="T19" s="38" t="str">
        <f>IF(iserror(averageifs('_durationdata'!$G:$G, '_durationdata'!$F:$F, "*"&amp;$A19&amp;"*", '_durationdata'!$H:$H, "*"&amp;T$2&amp;"*")), "", averageifs('_durationdata'!$G:$G, '_durationdata'!$F:$F, "*"&amp;$A19&amp;"*", '_durationdata'!$H:$H, "*"&amp;T$2&amp;"*")/60)</f>
        <v/>
      </c>
    </row>
    <row r="20">
      <c r="A20" s="2" t="s">
        <v>66</v>
      </c>
      <c r="B20" s="17" t="s">
        <v>30</v>
      </c>
      <c r="C20" s="38" t="str">
        <f>IF(ISERROR(averageifs('_durationdata'!$L:$L, '_durationdata'!$K:$K, "*"&amp;$A20&amp;"*", '_durationdata'!$M:$M, "*"&amp;C$2&amp;"*")), "", averageifs('_durationdata'!$L:$L, '_durationdata'!$K:$K, "*"&amp;$A20&amp;"*", '_durationdata'!$M:$M, "*"&amp;C$2&amp;"*")/60)</f>
        <v/>
      </c>
      <c r="D20" s="38" t="str">
        <f>IF(ISERROR(averageifs('_durationdata'!$L:$L, '_durationdata'!$K:$K, "*"&amp;$A20&amp;"*", '_durationdata'!$M:$M, "*"&amp;D$2&amp;"*")), "", averageifs('_durationdata'!$L:$L, '_durationdata'!$K:$K, "*"&amp;$A20&amp;"*", '_durationdata'!$M:$M, "*"&amp;D$2&amp;"*")/60)</f>
        <v/>
      </c>
      <c r="E20" s="38" t="str">
        <f>IF(ISERROR(averageifs('_durationdata'!$L:$L, '_durationdata'!$K:$K, "*"&amp;$A20&amp;"*", '_durationdata'!$M:$M, "*"&amp;E$2&amp;"*")), "", averageifs('_durationdata'!$L:$L, '_durationdata'!$K:$K, "*"&amp;$A20&amp;"*", '_durationdata'!$M:$M, "*"&amp;E$2&amp;"*")/60)</f>
        <v/>
      </c>
      <c r="F20" s="38" t="str">
        <f>IF(ISERROR(averageifs('_durationdata'!$L:$L, '_durationdata'!$K:$K, "*"&amp;$A20&amp;"*", '_durationdata'!$M:$M, "*"&amp;F$2&amp;"*")), "", averageifs('_durationdata'!$L:$L, '_durationdata'!$K:$K, "*"&amp;$A20&amp;"*", '_durationdata'!$M:$M, "*"&amp;F$2&amp;"*")/60)</f>
        <v/>
      </c>
      <c r="G20" s="38" t="str">
        <f>IF(ISERROR(averageifs('_durationdata'!$L:$L, '_durationdata'!$K:$K, "*"&amp;$A20&amp;"*", '_durationdata'!$M:$M, "*"&amp;G$2&amp;"*")), "", averageifs('_durationdata'!$L:$L, '_durationdata'!$K:$K, "*"&amp;$A20&amp;"*", '_durationdata'!$M:$M, "*"&amp;G$2&amp;"*")/60)</f>
        <v/>
      </c>
      <c r="H20" s="38" t="str">
        <f>IF(ISERROR(averageifs('_durationdata'!$L:$L, '_durationdata'!$K:$K, "*"&amp;$A20&amp;"*", '_durationdata'!$M:$M, "*"&amp;H$2&amp;"*")), "", averageifs('_durationdata'!$L:$L, '_durationdata'!$K:$K, "*"&amp;$A20&amp;"*", '_durationdata'!$M:$M, "*"&amp;H$2&amp;"*")/60)</f>
        <v/>
      </c>
      <c r="I20" s="38" t="str">
        <f>IF(ISERROR(averageifs('_durationdata'!$L:$L, '_durationdata'!$K:$K, "*"&amp;$A20&amp;"*", '_durationdata'!$M:$M, "*"&amp;I$2&amp;"*")), "", averageifs('_durationdata'!$L:$L, '_durationdata'!$K:$K, "*"&amp;$A20&amp;"*", '_durationdata'!$M:$M, "*"&amp;I$2&amp;"*")/60)</f>
        <v/>
      </c>
      <c r="J20" s="38" t="str">
        <f>IF(ISERROR(averageifs('_durationdata'!$L:$L, '_durationdata'!$K:$K, "*"&amp;$A20&amp;"*", '_durationdata'!$M:$M, "*"&amp;J$2&amp;"*")), "", averageifs('_durationdata'!$L:$L, '_durationdata'!$K:$K, "*"&amp;$A20&amp;"*", '_durationdata'!$M:$M, "*"&amp;J$2&amp;"*")/60)</f>
        <v/>
      </c>
      <c r="K20" s="38" t="str">
        <f>IF(ISERROR(averageifs('_durationdata'!$L:$L, '_durationdata'!$K:$K, "*"&amp;$A20&amp;"*", '_durationdata'!$M:$M, "*"&amp;K$2&amp;"*")), "", averageifs('_durationdata'!$L:$L, '_durationdata'!$K:$K, "*"&amp;$A20&amp;"*", '_durationdata'!$M:$M, "*"&amp;K$2&amp;"*")/60)</f>
        <v/>
      </c>
      <c r="L20" s="38" t="str">
        <f>IF(ISERROR(averageifs('_durationdata'!$L:$L, '_durationdata'!$K:$K, "*"&amp;$A20&amp;"*", '_durationdata'!$M:$M, "*"&amp;L$2&amp;"*")), "", averageifs('_durationdata'!$L:$L, '_durationdata'!$K:$K, "*"&amp;$A20&amp;"*", '_durationdata'!$M:$M, "*"&amp;L$2&amp;"*")/60)</f>
        <v/>
      </c>
      <c r="M20" s="38" t="str">
        <f>IF(ISERROR(averageifs('_durationdata'!$L:$L, '_durationdata'!$K:$K, "*"&amp;$A20&amp;"*", '_durationdata'!$M:$M, "*"&amp;M$2&amp;"*")), "", averageifs('_durationdata'!$L:$L, '_durationdata'!$K:$K, "*"&amp;$A20&amp;"*", '_durationdata'!$M:$M, "*"&amp;M$2&amp;"*")/60)</f>
        <v/>
      </c>
      <c r="N20" s="38" t="str">
        <f>IF(ISERROR(averageifs('_durationdata'!$L:$L, '_durationdata'!$K:$K, "*"&amp;$A20&amp;"*", '_durationdata'!$M:$M, "*"&amp;N$2&amp;"*")), "", averageifs('_durationdata'!$L:$L, '_durationdata'!$K:$K, "*"&amp;$A20&amp;"*", '_durationdata'!$M:$M, "*"&amp;N$2&amp;"*")/60)</f>
        <v/>
      </c>
      <c r="O20" s="38" t="str">
        <f>IF(ISERROR(averageifs('_durationdata'!$L:$L, '_durationdata'!$K:$K, "*"&amp;$A20&amp;"*", '_durationdata'!$M:$M, "*"&amp;O$2&amp;"*")), "", averageifs('_durationdata'!$L:$L, '_durationdata'!$K:$K, "*"&amp;$A20&amp;"*", '_durationdata'!$M:$M, "*"&amp;O$2&amp;"*")/60)</f>
        <v/>
      </c>
      <c r="P20" s="38" t="str">
        <f>IF(ISERROR(averageifs('_durationdata'!$L:$L, '_durationdata'!$K:$K, "*"&amp;$A20&amp;"*", '_durationdata'!$M:$M, "*"&amp;P$2&amp;"*")), "", averageifs('_durationdata'!$L:$L, '_durationdata'!$K:$K, "*"&amp;$A20&amp;"*", '_durationdata'!$M:$M, "*"&amp;P$2&amp;"*")/60)</f>
        <v/>
      </c>
      <c r="Q20" s="38" t="str">
        <f>IF(ISERROR(averageifs('_durationdata'!$L:$L, '_durationdata'!$K:$K, "*"&amp;$A20&amp;"*", '_durationdata'!$M:$M, "*"&amp;Q$2&amp;"*")), "", averageifs('_durationdata'!$L:$L, '_durationdata'!$K:$K, "*"&amp;$A20&amp;"*", '_durationdata'!$M:$M, "*"&amp;Q$2&amp;"*")/60)</f>
        <v/>
      </c>
      <c r="R20" s="38" t="str">
        <f>IF(ISERROR(averageifs('_durationdata'!$L:$L, '_durationdata'!$K:$K, "*"&amp;$A20&amp;"*", '_durationdata'!$M:$M, "*"&amp;R$2&amp;"*")), "", averageifs('_durationdata'!$L:$L, '_durationdata'!$K:$K, "*"&amp;$A20&amp;"*", '_durationdata'!$M:$M, "*"&amp;R$2&amp;"*")/60)</f>
        <v/>
      </c>
      <c r="S20" s="38" t="str">
        <f>IF(ISERROR(averageifs('_durationdata'!$L:$L, '_durationdata'!$K:$K, "*"&amp;$A20&amp;"*", '_durationdata'!$M:$M, "*"&amp;S$2&amp;"*")), "", averageifs('_durationdata'!$L:$L, '_durationdata'!$K:$K, "*"&amp;$A20&amp;"*", '_durationdata'!$M:$M, "*"&amp;S$2&amp;"*")/60)</f>
        <v/>
      </c>
      <c r="T20" s="38" t="str">
        <f>IF(ISERROR(averageifs('_durationdata'!$L:$L, '_durationdata'!$K:$K, "*"&amp;$A20&amp;"*", '_durationdata'!$M:$M, "*"&amp;T$2&amp;"*")), "", averageifs('_durationdata'!$L:$L, '_durationdata'!$K:$K, "*"&amp;$A20&amp;"*", '_durationdata'!$M:$M, "*"&amp;T$2&amp;"*")/60)</f>
        <v/>
      </c>
    </row>
    <row r="21">
      <c r="A21" s="25" t="s">
        <v>67</v>
      </c>
      <c r="B21" s="26" t="s">
        <v>18</v>
      </c>
      <c r="C21" s="29" t="str">
        <f>IF(ISERROR(averageifs('_durationdata'!$B:$B, '_durationdata'!$A:$A, "*"&amp;$A21&amp;"*", '_durationdata'!$C:$C, "*"&amp;C$2&amp;"*")), "", averageifs('_durationdata'!$B:$B, '_durationdata'!$A:$A, "*"&amp;$A21&amp;"*", '_durationdata'!$C:$C, "*"&amp;C$2&amp;"*")/60)</f>
        <v/>
      </c>
      <c r="D21" s="29" t="str">
        <f>IF(ISERROR(averageifs('_durationdata'!$B:$B, '_durationdata'!$A:$A, "*"&amp;$A21&amp;"*", '_durationdata'!$C:$C, "*"&amp;D$2&amp;"*")), "", averageifs('_durationdata'!$B:$B, '_durationdata'!$A:$A, "*"&amp;$A21&amp;"*", '_durationdata'!$C:$C, "*"&amp;D$2&amp;"*")/60)</f>
        <v/>
      </c>
      <c r="E21" s="29" t="str">
        <f>IF(ISERROR(averageifs('_durationdata'!$B:$B, '_durationdata'!$A:$A, "*"&amp;$A21&amp;"*", '_durationdata'!$C:$C, "*"&amp;E$2&amp;"*")), "", averageifs('_durationdata'!$B:$B, '_durationdata'!$A:$A, "*"&amp;$A21&amp;"*", '_durationdata'!$C:$C, "*"&amp;E$2&amp;"*")/60)</f>
        <v/>
      </c>
      <c r="F21" s="29" t="str">
        <f>IF(ISERROR(averageifs('_durationdata'!$B:$B, '_durationdata'!$A:$A, "*"&amp;$A21&amp;"*", '_durationdata'!$C:$C, "*"&amp;F$2&amp;"*")), "", averageifs('_durationdata'!$B:$B, '_durationdata'!$A:$A, "*"&amp;$A21&amp;"*", '_durationdata'!$C:$C, "*"&amp;F$2&amp;"*")/60)</f>
        <v/>
      </c>
      <c r="G21" s="29" t="str">
        <f>IF(ISERROR(averageifs('_durationdata'!$B:$B, '_durationdata'!$A:$A, "*"&amp;$A21&amp;"*", '_durationdata'!$C:$C, "*"&amp;G$2&amp;"*")), "", averageifs('_durationdata'!$B:$B, '_durationdata'!$A:$A, "*"&amp;$A21&amp;"*", '_durationdata'!$C:$C, "*"&amp;G$2&amp;"*")/60)</f>
        <v/>
      </c>
      <c r="H21" s="29" t="str">
        <f>IF(ISERROR(averageifs('_durationdata'!$B:$B, '_durationdata'!$A:$A, "*"&amp;$A21&amp;"*", '_durationdata'!$C:$C, "*"&amp;H$2&amp;"*")), "", averageifs('_durationdata'!$B:$B, '_durationdata'!$A:$A, "*"&amp;$A21&amp;"*", '_durationdata'!$C:$C, "*"&amp;H$2&amp;"*")/60)</f>
        <v/>
      </c>
      <c r="I21" s="29" t="str">
        <f>IF(ISERROR(averageifs('_durationdata'!$B:$B, '_durationdata'!$A:$A, "*"&amp;$A21&amp;"*", '_durationdata'!$C:$C, "*"&amp;I$2&amp;"*")), "", averageifs('_durationdata'!$B:$B, '_durationdata'!$A:$A, "*"&amp;$A21&amp;"*", '_durationdata'!$C:$C, "*"&amp;I$2&amp;"*")/60)</f>
        <v/>
      </c>
      <c r="J21" s="29" t="str">
        <f>IF(ISERROR(averageifs('_durationdata'!$B:$B, '_durationdata'!$A:$A, "*"&amp;$A21&amp;"*", '_durationdata'!$C:$C, "*"&amp;J$2&amp;"*")), "", averageifs('_durationdata'!$B:$B, '_durationdata'!$A:$A, "*"&amp;$A21&amp;"*", '_durationdata'!$C:$C, "*"&amp;J$2&amp;"*")/60)</f>
        <v/>
      </c>
      <c r="K21" s="29" t="str">
        <f>IF(ISERROR(averageifs('_durationdata'!$B:$B, '_durationdata'!$A:$A, "*"&amp;$A21&amp;"*", '_durationdata'!$C:$C, "*"&amp;K$2&amp;"*")), "", averageifs('_durationdata'!$B:$B, '_durationdata'!$A:$A, "*"&amp;$A21&amp;"*", '_durationdata'!$C:$C, "*"&amp;K$2&amp;"*")/60)</f>
        <v/>
      </c>
      <c r="L21" s="29" t="str">
        <f>IF(ISERROR(averageifs('_durationdata'!$B:$B, '_durationdata'!$A:$A, "*"&amp;$A21&amp;"*", '_durationdata'!$C:$C, "*"&amp;L$2&amp;"*")), "", averageifs('_durationdata'!$B:$B, '_durationdata'!$A:$A, "*"&amp;$A21&amp;"*", '_durationdata'!$C:$C, "*"&amp;L$2&amp;"*")/60)</f>
        <v/>
      </c>
      <c r="M21" s="29" t="str">
        <f>IF(ISERROR(averageifs('_durationdata'!$B:$B, '_durationdata'!$A:$A, "*"&amp;$A21&amp;"*", '_durationdata'!$C:$C, "*"&amp;M$2&amp;"*")), "", averageifs('_durationdata'!$B:$B, '_durationdata'!$A:$A, "*"&amp;$A21&amp;"*", '_durationdata'!$C:$C, "*"&amp;M$2&amp;"*")/60)</f>
        <v/>
      </c>
      <c r="N21" s="29" t="str">
        <f>IF(ISERROR(averageifs('_durationdata'!$B:$B, '_durationdata'!$A:$A, "*"&amp;$A21&amp;"*", '_durationdata'!$C:$C, "*"&amp;N$2&amp;"*")), "", averageifs('_durationdata'!$B:$B, '_durationdata'!$A:$A, "*"&amp;$A21&amp;"*", '_durationdata'!$C:$C, "*"&amp;N$2&amp;"*")/60)</f>
        <v/>
      </c>
      <c r="O21" s="29" t="str">
        <f>IF(ISERROR(averageifs('_durationdata'!$B:$B, '_durationdata'!$A:$A, "*"&amp;$A21&amp;"*", '_durationdata'!$C:$C, "*"&amp;O$2&amp;"*")), "", averageifs('_durationdata'!$B:$B, '_durationdata'!$A:$A, "*"&amp;$A21&amp;"*", '_durationdata'!$C:$C, "*"&amp;O$2&amp;"*")/60)</f>
        <v/>
      </c>
      <c r="P21" s="29" t="str">
        <f>IF(ISERROR(averageifs('_durationdata'!$B:$B, '_durationdata'!$A:$A, "*"&amp;$A21&amp;"*", '_durationdata'!$C:$C, "*"&amp;P$2&amp;"*")), "", averageifs('_durationdata'!$B:$B, '_durationdata'!$A:$A, "*"&amp;$A21&amp;"*", '_durationdata'!$C:$C, "*"&amp;P$2&amp;"*")/60)</f>
        <v/>
      </c>
      <c r="Q21" s="29" t="str">
        <f>IF(ISERROR(averageifs('_durationdata'!$B:$B, '_durationdata'!$A:$A, "*"&amp;$A21&amp;"*", '_durationdata'!$C:$C, "*"&amp;Q$2&amp;"*")), "", averageifs('_durationdata'!$B:$B, '_durationdata'!$A:$A, "*"&amp;$A21&amp;"*", '_durationdata'!$C:$C, "*"&amp;Q$2&amp;"*")/60)</f>
        <v/>
      </c>
      <c r="R21" s="29" t="str">
        <f>IF(ISERROR(averageifs('_durationdata'!$B:$B, '_durationdata'!$A:$A, "*"&amp;$A21&amp;"*", '_durationdata'!$C:$C, "*"&amp;R$2&amp;"*")), "", averageifs('_durationdata'!$B:$B, '_durationdata'!$A:$A, "*"&amp;$A21&amp;"*", '_durationdata'!$C:$C, "*"&amp;R$2&amp;"*")/60)</f>
        <v/>
      </c>
      <c r="S21" s="29" t="str">
        <f>IF(ISERROR(averageifs('_durationdata'!$B:$B, '_durationdata'!$A:$A, "*"&amp;$A21&amp;"*", '_durationdata'!$C:$C, "*"&amp;S$2&amp;"*")), "", averageifs('_durationdata'!$B:$B, '_durationdata'!$A:$A, "*"&amp;$A21&amp;"*", '_durationdata'!$C:$C, "*"&amp;S$2&amp;"*")/60)</f>
        <v/>
      </c>
      <c r="T21" s="29" t="str">
        <f>IF(ISERROR(averageifs('_durationdata'!$B:$B, '_durationdata'!$A:$A, "*"&amp;$A21&amp;"*", '_durationdata'!$C:$C, "*"&amp;T$2&amp;"*")), "", averageifs('_durationdata'!$B:$B, '_durationdata'!$A:$A, "*"&amp;$A21&amp;"*", '_durationdata'!$C:$C, "*"&amp;T$2&amp;"*")/60)</f>
        <v/>
      </c>
      <c r="U21" s="33"/>
      <c r="V21" s="33"/>
      <c r="W21" s="33"/>
      <c r="X21" s="33"/>
      <c r="Y21" s="33"/>
      <c r="Z21" s="33"/>
    </row>
    <row r="22">
      <c r="A22" s="2" t="s">
        <v>67</v>
      </c>
      <c r="B22" s="17" t="s">
        <v>28</v>
      </c>
      <c r="C22" s="38" t="str">
        <f>IF(iserror(averageifs('_durationdata'!$G:$G, '_durationdata'!$F:$F, "*"&amp;$A22&amp;"*", '_durationdata'!$H:$H, "*"&amp;C$2&amp;"*")), "", averageifs('_durationdata'!$G:$G, '_durationdata'!$F:$F, "*"&amp;$A22&amp;"*", '_durationdata'!$H:$H, "*"&amp;C$2&amp;"*")/60)</f>
        <v/>
      </c>
      <c r="D22" s="38" t="str">
        <f>IF(iserror(averageifs('_durationdata'!$G:$G, '_durationdata'!$F:$F, "*"&amp;$A22&amp;"*", '_durationdata'!$H:$H, "*"&amp;D$2&amp;"*")), "", averageifs('_durationdata'!$G:$G, '_durationdata'!$F:$F, "*"&amp;$A22&amp;"*", '_durationdata'!$H:$H, "*"&amp;D$2&amp;"*")/60)</f>
        <v/>
      </c>
      <c r="E22" s="38" t="str">
        <f>IF(iserror(averageifs('_durationdata'!$G:$G, '_durationdata'!$F:$F, "*"&amp;$A22&amp;"*", '_durationdata'!$H:$H, "*"&amp;E$2&amp;"*")), "", averageifs('_durationdata'!$G:$G, '_durationdata'!$F:$F, "*"&amp;$A22&amp;"*", '_durationdata'!$H:$H, "*"&amp;E$2&amp;"*")/60)</f>
        <v/>
      </c>
      <c r="F22" s="38" t="str">
        <f>IF(iserror(averageifs('_durationdata'!$G:$G, '_durationdata'!$F:$F, "*"&amp;$A22&amp;"*", '_durationdata'!$H:$H, "*"&amp;F$2&amp;"*")), "", averageifs('_durationdata'!$G:$G, '_durationdata'!$F:$F, "*"&amp;$A22&amp;"*", '_durationdata'!$H:$H, "*"&amp;F$2&amp;"*")/60)</f>
        <v/>
      </c>
      <c r="G22" s="38" t="str">
        <f>IF(iserror(averageifs('_durationdata'!$G:$G, '_durationdata'!$F:$F, "*"&amp;$A22&amp;"*", '_durationdata'!$H:$H, "*"&amp;G$2&amp;"*")), "", averageifs('_durationdata'!$G:$G, '_durationdata'!$F:$F, "*"&amp;$A22&amp;"*", '_durationdata'!$H:$H, "*"&amp;G$2&amp;"*")/60)</f>
        <v/>
      </c>
      <c r="H22" s="38" t="str">
        <f>IF(iserror(averageifs('_durationdata'!$G:$G, '_durationdata'!$F:$F, "*"&amp;$A22&amp;"*", '_durationdata'!$H:$H, "*"&amp;H$2&amp;"*")), "", averageifs('_durationdata'!$G:$G, '_durationdata'!$F:$F, "*"&amp;$A22&amp;"*", '_durationdata'!$H:$H, "*"&amp;H$2&amp;"*")/60)</f>
        <v/>
      </c>
      <c r="I22" s="38" t="str">
        <f>IF(iserror(averageifs('_durationdata'!$G:$G, '_durationdata'!$F:$F, "*"&amp;$A22&amp;"*", '_durationdata'!$H:$H, "*"&amp;I$2&amp;"*")), "", averageifs('_durationdata'!$G:$G, '_durationdata'!$F:$F, "*"&amp;$A22&amp;"*", '_durationdata'!$H:$H, "*"&amp;I$2&amp;"*")/60)</f>
        <v/>
      </c>
      <c r="J22" s="38" t="str">
        <f>IF(iserror(averageifs('_durationdata'!$G:$G, '_durationdata'!$F:$F, "*"&amp;$A22&amp;"*", '_durationdata'!$H:$H, "*"&amp;J$2&amp;"*")), "", averageifs('_durationdata'!$G:$G, '_durationdata'!$F:$F, "*"&amp;$A22&amp;"*", '_durationdata'!$H:$H, "*"&amp;J$2&amp;"*")/60)</f>
        <v/>
      </c>
      <c r="K22" s="38" t="str">
        <f>IF(iserror(averageifs('_durationdata'!$G:$G, '_durationdata'!$F:$F, "*"&amp;$A22&amp;"*", '_durationdata'!$H:$H, "*"&amp;K$2&amp;"*")), "", averageifs('_durationdata'!$G:$G, '_durationdata'!$F:$F, "*"&amp;$A22&amp;"*", '_durationdata'!$H:$H, "*"&amp;K$2&amp;"*")/60)</f>
        <v/>
      </c>
      <c r="L22" s="38" t="str">
        <f>IF(iserror(averageifs('_durationdata'!$G:$G, '_durationdata'!$F:$F, "*"&amp;$A22&amp;"*", '_durationdata'!$H:$H, "*"&amp;L$2&amp;"*")), "", averageifs('_durationdata'!$G:$G, '_durationdata'!$F:$F, "*"&amp;$A22&amp;"*", '_durationdata'!$H:$H, "*"&amp;L$2&amp;"*")/60)</f>
        <v/>
      </c>
      <c r="M22" s="38" t="str">
        <f>IF(iserror(averageifs('_durationdata'!$G:$G, '_durationdata'!$F:$F, "*"&amp;$A22&amp;"*", '_durationdata'!$H:$H, "*"&amp;M$2&amp;"*")), "", averageifs('_durationdata'!$G:$G, '_durationdata'!$F:$F, "*"&amp;$A22&amp;"*", '_durationdata'!$H:$H, "*"&amp;M$2&amp;"*")/60)</f>
        <v/>
      </c>
      <c r="N22" s="38" t="str">
        <f>IF(iserror(averageifs('_durationdata'!$G:$G, '_durationdata'!$F:$F, "*"&amp;$A22&amp;"*", '_durationdata'!$H:$H, "*"&amp;N$2&amp;"*")), "", averageifs('_durationdata'!$G:$G, '_durationdata'!$F:$F, "*"&amp;$A22&amp;"*", '_durationdata'!$H:$H, "*"&amp;N$2&amp;"*")/60)</f>
        <v/>
      </c>
      <c r="O22" s="38" t="str">
        <f>IF(iserror(averageifs('_durationdata'!$G:$G, '_durationdata'!$F:$F, "*"&amp;$A22&amp;"*", '_durationdata'!$H:$H, "*"&amp;O$2&amp;"*")), "", averageifs('_durationdata'!$G:$G, '_durationdata'!$F:$F, "*"&amp;$A22&amp;"*", '_durationdata'!$H:$H, "*"&amp;O$2&amp;"*")/60)</f>
        <v/>
      </c>
      <c r="P22" s="38" t="str">
        <f>IF(iserror(averageifs('_durationdata'!$G:$G, '_durationdata'!$F:$F, "*"&amp;$A22&amp;"*", '_durationdata'!$H:$H, "*"&amp;P$2&amp;"*")), "", averageifs('_durationdata'!$G:$G, '_durationdata'!$F:$F, "*"&amp;$A22&amp;"*", '_durationdata'!$H:$H, "*"&amp;P$2&amp;"*")/60)</f>
        <v/>
      </c>
      <c r="Q22" s="38" t="str">
        <f>IF(iserror(averageifs('_durationdata'!$G:$G, '_durationdata'!$F:$F, "*"&amp;$A22&amp;"*", '_durationdata'!$H:$H, "*"&amp;Q$2&amp;"*")), "", averageifs('_durationdata'!$G:$G, '_durationdata'!$F:$F, "*"&amp;$A22&amp;"*", '_durationdata'!$H:$H, "*"&amp;Q$2&amp;"*")/60)</f>
        <v/>
      </c>
      <c r="R22" s="38" t="str">
        <f>IF(iserror(averageifs('_durationdata'!$G:$G, '_durationdata'!$F:$F, "*"&amp;$A22&amp;"*", '_durationdata'!$H:$H, "*"&amp;R$2&amp;"*")), "", averageifs('_durationdata'!$G:$G, '_durationdata'!$F:$F, "*"&amp;$A22&amp;"*", '_durationdata'!$H:$H, "*"&amp;R$2&amp;"*")/60)</f>
        <v/>
      </c>
      <c r="S22" s="38" t="str">
        <f>IF(iserror(averageifs('_durationdata'!$G:$G, '_durationdata'!$F:$F, "*"&amp;$A22&amp;"*", '_durationdata'!$H:$H, "*"&amp;S$2&amp;"*")), "", averageifs('_durationdata'!$G:$G, '_durationdata'!$F:$F, "*"&amp;$A22&amp;"*", '_durationdata'!$H:$H, "*"&amp;S$2&amp;"*")/60)</f>
        <v/>
      </c>
      <c r="T22" s="38" t="str">
        <f>IF(iserror(averageifs('_durationdata'!$G:$G, '_durationdata'!$F:$F, "*"&amp;$A22&amp;"*", '_durationdata'!$H:$H, "*"&amp;T$2&amp;"*")), "", averageifs('_durationdata'!$G:$G, '_durationdata'!$F:$F, "*"&amp;$A22&amp;"*", '_durationdata'!$H:$H, "*"&amp;T$2&amp;"*")/60)</f>
        <v/>
      </c>
    </row>
    <row r="23">
      <c r="A23" s="2" t="s">
        <v>67</v>
      </c>
      <c r="B23" s="17" t="s">
        <v>30</v>
      </c>
      <c r="C23" s="38" t="str">
        <f>IF(ISERROR(averageifs('_durationdata'!$L:$L, '_durationdata'!$K:$K, "*"&amp;$A23&amp;"*", '_durationdata'!$M:$M, "*"&amp;C$2&amp;"*")), "", averageifs('_durationdata'!$L:$L, '_durationdata'!$K:$K, "*"&amp;$A23&amp;"*", '_durationdata'!$M:$M, "*"&amp;C$2&amp;"*")/60)</f>
        <v/>
      </c>
      <c r="D23" s="38" t="str">
        <f>IF(ISERROR(averageifs('_durationdata'!$L:$L, '_durationdata'!$K:$K, "*"&amp;$A23&amp;"*", '_durationdata'!$M:$M, "*"&amp;D$2&amp;"*")), "", averageifs('_durationdata'!$L:$L, '_durationdata'!$K:$K, "*"&amp;$A23&amp;"*", '_durationdata'!$M:$M, "*"&amp;D$2&amp;"*")/60)</f>
        <v/>
      </c>
      <c r="E23" s="38" t="str">
        <f>IF(ISERROR(averageifs('_durationdata'!$L:$L, '_durationdata'!$K:$K, "*"&amp;$A23&amp;"*", '_durationdata'!$M:$M, "*"&amp;E$2&amp;"*")), "", averageifs('_durationdata'!$L:$L, '_durationdata'!$K:$K, "*"&amp;$A23&amp;"*", '_durationdata'!$M:$M, "*"&amp;E$2&amp;"*")/60)</f>
        <v/>
      </c>
      <c r="F23" s="38" t="str">
        <f>IF(ISERROR(averageifs('_durationdata'!$L:$L, '_durationdata'!$K:$K, "*"&amp;$A23&amp;"*", '_durationdata'!$M:$M, "*"&amp;F$2&amp;"*")), "", averageifs('_durationdata'!$L:$L, '_durationdata'!$K:$K, "*"&amp;$A23&amp;"*", '_durationdata'!$M:$M, "*"&amp;F$2&amp;"*")/60)</f>
        <v/>
      </c>
      <c r="G23" s="38" t="str">
        <f>IF(ISERROR(averageifs('_durationdata'!$L:$L, '_durationdata'!$K:$K, "*"&amp;$A23&amp;"*", '_durationdata'!$M:$M, "*"&amp;G$2&amp;"*")), "", averageifs('_durationdata'!$L:$L, '_durationdata'!$K:$K, "*"&amp;$A23&amp;"*", '_durationdata'!$M:$M, "*"&amp;G$2&amp;"*")/60)</f>
        <v/>
      </c>
      <c r="H23" s="38" t="str">
        <f>IF(ISERROR(averageifs('_durationdata'!$L:$L, '_durationdata'!$K:$K, "*"&amp;$A23&amp;"*", '_durationdata'!$M:$M, "*"&amp;H$2&amp;"*")), "", averageifs('_durationdata'!$L:$L, '_durationdata'!$K:$K, "*"&amp;$A23&amp;"*", '_durationdata'!$M:$M, "*"&amp;H$2&amp;"*")/60)</f>
        <v/>
      </c>
      <c r="I23" s="38" t="str">
        <f>IF(ISERROR(averageifs('_durationdata'!$L:$L, '_durationdata'!$K:$K, "*"&amp;$A23&amp;"*", '_durationdata'!$M:$M, "*"&amp;I$2&amp;"*")), "", averageifs('_durationdata'!$L:$L, '_durationdata'!$K:$K, "*"&amp;$A23&amp;"*", '_durationdata'!$M:$M, "*"&amp;I$2&amp;"*")/60)</f>
        <v/>
      </c>
      <c r="J23" s="38" t="str">
        <f>IF(ISERROR(averageifs('_durationdata'!$L:$L, '_durationdata'!$K:$K, "*"&amp;$A23&amp;"*", '_durationdata'!$M:$M, "*"&amp;J$2&amp;"*")), "", averageifs('_durationdata'!$L:$L, '_durationdata'!$K:$K, "*"&amp;$A23&amp;"*", '_durationdata'!$M:$M, "*"&amp;J$2&amp;"*")/60)</f>
        <v/>
      </c>
      <c r="K23" s="38" t="str">
        <f>IF(ISERROR(averageifs('_durationdata'!$L:$L, '_durationdata'!$K:$K, "*"&amp;$A23&amp;"*", '_durationdata'!$M:$M, "*"&amp;K$2&amp;"*")), "", averageifs('_durationdata'!$L:$L, '_durationdata'!$K:$K, "*"&amp;$A23&amp;"*", '_durationdata'!$M:$M, "*"&amp;K$2&amp;"*")/60)</f>
        <v/>
      </c>
      <c r="L23" s="38" t="str">
        <f>IF(ISERROR(averageifs('_durationdata'!$L:$L, '_durationdata'!$K:$K, "*"&amp;$A23&amp;"*", '_durationdata'!$M:$M, "*"&amp;L$2&amp;"*")), "", averageifs('_durationdata'!$L:$L, '_durationdata'!$K:$K, "*"&amp;$A23&amp;"*", '_durationdata'!$M:$M, "*"&amp;L$2&amp;"*")/60)</f>
        <v/>
      </c>
      <c r="M23" s="38" t="str">
        <f>IF(ISERROR(averageifs('_durationdata'!$L:$L, '_durationdata'!$K:$K, "*"&amp;$A23&amp;"*", '_durationdata'!$M:$M, "*"&amp;M$2&amp;"*")), "", averageifs('_durationdata'!$L:$L, '_durationdata'!$K:$K, "*"&amp;$A23&amp;"*", '_durationdata'!$M:$M, "*"&amp;M$2&amp;"*")/60)</f>
        <v/>
      </c>
      <c r="N23" s="38" t="str">
        <f>IF(ISERROR(averageifs('_durationdata'!$L:$L, '_durationdata'!$K:$K, "*"&amp;$A23&amp;"*", '_durationdata'!$M:$M, "*"&amp;N$2&amp;"*")), "", averageifs('_durationdata'!$L:$L, '_durationdata'!$K:$K, "*"&amp;$A23&amp;"*", '_durationdata'!$M:$M, "*"&amp;N$2&amp;"*")/60)</f>
        <v/>
      </c>
      <c r="O23" s="38" t="str">
        <f>IF(ISERROR(averageifs('_durationdata'!$L:$L, '_durationdata'!$K:$K, "*"&amp;$A23&amp;"*", '_durationdata'!$M:$M, "*"&amp;O$2&amp;"*")), "", averageifs('_durationdata'!$L:$L, '_durationdata'!$K:$K, "*"&amp;$A23&amp;"*", '_durationdata'!$M:$M, "*"&amp;O$2&amp;"*")/60)</f>
        <v/>
      </c>
      <c r="P23" s="38" t="str">
        <f>IF(ISERROR(averageifs('_durationdata'!$L:$L, '_durationdata'!$K:$K, "*"&amp;$A23&amp;"*", '_durationdata'!$M:$M, "*"&amp;P$2&amp;"*")), "", averageifs('_durationdata'!$L:$L, '_durationdata'!$K:$K, "*"&amp;$A23&amp;"*", '_durationdata'!$M:$M, "*"&amp;P$2&amp;"*")/60)</f>
        <v/>
      </c>
      <c r="Q23" s="38" t="str">
        <f>IF(ISERROR(averageifs('_durationdata'!$L:$L, '_durationdata'!$K:$K, "*"&amp;$A23&amp;"*", '_durationdata'!$M:$M, "*"&amp;Q$2&amp;"*")), "", averageifs('_durationdata'!$L:$L, '_durationdata'!$K:$K, "*"&amp;$A23&amp;"*", '_durationdata'!$M:$M, "*"&amp;Q$2&amp;"*")/60)</f>
        <v/>
      </c>
      <c r="R23" s="38" t="str">
        <f>IF(ISERROR(averageifs('_durationdata'!$L:$L, '_durationdata'!$K:$K, "*"&amp;$A23&amp;"*", '_durationdata'!$M:$M, "*"&amp;R$2&amp;"*")), "", averageifs('_durationdata'!$L:$L, '_durationdata'!$K:$K, "*"&amp;$A23&amp;"*", '_durationdata'!$M:$M, "*"&amp;R$2&amp;"*")/60)</f>
        <v/>
      </c>
      <c r="S23" s="38" t="str">
        <f>IF(ISERROR(averageifs('_durationdata'!$L:$L, '_durationdata'!$K:$K, "*"&amp;$A23&amp;"*", '_durationdata'!$M:$M, "*"&amp;S$2&amp;"*")), "", averageifs('_durationdata'!$L:$L, '_durationdata'!$K:$K, "*"&amp;$A23&amp;"*", '_durationdata'!$M:$M, "*"&amp;S$2&amp;"*")/60)</f>
        <v/>
      </c>
      <c r="T23" s="38" t="str">
        <f>IF(ISERROR(averageifs('_durationdata'!$L:$L, '_durationdata'!$K:$K, "*"&amp;$A23&amp;"*", '_durationdata'!$M:$M, "*"&amp;T$2&amp;"*")), "", averageifs('_durationdata'!$L:$L, '_durationdata'!$K:$K, "*"&amp;$A23&amp;"*", '_durationdata'!$M:$M, "*"&amp;T$2&amp;"*")/60)</f>
        <v/>
      </c>
    </row>
    <row r="24">
      <c r="A24" s="25" t="s">
        <v>68</v>
      </c>
      <c r="B24" s="26" t="s">
        <v>18</v>
      </c>
      <c r="C24" s="29" t="str">
        <f>IF(ISERROR(averageifs('_durationdata'!$B:$B, '_durationdata'!$A:$A, "*"&amp;$A24&amp;"*", '_durationdata'!$C:$C, "*"&amp;C$2&amp;"*")), "", averageifs('_durationdata'!$B:$B, '_durationdata'!$A:$A, "*"&amp;$A24&amp;"*", '_durationdata'!$C:$C, "*"&amp;C$2&amp;"*")/60)</f>
        <v/>
      </c>
      <c r="D24" s="29" t="str">
        <f>IF(ISERROR(averageifs('_durationdata'!$B:$B, '_durationdata'!$A:$A, "*"&amp;$A24&amp;"*", '_durationdata'!$C:$C, "*"&amp;D$2&amp;"*")), "", averageifs('_durationdata'!$B:$B, '_durationdata'!$A:$A, "*"&amp;$A24&amp;"*", '_durationdata'!$C:$C, "*"&amp;D$2&amp;"*")/60)</f>
        <v/>
      </c>
      <c r="E24" s="29" t="str">
        <f>IF(ISERROR(averageifs('_durationdata'!$B:$B, '_durationdata'!$A:$A, "*"&amp;$A24&amp;"*", '_durationdata'!$C:$C, "*"&amp;E$2&amp;"*")), "", averageifs('_durationdata'!$B:$B, '_durationdata'!$A:$A, "*"&amp;$A24&amp;"*", '_durationdata'!$C:$C, "*"&amp;E$2&amp;"*")/60)</f>
        <v/>
      </c>
      <c r="F24" s="29" t="str">
        <f>IF(ISERROR(averageifs('_durationdata'!$B:$B, '_durationdata'!$A:$A, "*"&amp;$A24&amp;"*", '_durationdata'!$C:$C, "*"&amp;F$2&amp;"*")), "", averageifs('_durationdata'!$B:$B, '_durationdata'!$A:$A, "*"&amp;$A24&amp;"*", '_durationdata'!$C:$C, "*"&amp;F$2&amp;"*")/60)</f>
        <v/>
      </c>
      <c r="G24" s="29" t="str">
        <f>IF(ISERROR(averageifs('_durationdata'!$B:$B, '_durationdata'!$A:$A, "*"&amp;$A24&amp;"*", '_durationdata'!$C:$C, "*"&amp;G$2&amp;"*")), "", averageifs('_durationdata'!$B:$B, '_durationdata'!$A:$A, "*"&amp;$A24&amp;"*", '_durationdata'!$C:$C, "*"&amp;G$2&amp;"*")/60)</f>
        <v/>
      </c>
      <c r="H24" s="29" t="str">
        <f>IF(ISERROR(averageifs('_durationdata'!$B:$B, '_durationdata'!$A:$A, "*"&amp;$A24&amp;"*", '_durationdata'!$C:$C, "*"&amp;H$2&amp;"*")), "", averageifs('_durationdata'!$B:$B, '_durationdata'!$A:$A, "*"&amp;$A24&amp;"*", '_durationdata'!$C:$C, "*"&amp;H$2&amp;"*")/60)</f>
        <v/>
      </c>
      <c r="I24" s="29" t="str">
        <f>IF(ISERROR(averageifs('_durationdata'!$B:$B, '_durationdata'!$A:$A, "*"&amp;$A24&amp;"*", '_durationdata'!$C:$C, "*"&amp;I$2&amp;"*")), "", averageifs('_durationdata'!$B:$B, '_durationdata'!$A:$A, "*"&amp;$A24&amp;"*", '_durationdata'!$C:$C, "*"&amp;I$2&amp;"*")/60)</f>
        <v/>
      </c>
      <c r="J24" s="29" t="str">
        <f>IF(ISERROR(averageifs('_durationdata'!$B:$B, '_durationdata'!$A:$A, "*"&amp;$A24&amp;"*", '_durationdata'!$C:$C, "*"&amp;J$2&amp;"*")), "", averageifs('_durationdata'!$B:$B, '_durationdata'!$A:$A, "*"&amp;$A24&amp;"*", '_durationdata'!$C:$C, "*"&amp;J$2&amp;"*")/60)</f>
        <v/>
      </c>
      <c r="K24" s="29" t="str">
        <f>IF(ISERROR(averageifs('_durationdata'!$B:$B, '_durationdata'!$A:$A, "*"&amp;$A24&amp;"*", '_durationdata'!$C:$C, "*"&amp;K$2&amp;"*")), "", averageifs('_durationdata'!$B:$B, '_durationdata'!$A:$A, "*"&amp;$A24&amp;"*", '_durationdata'!$C:$C, "*"&amp;K$2&amp;"*")/60)</f>
        <v/>
      </c>
      <c r="L24" s="29" t="str">
        <f>IF(ISERROR(averageifs('_durationdata'!$B:$B, '_durationdata'!$A:$A, "*"&amp;$A24&amp;"*", '_durationdata'!$C:$C, "*"&amp;L$2&amp;"*")), "", averageifs('_durationdata'!$B:$B, '_durationdata'!$A:$A, "*"&amp;$A24&amp;"*", '_durationdata'!$C:$C, "*"&amp;L$2&amp;"*")/60)</f>
        <v/>
      </c>
      <c r="M24" s="29" t="str">
        <f>IF(ISERROR(averageifs('_durationdata'!$B:$B, '_durationdata'!$A:$A, "*"&amp;$A24&amp;"*", '_durationdata'!$C:$C, "*"&amp;M$2&amp;"*")), "", averageifs('_durationdata'!$B:$B, '_durationdata'!$A:$A, "*"&amp;$A24&amp;"*", '_durationdata'!$C:$C, "*"&amp;M$2&amp;"*")/60)</f>
        <v/>
      </c>
      <c r="N24" s="29" t="str">
        <f>IF(ISERROR(averageifs('_durationdata'!$B:$B, '_durationdata'!$A:$A, "*"&amp;$A24&amp;"*", '_durationdata'!$C:$C, "*"&amp;N$2&amp;"*")), "", averageifs('_durationdata'!$B:$B, '_durationdata'!$A:$A, "*"&amp;$A24&amp;"*", '_durationdata'!$C:$C, "*"&amp;N$2&amp;"*")/60)</f>
        <v/>
      </c>
      <c r="O24" s="29" t="str">
        <f>IF(ISERROR(averageifs('_durationdata'!$B:$B, '_durationdata'!$A:$A, "*"&amp;$A24&amp;"*", '_durationdata'!$C:$C, "*"&amp;O$2&amp;"*")), "", averageifs('_durationdata'!$B:$B, '_durationdata'!$A:$A, "*"&amp;$A24&amp;"*", '_durationdata'!$C:$C, "*"&amp;O$2&amp;"*")/60)</f>
        <v/>
      </c>
      <c r="P24" s="29" t="str">
        <f>IF(ISERROR(averageifs('_durationdata'!$B:$B, '_durationdata'!$A:$A, "*"&amp;$A24&amp;"*", '_durationdata'!$C:$C, "*"&amp;P$2&amp;"*")), "", averageifs('_durationdata'!$B:$B, '_durationdata'!$A:$A, "*"&amp;$A24&amp;"*", '_durationdata'!$C:$C, "*"&amp;P$2&amp;"*")/60)</f>
        <v/>
      </c>
      <c r="Q24" s="29" t="str">
        <f>IF(ISERROR(averageifs('_durationdata'!$B:$B, '_durationdata'!$A:$A, "*"&amp;$A24&amp;"*", '_durationdata'!$C:$C, "*"&amp;Q$2&amp;"*")), "", averageifs('_durationdata'!$B:$B, '_durationdata'!$A:$A, "*"&amp;$A24&amp;"*", '_durationdata'!$C:$C, "*"&amp;Q$2&amp;"*")/60)</f>
        <v/>
      </c>
      <c r="R24" s="29" t="str">
        <f>IF(ISERROR(averageifs('_durationdata'!$B:$B, '_durationdata'!$A:$A, "*"&amp;$A24&amp;"*", '_durationdata'!$C:$C, "*"&amp;R$2&amp;"*")), "", averageifs('_durationdata'!$B:$B, '_durationdata'!$A:$A, "*"&amp;$A24&amp;"*", '_durationdata'!$C:$C, "*"&amp;R$2&amp;"*")/60)</f>
        <v/>
      </c>
      <c r="S24" s="29" t="str">
        <f>IF(ISERROR(averageifs('_durationdata'!$B:$B, '_durationdata'!$A:$A, "*"&amp;$A24&amp;"*", '_durationdata'!$C:$C, "*"&amp;S$2&amp;"*")), "", averageifs('_durationdata'!$B:$B, '_durationdata'!$A:$A, "*"&amp;$A24&amp;"*", '_durationdata'!$C:$C, "*"&amp;S$2&amp;"*")/60)</f>
        <v/>
      </c>
      <c r="T24" s="29" t="str">
        <f>IF(ISERROR(averageifs('_durationdata'!$B:$B, '_durationdata'!$A:$A, "*"&amp;$A24&amp;"*", '_durationdata'!$C:$C, "*"&amp;T$2&amp;"*")), "", averageifs('_durationdata'!$B:$B, '_durationdata'!$A:$A, "*"&amp;$A24&amp;"*", '_durationdata'!$C:$C, "*"&amp;T$2&amp;"*")/60)</f>
        <v/>
      </c>
      <c r="U24" s="33"/>
      <c r="V24" s="33"/>
      <c r="W24" s="33"/>
      <c r="X24" s="33"/>
      <c r="Y24" s="33"/>
      <c r="Z24" s="33"/>
    </row>
    <row r="25">
      <c r="A25" s="2" t="s">
        <v>68</v>
      </c>
      <c r="B25" s="17" t="s">
        <v>28</v>
      </c>
      <c r="C25" s="38" t="str">
        <f>IF(iserror(averageifs('_durationdata'!$G:$G, '_durationdata'!$F:$F, "*"&amp;$A25&amp;"*", '_durationdata'!$H:$H, "*"&amp;C$2&amp;"*")), "", averageifs('_durationdata'!$G:$G, '_durationdata'!$F:$F, "*"&amp;$A25&amp;"*", '_durationdata'!$H:$H, "*"&amp;C$2&amp;"*")/60)</f>
        <v/>
      </c>
      <c r="D25" s="38" t="str">
        <f>IF(iserror(averageifs('_durationdata'!$G:$G, '_durationdata'!$F:$F, "*"&amp;$A25&amp;"*", '_durationdata'!$H:$H, "*"&amp;D$2&amp;"*")), "", averageifs('_durationdata'!$G:$G, '_durationdata'!$F:$F, "*"&amp;$A25&amp;"*", '_durationdata'!$H:$H, "*"&amp;D$2&amp;"*")/60)</f>
        <v/>
      </c>
      <c r="E25" s="38" t="str">
        <f>IF(iserror(averageifs('_durationdata'!$G:$G, '_durationdata'!$F:$F, "*"&amp;$A25&amp;"*", '_durationdata'!$H:$H, "*"&amp;E$2&amp;"*")), "", averageifs('_durationdata'!$G:$G, '_durationdata'!$F:$F, "*"&amp;$A25&amp;"*", '_durationdata'!$H:$H, "*"&amp;E$2&amp;"*")/60)</f>
        <v/>
      </c>
      <c r="F25" s="38" t="str">
        <f>IF(iserror(averageifs('_durationdata'!$G:$G, '_durationdata'!$F:$F, "*"&amp;$A25&amp;"*", '_durationdata'!$H:$H, "*"&amp;F$2&amp;"*")), "", averageifs('_durationdata'!$G:$G, '_durationdata'!$F:$F, "*"&amp;$A25&amp;"*", '_durationdata'!$H:$H, "*"&amp;F$2&amp;"*")/60)</f>
        <v/>
      </c>
      <c r="G25" s="38" t="str">
        <f>IF(iserror(averageifs('_durationdata'!$G:$G, '_durationdata'!$F:$F, "*"&amp;$A25&amp;"*", '_durationdata'!$H:$H, "*"&amp;G$2&amp;"*")), "", averageifs('_durationdata'!$G:$G, '_durationdata'!$F:$F, "*"&amp;$A25&amp;"*", '_durationdata'!$H:$H, "*"&amp;G$2&amp;"*")/60)</f>
        <v/>
      </c>
      <c r="H25" s="38" t="str">
        <f>IF(iserror(averageifs('_durationdata'!$G:$G, '_durationdata'!$F:$F, "*"&amp;$A25&amp;"*", '_durationdata'!$H:$H, "*"&amp;H$2&amp;"*")), "", averageifs('_durationdata'!$G:$G, '_durationdata'!$F:$F, "*"&amp;$A25&amp;"*", '_durationdata'!$H:$H, "*"&amp;H$2&amp;"*")/60)</f>
        <v/>
      </c>
      <c r="I25" s="38" t="str">
        <f>IF(iserror(averageifs('_durationdata'!$G:$G, '_durationdata'!$F:$F, "*"&amp;$A25&amp;"*", '_durationdata'!$H:$H, "*"&amp;I$2&amp;"*")), "", averageifs('_durationdata'!$G:$G, '_durationdata'!$F:$F, "*"&amp;$A25&amp;"*", '_durationdata'!$H:$H, "*"&amp;I$2&amp;"*")/60)</f>
        <v/>
      </c>
      <c r="J25" s="38" t="str">
        <f>IF(iserror(averageifs('_durationdata'!$G:$G, '_durationdata'!$F:$F, "*"&amp;$A25&amp;"*", '_durationdata'!$H:$H, "*"&amp;J$2&amp;"*")), "", averageifs('_durationdata'!$G:$G, '_durationdata'!$F:$F, "*"&amp;$A25&amp;"*", '_durationdata'!$H:$H, "*"&amp;J$2&amp;"*")/60)</f>
        <v/>
      </c>
      <c r="K25" s="38" t="str">
        <f>IF(iserror(averageifs('_durationdata'!$G:$G, '_durationdata'!$F:$F, "*"&amp;$A25&amp;"*", '_durationdata'!$H:$H, "*"&amp;K$2&amp;"*")), "", averageifs('_durationdata'!$G:$G, '_durationdata'!$F:$F, "*"&amp;$A25&amp;"*", '_durationdata'!$H:$H, "*"&amp;K$2&amp;"*")/60)</f>
        <v/>
      </c>
      <c r="L25" s="38" t="str">
        <f>IF(iserror(averageifs('_durationdata'!$G:$G, '_durationdata'!$F:$F, "*"&amp;$A25&amp;"*", '_durationdata'!$H:$H, "*"&amp;L$2&amp;"*")), "", averageifs('_durationdata'!$G:$G, '_durationdata'!$F:$F, "*"&amp;$A25&amp;"*", '_durationdata'!$H:$H, "*"&amp;L$2&amp;"*")/60)</f>
        <v/>
      </c>
      <c r="M25" s="38" t="str">
        <f>IF(iserror(averageifs('_durationdata'!$G:$G, '_durationdata'!$F:$F, "*"&amp;$A25&amp;"*", '_durationdata'!$H:$H, "*"&amp;M$2&amp;"*")), "", averageifs('_durationdata'!$G:$G, '_durationdata'!$F:$F, "*"&amp;$A25&amp;"*", '_durationdata'!$H:$H, "*"&amp;M$2&amp;"*")/60)</f>
        <v/>
      </c>
      <c r="N25" s="38" t="str">
        <f>IF(iserror(averageifs('_durationdata'!$G:$G, '_durationdata'!$F:$F, "*"&amp;$A25&amp;"*", '_durationdata'!$H:$H, "*"&amp;N$2&amp;"*")), "", averageifs('_durationdata'!$G:$G, '_durationdata'!$F:$F, "*"&amp;$A25&amp;"*", '_durationdata'!$H:$H, "*"&amp;N$2&amp;"*")/60)</f>
        <v/>
      </c>
      <c r="O25" s="38" t="str">
        <f>IF(iserror(averageifs('_durationdata'!$G:$G, '_durationdata'!$F:$F, "*"&amp;$A25&amp;"*", '_durationdata'!$H:$H, "*"&amp;O$2&amp;"*")), "", averageifs('_durationdata'!$G:$G, '_durationdata'!$F:$F, "*"&amp;$A25&amp;"*", '_durationdata'!$H:$H, "*"&amp;O$2&amp;"*")/60)</f>
        <v/>
      </c>
      <c r="P25" s="38" t="str">
        <f>IF(iserror(averageifs('_durationdata'!$G:$G, '_durationdata'!$F:$F, "*"&amp;$A25&amp;"*", '_durationdata'!$H:$H, "*"&amp;P$2&amp;"*")), "", averageifs('_durationdata'!$G:$G, '_durationdata'!$F:$F, "*"&amp;$A25&amp;"*", '_durationdata'!$H:$H, "*"&amp;P$2&amp;"*")/60)</f>
        <v/>
      </c>
      <c r="Q25" s="38" t="str">
        <f>IF(iserror(averageifs('_durationdata'!$G:$G, '_durationdata'!$F:$F, "*"&amp;$A25&amp;"*", '_durationdata'!$H:$H, "*"&amp;Q$2&amp;"*")), "", averageifs('_durationdata'!$G:$G, '_durationdata'!$F:$F, "*"&amp;$A25&amp;"*", '_durationdata'!$H:$H, "*"&amp;Q$2&amp;"*")/60)</f>
        <v/>
      </c>
      <c r="R25" s="38" t="str">
        <f>IF(iserror(averageifs('_durationdata'!$G:$G, '_durationdata'!$F:$F, "*"&amp;$A25&amp;"*", '_durationdata'!$H:$H, "*"&amp;R$2&amp;"*")), "", averageifs('_durationdata'!$G:$G, '_durationdata'!$F:$F, "*"&amp;$A25&amp;"*", '_durationdata'!$H:$H, "*"&amp;R$2&amp;"*")/60)</f>
        <v/>
      </c>
      <c r="S25" s="38" t="str">
        <f>IF(iserror(averageifs('_durationdata'!$G:$G, '_durationdata'!$F:$F, "*"&amp;$A25&amp;"*", '_durationdata'!$H:$H, "*"&amp;S$2&amp;"*")), "", averageifs('_durationdata'!$G:$G, '_durationdata'!$F:$F, "*"&amp;$A25&amp;"*", '_durationdata'!$H:$H, "*"&amp;S$2&amp;"*")/60)</f>
        <v/>
      </c>
      <c r="T25" s="38" t="str">
        <f>IF(iserror(averageifs('_durationdata'!$G:$G, '_durationdata'!$F:$F, "*"&amp;$A25&amp;"*", '_durationdata'!$H:$H, "*"&amp;T$2&amp;"*")), "", averageifs('_durationdata'!$G:$G, '_durationdata'!$F:$F, "*"&amp;$A25&amp;"*", '_durationdata'!$H:$H, "*"&amp;T$2&amp;"*")/60)</f>
        <v/>
      </c>
    </row>
    <row r="26">
      <c r="A26" s="2" t="s">
        <v>68</v>
      </c>
      <c r="B26" s="17" t="s">
        <v>30</v>
      </c>
      <c r="C26" s="38" t="str">
        <f>IF(ISERROR(averageifs('_durationdata'!$L:$L, '_durationdata'!$K:$K, "*"&amp;$A26&amp;"*", '_durationdata'!$M:$M, "*"&amp;C$2&amp;"*")), "", averageifs('_durationdata'!$L:$L, '_durationdata'!$K:$K, "*"&amp;$A26&amp;"*", '_durationdata'!$M:$M, "*"&amp;C$2&amp;"*")/60)</f>
        <v/>
      </c>
      <c r="D26" s="38" t="str">
        <f>IF(ISERROR(averageifs('_durationdata'!$L:$L, '_durationdata'!$K:$K, "*"&amp;$A26&amp;"*", '_durationdata'!$M:$M, "*"&amp;D$2&amp;"*")), "", averageifs('_durationdata'!$L:$L, '_durationdata'!$K:$K, "*"&amp;$A26&amp;"*", '_durationdata'!$M:$M, "*"&amp;D$2&amp;"*")/60)</f>
        <v/>
      </c>
      <c r="E26" s="38" t="str">
        <f>IF(ISERROR(averageifs('_durationdata'!$L:$L, '_durationdata'!$K:$K, "*"&amp;$A26&amp;"*", '_durationdata'!$M:$M, "*"&amp;E$2&amp;"*")), "", averageifs('_durationdata'!$L:$L, '_durationdata'!$K:$K, "*"&amp;$A26&amp;"*", '_durationdata'!$M:$M, "*"&amp;E$2&amp;"*")/60)</f>
        <v/>
      </c>
      <c r="F26" s="38" t="str">
        <f>IF(ISERROR(averageifs('_durationdata'!$L:$L, '_durationdata'!$K:$K, "*"&amp;$A26&amp;"*", '_durationdata'!$M:$M, "*"&amp;F$2&amp;"*")), "", averageifs('_durationdata'!$L:$L, '_durationdata'!$K:$K, "*"&amp;$A26&amp;"*", '_durationdata'!$M:$M, "*"&amp;F$2&amp;"*")/60)</f>
        <v/>
      </c>
      <c r="G26" s="38" t="str">
        <f>IF(ISERROR(averageifs('_durationdata'!$L:$L, '_durationdata'!$K:$K, "*"&amp;$A26&amp;"*", '_durationdata'!$M:$M, "*"&amp;G$2&amp;"*")), "", averageifs('_durationdata'!$L:$L, '_durationdata'!$K:$K, "*"&amp;$A26&amp;"*", '_durationdata'!$M:$M, "*"&amp;G$2&amp;"*")/60)</f>
        <v/>
      </c>
      <c r="H26" s="38" t="str">
        <f>IF(ISERROR(averageifs('_durationdata'!$L:$L, '_durationdata'!$K:$K, "*"&amp;$A26&amp;"*", '_durationdata'!$M:$M, "*"&amp;H$2&amp;"*")), "", averageifs('_durationdata'!$L:$L, '_durationdata'!$K:$K, "*"&amp;$A26&amp;"*", '_durationdata'!$M:$M, "*"&amp;H$2&amp;"*")/60)</f>
        <v/>
      </c>
      <c r="I26" s="38" t="str">
        <f>IF(ISERROR(averageifs('_durationdata'!$L:$L, '_durationdata'!$K:$K, "*"&amp;$A26&amp;"*", '_durationdata'!$M:$M, "*"&amp;I$2&amp;"*")), "", averageifs('_durationdata'!$L:$L, '_durationdata'!$K:$K, "*"&amp;$A26&amp;"*", '_durationdata'!$M:$M, "*"&amp;I$2&amp;"*")/60)</f>
        <v/>
      </c>
      <c r="J26" s="38" t="str">
        <f>IF(ISERROR(averageifs('_durationdata'!$L:$L, '_durationdata'!$K:$K, "*"&amp;$A26&amp;"*", '_durationdata'!$M:$M, "*"&amp;J$2&amp;"*")), "", averageifs('_durationdata'!$L:$L, '_durationdata'!$K:$K, "*"&amp;$A26&amp;"*", '_durationdata'!$M:$M, "*"&amp;J$2&amp;"*")/60)</f>
        <v/>
      </c>
      <c r="K26" s="38" t="str">
        <f>IF(ISERROR(averageifs('_durationdata'!$L:$L, '_durationdata'!$K:$K, "*"&amp;$A26&amp;"*", '_durationdata'!$M:$M, "*"&amp;K$2&amp;"*")), "", averageifs('_durationdata'!$L:$L, '_durationdata'!$K:$K, "*"&amp;$A26&amp;"*", '_durationdata'!$M:$M, "*"&amp;K$2&amp;"*")/60)</f>
        <v/>
      </c>
      <c r="L26" s="38" t="str">
        <f>IF(ISERROR(averageifs('_durationdata'!$L:$L, '_durationdata'!$K:$K, "*"&amp;$A26&amp;"*", '_durationdata'!$M:$M, "*"&amp;L$2&amp;"*")), "", averageifs('_durationdata'!$L:$L, '_durationdata'!$K:$K, "*"&amp;$A26&amp;"*", '_durationdata'!$M:$M, "*"&amp;L$2&amp;"*")/60)</f>
        <v/>
      </c>
      <c r="M26" s="38" t="str">
        <f>IF(ISERROR(averageifs('_durationdata'!$L:$L, '_durationdata'!$K:$K, "*"&amp;$A26&amp;"*", '_durationdata'!$M:$M, "*"&amp;M$2&amp;"*")), "", averageifs('_durationdata'!$L:$L, '_durationdata'!$K:$K, "*"&amp;$A26&amp;"*", '_durationdata'!$M:$M, "*"&amp;M$2&amp;"*")/60)</f>
        <v/>
      </c>
      <c r="N26" s="38" t="str">
        <f>IF(ISERROR(averageifs('_durationdata'!$L:$L, '_durationdata'!$K:$K, "*"&amp;$A26&amp;"*", '_durationdata'!$M:$M, "*"&amp;N$2&amp;"*")), "", averageifs('_durationdata'!$L:$L, '_durationdata'!$K:$K, "*"&amp;$A26&amp;"*", '_durationdata'!$M:$M, "*"&amp;N$2&amp;"*")/60)</f>
        <v/>
      </c>
      <c r="O26" s="38" t="str">
        <f>IF(ISERROR(averageifs('_durationdata'!$L:$L, '_durationdata'!$K:$K, "*"&amp;$A26&amp;"*", '_durationdata'!$M:$M, "*"&amp;O$2&amp;"*")), "", averageifs('_durationdata'!$L:$L, '_durationdata'!$K:$K, "*"&amp;$A26&amp;"*", '_durationdata'!$M:$M, "*"&amp;O$2&amp;"*")/60)</f>
        <v/>
      </c>
      <c r="P26" s="38" t="str">
        <f>IF(ISERROR(averageifs('_durationdata'!$L:$L, '_durationdata'!$K:$K, "*"&amp;$A26&amp;"*", '_durationdata'!$M:$M, "*"&amp;P$2&amp;"*")), "", averageifs('_durationdata'!$L:$L, '_durationdata'!$K:$K, "*"&amp;$A26&amp;"*", '_durationdata'!$M:$M, "*"&amp;P$2&amp;"*")/60)</f>
        <v/>
      </c>
      <c r="Q26" s="38" t="str">
        <f>IF(ISERROR(averageifs('_durationdata'!$L:$L, '_durationdata'!$K:$K, "*"&amp;$A26&amp;"*", '_durationdata'!$M:$M, "*"&amp;Q$2&amp;"*")), "", averageifs('_durationdata'!$L:$L, '_durationdata'!$K:$K, "*"&amp;$A26&amp;"*", '_durationdata'!$M:$M, "*"&amp;Q$2&amp;"*")/60)</f>
        <v/>
      </c>
      <c r="R26" s="38" t="str">
        <f>IF(ISERROR(averageifs('_durationdata'!$L:$L, '_durationdata'!$K:$K, "*"&amp;$A26&amp;"*", '_durationdata'!$M:$M, "*"&amp;R$2&amp;"*")), "", averageifs('_durationdata'!$L:$L, '_durationdata'!$K:$K, "*"&amp;$A26&amp;"*", '_durationdata'!$M:$M, "*"&amp;R$2&amp;"*")/60)</f>
        <v/>
      </c>
      <c r="S26" s="38" t="str">
        <f>IF(ISERROR(averageifs('_durationdata'!$L:$L, '_durationdata'!$K:$K, "*"&amp;$A26&amp;"*", '_durationdata'!$M:$M, "*"&amp;S$2&amp;"*")), "", averageifs('_durationdata'!$L:$L, '_durationdata'!$K:$K, "*"&amp;$A26&amp;"*", '_durationdata'!$M:$M, "*"&amp;S$2&amp;"*")/60)</f>
        <v/>
      </c>
      <c r="T26" s="38" t="str">
        <f>IF(ISERROR(averageifs('_durationdata'!$L:$L, '_durationdata'!$K:$K, "*"&amp;$A26&amp;"*", '_durationdata'!$M:$M, "*"&amp;T$2&amp;"*")), "", averageifs('_durationdata'!$L:$L, '_durationdata'!$K:$K, "*"&amp;$A26&amp;"*", '_durationdata'!$M:$M, "*"&amp;T$2&amp;"*")/60)</f>
        <v/>
      </c>
    </row>
    <row r="27">
      <c r="A27" s="25" t="s">
        <v>69</v>
      </c>
      <c r="B27" s="26" t="s">
        <v>18</v>
      </c>
      <c r="C27" s="29" t="str">
        <f>IF(ISERROR(averageifs('_durationdata'!$B:$B, '_durationdata'!$A:$A, "*"&amp;$A27&amp;"*", '_durationdata'!$C:$C, "*"&amp;C$2&amp;"*")), "", averageifs('_durationdata'!$B:$B, '_durationdata'!$A:$A, "*"&amp;$A27&amp;"*", '_durationdata'!$C:$C, "*"&amp;C$2&amp;"*")/60)</f>
        <v/>
      </c>
      <c r="D27" s="29" t="str">
        <f>IF(ISERROR(averageifs('_durationdata'!$B:$B, '_durationdata'!$A:$A, "*"&amp;$A27&amp;"*", '_durationdata'!$C:$C, "*"&amp;D$2&amp;"*")), "", averageifs('_durationdata'!$B:$B, '_durationdata'!$A:$A, "*"&amp;$A27&amp;"*", '_durationdata'!$C:$C, "*"&amp;D$2&amp;"*")/60)</f>
        <v/>
      </c>
      <c r="E27" s="29" t="str">
        <f>IF(ISERROR(averageifs('_durationdata'!$B:$B, '_durationdata'!$A:$A, "*"&amp;$A27&amp;"*", '_durationdata'!$C:$C, "*"&amp;E$2&amp;"*")), "", averageifs('_durationdata'!$B:$B, '_durationdata'!$A:$A, "*"&amp;$A27&amp;"*", '_durationdata'!$C:$C, "*"&amp;E$2&amp;"*")/60)</f>
        <v/>
      </c>
      <c r="F27" s="29" t="str">
        <f>IF(ISERROR(averageifs('_durationdata'!$B:$B, '_durationdata'!$A:$A, "*"&amp;$A27&amp;"*", '_durationdata'!$C:$C, "*"&amp;F$2&amp;"*")), "", averageifs('_durationdata'!$B:$B, '_durationdata'!$A:$A, "*"&amp;$A27&amp;"*", '_durationdata'!$C:$C, "*"&amp;F$2&amp;"*")/60)</f>
        <v/>
      </c>
      <c r="G27" s="29" t="str">
        <f>IF(ISERROR(averageifs('_durationdata'!$B:$B, '_durationdata'!$A:$A, "*"&amp;$A27&amp;"*", '_durationdata'!$C:$C, "*"&amp;G$2&amp;"*")), "", averageifs('_durationdata'!$B:$B, '_durationdata'!$A:$A, "*"&amp;$A27&amp;"*", '_durationdata'!$C:$C, "*"&amp;G$2&amp;"*")/60)</f>
        <v/>
      </c>
      <c r="H27" s="29" t="str">
        <f>IF(ISERROR(averageifs('_durationdata'!$B:$B, '_durationdata'!$A:$A, "*"&amp;$A27&amp;"*", '_durationdata'!$C:$C, "*"&amp;H$2&amp;"*")), "", averageifs('_durationdata'!$B:$B, '_durationdata'!$A:$A, "*"&amp;$A27&amp;"*", '_durationdata'!$C:$C, "*"&amp;H$2&amp;"*")/60)</f>
        <v/>
      </c>
      <c r="I27" s="29" t="str">
        <f>IF(ISERROR(averageifs('_durationdata'!$B:$B, '_durationdata'!$A:$A, "*"&amp;$A27&amp;"*", '_durationdata'!$C:$C, "*"&amp;I$2&amp;"*")), "", averageifs('_durationdata'!$B:$B, '_durationdata'!$A:$A, "*"&amp;$A27&amp;"*", '_durationdata'!$C:$C, "*"&amp;I$2&amp;"*")/60)</f>
        <v/>
      </c>
      <c r="J27" s="29" t="str">
        <f>IF(ISERROR(averageifs('_durationdata'!$B:$B, '_durationdata'!$A:$A, "*"&amp;$A27&amp;"*", '_durationdata'!$C:$C, "*"&amp;J$2&amp;"*")), "", averageifs('_durationdata'!$B:$B, '_durationdata'!$A:$A, "*"&amp;$A27&amp;"*", '_durationdata'!$C:$C, "*"&amp;J$2&amp;"*")/60)</f>
        <v/>
      </c>
      <c r="K27" s="29" t="str">
        <f>IF(ISERROR(averageifs('_durationdata'!$B:$B, '_durationdata'!$A:$A, "*"&amp;$A27&amp;"*", '_durationdata'!$C:$C, "*"&amp;K$2&amp;"*")), "", averageifs('_durationdata'!$B:$B, '_durationdata'!$A:$A, "*"&amp;$A27&amp;"*", '_durationdata'!$C:$C, "*"&amp;K$2&amp;"*")/60)</f>
        <v/>
      </c>
      <c r="L27" s="29" t="str">
        <f>IF(ISERROR(averageifs('_durationdata'!$B:$B, '_durationdata'!$A:$A, "*"&amp;$A27&amp;"*", '_durationdata'!$C:$C, "*"&amp;L$2&amp;"*")), "", averageifs('_durationdata'!$B:$B, '_durationdata'!$A:$A, "*"&amp;$A27&amp;"*", '_durationdata'!$C:$C, "*"&amp;L$2&amp;"*")/60)</f>
        <v/>
      </c>
      <c r="M27" s="29" t="str">
        <f>IF(ISERROR(averageifs('_durationdata'!$B:$B, '_durationdata'!$A:$A, "*"&amp;$A27&amp;"*", '_durationdata'!$C:$C, "*"&amp;M$2&amp;"*")), "", averageifs('_durationdata'!$B:$B, '_durationdata'!$A:$A, "*"&amp;$A27&amp;"*", '_durationdata'!$C:$C, "*"&amp;M$2&amp;"*")/60)</f>
        <v/>
      </c>
      <c r="N27" s="29" t="str">
        <f>IF(ISERROR(averageifs('_durationdata'!$B:$B, '_durationdata'!$A:$A, "*"&amp;$A27&amp;"*", '_durationdata'!$C:$C, "*"&amp;N$2&amp;"*")), "", averageifs('_durationdata'!$B:$B, '_durationdata'!$A:$A, "*"&amp;$A27&amp;"*", '_durationdata'!$C:$C, "*"&amp;N$2&amp;"*")/60)</f>
        <v/>
      </c>
      <c r="O27" s="29" t="str">
        <f>IF(ISERROR(averageifs('_durationdata'!$B:$B, '_durationdata'!$A:$A, "*"&amp;$A27&amp;"*", '_durationdata'!$C:$C, "*"&amp;O$2&amp;"*")), "", averageifs('_durationdata'!$B:$B, '_durationdata'!$A:$A, "*"&amp;$A27&amp;"*", '_durationdata'!$C:$C, "*"&amp;O$2&amp;"*")/60)</f>
        <v/>
      </c>
      <c r="P27" s="29" t="str">
        <f>IF(ISERROR(averageifs('_durationdata'!$B:$B, '_durationdata'!$A:$A, "*"&amp;$A27&amp;"*", '_durationdata'!$C:$C, "*"&amp;P$2&amp;"*")), "", averageifs('_durationdata'!$B:$B, '_durationdata'!$A:$A, "*"&amp;$A27&amp;"*", '_durationdata'!$C:$C, "*"&amp;P$2&amp;"*")/60)</f>
        <v/>
      </c>
      <c r="Q27" s="29" t="str">
        <f>IF(ISERROR(averageifs('_durationdata'!$B:$B, '_durationdata'!$A:$A, "*"&amp;$A27&amp;"*", '_durationdata'!$C:$C, "*"&amp;Q$2&amp;"*")), "", averageifs('_durationdata'!$B:$B, '_durationdata'!$A:$A, "*"&amp;$A27&amp;"*", '_durationdata'!$C:$C, "*"&amp;Q$2&amp;"*")/60)</f>
        <v/>
      </c>
      <c r="R27" s="29" t="str">
        <f>IF(ISERROR(averageifs('_durationdata'!$B:$B, '_durationdata'!$A:$A, "*"&amp;$A27&amp;"*", '_durationdata'!$C:$C, "*"&amp;R$2&amp;"*")), "", averageifs('_durationdata'!$B:$B, '_durationdata'!$A:$A, "*"&amp;$A27&amp;"*", '_durationdata'!$C:$C, "*"&amp;R$2&amp;"*")/60)</f>
        <v/>
      </c>
      <c r="S27" s="29" t="str">
        <f>IF(ISERROR(averageifs('_durationdata'!$B:$B, '_durationdata'!$A:$A, "*"&amp;$A27&amp;"*", '_durationdata'!$C:$C, "*"&amp;S$2&amp;"*")), "", averageifs('_durationdata'!$B:$B, '_durationdata'!$A:$A, "*"&amp;$A27&amp;"*", '_durationdata'!$C:$C, "*"&amp;S$2&amp;"*")/60)</f>
        <v/>
      </c>
      <c r="T27" s="29" t="str">
        <f>IF(ISERROR(averageifs('_durationdata'!$B:$B, '_durationdata'!$A:$A, "*"&amp;$A27&amp;"*", '_durationdata'!$C:$C, "*"&amp;T$2&amp;"*")), "", averageifs('_durationdata'!$B:$B, '_durationdata'!$A:$A, "*"&amp;$A27&amp;"*", '_durationdata'!$C:$C, "*"&amp;T$2&amp;"*")/60)</f>
        <v/>
      </c>
      <c r="U27" s="33"/>
      <c r="V27" s="33"/>
      <c r="W27" s="33"/>
      <c r="X27" s="33"/>
      <c r="Y27" s="33"/>
      <c r="Z27" s="33"/>
    </row>
    <row r="28">
      <c r="A28" s="2" t="s">
        <v>69</v>
      </c>
      <c r="B28" s="17" t="s">
        <v>28</v>
      </c>
      <c r="C28" s="38" t="str">
        <f>IF(iserror(averageifs('_durationdata'!$G:$G, '_durationdata'!$F:$F, "*"&amp;$A28&amp;"*", '_durationdata'!$H:$H, "*"&amp;C$2&amp;"*")), "", averageifs('_durationdata'!$G:$G, '_durationdata'!$F:$F, "*"&amp;$A28&amp;"*", '_durationdata'!$H:$H, "*"&amp;C$2&amp;"*")/60)</f>
        <v/>
      </c>
      <c r="D28" s="38" t="str">
        <f>IF(iserror(averageifs('_durationdata'!$G:$G, '_durationdata'!$F:$F, "*"&amp;$A28&amp;"*", '_durationdata'!$H:$H, "*"&amp;D$2&amp;"*")), "", averageifs('_durationdata'!$G:$G, '_durationdata'!$F:$F, "*"&amp;$A28&amp;"*", '_durationdata'!$H:$H, "*"&amp;D$2&amp;"*")/60)</f>
        <v/>
      </c>
      <c r="E28" s="38" t="str">
        <f>IF(iserror(averageifs('_durationdata'!$G:$G, '_durationdata'!$F:$F, "*"&amp;$A28&amp;"*", '_durationdata'!$H:$H, "*"&amp;E$2&amp;"*")), "", averageifs('_durationdata'!$G:$G, '_durationdata'!$F:$F, "*"&amp;$A28&amp;"*", '_durationdata'!$H:$H, "*"&amp;E$2&amp;"*")/60)</f>
        <v/>
      </c>
      <c r="F28" s="38" t="str">
        <f>IF(iserror(averageifs('_durationdata'!$G:$G, '_durationdata'!$F:$F, "*"&amp;$A28&amp;"*", '_durationdata'!$H:$H, "*"&amp;F$2&amp;"*")), "", averageifs('_durationdata'!$G:$G, '_durationdata'!$F:$F, "*"&amp;$A28&amp;"*", '_durationdata'!$H:$H, "*"&amp;F$2&amp;"*")/60)</f>
        <v/>
      </c>
      <c r="G28" s="38" t="str">
        <f>IF(iserror(averageifs('_durationdata'!$G:$G, '_durationdata'!$F:$F, "*"&amp;$A28&amp;"*", '_durationdata'!$H:$H, "*"&amp;G$2&amp;"*")), "", averageifs('_durationdata'!$G:$G, '_durationdata'!$F:$F, "*"&amp;$A28&amp;"*", '_durationdata'!$H:$H, "*"&amp;G$2&amp;"*")/60)</f>
        <v/>
      </c>
      <c r="H28" s="38" t="str">
        <f>IF(iserror(averageifs('_durationdata'!$G:$G, '_durationdata'!$F:$F, "*"&amp;$A28&amp;"*", '_durationdata'!$H:$H, "*"&amp;H$2&amp;"*")), "", averageifs('_durationdata'!$G:$G, '_durationdata'!$F:$F, "*"&amp;$A28&amp;"*", '_durationdata'!$H:$H, "*"&amp;H$2&amp;"*")/60)</f>
        <v/>
      </c>
      <c r="I28" s="38" t="str">
        <f>IF(iserror(averageifs('_durationdata'!$G:$G, '_durationdata'!$F:$F, "*"&amp;$A28&amp;"*", '_durationdata'!$H:$H, "*"&amp;I$2&amp;"*")), "", averageifs('_durationdata'!$G:$G, '_durationdata'!$F:$F, "*"&amp;$A28&amp;"*", '_durationdata'!$H:$H, "*"&amp;I$2&amp;"*")/60)</f>
        <v/>
      </c>
      <c r="J28" s="38" t="str">
        <f>IF(iserror(averageifs('_durationdata'!$G:$G, '_durationdata'!$F:$F, "*"&amp;$A28&amp;"*", '_durationdata'!$H:$H, "*"&amp;J$2&amp;"*")), "", averageifs('_durationdata'!$G:$G, '_durationdata'!$F:$F, "*"&amp;$A28&amp;"*", '_durationdata'!$H:$H, "*"&amp;J$2&amp;"*")/60)</f>
        <v/>
      </c>
      <c r="K28" s="38" t="str">
        <f>IF(iserror(averageifs('_durationdata'!$G:$G, '_durationdata'!$F:$F, "*"&amp;$A28&amp;"*", '_durationdata'!$H:$H, "*"&amp;K$2&amp;"*")), "", averageifs('_durationdata'!$G:$G, '_durationdata'!$F:$F, "*"&amp;$A28&amp;"*", '_durationdata'!$H:$H, "*"&amp;K$2&amp;"*")/60)</f>
        <v/>
      </c>
      <c r="L28" s="38" t="str">
        <f>IF(iserror(averageifs('_durationdata'!$G:$G, '_durationdata'!$F:$F, "*"&amp;$A28&amp;"*", '_durationdata'!$H:$H, "*"&amp;L$2&amp;"*")), "", averageifs('_durationdata'!$G:$G, '_durationdata'!$F:$F, "*"&amp;$A28&amp;"*", '_durationdata'!$H:$H, "*"&amp;L$2&amp;"*")/60)</f>
        <v/>
      </c>
      <c r="M28" s="38" t="str">
        <f>IF(iserror(averageifs('_durationdata'!$G:$G, '_durationdata'!$F:$F, "*"&amp;$A28&amp;"*", '_durationdata'!$H:$H, "*"&amp;M$2&amp;"*")), "", averageifs('_durationdata'!$G:$G, '_durationdata'!$F:$F, "*"&amp;$A28&amp;"*", '_durationdata'!$H:$H, "*"&amp;M$2&amp;"*")/60)</f>
        <v/>
      </c>
      <c r="N28" s="38" t="str">
        <f>IF(iserror(averageifs('_durationdata'!$G:$G, '_durationdata'!$F:$F, "*"&amp;$A28&amp;"*", '_durationdata'!$H:$H, "*"&amp;N$2&amp;"*")), "", averageifs('_durationdata'!$G:$G, '_durationdata'!$F:$F, "*"&amp;$A28&amp;"*", '_durationdata'!$H:$H, "*"&amp;N$2&amp;"*")/60)</f>
        <v/>
      </c>
      <c r="O28" s="38" t="str">
        <f>IF(iserror(averageifs('_durationdata'!$G:$G, '_durationdata'!$F:$F, "*"&amp;$A28&amp;"*", '_durationdata'!$H:$H, "*"&amp;O$2&amp;"*")), "", averageifs('_durationdata'!$G:$G, '_durationdata'!$F:$F, "*"&amp;$A28&amp;"*", '_durationdata'!$H:$H, "*"&amp;O$2&amp;"*")/60)</f>
        <v/>
      </c>
      <c r="P28" s="38" t="str">
        <f>IF(iserror(averageifs('_durationdata'!$G:$G, '_durationdata'!$F:$F, "*"&amp;$A28&amp;"*", '_durationdata'!$H:$H, "*"&amp;P$2&amp;"*")), "", averageifs('_durationdata'!$G:$G, '_durationdata'!$F:$F, "*"&amp;$A28&amp;"*", '_durationdata'!$H:$H, "*"&amp;P$2&amp;"*")/60)</f>
        <v/>
      </c>
      <c r="Q28" s="38" t="str">
        <f>IF(iserror(averageifs('_durationdata'!$G:$G, '_durationdata'!$F:$F, "*"&amp;$A28&amp;"*", '_durationdata'!$H:$H, "*"&amp;Q$2&amp;"*")), "", averageifs('_durationdata'!$G:$G, '_durationdata'!$F:$F, "*"&amp;$A28&amp;"*", '_durationdata'!$H:$H, "*"&amp;Q$2&amp;"*")/60)</f>
        <v/>
      </c>
      <c r="R28" s="38" t="str">
        <f>IF(iserror(averageifs('_durationdata'!$G:$G, '_durationdata'!$F:$F, "*"&amp;$A28&amp;"*", '_durationdata'!$H:$H, "*"&amp;R$2&amp;"*")), "", averageifs('_durationdata'!$G:$G, '_durationdata'!$F:$F, "*"&amp;$A28&amp;"*", '_durationdata'!$H:$H, "*"&amp;R$2&amp;"*")/60)</f>
        <v/>
      </c>
      <c r="S28" s="38" t="str">
        <f>IF(iserror(averageifs('_durationdata'!$G:$G, '_durationdata'!$F:$F, "*"&amp;$A28&amp;"*", '_durationdata'!$H:$H, "*"&amp;S$2&amp;"*")), "", averageifs('_durationdata'!$G:$G, '_durationdata'!$F:$F, "*"&amp;$A28&amp;"*", '_durationdata'!$H:$H, "*"&amp;S$2&amp;"*")/60)</f>
        <v/>
      </c>
      <c r="T28" s="38" t="str">
        <f>IF(iserror(averageifs('_durationdata'!$G:$G, '_durationdata'!$F:$F, "*"&amp;$A28&amp;"*", '_durationdata'!$H:$H, "*"&amp;T$2&amp;"*")), "", averageifs('_durationdata'!$G:$G, '_durationdata'!$F:$F, "*"&amp;$A28&amp;"*", '_durationdata'!$H:$H, "*"&amp;T$2&amp;"*")/60)</f>
        <v/>
      </c>
    </row>
    <row r="29">
      <c r="A29" s="2" t="s">
        <v>69</v>
      </c>
      <c r="B29" s="17" t="s">
        <v>30</v>
      </c>
      <c r="C29" s="38" t="str">
        <f>IF(ISERROR(averageifs('_durationdata'!$L:$L, '_durationdata'!$K:$K, "*"&amp;$A29&amp;"*", '_durationdata'!$M:$M, "*"&amp;C$2&amp;"*")), "", averageifs('_durationdata'!$L:$L, '_durationdata'!$K:$K, "*"&amp;$A29&amp;"*", '_durationdata'!$M:$M, "*"&amp;C$2&amp;"*")/60)</f>
        <v/>
      </c>
      <c r="D29" s="38" t="str">
        <f>IF(ISERROR(averageifs('_durationdata'!$L:$L, '_durationdata'!$K:$K, "*"&amp;$A29&amp;"*", '_durationdata'!$M:$M, "*"&amp;D$2&amp;"*")), "", averageifs('_durationdata'!$L:$L, '_durationdata'!$K:$K, "*"&amp;$A29&amp;"*", '_durationdata'!$M:$M, "*"&amp;D$2&amp;"*")/60)</f>
        <v/>
      </c>
      <c r="E29" s="38" t="str">
        <f>IF(ISERROR(averageifs('_durationdata'!$L:$L, '_durationdata'!$K:$K, "*"&amp;$A29&amp;"*", '_durationdata'!$M:$M, "*"&amp;E$2&amp;"*")), "", averageifs('_durationdata'!$L:$L, '_durationdata'!$K:$K, "*"&amp;$A29&amp;"*", '_durationdata'!$M:$M, "*"&amp;E$2&amp;"*")/60)</f>
        <v/>
      </c>
      <c r="F29" s="38" t="str">
        <f>IF(ISERROR(averageifs('_durationdata'!$L:$L, '_durationdata'!$K:$K, "*"&amp;$A29&amp;"*", '_durationdata'!$M:$M, "*"&amp;F$2&amp;"*")), "", averageifs('_durationdata'!$L:$L, '_durationdata'!$K:$K, "*"&amp;$A29&amp;"*", '_durationdata'!$M:$M, "*"&amp;F$2&amp;"*")/60)</f>
        <v/>
      </c>
      <c r="G29" s="38" t="str">
        <f>IF(ISERROR(averageifs('_durationdata'!$L:$L, '_durationdata'!$K:$K, "*"&amp;$A29&amp;"*", '_durationdata'!$M:$M, "*"&amp;G$2&amp;"*")), "", averageifs('_durationdata'!$L:$L, '_durationdata'!$K:$K, "*"&amp;$A29&amp;"*", '_durationdata'!$M:$M, "*"&amp;G$2&amp;"*")/60)</f>
        <v/>
      </c>
      <c r="H29" s="38" t="str">
        <f>IF(ISERROR(averageifs('_durationdata'!$L:$L, '_durationdata'!$K:$K, "*"&amp;$A29&amp;"*", '_durationdata'!$M:$M, "*"&amp;H$2&amp;"*")), "", averageifs('_durationdata'!$L:$L, '_durationdata'!$K:$K, "*"&amp;$A29&amp;"*", '_durationdata'!$M:$M, "*"&amp;H$2&amp;"*")/60)</f>
        <v/>
      </c>
      <c r="I29" s="38" t="str">
        <f>IF(ISERROR(averageifs('_durationdata'!$L:$L, '_durationdata'!$K:$K, "*"&amp;$A29&amp;"*", '_durationdata'!$M:$M, "*"&amp;I$2&amp;"*")), "", averageifs('_durationdata'!$L:$L, '_durationdata'!$K:$K, "*"&amp;$A29&amp;"*", '_durationdata'!$M:$M, "*"&amp;I$2&amp;"*")/60)</f>
        <v/>
      </c>
      <c r="J29" s="38" t="str">
        <f>IF(ISERROR(averageifs('_durationdata'!$L:$L, '_durationdata'!$K:$K, "*"&amp;$A29&amp;"*", '_durationdata'!$M:$M, "*"&amp;J$2&amp;"*")), "", averageifs('_durationdata'!$L:$L, '_durationdata'!$K:$K, "*"&amp;$A29&amp;"*", '_durationdata'!$M:$M, "*"&amp;J$2&amp;"*")/60)</f>
        <v/>
      </c>
      <c r="K29" s="38" t="str">
        <f>IF(ISERROR(averageifs('_durationdata'!$L:$L, '_durationdata'!$K:$K, "*"&amp;$A29&amp;"*", '_durationdata'!$M:$M, "*"&amp;K$2&amp;"*")), "", averageifs('_durationdata'!$L:$L, '_durationdata'!$K:$K, "*"&amp;$A29&amp;"*", '_durationdata'!$M:$M, "*"&amp;K$2&amp;"*")/60)</f>
        <v/>
      </c>
      <c r="L29" s="38" t="str">
        <f>IF(ISERROR(averageifs('_durationdata'!$L:$L, '_durationdata'!$K:$K, "*"&amp;$A29&amp;"*", '_durationdata'!$M:$M, "*"&amp;L$2&amp;"*")), "", averageifs('_durationdata'!$L:$L, '_durationdata'!$K:$K, "*"&amp;$A29&amp;"*", '_durationdata'!$M:$M, "*"&amp;L$2&amp;"*")/60)</f>
        <v/>
      </c>
      <c r="M29" s="38" t="str">
        <f>IF(ISERROR(averageifs('_durationdata'!$L:$L, '_durationdata'!$K:$K, "*"&amp;$A29&amp;"*", '_durationdata'!$M:$M, "*"&amp;M$2&amp;"*")), "", averageifs('_durationdata'!$L:$L, '_durationdata'!$K:$K, "*"&amp;$A29&amp;"*", '_durationdata'!$M:$M, "*"&amp;M$2&amp;"*")/60)</f>
        <v/>
      </c>
      <c r="N29" s="38" t="str">
        <f>IF(ISERROR(averageifs('_durationdata'!$L:$L, '_durationdata'!$K:$K, "*"&amp;$A29&amp;"*", '_durationdata'!$M:$M, "*"&amp;N$2&amp;"*")), "", averageifs('_durationdata'!$L:$L, '_durationdata'!$K:$K, "*"&amp;$A29&amp;"*", '_durationdata'!$M:$M, "*"&amp;N$2&amp;"*")/60)</f>
        <v/>
      </c>
      <c r="O29" s="38" t="str">
        <f>IF(ISERROR(averageifs('_durationdata'!$L:$L, '_durationdata'!$K:$K, "*"&amp;$A29&amp;"*", '_durationdata'!$M:$M, "*"&amp;O$2&amp;"*")), "", averageifs('_durationdata'!$L:$L, '_durationdata'!$K:$K, "*"&amp;$A29&amp;"*", '_durationdata'!$M:$M, "*"&amp;O$2&amp;"*")/60)</f>
        <v/>
      </c>
      <c r="P29" s="38" t="str">
        <f>IF(ISERROR(averageifs('_durationdata'!$L:$L, '_durationdata'!$K:$K, "*"&amp;$A29&amp;"*", '_durationdata'!$M:$M, "*"&amp;P$2&amp;"*")), "", averageifs('_durationdata'!$L:$L, '_durationdata'!$K:$K, "*"&amp;$A29&amp;"*", '_durationdata'!$M:$M, "*"&amp;P$2&amp;"*")/60)</f>
        <v/>
      </c>
      <c r="Q29" s="38" t="str">
        <f>IF(ISERROR(averageifs('_durationdata'!$L:$L, '_durationdata'!$K:$K, "*"&amp;$A29&amp;"*", '_durationdata'!$M:$M, "*"&amp;Q$2&amp;"*")), "", averageifs('_durationdata'!$L:$L, '_durationdata'!$K:$K, "*"&amp;$A29&amp;"*", '_durationdata'!$M:$M, "*"&amp;Q$2&amp;"*")/60)</f>
        <v/>
      </c>
      <c r="R29" s="38" t="str">
        <f>IF(ISERROR(averageifs('_durationdata'!$L:$L, '_durationdata'!$K:$K, "*"&amp;$A29&amp;"*", '_durationdata'!$M:$M, "*"&amp;R$2&amp;"*")), "", averageifs('_durationdata'!$L:$L, '_durationdata'!$K:$K, "*"&amp;$A29&amp;"*", '_durationdata'!$M:$M, "*"&amp;R$2&amp;"*")/60)</f>
        <v/>
      </c>
      <c r="S29" s="38" t="str">
        <f>IF(ISERROR(averageifs('_durationdata'!$L:$L, '_durationdata'!$K:$K, "*"&amp;$A29&amp;"*", '_durationdata'!$M:$M, "*"&amp;S$2&amp;"*")), "", averageifs('_durationdata'!$L:$L, '_durationdata'!$K:$K, "*"&amp;$A29&amp;"*", '_durationdata'!$M:$M, "*"&amp;S$2&amp;"*")/60)</f>
        <v/>
      </c>
      <c r="T29" s="38" t="str">
        <f>IF(ISERROR(averageifs('_durationdata'!$L:$L, '_durationdata'!$K:$K, "*"&amp;$A29&amp;"*", '_durationdata'!$M:$M, "*"&amp;T$2&amp;"*")), "", averageifs('_durationdata'!$L:$L, '_durationdata'!$K:$K, "*"&amp;$A29&amp;"*", '_durationdata'!$M:$M, "*"&amp;T$2&amp;"*")/60)</f>
        <v/>
      </c>
    </row>
    <row r="30">
      <c r="A30" s="25" t="s">
        <v>70</v>
      </c>
      <c r="B30" s="26" t="s">
        <v>18</v>
      </c>
      <c r="C30" s="29" t="str">
        <f>IF(ISERROR(averageifs('_durationdata'!$B:$B, '_durationdata'!$A:$A, "*"&amp;$A30&amp;"*", '_durationdata'!$C:$C, "*"&amp;C$2&amp;"*")), "", averageifs('_durationdata'!$B:$B, '_durationdata'!$A:$A, "*"&amp;$A30&amp;"*", '_durationdata'!$C:$C, "*"&amp;C$2&amp;"*")/60)</f>
        <v/>
      </c>
      <c r="D30" s="29" t="str">
        <f>IF(ISERROR(averageifs('_durationdata'!$B:$B, '_durationdata'!$A:$A, "*"&amp;$A30&amp;"*", '_durationdata'!$C:$C, "*"&amp;D$2&amp;"*")), "", averageifs('_durationdata'!$B:$B, '_durationdata'!$A:$A, "*"&amp;$A30&amp;"*", '_durationdata'!$C:$C, "*"&amp;D$2&amp;"*")/60)</f>
        <v/>
      </c>
      <c r="E30" s="29" t="str">
        <f>IF(ISERROR(averageifs('_durationdata'!$B:$B, '_durationdata'!$A:$A, "*"&amp;$A30&amp;"*", '_durationdata'!$C:$C, "*"&amp;E$2&amp;"*")), "", averageifs('_durationdata'!$B:$B, '_durationdata'!$A:$A, "*"&amp;$A30&amp;"*", '_durationdata'!$C:$C, "*"&amp;E$2&amp;"*")/60)</f>
        <v/>
      </c>
      <c r="F30" s="29" t="str">
        <f>IF(ISERROR(averageifs('_durationdata'!$B:$B, '_durationdata'!$A:$A, "*"&amp;$A30&amp;"*", '_durationdata'!$C:$C, "*"&amp;F$2&amp;"*")), "", averageifs('_durationdata'!$B:$B, '_durationdata'!$A:$A, "*"&amp;$A30&amp;"*", '_durationdata'!$C:$C, "*"&amp;F$2&amp;"*")/60)</f>
        <v/>
      </c>
      <c r="G30" s="29" t="str">
        <f>IF(ISERROR(averageifs('_durationdata'!$B:$B, '_durationdata'!$A:$A, "*"&amp;$A30&amp;"*", '_durationdata'!$C:$C, "*"&amp;G$2&amp;"*")), "", averageifs('_durationdata'!$B:$B, '_durationdata'!$A:$A, "*"&amp;$A30&amp;"*", '_durationdata'!$C:$C, "*"&amp;G$2&amp;"*")/60)</f>
        <v/>
      </c>
      <c r="H30" s="29" t="str">
        <f>IF(ISERROR(averageifs('_durationdata'!$B:$B, '_durationdata'!$A:$A, "*"&amp;$A30&amp;"*", '_durationdata'!$C:$C, "*"&amp;H$2&amp;"*")), "", averageifs('_durationdata'!$B:$B, '_durationdata'!$A:$A, "*"&amp;$A30&amp;"*", '_durationdata'!$C:$C, "*"&amp;H$2&amp;"*")/60)</f>
        <v/>
      </c>
      <c r="I30" s="29" t="str">
        <f>IF(ISERROR(averageifs('_durationdata'!$B:$B, '_durationdata'!$A:$A, "*"&amp;$A30&amp;"*", '_durationdata'!$C:$C, "*"&amp;I$2&amp;"*")), "", averageifs('_durationdata'!$B:$B, '_durationdata'!$A:$A, "*"&amp;$A30&amp;"*", '_durationdata'!$C:$C, "*"&amp;I$2&amp;"*")/60)</f>
        <v/>
      </c>
      <c r="J30" s="29" t="str">
        <f>IF(ISERROR(averageifs('_durationdata'!$B:$B, '_durationdata'!$A:$A, "*"&amp;$A30&amp;"*", '_durationdata'!$C:$C, "*"&amp;J$2&amp;"*")), "", averageifs('_durationdata'!$B:$B, '_durationdata'!$A:$A, "*"&amp;$A30&amp;"*", '_durationdata'!$C:$C, "*"&amp;J$2&amp;"*")/60)</f>
        <v/>
      </c>
      <c r="K30" s="29" t="str">
        <f>IF(ISERROR(averageifs('_durationdata'!$B:$B, '_durationdata'!$A:$A, "*"&amp;$A30&amp;"*", '_durationdata'!$C:$C, "*"&amp;K$2&amp;"*")), "", averageifs('_durationdata'!$B:$B, '_durationdata'!$A:$A, "*"&amp;$A30&amp;"*", '_durationdata'!$C:$C, "*"&amp;K$2&amp;"*")/60)</f>
        <v/>
      </c>
      <c r="L30" s="29" t="str">
        <f>IF(ISERROR(averageifs('_durationdata'!$B:$B, '_durationdata'!$A:$A, "*"&amp;$A30&amp;"*", '_durationdata'!$C:$C, "*"&amp;L$2&amp;"*")), "", averageifs('_durationdata'!$B:$B, '_durationdata'!$A:$A, "*"&amp;$A30&amp;"*", '_durationdata'!$C:$C, "*"&amp;L$2&amp;"*")/60)</f>
        <v/>
      </c>
      <c r="M30" s="31"/>
      <c r="N30" s="31" t="str">
        <f>IF(ISERROR(averageifs('_durationdata'!M:M, '_durationdata'!L:L, "*"&amp;L30&amp;"*", '_durationdata'!N:N, "*"&amp;N$2&amp;"*")), "", averageifs('_durationdata'!M:M, '_durationdata'!L:L, "*"&amp;L30&amp;"*", '_durationdata'!N:N, "*"&amp;N$2&amp;"*")/60)</f>
        <v/>
      </c>
      <c r="O30" s="31" t="str">
        <f>IF(ISERROR(averageifs('_durationdata'!N:N, '_durationdata'!M:M, "*"&amp;M30&amp;"*", '_durationdata'!O:O, "*"&amp;O$2&amp;"*")), "", averageifs('_durationdata'!N:N, '_durationdata'!M:M, "*"&amp;M30&amp;"*", '_durationdata'!O:O, "*"&amp;O$2&amp;"*")/60)</f>
        <v/>
      </c>
      <c r="P30" s="31" t="str">
        <f>IF(ISERROR(averageifs('_durationdata'!O:O, '_durationdata'!N:N, "*"&amp;N30&amp;"*", '_durationdata'!P:P, "*"&amp;P$2&amp;"*")), "", averageifs('_durationdata'!O:O, '_durationdata'!N:N, "*"&amp;N30&amp;"*", '_durationdata'!P:P, "*"&amp;P$2&amp;"*")/60)</f>
        <v/>
      </c>
      <c r="Q30" s="31" t="str">
        <f>IF(ISERROR(averageifs('_durationdata'!P:P, '_durationdata'!O:O, "*"&amp;O30&amp;"*", '_durationdata'!Q:Q, "*"&amp;Q$2&amp;"*")), "", averageifs('_durationdata'!P:P, '_durationdata'!O:O, "*"&amp;O30&amp;"*", '_durationdata'!Q:Q, "*"&amp;Q$2&amp;"*")/60)</f>
        <v/>
      </c>
      <c r="R30" s="31" t="str">
        <f>IF(ISERROR(averageifs('_durationdata'!Q:Q, '_durationdata'!P:P, "*"&amp;P30&amp;"*", '_durationdata'!R:R, "*"&amp;R$2&amp;"*")), "", averageifs('_durationdata'!Q:Q, '_durationdata'!P:P, "*"&amp;P30&amp;"*", '_durationdata'!R:R, "*"&amp;R$2&amp;"*")/60)</f>
        <v/>
      </c>
      <c r="S30" s="31" t="str">
        <f>IF(ISERROR(averageifs('_durationdata'!R:R, '_durationdata'!Q:Q, "*"&amp;Q30&amp;"*", '_durationdata'!S:S, "*"&amp;S$2&amp;"*")), "", averageifs('_durationdata'!R:R, '_durationdata'!Q:Q, "*"&amp;Q30&amp;"*", '_durationdata'!S:S, "*"&amp;S$2&amp;"*")/60)</f>
        <v/>
      </c>
      <c r="T30" s="33"/>
      <c r="U30" s="33"/>
      <c r="V30" s="33"/>
      <c r="W30" s="33"/>
      <c r="X30" s="33"/>
      <c r="Y30" s="33"/>
      <c r="Z30" s="33"/>
    </row>
    <row r="31">
      <c r="A31" s="2" t="s">
        <v>70</v>
      </c>
      <c r="B31" s="17" t="s">
        <v>28</v>
      </c>
      <c r="C31" s="38" t="str">
        <f>IF(iserror(averageifs('_durationdata'!$G:$G, '_durationdata'!$F:$F, "*"&amp;$A31&amp;"*", '_durationdata'!$H:$H, "*"&amp;C$2&amp;"*")), "", averageifs('_durationdata'!$G:$G, '_durationdata'!$F:$F, "*"&amp;$A31&amp;"*", '_durationdata'!$H:$H, "*"&amp;C$2&amp;"*")/60)</f>
        <v/>
      </c>
      <c r="D31" s="38" t="str">
        <f>IF(iserror(averageifs('_durationdata'!$G:$G, '_durationdata'!$F:$F, "*"&amp;$A31&amp;"*", '_durationdata'!$H:$H, "*"&amp;D$2&amp;"*")), "", averageifs('_durationdata'!$G:$G, '_durationdata'!$F:$F, "*"&amp;$A31&amp;"*", '_durationdata'!$H:$H, "*"&amp;D$2&amp;"*")/60)</f>
        <v/>
      </c>
      <c r="E31" s="38" t="str">
        <f>IF(iserror(averageifs('_durationdata'!$G:$G, '_durationdata'!$F:$F, "*"&amp;$A31&amp;"*", '_durationdata'!$H:$H, "*"&amp;E$2&amp;"*")), "", averageifs('_durationdata'!$G:$G, '_durationdata'!$F:$F, "*"&amp;$A31&amp;"*", '_durationdata'!$H:$H, "*"&amp;E$2&amp;"*")/60)</f>
        <v/>
      </c>
      <c r="F31" s="38" t="str">
        <f>IF(iserror(averageifs('_durationdata'!$G:$G, '_durationdata'!$F:$F, "*"&amp;$A31&amp;"*", '_durationdata'!$H:$H, "*"&amp;F$2&amp;"*")), "", averageifs('_durationdata'!$G:$G, '_durationdata'!$F:$F, "*"&amp;$A31&amp;"*", '_durationdata'!$H:$H, "*"&amp;F$2&amp;"*")/60)</f>
        <v/>
      </c>
      <c r="G31" s="38" t="str">
        <f>IF(iserror(averageifs('_durationdata'!$G:$G, '_durationdata'!$F:$F, "*"&amp;$A31&amp;"*", '_durationdata'!$H:$H, "*"&amp;G$2&amp;"*")), "", averageifs('_durationdata'!$G:$G, '_durationdata'!$F:$F, "*"&amp;$A31&amp;"*", '_durationdata'!$H:$H, "*"&amp;G$2&amp;"*")/60)</f>
        <v/>
      </c>
      <c r="H31" s="38" t="str">
        <f>IF(iserror(averageifs('_durationdata'!$G:$G, '_durationdata'!$F:$F, "*"&amp;$A31&amp;"*", '_durationdata'!$H:$H, "*"&amp;H$2&amp;"*")), "", averageifs('_durationdata'!$G:$G, '_durationdata'!$F:$F, "*"&amp;$A31&amp;"*", '_durationdata'!$H:$H, "*"&amp;H$2&amp;"*")/60)</f>
        <v/>
      </c>
      <c r="I31" s="38" t="str">
        <f>IF(iserror(averageifs('_durationdata'!$G:$G, '_durationdata'!$F:$F, "*"&amp;$A31&amp;"*", '_durationdata'!$H:$H, "*"&amp;I$2&amp;"*")), "", averageifs('_durationdata'!$G:$G, '_durationdata'!$F:$F, "*"&amp;$A31&amp;"*", '_durationdata'!$H:$H, "*"&amp;I$2&amp;"*")/60)</f>
        <v/>
      </c>
      <c r="J31" s="38" t="str">
        <f>IF(iserror(averageifs('_durationdata'!$G:$G, '_durationdata'!$F:$F, "*"&amp;$A31&amp;"*", '_durationdata'!$H:$H, "*"&amp;J$2&amp;"*")), "", averageifs('_durationdata'!$G:$G, '_durationdata'!$F:$F, "*"&amp;$A31&amp;"*", '_durationdata'!$H:$H, "*"&amp;J$2&amp;"*")/60)</f>
        <v/>
      </c>
      <c r="K31" s="38" t="str">
        <f>IF(iserror(averageifs('_durationdata'!$G:$G, '_durationdata'!$F:$F, "*"&amp;$A31&amp;"*", '_durationdata'!$H:$H, "*"&amp;K$2&amp;"*")), "", averageifs('_durationdata'!$G:$G, '_durationdata'!$F:$F, "*"&amp;$A31&amp;"*", '_durationdata'!$H:$H, "*"&amp;K$2&amp;"*")/60)</f>
        <v/>
      </c>
      <c r="L31" s="38" t="str">
        <f>IF(iserror(averageifs('_durationdata'!$G:$G, '_durationdata'!$F:$F, "*"&amp;$A31&amp;"*", '_durationdata'!$H:$H, "*"&amp;L$2&amp;"*")), "", averageifs('_durationdata'!$G:$G, '_durationdata'!$F:$F, "*"&amp;$A31&amp;"*", '_durationdata'!$H:$H, "*"&amp;L$2&amp;"*")/60)</f>
        <v/>
      </c>
      <c r="M31" s="20"/>
      <c r="N31" s="20" t="str">
        <f>IF(iserror(averageifs('_durationdata'!R:R, '_durationdata'!Q:Q, "*"&amp;L31&amp;"*", '_durationdata'!S:S, "*"&amp;N$2&amp;"*")), "", averageifs('_durationdata'!R:R, '_durationdata'!Q:Q, "*"&amp;L31&amp;"*", '_durationdata'!S:S, "*"&amp;N$2&amp;"*")/60)</f>
        <v/>
      </c>
      <c r="O31" s="20" t="str">
        <f>IF(iserror(averageifs('_durationdata'!S:S, '_durationdata'!R:R, "*"&amp;M31&amp;"*", '_durationdata'!T:T, "*"&amp;O$2&amp;"*")), "", averageifs('_durationdata'!S:S, '_durationdata'!R:R, "*"&amp;M31&amp;"*", '_durationdata'!T:T, "*"&amp;O$2&amp;"*")/60)</f>
        <v/>
      </c>
      <c r="P31" s="20" t="str">
        <f>IF(iserror(averageifs('_durationdata'!T:T, '_durationdata'!S:S, "*"&amp;N31&amp;"*", '_durationdata'!U:U, "*"&amp;P$2&amp;"*")), "", averageifs('_durationdata'!T:T, '_durationdata'!S:S, "*"&amp;N31&amp;"*", '_durationdata'!U:U, "*"&amp;P$2&amp;"*")/60)</f>
        <v/>
      </c>
      <c r="Q31" s="20" t="str">
        <f>IF(iserror(averageifs('_durationdata'!U:U, '_durationdata'!T:T, "*"&amp;O31&amp;"*", '_durationdata'!V:V, "*"&amp;Q$2&amp;"*")), "", averageifs('_durationdata'!U:U, '_durationdata'!T:T, "*"&amp;O31&amp;"*", '_durationdata'!V:V, "*"&amp;Q$2&amp;"*")/60)</f>
        <v/>
      </c>
      <c r="R31" s="20" t="str">
        <f>IF(iserror(averageifs('_durationdata'!V:V, '_durationdata'!U:U, "*"&amp;P31&amp;"*", '_durationdata'!W:W, "*"&amp;R$2&amp;"*")), "", averageifs('_durationdata'!V:V, '_durationdata'!U:U, "*"&amp;P31&amp;"*", '_durationdata'!W:W, "*"&amp;R$2&amp;"*")/60)</f>
        <v/>
      </c>
      <c r="S31" s="20" t="str">
        <f>IF(iserror(averageifs('_durationdata'!W:W, '_durationdata'!V:V, "*"&amp;Q31&amp;"*", '_durationdata'!X:X, "*"&amp;S$2&amp;"*")), "", averageifs('_durationdata'!W:W, '_durationdata'!V:V, "*"&amp;Q31&amp;"*", '_durationdata'!X:X, "*"&amp;S$2&amp;"*")/60)</f>
        <v/>
      </c>
    </row>
    <row r="32">
      <c r="A32" s="2" t="s">
        <v>70</v>
      </c>
      <c r="B32" s="17" t="s">
        <v>30</v>
      </c>
      <c r="C32" s="38" t="str">
        <f>IF(ISERROR(averageifs('_durationdata'!$L:$L, '_durationdata'!$K:$K, "*"&amp;$A32&amp;"*", '_durationdata'!$M:$M, "*"&amp;C$2&amp;"*")), "", averageifs('_durationdata'!$L:$L, '_durationdata'!$K:$K, "*"&amp;$A32&amp;"*", '_durationdata'!$M:$M, "*"&amp;C$2&amp;"*")/60)</f>
        <v/>
      </c>
      <c r="D32" s="38" t="str">
        <f>IF(ISERROR(averageifs('_durationdata'!$L:$L, '_durationdata'!$K:$K, "*"&amp;$A32&amp;"*", '_durationdata'!$M:$M, "*"&amp;D$2&amp;"*")), "", averageifs('_durationdata'!$L:$L, '_durationdata'!$K:$K, "*"&amp;$A32&amp;"*", '_durationdata'!$M:$M, "*"&amp;D$2&amp;"*")/60)</f>
        <v/>
      </c>
      <c r="E32" s="38" t="str">
        <f>IF(ISERROR(averageifs('_durationdata'!$L:$L, '_durationdata'!$K:$K, "*"&amp;$A32&amp;"*", '_durationdata'!$M:$M, "*"&amp;E$2&amp;"*")), "", averageifs('_durationdata'!$L:$L, '_durationdata'!$K:$K, "*"&amp;$A32&amp;"*", '_durationdata'!$M:$M, "*"&amp;E$2&amp;"*")/60)</f>
        <v/>
      </c>
      <c r="F32" s="38" t="str">
        <f>IF(ISERROR(averageifs('_durationdata'!$L:$L, '_durationdata'!$K:$K, "*"&amp;$A32&amp;"*", '_durationdata'!$M:$M, "*"&amp;F$2&amp;"*")), "", averageifs('_durationdata'!$L:$L, '_durationdata'!$K:$K, "*"&amp;$A32&amp;"*", '_durationdata'!$M:$M, "*"&amp;F$2&amp;"*")/60)</f>
        <v/>
      </c>
      <c r="G32" s="38" t="str">
        <f>IF(ISERROR(averageifs('_durationdata'!$L:$L, '_durationdata'!$K:$K, "*"&amp;$A32&amp;"*", '_durationdata'!$M:$M, "*"&amp;G$2&amp;"*")), "", averageifs('_durationdata'!$L:$L, '_durationdata'!$K:$K, "*"&amp;$A32&amp;"*", '_durationdata'!$M:$M, "*"&amp;G$2&amp;"*")/60)</f>
        <v/>
      </c>
      <c r="H32" s="38" t="str">
        <f>IF(ISERROR(averageifs('_durationdata'!$L:$L, '_durationdata'!$K:$K, "*"&amp;$A32&amp;"*", '_durationdata'!$M:$M, "*"&amp;H$2&amp;"*")), "", averageifs('_durationdata'!$L:$L, '_durationdata'!$K:$K, "*"&amp;$A32&amp;"*", '_durationdata'!$M:$M, "*"&amp;H$2&amp;"*")/60)</f>
        <v/>
      </c>
      <c r="I32" s="38" t="str">
        <f>IF(ISERROR(averageifs('_durationdata'!$L:$L, '_durationdata'!$K:$K, "*"&amp;$A32&amp;"*", '_durationdata'!$M:$M, "*"&amp;I$2&amp;"*")), "", averageifs('_durationdata'!$L:$L, '_durationdata'!$K:$K, "*"&amp;$A32&amp;"*", '_durationdata'!$M:$M, "*"&amp;I$2&amp;"*")/60)</f>
        <v/>
      </c>
      <c r="J32" s="38" t="str">
        <f>IF(ISERROR(averageifs('_durationdata'!$L:$L, '_durationdata'!$K:$K, "*"&amp;$A32&amp;"*", '_durationdata'!$M:$M, "*"&amp;J$2&amp;"*")), "", averageifs('_durationdata'!$L:$L, '_durationdata'!$K:$K, "*"&amp;$A32&amp;"*", '_durationdata'!$M:$M, "*"&amp;J$2&amp;"*")/60)</f>
        <v/>
      </c>
      <c r="K32" s="38" t="str">
        <f>IF(ISERROR(averageifs('_durationdata'!$L:$L, '_durationdata'!$K:$K, "*"&amp;$A32&amp;"*", '_durationdata'!$M:$M, "*"&amp;K$2&amp;"*")), "", averageifs('_durationdata'!$L:$L, '_durationdata'!$K:$K, "*"&amp;$A32&amp;"*", '_durationdata'!$M:$M, "*"&amp;K$2&amp;"*")/60)</f>
        <v/>
      </c>
      <c r="L32" s="38" t="str">
        <f>IF(ISERROR(averageifs('_durationdata'!$L:$L, '_durationdata'!$K:$K, "*"&amp;$A32&amp;"*", '_durationdata'!$M:$M, "*"&amp;L$2&amp;"*")), "", averageifs('_durationdata'!$L:$L, '_durationdata'!$K:$K, "*"&amp;$A32&amp;"*", '_durationdata'!$M:$M, "*"&amp;L$2&amp;"*")/60)</f>
        <v/>
      </c>
      <c r="M32" s="20"/>
      <c r="N32" s="20" t="str">
        <f>IF(ISERROR(averageifs('_durationdata'!W:W, '_durationdata'!V:V, "*"&amp;L31&amp;"*", '_durationdata'!X:X, "*"&amp;N$2&amp;"*")), "", averageifs('_durationdata'!W:W, '_durationdata'!V:V, "*"&amp;L31&amp;"*", '_durationdata'!X:X, "*"&amp;N$2&amp;"*")/60)</f>
        <v/>
      </c>
      <c r="O32" s="20" t="str">
        <f>IF(ISERROR(averageifs('_durationdata'!X:X, '_durationdata'!W:W, "*"&amp;M31&amp;"*", '_durationdata'!Y:Y, "*"&amp;O$2&amp;"*")), "", averageifs('_durationdata'!X:X, '_durationdata'!W:W, "*"&amp;M31&amp;"*", '_durationdata'!Y:Y, "*"&amp;O$2&amp;"*")/60)</f>
        <v/>
      </c>
      <c r="P32" s="20" t="str">
        <f>IF(ISERROR(averageifs('_durationdata'!Y:Y, '_durationdata'!X:X, "*"&amp;N31&amp;"*", '_durationdata'!Z:Z, "*"&amp;P$2&amp;"*")), "", averageifs('_durationdata'!Y:Y, '_durationdata'!X:X, "*"&amp;N31&amp;"*", '_durationdata'!Z:Z, "*"&amp;P$2&amp;"*")/60)</f>
        <v/>
      </c>
      <c r="Q32" s="20" t="str">
        <f>IF(ISERROR(averageifs('_durationdata'!Z:Z, '_durationdata'!Y:Y, "*"&amp;O31&amp;"*", '_durationdata'!AA:AA, "*"&amp;Q$2&amp;"*")), "", averageifs('_durationdata'!Z:Z, '_durationdata'!Y:Y, "*"&amp;O31&amp;"*", '_durationdata'!AA:AA, "*"&amp;Q$2&amp;"*")/60)</f>
        <v/>
      </c>
      <c r="R32" s="20" t="str">
        <f>IF(ISERROR(averageifs('_durationdata'!AA:AA, '_durationdata'!Z:Z, "*"&amp;P31&amp;"*", '_durationdata'!AB:AB, "*"&amp;R$2&amp;"*")), "", averageifs('_durationdata'!AA:AA, '_durationdata'!Z:Z, "*"&amp;P31&amp;"*", '_durationdata'!AB:AB, "*"&amp;R$2&amp;"*")/60)</f>
        <v/>
      </c>
      <c r="S32" s="20" t="str">
        <f>IF(ISERROR(averageifs('_durationdata'!AB:AB, '_durationdata'!AA:AA, "*"&amp;Q31&amp;"*", '_durationdata'!AC:AC, "*"&amp;S$2&amp;"*")), "", averageifs('_durationdata'!AB:AB, '_durationdata'!AA:AA, "*"&amp;Q31&amp;"*", '_durationdata'!AC:AC, "*"&amp;S$2&amp;"*")/60)</f>
        <v/>
      </c>
    </row>
    <row r="33">
      <c r="A33" s="33"/>
      <c r="B33" s="45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2" t="s">
        <v>45</v>
      </c>
      <c r="B1" s="19"/>
      <c r="C1" s="19"/>
      <c r="D1" s="19"/>
    </row>
    <row r="2">
      <c r="A2" s="5" t="s">
        <v>46</v>
      </c>
      <c r="B2" s="39" t="s">
        <v>47</v>
      </c>
      <c r="C2" s="39" t="s">
        <v>48</v>
      </c>
      <c r="D2" s="39" t="s">
        <v>49</v>
      </c>
      <c r="E2" s="5" t="s">
        <v>33</v>
      </c>
    </row>
    <row r="3">
      <c r="A3" s="5" t="s">
        <v>50</v>
      </c>
      <c r="B3" s="40">
        <f>IFERROR(__xludf.DUMMYFUNCTION("AVERAGE(IMPORTRANGE('Survey Progress'!$B$32, ""data!J2:J800""))"),2.27880217805E10)</f>
        <v>22788021781</v>
      </c>
      <c r="C3" s="40">
        <f>IFERROR(__xludf.DUMMYFUNCTION("STDEV(IMPORTRANGE('Survey Progress'!$B$32, ""data!J2:J800""))"),1.0420291770051148E7)</f>
        <v>10420291.77</v>
      </c>
      <c r="D3" s="10">
        <f>IFERROR(__xludf.DUMMYFUNCTION("COUNTIF(IMPORTRANGE('Survey Progress'!$B$32, ""data!J2:J800""), ""=1"")"),0.0)</f>
        <v>0</v>
      </c>
      <c r="E3" s="41">
        <f>IFERROR(__xludf.DUMMYFUNCTION("COUNTA(IMPORTRANGE('Survey Progress'!$B$32, ""data!J2:J800""))"),4.0)</f>
        <v>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6" t="s">
        <v>51</v>
      </c>
      <c r="B4" s="42">
        <f>IFERROR(__xludf.DUMMYFUNCTION("COUNTIFS(IMPORTRANGE('Survey Progress'!$B$32, ""data!J2:J800""), ""=1"", IMPORTRANGE('Survey Progress'!$B$32, ""data!G2:G800""), ""=1"")/COUNTA(IMPORTRANGE('Survey Progress'!$B$32, ""data!J2:J800""))"),0.0)</f>
        <v>0</v>
      </c>
      <c r="C4" s="19"/>
      <c r="D4" s="16">
        <f>IFERROR(__xludf.DUMMYFUNCTION("COUNTIFS(IMPORTRANGE('Survey Progress'!$B$32, ""data!J2:J800""), ""=1"", IMPORTRANGE('Survey Progress'!$B$32, ""data!G2:G800""), ""=1"")"),0.0)</f>
        <v>0</v>
      </c>
      <c r="E4" s="16">
        <f>IFERROR(__xludf.DUMMYFUNCTION("COUNTIFS(IMPORTRANGE('Survey Progress'!$B$32, ""data!G2:G800""), ""=1"", IMPORTRANGE('Survey Progress'!$B$32, ""data!J2:J800""), ""&lt;&gt;"")"),4.0)</f>
        <v>4</v>
      </c>
    </row>
    <row r="5">
      <c r="A5" s="6" t="s">
        <v>52</v>
      </c>
      <c r="B5" s="42">
        <f>IFERROR(__xludf.DUMMYFUNCTION("COUNTIFS(IMPORTRANGE('Survey Progress'!$B$32, ""data!J2:J800""), ""=1"", IMPORTRANGE('Survey Progress'!$B$32, ""data!G2:G800""), ""=2"")/COUNTA(IMPORTRANGE('Survey Progress'!$B$32, ""data!J2:J800""))"),0.0)</f>
        <v>0</v>
      </c>
      <c r="C5" s="19"/>
      <c r="D5" s="16">
        <f>IFERROR(__xludf.DUMMYFUNCTION("COUNTIFS(IMPORTRANGE('Survey Progress'!$B$32, ""data!J2:J800""), ""=1"", IMPORTRANGE('Survey Progress'!$B$32, ""data!G2:G800""), ""=2"")"),0.0)</f>
        <v>0</v>
      </c>
      <c r="E5" s="16">
        <f>IFERROR(__xludf.DUMMYFUNCTION("COUNTIFS(IMPORTRANGE('Survey Progress'!$B$32, ""data!G2:G800""), ""=2"", IMPORTRANGE('Survey Progress'!$B$32, ""data!J2:J800""), ""&lt;&gt;"")"),0.0)</f>
        <v>0</v>
      </c>
    </row>
    <row r="6">
      <c r="A6" s="6" t="s">
        <v>53</v>
      </c>
      <c r="B6" s="42">
        <f>IFERROR(__xludf.DUMMYFUNCTION("COUNTIFS(IMPORTRANGE('Survey Progress'!$B$32, ""data!J2:J800""), ""=1"", IMPORTRANGE('Survey Progress'!$B$32, ""data!G2:G800""), ""=3"")/COUNTA(IMPORTRANGE('Survey Progress'!$B$32, ""data!J2:J800""))"),0.0)</f>
        <v>0</v>
      </c>
      <c r="C6" s="19"/>
      <c r="D6" s="16">
        <f>IFERROR(__xludf.DUMMYFUNCTION("COUNTIFS(IMPORTRANGE('Survey Progress'!$B$32, ""data!J2:J800""), ""=1"", IMPORTRANGE('Survey Progress'!$B$32, ""data!G2:G800""), ""=3"")"),0.0)</f>
        <v>0</v>
      </c>
      <c r="E6" s="16">
        <f>IFERROR(__xludf.DUMMYFUNCTION("COUNTIFS(IMPORTRANGE('Survey Progress'!$B$32, ""data!G2:G800""), ""=3"", IMPORTRANGE('Survey Progress'!$B$32, ""data!J2:J800""), ""&lt;&gt;"")"),0.0)</f>
        <v>0</v>
      </c>
    </row>
    <row r="7">
      <c r="A7" s="6" t="s">
        <v>54</v>
      </c>
      <c r="B7" s="42">
        <f>IFERROR(__xludf.DUMMYFUNCTION("COUNTIFS(IMPORTRANGE('Survey Progress'!$B$32, ""data!J2:J800""), ""=1"", IMPORTRANGE('Survey Progress'!$B$32, ""data!G2:G800""), ""=4"")/COUNTA(IMPORTRANGE('Survey Progress'!$B$32, ""data!J2:J800""))"),0.0)</f>
        <v>0</v>
      </c>
      <c r="C7" s="19"/>
      <c r="D7" s="16">
        <f>IFERROR(__xludf.DUMMYFUNCTION("COUNTIFS(IMPORTRANGE('Survey Progress'!$B$32, ""data!J2:J800""), ""=1"", IMPORTRANGE('Survey Progress'!$B$32, ""data!G2:G800""), ""=4"")"),0.0)</f>
        <v>0</v>
      </c>
      <c r="E7" s="16">
        <f>IFERROR(__xludf.DUMMYFUNCTION("COUNTIFS(IMPORTRANGE('Survey Progress'!$B$32, ""data!G2:G800""), ""=4"", IMPORTRANGE('Survey Progress'!$B$32, ""data!J2:J800""), ""&lt;&gt;"")"),0.0)</f>
        <v>0</v>
      </c>
    </row>
    <row r="8">
      <c r="A8" s="6" t="s">
        <v>55</v>
      </c>
      <c r="B8" s="42">
        <f>IFERROR(__xludf.DUMMYFUNCTION("COUNTIFS(IMPORTRANGE('Survey Progress'!$B$32, ""data!J2:J800""), ""=1"", IMPORTRANGE('Survey Progress'!$B$32, ""data!G2:G800""), ""=5"")/COUNTA(IMPORTRANGE('Survey Progress'!$B$32, ""data!J2:J800""))"),0.0)</f>
        <v>0</v>
      </c>
      <c r="C8" s="19"/>
      <c r="D8" s="16">
        <f>IFERROR(__xludf.DUMMYFUNCTION("COUNTIFS(IMPORTRANGE('Survey Progress'!$B$32, ""data!J2:J800""), ""=1"", IMPORTRANGE('Survey Progress'!$B$32, ""data!G2:G800""), ""=5"")"),0.0)</f>
        <v>0</v>
      </c>
      <c r="E8" s="16">
        <f>IFERROR(__xludf.DUMMYFUNCTION("COUNTIFS(IMPORTRANGE('Survey Progress'!$B$32, ""data!G2:G800""), ""=5"", IMPORTRANGE('Survey Progress'!$B$32, ""data!J2:J800""), ""&lt;&gt;"")"),0.0)</f>
        <v>0</v>
      </c>
    </row>
    <row r="9">
      <c r="A9" s="6" t="s">
        <v>56</v>
      </c>
      <c r="B9" s="42">
        <f>IFERROR(__xludf.DUMMYFUNCTION("COUNTIFS(IMPORTRANGE('Survey Progress'!$B$32, ""data!J2:J800""), ""=1"", IMPORTRANGE('Survey Progress'!$B$32, ""data!G2:G800""), ""=6"")/COUNTA(IMPORTRANGE('Survey Progress'!$B$32, ""data!J2:J800""))"),0.0)</f>
        <v>0</v>
      </c>
      <c r="C9" s="19"/>
      <c r="D9" s="16">
        <f>IFERROR(__xludf.DUMMYFUNCTION("COUNTIFS(IMPORTRANGE('Survey Progress'!$B$32, ""data!J2:J800""), ""=1"", IMPORTRANGE('Survey Progress'!$B$32, ""data!G2:G800""), ""=6"")"),0.0)</f>
        <v>0</v>
      </c>
      <c r="E9" s="16">
        <f>IFERROR(__xludf.DUMMYFUNCTION("COUNTIFS(IMPORTRANGE('Survey Progress'!$B$32, ""data!G2:G800""), ""=6"", IMPORTRANGE('Survey Progress'!$B$32, ""data!J2:J800""), ""&lt;&gt;"")"),0.0)</f>
        <v>0</v>
      </c>
    </row>
    <row r="10">
      <c r="A10" s="6" t="s">
        <v>57</v>
      </c>
      <c r="B10" s="42">
        <f>IFERROR(__xludf.DUMMYFUNCTION("COUNTIFS(IMPORTRANGE('Survey Progress'!$B$32, ""data!J2:J800""), ""=1"", IMPORTRANGE('Survey Progress'!$B$32, ""data!G2:G800""), ""=7"")/COUNTA(IMPORTRANGE('Survey Progress'!$B$32, ""data!J2:J800""))"),0.0)</f>
        <v>0</v>
      </c>
      <c r="C10" s="19"/>
      <c r="D10" s="16">
        <f>IFERROR(__xludf.DUMMYFUNCTION("COUNTIFS(IMPORTRANGE('Survey Progress'!$B$32, ""data!J2:J800""), ""=1"", IMPORTRANGE('Survey Progress'!$B$32, ""data!G2:G800""), ""=7"")"),0.0)</f>
        <v>0</v>
      </c>
      <c r="E10" s="16">
        <f>IFERROR(__xludf.DUMMYFUNCTION("COUNTIFS(IMPORTRANGE('Survey Progress'!$B$32, ""data!G2:G800""), ""=7"", IMPORTRANGE('Survey Progress'!$B$32, ""data!J2:J800""), ""&lt;&gt;"")"),0.0)</f>
        <v>0</v>
      </c>
    </row>
    <row r="11">
      <c r="A11" s="6" t="s">
        <v>59</v>
      </c>
      <c r="B11" s="42">
        <f>IFERROR(__xludf.DUMMYFUNCTION("COUNTIFS(IMPORTRANGE('Survey Progress'!$B$32, ""data!J2:J800""), ""=1"", IMPORTRANGE('Survey Progress'!$B$32, ""data!G2:G800""), ""=8"")/COUNTA(IMPORTRANGE('Survey Progress'!$B$32, ""data!J2:J800""))"),0.0)</f>
        <v>0</v>
      </c>
      <c r="C11" s="19"/>
      <c r="D11" s="16">
        <f>IFERROR(__xludf.DUMMYFUNCTION("COUNTIFS(IMPORTRANGE('Survey Progress'!$B$32, ""data!J2:J800""), ""=1"", IMPORTRANGE('Survey Progress'!$B$32, ""data!G2:G800""), ""=8"")"),0.0)</f>
        <v>0</v>
      </c>
      <c r="E11" s="16">
        <f>IFERROR(__xludf.DUMMYFUNCTION("COUNTIFS(IMPORTRANGE('Survey Progress'!$B$32, ""data!G2:G800""), ""=8"", IMPORTRANGE('Survey Progress'!$B$32, ""data!J2:J800""), ""&lt;&gt;"")"),0.0)</f>
        <v>0</v>
      </c>
    </row>
    <row r="12">
      <c r="A12" s="2"/>
      <c r="B12" s="19"/>
      <c r="C12" s="19"/>
      <c r="D12" s="43"/>
    </row>
    <row r="13">
      <c r="A13" s="2"/>
      <c r="B13" s="19"/>
      <c r="C13" s="19"/>
      <c r="D13" s="43"/>
    </row>
    <row r="14">
      <c r="A14" s="2"/>
      <c r="B14" s="19"/>
      <c r="C14" s="19"/>
      <c r="D14" s="43"/>
    </row>
    <row r="15">
      <c r="A15" s="2"/>
      <c r="B15" s="19"/>
      <c r="C15" s="19"/>
      <c r="D15" s="43"/>
    </row>
    <row r="16">
      <c r="A16" s="5" t="s">
        <v>60</v>
      </c>
      <c r="B16" s="39" t="s">
        <v>47</v>
      </c>
      <c r="C16" s="39" t="s">
        <v>48</v>
      </c>
      <c r="D16" s="44" t="s">
        <v>33</v>
      </c>
    </row>
    <row r="17">
      <c r="A17" s="5" t="s">
        <v>61</v>
      </c>
      <c r="B17" s="19" t="str">
        <f>IFERROR(__xludf.DUMMYFUNCTION("AVERAGE(IMPORTRANGE('Survey Progress'!$B$32, ""data!M2:M800""))"),"#DIV/0!")</f>
        <v>#DIV/0!</v>
      </c>
      <c r="C17" s="19" t="str">
        <f>IFERROR(__xludf.DUMMYFUNCTION("STDEV(IMPORTRANGE('Survey Progress'!$B$32, ""data!M2:M800""))"),"#DIV/0!")</f>
        <v>#DIV/0!</v>
      </c>
      <c r="D17" s="43">
        <f>IFERROR(__xludf.DUMMYFUNCTION("COUNTA(IMPORTRANGE('Survey Progress'!$B$32, ""data!M2:M800""))"),799.0)</f>
        <v>799</v>
      </c>
    </row>
    <row r="18">
      <c r="A18" s="5" t="s">
        <v>62</v>
      </c>
      <c r="B18" s="19">
        <f>IFERROR(__xludf.DUMMYFUNCTION("AVERAGE(IMPORTRANGE('Survey Progress'!$B$32, ""data!L2:L800""))"),0.9981378026070763)</f>
        <v>0.9981378026</v>
      </c>
      <c r="C18" s="19">
        <f>IFERROR(__xludf.DUMMYFUNCTION("STDEV(IMPORTRANGE('Survey Progress'!$B$32, ""data!L2:L800""))"),0.04315318520021031)</f>
        <v>0.0431531852</v>
      </c>
      <c r="D18" s="43">
        <f>IFERROR(__xludf.DUMMYFUNCTION("COUNTA(IMPORTRANGE('Survey Progress'!$B$32, ""data!L2:L800""))"),537.0)</f>
        <v>537</v>
      </c>
    </row>
    <row r="19">
      <c r="A19" s="5" t="s">
        <v>63</v>
      </c>
      <c r="B19" s="19" t="str">
        <f>IFERROR(__xludf.DUMMYFUNCTION("AVERAGE(IMPORTRANGE('Survey Progress'!$B$32, ""data!N2:N800""))"),"#DIV/0!")</f>
        <v>#DIV/0!</v>
      </c>
      <c r="C19" s="19" t="str">
        <f>IFERROR(__xludf.DUMMYFUNCTION("STDEV(IMPORTRANGE('Survey Progress'!$B$32, ""data!N2:N800""))"),"#DIV/0!")</f>
        <v>#DIV/0!</v>
      </c>
      <c r="D19" s="43">
        <f>IFERROR(__xludf.DUMMYFUNCTION("COUNTA(IMPORTRANGE('Survey Progress'!$B$32, ""data!N2:N800""))"),799.0)</f>
        <v>799</v>
      </c>
    </row>
    <row r="20">
      <c r="A20" s="5" t="s">
        <v>64</v>
      </c>
      <c r="B20" s="19">
        <f>IFERROR(__xludf.DUMMYFUNCTION("AVERAGE(IMPORTRANGE('Survey Progress'!$B$32, ""data!K2:K800""))"),0.6802030456852792)</f>
        <v>0.6802030457</v>
      </c>
      <c r="C20" s="19">
        <f>IFERROR(__xludf.DUMMYFUNCTION("STDEV(IMPORTRANGE('Survey Progress'!$B$32, ""data!K2:K800""))"),0.4666939708255753)</f>
        <v>0.4666939708</v>
      </c>
      <c r="D20" s="43">
        <f>IFERROR(__xludf.DUMMYFUNCTION("COUNTA(IMPORTRANGE('Survey Progress'!$B$32, ""data!K2:K800""))"),788.0)</f>
        <v>788</v>
      </c>
    </row>
    <row r="21">
      <c r="A21" s="5" t="s">
        <v>65</v>
      </c>
      <c r="B21" s="19" t="str">
        <f>IFERROR(__xludf.DUMMYFUNCTION("AVERAGE(IMPORTRANGE('Survey Progress'!$B$32, ""data!O2:O800""))"),"#DIV/0!")</f>
        <v>#DIV/0!</v>
      </c>
      <c r="C21" s="19" t="str">
        <f>IFERROR(__xludf.DUMMYFUNCTION("STDEV(IMPORTRANGE('Survey Progress'!$B$32, ""data!O2:O800""))"),"#DIV/0!")</f>
        <v>#DIV/0!</v>
      </c>
      <c r="D21" s="43">
        <f>IFERROR(__xludf.DUMMYFUNCTION("COUNTA(IMPORTRANGE('Survey Progress'!$B$32, ""data!O2:O800""))"),0.0)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tr">
        <f>IFERROR(__xludf.DUMMYFUNCTION("importrange('Survey Progress'!$B$32, ""data!B:B"")"),"enumerator_name")</f>
        <v>enumerator_name</v>
      </c>
      <c r="B1" s="16" t="str">
        <f>IFERROR(__xludf.DUMMYFUNCTION("importrange('Survey Progress'!$B$32, ""data!Q:Q"")"),"")</f>
        <v/>
      </c>
      <c r="C1" s="14" t="str">
        <f>IFERROR(__xludf.DUMMYFUNCTION("importrange('Survey Progress'!$B$32, ""data!S:S"")"),"")</f>
        <v/>
      </c>
      <c r="E1" s="2" t="s">
        <v>28</v>
      </c>
      <c r="F1" s="20" t="str">
        <f>IFERROR(__xludf.DUMMYFUNCTION("importrange('Survey Progress'!$B$33, ""data!B:B"")"),"locality_name")</f>
        <v>locality_name</v>
      </c>
      <c r="G1" s="16" t="str">
        <f>IFERROR(__xludf.DUMMYFUNCTION("importrange('Survey Progress'!$B$33, ""data!M:M"")"),"")</f>
        <v/>
      </c>
      <c r="H1" s="14" t="str">
        <f>IFERROR(__xludf.DUMMYFUNCTION("importrange('Survey Progress'!$B$33, ""data!O:O"")"),"")</f>
        <v/>
      </c>
      <c r="J1" s="2" t="s">
        <v>30</v>
      </c>
      <c r="K1" s="20" t="str">
        <f>IFERROR(__xludf.DUMMYFUNCTION("importrange('Survey Progress'!$B$34, ""data!B:B"")"),"duration")</f>
        <v>duration</v>
      </c>
      <c r="L1" s="16" t="str">
        <f>IFERROR(__xludf.DUMMYFUNCTION("importrange('Survey Progress'!$B$34, ""data!M:M"")"),"")</f>
        <v/>
      </c>
      <c r="M1" s="14" t="str">
        <f>IFERROR(__xludf.DUMMYFUNCTION("importrange('Survey Progress'!$B$34, ""data!O:O"")"),"")</f>
        <v/>
      </c>
    </row>
    <row r="2">
      <c r="A2" s="16" t="str">
        <f>IFERROR(__xludf.DUMMYFUNCTION("""COMPUTED_VALUE"""),"Enum 1")</f>
        <v>Enum 1</v>
      </c>
      <c r="B2" s="16"/>
      <c r="C2" s="14"/>
      <c r="F2" s="16" t="str">
        <f>IFERROR(__xludf.DUMMYFUNCTION("""COMPUTED_VALUE"""),"Alibou Toudou")</f>
        <v>Alibou Toudou</v>
      </c>
      <c r="G2" s="16"/>
      <c r="H2" s="14"/>
      <c r="K2" s="16">
        <f>IFERROR(__xludf.DUMMYFUNCTION("""COMPUTED_VALUE"""),571.0)</f>
        <v>571</v>
      </c>
      <c r="L2" s="16"/>
      <c r="M2" s="14"/>
    </row>
    <row r="3">
      <c r="A3" s="16" t="str">
        <f>IFERROR(__xludf.DUMMYFUNCTION("""COMPUTED_VALUE"""),"Enquêteur 1")</f>
        <v>Enquêteur 1</v>
      </c>
      <c r="B3" s="16"/>
      <c r="C3" s="14"/>
      <c r="F3" s="16" t="str">
        <f>IFERROR(__xludf.DUMMYFUNCTION("""COMPUTED_VALUE"""),"Adingirou")</f>
        <v>Adingirou</v>
      </c>
      <c r="G3" s="16"/>
      <c r="H3" s="14"/>
      <c r="K3" s="16">
        <f>IFERROR(__xludf.DUMMYFUNCTION("""COMPUTED_VALUE"""),1320.0)</f>
        <v>1320</v>
      </c>
      <c r="L3" s="16"/>
      <c r="M3" s="14"/>
    </row>
    <row r="4">
      <c r="A4" s="16" t="str">
        <f>IFERROR(__xludf.DUMMYFUNCTION("""COMPUTED_VALUE"""),"Enquêteur 1")</f>
        <v>Enquêteur 1</v>
      </c>
      <c r="B4" s="16"/>
      <c r="C4" s="14"/>
      <c r="F4" s="16" t="str">
        <f>IFERROR(__xludf.DUMMYFUNCTION("""COMPUTED_VALUE"""),"Adingirou")</f>
        <v>Adingirou</v>
      </c>
      <c r="G4" s="16"/>
      <c r="H4" s="14"/>
      <c r="K4" s="16">
        <f>IFERROR(__xludf.DUMMYFUNCTION("""COMPUTED_VALUE"""),1927.0)</f>
        <v>1927</v>
      </c>
      <c r="L4" s="16"/>
      <c r="M4" s="14"/>
    </row>
    <row r="5">
      <c r="A5" s="16" t="str">
        <f>IFERROR(__xludf.DUMMYFUNCTION("""COMPUTED_VALUE"""),"Enquêteur 2")</f>
        <v>Enquêteur 2</v>
      </c>
      <c r="B5" s="16"/>
      <c r="C5" s="14"/>
      <c r="F5" s="16" t="str">
        <f>IFERROR(__xludf.DUMMYFUNCTION("""COMPUTED_VALUE"""),"Ambaroura")</f>
        <v>Ambaroura</v>
      </c>
      <c r="G5" s="16"/>
      <c r="H5" s="14"/>
      <c r="K5" s="16">
        <f>IFERROR(__xludf.DUMMYFUNCTION("""COMPUTED_VALUE"""),5976.0)</f>
        <v>5976</v>
      </c>
      <c r="L5" s="16"/>
      <c r="M5" s="14"/>
    </row>
    <row r="6">
      <c r="A6" s="16" t="str">
        <f>IFERROR(__xludf.DUMMYFUNCTION("""COMPUTED_VALUE"""),"Enquêteur 2")</f>
        <v>Enquêteur 2</v>
      </c>
      <c r="B6" s="16"/>
      <c r="C6" s="14"/>
      <c r="F6" s="16" t="str">
        <f>IFERROR(__xludf.DUMMYFUNCTION("""COMPUTED_VALUE"""),"Badaguichiri 2")</f>
        <v>Badaguichiri 2</v>
      </c>
      <c r="G6" s="16"/>
      <c r="H6" s="14"/>
      <c r="K6" s="16">
        <f>IFERROR(__xludf.DUMMYFUNCTION("""COMPUTED_VALUE"""),1102.0)</f>
        <v>1102</v>
      </c>
      <c r="L6" s="16"/>
      <c r="M6" s="14"/>
    </row>
    <row r="7">
      <c r="A7" s="16" t="str">
        <f>IFERROR(__xludf.DUMMYFUNCTION("""COMPUTED_VALUE"""),"Dan bincike 1")</f>
        <v>Dan bincike 1</v>
      </c>
      <c r="B7" s="16"/>
      <c r="C7" s="14"/>
      <c r="F7" s="16" t="str">
        <f>IFERROR(__xludf.DUMMYFUNCTION("""COMPUTED_VALUE"""),"Adingirou")</f>
        <v>Adingirou</v>
      </c>
      <c r="G7" s="16"/>
      <c r="H7" s="14"/>
      <c r="K7" s="16">
        <f>IFERROR(__xludf.DUMMYFUNCTION("""COMPUTED_VALUE"""),1094.0)</f>
        <v>1094</v>
      </c>
      <c r="L7" s="16"/>
      <c r="M7" s="14"/>
    </row>
    <row r="8">
      <c r="A8" s="16" t="str">
        <f>IFERROR(__xludf.DUMMYFUNCTION("""COMPUTED_VALUE"""),"Enquêteur 1")</f>
        <v>Enquêteur 1</v>
      </c>
      <c r="B8" s="16"/>
      <c r="C8" s="14"/>
      <c r="F8" s="16" t="str">
        <f>IFERROR(__xludf.DUMMYFUNCTION("""COMPUTED_VALUE"""),"Kirari")</f>
        <v>Kirari</v>
      </c>
      <c r="G8" s="16"/>
      <c r="H8" s="14"/>
      <c r="K8" s="16">
        <f>IFERROR(__xludf.DUMMYFUNCTION("""COMPUTED_VALUE"""),3882.0)</f>
        <v>3882</v>
      </c>
      <c r="L8" s="16"/>
      <c r="M8" s="14"/>
    </row>
    <row r="9">
      <c r="A9" s="16" t="str">
        <f>IFERROR(__xludf.DUMMYFUNCTION("""COMPUTED_VALUE"""),"Enquêteur 2")</f>
        <v>Enquêteur 2</v>
      </c>
      <c r="B9" s="16"/>
      <c r="C9" s="14"/>
      <c r="F9" s="16" t="str">
        <f>IFERROR(__xludf.DUMMYFUNCTION("""COMPUTED_VALUE"""),"Koutoutourou")</f>
        <v>Koutoutourou</v>
      </c>
      <c r="G9" s="16"/>
      <c r="H9" s="14"/>
      <c r="K9" s="16">
        <f>IFERROR(__xludf.DUMMYFUNCTION("""COMPUTED_VALUE"""),815.0)</f>
        <v>815</v>
      </c>
      <c r="L9" s="16"/>
      <c r="M9" s="14"/>
    </row>
    <row r="10">
      <c r="A10" s="16" t="str">
        <f>IFERROR(__xludf.DUMMYFUNCTION("""COMPUTED_VALUE"""),"Younoussi Bilan Djamila")</f>
        <v>Younoussi Bilan Djamila</v>
      </c>
      <c r="B10" s="16"/>
      <c r="C10" s="14"/>
      <c r="F10" s="16" t="str">
        <f>IFERROR(__xludf.DUMMYFUNCTION("""COMPUTED_VALUE"""),"Quartier: Kétaré-Nassaraoua")</f>
        <v>Quartier: Kétaré-Nassaraoua</v>
      </c>
      <c r="G10" s="16"/>
      <c r="H10" s="14"/>
      <c r="K10" s="16">
        <f>IFERROR(__xludf.DUMMYFUNCTION("""COMPUTED_VALUE"""),3751.0)</f>
        <v>3751</v>
      </c>
      <c r="L10" s="16"/>
      <c r="M10" s="14"/>
    </row>
    <row r="11">
      <c r="A11" s="16" t="str">
        <f>IFERROR(__xludf.DUMMYFUNCTION("""COMPUTED_VALUE"""),"Maman Zayanou Harouna")</f>
        <v>Maman Zayanou Harouna</v>
      </c>
      <c r="B11" s="16"/>
      <c r="C11" s="14"/>
      <c r="F11" s="16" t="str">
        <f>IFERROR(__xludf.DUMMYFUNCTION("""COMPUTED_VALUE"""),"Quartier: Kétaré-Nassaraoua")</f>
        <v>Quartier: Kétaré-Nassaraoua</v>
      </c>
      <c r="G11" s="16"/>
      <c r="H11" s="14"/>
      <c r="K11" s="16">
        <f>IFERROR(__xludf.DUMMYFUNCTION("""COMPUTED_VALUE"""),627.0)</f>
        <v>627</v>
      </c>
      <c r="L11" s="16"/>
      <c r="M11" s="14"/>
    </row>
    <row r="12">
      <c r="A12" s="16" t="str">
        <f>IFERROR(__xludf.DUMMYFUNCTION("""COMPUTED_VALUE"""),"Maman Zayanou Harouna")</f>
        <v>Maman Zayanou Harouna</v>
      </c>
      <c r="B12" s="16"/>
      <c r="C12" s="14"/>
      <c r="F12" s="16" t="str">
        <f>IFERROR(__xludf.DUMMYFUNCTION("""COMPUTED_VALUE"""),"Koutoutourou")</f>
        <v>Koutoutourou</v>
      </c>
      <c r="G12" s="16"/>
      <c r="H12" s="14"/>
      <c r="K12" s="16">
        <f>IFERROR(__xludf.DUMMYFUNCTION("""COMPUTED_VALUE"""),2330.0)</f>
        <v>2330</v>
      </c>
      <c r="L12" s="16"/>
      <c r="M12" s="14"/>
    </row>
    <row r="13">
      <c r="A13" s="16" t="str">
        <f>IFERROR(__xludf.DUMMYFUNCTION("""COMPUTED_VALUE"""),"Maman Zayanou Harouna")</f>
        <v>Maman Zayanou Harouna</v>
      </c>
      <c r="B13" s="16"/>
      <c r="C13" s="14"/>
      <c r="F13" s="16" t="str">
        <f>IFERROR(__xludf.DUMMYFUNCTION("""COMPUTED_VALUE"""),"Nadara I")</f>
        <v>Nadara I</v>
      </c>
      <c r="G13" s="16"/>
      <c r="H13" s="14"/>
      <c r="K13" s="16">
        <f>IFERROR(__xludf.DUMMYFUNCTION("""COMPUTED_VALUE"""),1482.0)</f>
        <v>1482</v>
      </c>
      <c r="L13" s="16"/>
      <c r="M13" s="14"/>
    </row>
    <row r="14">
      <c r="A14" s="16" t="str">
        <f>IFERROR(__xludf.DUMMYFUNCTION("""COMPUTED_VALUE"""),"Maman Zayanou Harouna")</f>
        <v>Maman Zayanou Harouna</v>
      </c>
      <c r="B14" s="16"/>
      <c r="C14" s="14"/>
      <c r="F14" s="16" t="str">
        <f>IFERROR(__xludf.DUMMYFUNCTION("""COMPUTED_VALUE"""),"Quartier: Dindaoua")</f>
        <v>Quartier: Dindaoua</v>
      </c>
      <c r="G14" s="16"/>
      <c r="H14" s="14"/>
      <c r="K14" s="16">
        <f>IFERROR(__xludf.DUMMYFUNCTION("""COMPUTED_VALUE"""),5310.0)</f>
        <v>5310</v>
      </c>
      <c r="L14" s="16"/>
      <c r="M14" s="14"/>
    </row>
    <row r="15">
      <c r="A15" s="16" t="str">
        <f>IFERROR(__xludf.DUMMYFUNCTION("""COMPUTED_VALUE"""),"Mohamed Cherif")</f>
        <v>Mohamed Cherif</v>
      </c>
      <c r="B15" s="16"/>
      <c r="C15" s="14"/>
      <c r="F15" s="16" t="str">
        <f>IFERROR(__xludf.DUMMYFUNCTION("""COMPUTED_VALUE"""),"Quartier: Dindaoua")</f>
        <v>Quartier: Dindaoua</v>
      </c>
      <c r="G15" s="16"/>
      <c r="H15" s="14"/>
      <c r="K15" s="16">
        <f>IFERROR(__xludf.DUMMYFUNCTION("""COMPUTED_VALUE"""),3794.0)</f>
        <v>3794</v>
      </c>
      <c r="L15" s="16"/>
      <c r="M15" s="14"/>
    </row>
    <row r="16">
      <c r="A16" s="16" t="str">
        <f>IFERROR(__xludf.DUMMYFUNCTION("""COMPUTED_VALUE"""),"Rabeika Ide Mabeye")</f>
        <v>Rabeika Ide Mabeye</v>
      </c>
      <c r="B16" s="16"/>
      <c r="C16" s="14"/>
      <c r="F16" s="16" t="str">
        <f>IFERROR(__xludf.DUMMYFUNCTION("""COMPUTED_VALUE"""),"Quartier: Kétaré-Nassaraoua")</f>
        <v>Quartier: Kétaré-Nassaraoua</v>
      </c>
      <c r="G16" s="16"/>
      <c r="H16" s="14"/>
      <c r="K16" s="16">
        <f>IFERROR(__xludf.DUMMYFUNCTION("""COMPUTED_VALUE"""),1071.0)</f>
        <v>1071</v>
      </c>
      <c r="L16" s="16"/>
      <c r="M16" s="14"/>
    </row>
    <row r="17">
      <c r="A17" s="16" t="str">
        <f>IFERROR(__xludf.DUMMYFUNCTION("""COMPUTED_VALUE"""),"Hachimou Rabiou Mamoudou")</f>
        <v>Hachimou Rabiou Mamoudou</v>
      </c>
      <c r="B17" s="16"/>
      <c r="C17" s="14"/>
      <c r="F17" s="16" t="str">
        <f>IFERROR(__xludf.DUMMYFUNCTION("""COMPUTED_VALUE"""),"Quartier: Kétaré-Nassaraoua")</f>
        <v>Quartier: Kétaré-Nassaraoua</v>
      </c>
      <c r="G17" s="16"/>
      <c r="H17" s="14"/>
      <c r="K17" s="16">
        <f>IFERROR(__xludf.DUMMYFUNCTION("""COMPUTED_VALUE"""),3989.0)</f>
        <v>3989</v>
      </c>
      <c r="L17" s="16"/>
      <c r="M17" s="14"/>
    </row>
    <row r="18">
      <c r="A18" s="16" t="str">
        <f>IFERROR(__xludf.DUMMYFUNCTION("""COMPUTED_VALUE"""),"Hachimou Rabiou Mamoudou")</f>
        <v>Hachimou Rabiou Mamoudou</v>
      </c>
      <c r="B18" s="16"/>
      <c r="C18" s="14"/>
      <c r="F18" s="16" t="str">
        <f>IFERROR(__xludf.DUMMYFUNCTION("""COMPUTED_VALUE"""),"Quartier: Kétaré-Nassaraoua")</f>
        <v>Quartier: Kétaré-Nassaraoua</v>
      </c>
      <c r="G18" s="16"/>
      <c r="H18" s="14"/>
      <c r="K18" s="16">
        <f>IFERROR(__xludf.DUMMYFUNCTION("""COMPUTED_VALUE"""),836.0)</f>
        <v>836</v>
      </c>
      <c r="L18" s="16"/>
      <c r="M18" s="14"/>
    </row>
    <row r="19">
      <c r="A19" s="16" t="str">
        <f>IFERROR(__xludf.DUMMYFUNCTION("""COMPUTED_VALUE"""),"Hachimou Rabiou Mamoudou")</f>
        <v>Hachimou Rabiou Mamoudou</v>
      </c>
      <c r="B19" s="16"/>
      <c r="C19" s="14"/>
      <c r="F19" s="16" t="str">
        <f>IFERROR(__xludf.DUMMYFUNCTION("""COMPUTED_VALUE"""),"Quartier: Doumessaoua")</f>
        <v>Quartier: Doumessaoua</v>
      </c>
      <c r="G19" s="16"/>
      <c r="H19" s="14"/>
      <c r="K19" s="16">
        <f>IFERROR(__xludf.DUMMYFUNCTION("""COMPUTED_VALUE"""),5257.0)</f>
        <v>5257</v>
      </c>
      <c r="L19" s="16"/>
      <c r="M19" s="14"/>
    </row>
    <row r="20">
      <c r="A20" s="16" t="str">
        <f>IFERROR(__xludf.DUMMYFUNCTION("""COMPUTED_VALUE"""),"Ouhoumoudou Djannou Ibrahim")</f>
        <v>Ouhoumoudou Djannou Ibrahim</v>
      </c>
      <c r="B20" s="16"/>
      <c r="C20" s="14"/>
      <c r="F20" s="16" t="str">
        <f>IFERROR(__xludf.DUMMYFUNCTION("""COMPUTED_VALUE"""),"Quartier: Doumessaoua")</f>
        <v>Quartier: Doumessaoua</v>
      </c>
      <c r="G20" s="16"/>
      <c r="H20" s="14"/>
      <c r="K20" s="16">
        <f>IFERROR(__xludf.DUMMYFUNCTION("""COMPUTED_VALUE"""),2047.0)</f>
        <v>2047</v>
      </c>
      <c r="L20" s="16"/>
      <c r="M20" s="14"/>
    </row>
    <row r="21">
      <c r="A21" s="16" t="str">
        <f>IFERROR(__xludf.DUMMYFUNCTION("""COMPUTED_VALUE"""),"Ouhoumoudou Djannou Ibrahim")</f>
        <v>Ouhoumoudou Djannou Ibrahim</v>
      </c>
      <c r="B21" s="16"/>
      <c r="C21" s="14"/>
      <c r="F21" s="16" t="str">
        <f>IFERROR(__xludf.DUMMYFUNCTION("""COMPUTED_VALUE"""),"Quartier: Toudou")</f>
        <v>Quartier: Toudou</v>
      </c>
      <c r="G21" s="16"/>
      <c r="H21" s="14"/>
      <c r="K21" s="16">
        <f>IFERROR(__xludf.DUMMYFUNCTION("""COMPUTED_VALUE"""),1232.0)</f>
        <v>1232</v>
      </c>
      <c r="L21" s="16"/>
      <c r="M21" s="14"/>
    </row>
    <row r="22">
      <c r="A22" s="16" t="str">
        <f>IFERROR(__xludf.DUMMYFUNCTION("""COMPUTED_VALUE"""),"Kimba Issa Mamoudou")</f>
        <v>Kimba Issa Mamoudou</v>
      </c>
      <c r="B22" s="16"/>
      <c r="C22" s="14"/>
      <c r="F22" s="16" t="str">
        <f>IFERROR(__xludf.DUMMYFUNCTION("""COMPUTED_VALUE"""),"Quartier: Toudou")</f>
        <v>Quartier: Toudou</v>
      </c>
      <c r="G22" s="16"/>
      <c r="H22" s="14"/>
      <c r="K22" s="16">
        <f>IFERROR(__xludf.DUMMYFUNCTION("""COMPUTED_VALUE"""),3318.0)</f>
        <v>3318</v>
      </c>
      <c r="L22" s="16"/>
      <c r="M22" s="14"/>
    </row>
    <row r="23">
      <c r="A23" s="16" t="str">
        <f>IFERROR(__xludf.DUMMYFUNCTION("""COMPUTED_VALUE"""),"Kimba Issa Mamoudou")</f>
        <v>Kimba Issa Mamoudou</v>
      </c>
      <c r="B23" s="16"/>
      <c r="C23" s="14"/>
      <c r="F23" s="16" t="str">
        <f>IFERROR(__xludf.DUMMYFUNCTION("""COMPUTED_VALUE"""),"Quartier: Kétaré-Kawadata")</f>
        <v>Quartier: Kétaré-Kawadata</v>
      </c>
      <c r="G23" s="16"/>
      <c r="H23" s="14"/>
      <c r="K23" s="16">
        <f>IFERROR(__xludf.DUMMYFUNCTION("""COMPUTED_VALUE"""),2710.0)</f>
        <v>2710</v>
      </c>
      <c r="L23" s="16"/>
      <c r="M23" s="14"/>
    </row>
    <row r="24">
      <c r="A24" s="16" t="str">
        <f>IFERROR(__xludf.DUMMYFUNCTION("""COMPUTED_VALUE"""),"Moussa Ide Ibrahim")</f>
        <v>Moussa Ide Ibrahim</v>
      </c>
      <c r="B24" s="16"/>
      <c r="C24" s="14"/>
      <c r="F24" s="16" t="str">
        <f>IFERROR(__xludf.DUMMYFUNCTION("""COMPUTED_VALUE"""),"Quartier: Kétaré-Kawadata")</f>
        <v>Quartier: Kétaré-Kawadata</v>
      </c>
      <c r="G24" s="16"/>
      <c r="H24" s="14"/>
      <c r="K24" s="16">
        <f>IFERROR(__xludf.DUMMYFUNCTION("""COMPUTED_VALUE"""),9510.0)</f>
        <v>9510</v>
      </c>
      <c r="L24" s="16"/>
      <c r="M24" s="14"/>
    </row>
    <row r="25">
      <c r="A25" s="16" t="str">
        <f>IFERROR(__xludf.DUMMYFUNCTION("""COMPUTED_VALUE"""),"Moussa Ide Ibrahim")</f>
        <v>Moussa Ide Ibrahim</v>
      </c>
      <c r="B25" s="16"/>
      <c r="C25" s="14"/>
      <c r="F25" s="16" t="str">
        <f>IFERROR(__xludf.DUMMYFUNCTION("""COMPUTED_VALUE"""),"Quartier: Kétaré-Kawadata")</f>
        <v>Quartier: Kétaré-Kawadata</v>
      </c>
      <c r="G25" s="16"/>
      <c r="H25" s="14"/>
      <c r="K25" s="16">
        <f>IFERROR(__xludf.DUMMYFUNCTION("""COMPUTED_VALUE"""),840.0)</f>
        <v>840</v>
      </c>
      <c r="L25" s="16"/>
      <c r="M25" s="14"/>
    </row>
    <row r="26">
      <c r="A26" s="16" t="str">
        <f>IFERROR(__xludf.DUMMYFUNCTION("""COMPUTED_VALUE"""),"Achirou Malam Dan Maradi Nassirou")</f>
        <v>Achirou Malam Dan Maradi Nassirou</v>
      </c>
      <c r="B26" s="16"/>
      <c r="C26" s="14"/>
      <c r="F26" s="16" t="str">
        <f>IFERROR(__xludf.DUMMYFUNCTION("""COMPUTED_VALUE"""),"Adingirou")</f>
        <v>Adingirou</v>
      </c>
      <c r="G26" s="16"/>
      <c r="H26" s="14"/>
      <c r="K26" s="16">
        <f>IFERROR(__xludf.DUMMYFUNCTION("""COMPUTED_VALUE"""),10831.0)</f>
        <v>10831</v>
      </c>
      <c r="L26" s="16"/>
      <c r="M26" s="14"/>
    </row>
    <row r="27">
      <c r="A27" s="16" t="str">
        <f>IFERROR(__xludf.DUMMYFUNCTION("""COMPUTED_VALUE"""),"Achirou Malam Dan Maradi Nassirou")</f>
        <v>Achirou Malam Dan Maradi Nassirou</v>
      </c>
      <c r="B27" s="16"/>
      <c r="C27" s="14"/>
      <c r="F27" s="16" t="str">
        <f>IFERROR(__xludf.DUMMYFUNCTION("""COMPUTED_VALUE"""),"Adingirou")</f>
        <v>Adingirou</v>
      </c>
      <c r="G27" s="16"/>
      <c r="H27" s="14"/>
      <c r="K27" s="16">
        <f>IFERROR(__xludf.DUMMYFUNCTION("""COMPUTED_VALUE"""),1974.0)</f>
        <v>1974</v>
      </c>
      <c r="L27" s="16"/>
      <c r="M27" s="14"/>
    </row>
    <row r="28">
      <c r="A28" s="16" t="str">
        <f>IFERROR(__xludf.DUMMYFUNCTION("""COMPUTED_VALUE"""),"Ibrahim Dan Habou Larwana")</f>
        <v>Ibrahim Dan Habou Larwana</v>
      </c>
      <c r="B28" s="16"/>
      <c r="C28" s="14"/>
      <c r="F28" s="16" t="str">
        <f>IFERROR(__xludf.DUMMYFUNCTION("""COMPUTED_VALUE"""),"Adingirou")</f>
        <v>Adingirou</v>
      </c>
      <c r="G28" s="16"/>
      <c r="H28" s="14"/>
      <c r="K28" s="16">
        <f>IFERROR(__xludf.DUMMYFUNCTION("""COMPUTED_VALUE"""),4127.0)</f>
        <v>4127</v>
      </c>
      <c r="L28" s="16"/>
      <c r="M28" s="14"/>
    </row>
    <row r="29">
      <c r="A29" s="16" t="str">
        <f>IFERROR(__xludf.DUMMYFUNCTION("""COMPUTED_VALUE"""),"Fatimata Mohamed")</f>
        <v>Fatimata Mohamed</v>
      </c>
      <c r="B29" s="16"/>
      <c r="C29" s="14"/>
      <c r="F29" s="16" t="str">
        <f>IFERROR(__xludf.DUMMYFUNCTION("""COMPUTED_VALUE"""),"Adingirou")</f>
        <v>Adingirou</v>
      </c>
      <c r="G29" s="16"/>
      <c r="H29" s="14"/>
      <c r="K29" s="16">
        <f>IFERROR(__xludf.DUMMYFUNCTION("""COMPUTED_VALUE"""),5862.0)</f>
        <v>5862</v>
      </c>
      <c r="L29" s="16"/>
      <c r="M29" s="14"/>
    </row>
    <row r="30">
      <c r="A30" s="16" t="str">
        <f>IFERROR(__xludf.DUMMYFUNCTION("""COMPUTED_VALUE"""),"Fatimata Mohamed")</f>
        <v>Fatimata Mohamed</v>
      </c>
      <c r="B30" s="16"/>
      <c r="C30" s="14"/>
      <c r="F30" s="16" t="str">
        <f>IFERROR(__xludf.DUMMYFUNCTION("""COMPUTED_VALUE"""),"Adingirou")</f>
        <v>Adingirou</v>
      </c>
      <c r="G30" s="16"/>
      <c r="H30" s="14"/>
      <c r="K30" s="16">
        <f>IFERROR(__xludf.DUMMYFUNCTION("""COMPUTED_VALUE"""),6489.0)</f>
        <v>6489</v>
      </c>
      <c r="L30" s="16"/>
      <c r="M30" s="14"/>
    </row>
    <row r="31">
      <c r="A31" s="16" t="str">
        <f>IFERROR(__xludf.DUMMYFUNCTION("""COMPUTED_VALUE"""),"Halidou Tagaza Balkissa")</f>
        <v>Halidou Tagaza Balkissa</v>
      </c>
      <c r="B31" s="16"/>
      <c r="C31" s="14"/>
      <c r="F31" s="16" t="str">
        <f>IFERROR(__xludf.DUMMYFUNCTION("""COMPUTED_VALUE"""),"Adingirou")</f>
        <v>Adingirou</v>
      </c>
      <c r="G31" s="16"/>
      <c r="H31" s="14"/>
      <c r="K31" s="16">
        <f>IFERROR(__xludf.DUMMYFUNCTION("""COMPUTED_VALUE"""),6290.0)</f>
        <v>6290</v>
      </c>
      <c r="L31" s="16"/>
      <c r="M31" s="14"/>
    </row>
    <row r="32">
      <c r="A32" s="16" t="str">
        <f>IFERROR(__xludf.DUMMYFUNCTION("""COMPUTED_VALUE"""),"Aicha Noma")</f>
        <v>Aicha Noma</v>
      </c>
      <c r="B32" s="16"/>
      <c r="C32" s="14"/>
      <c r="F32" s="16" t="str">
        <f>IFERROR(__xludf.DUMMYFUNCTION("""COMPUTED_VALUE"""),"Koutoutourou")</f>
        <v>Koutoutourou</v>
      </c>
      <c r="G32" s="16"/>
      <c r="H32" s="14"/>
      <c r="K32" s="16">
        <f>IFERROR(__xludf.DUMMYFUNCTION("""COMPUTED_VALUE"""),985.0)</f>
        <v>985</v>
      </c>
      <c r="L32" s="16"/>
      <c r="M32" s="14"/>
    </row>
    <row r="33">
      <c r="A33" s="16" t="str">
        <f>IFERROR(__xludf.DUMMYFUNCTION("""COMPUTED_VALUE"""),"Aicha Noma")</f>
        <v>Aicha Noma</v>
      </c>
      <c r="B33" s="16"/>
      <c r="C33" s="14"/>
      <c r="F33" s="16" t="str">
        <f>IFERROR(__xludf.DUMMYFUNCTION("""COMPUTED_VALUE"""),"Koutoutourou")</f>
        <v>Koutoutourou</v>
      </c>
      <c r="G33" s="16"/>
      <c r="H33" s="14"/>
      <c r="K33" s="16">
        <f>IFERROR(__xludf.DUMMYFUNCTION("""COMPUTED_VALUE"""),836.0)</f>
        <v>836</v>
      </c>
      <c r="L33" s="16"/>
      <c r="M33" s="14"/>
    </row>
    <row r="34">
      <c r="A34" s="16" t="str">
        <f>IFERROR(__xludf.DUMMYFUNCTION("""COMPUTED_VALUE"""),"Hadiza Harouna")</f>
        <v>Hadiza Harouna</v>
      </c>
      <c r="B34" s="16"/>
      <c r="C34" s="14"/>
      <c r="F34" s="16" t="str">
        <f>IFERROR(__xludf.DUMMYFUNCTION("""COMPUTED_VALUE"""),"Adingirou")</f>
        <v>Adingirou</v>
      </c>
      <c r="G34" s="16"/>
      <c r="H34" s="14"/>
      <c r="K34" s="16">
        <f>IFERROR(__xludf.DUMMYFUNCTION("""COMPUTED_VALUE"""),6418.0)</f>
        <v>6418</v>
      </c>
      <c r="L34" s="16"/>
      <c r="M34" s="14"/>
    </row>
    <row r="35">
      <c r="A35" s="16" t="str">
        <f>IFERROR(__xludf.DUMMYFUNCTION("""COMPUTED_VALUE"""),"Abdoul Razak Mahamane Boukari")</f>
        <v>Abdoul Razak Mahamane Boukari</v>
      </c>
      <c r="B35" s="16"/>
      <c r="C35" s="14"/>
      <c r="F35" s="16" t="str">
        <f>IFERROR(__xludf.DUMMYFUNCTION("""COMPUTED_VALUE"""),"Koutoutourou")</f>
        <v>Koutoutourou</v>
      </c>
      <c r="G35" s="16"/>
      <c r="H35" s="14"/>
      <c r="K35" s="16">
        <f>IFERROR(__xludf.DUMMYFUNCTION("""COMPUTED_VALUE"""),3289.0)</f>
        <v>3289</v>
      </c>
      <c r="L35" s="16"/>
      <c r="M35" s="14"/>
    </row>
    <row r="36">
      <c r="A36" s="16" t="str">
        <f>IFERROR(__xludf.DUMMYFUNCTION("""COMPUTED_VALUE"""),"Abdoul Razak Mahamane Boukari")</f>
        <v>Abdoul Razak Mahamane Boukari</v>
      </c>
      <c r="B36" s="16"/>
      <c r="C36" s="14"/>
      <c r="F36" s="16" t="str">
        <f>IFERROR(__xludf.DUMMYFUNCTION("""COMPUTED_VALUE"""),"Koutoutourou")</f>
        <v>Koutoutourou</v>
      </c>
      <c r="G36" s="16"/>
      <c r="H36" s="14"/>
      <c r="K36" s="16">
        <f>IFERROR(__xludf.DUMMYFUNCTION("""COMPUTED_VALUE"""),5610.0)</f>
        <v>5610</v>
      </c>
      <c r="L36" s="16"/>
      <c r="M36" s="14"/>
    </row>
    <row r="37">
      <c r="A37" s="16" t="str">
        <f>IFERROR(__xludf.DUMMYFUNCTION("""COMPUTED_VALUE"""),"Maman Ado Abdourahamane")</f>
        <v>Maman Ado Abdourahamane</v>
      </c>
      <c r="B37" s="16"/>
      <c r="C37" s="14"/>
      <c r="F37" s="16" t="str">
        <f>IFERROR(__xludf.DUMMYFUNCTION("""COMPUTED_VALUE"""),"Adingirou")</f>
        <v>Adingirou</v>
      </c>
      <c r="G37" s="16"/>
      <c r="H37" s="14"/>
      <c r="K37" s="16">
        <f>IFERROR(__xludf.DUMMYFUNCTION("""COMPUTED_VALUE"""),7150.0)</f>
        <v>7150</v>
      </c>
      <c r="L37" s="16"/>
      <c r="M37" s="14"/>
    </row>
    <row r="38">
      <c r="A38" s="16" t="str">
        <f>IFERROR(__xludf.DUMMYFUNCTION("""COMPUTED_VALUE"""),"Maman Ado Abdourahamane")</f>
        <v>Maman Ado Abdourahamane</v>
      </c>
      <c r="B38" s="16"/>
      <c r="C38" s="14"/>
      <c r="F38" s="16" t="str">
        <f>IFERROR(__xludf.DUMMYFUNCTION("""COMPUTED_VALUE"""),"Adingirou")</f>
        <v>Adingirou</v>
      </c>
      <c r="G38" s="16"/>
      <c r="H38" s="14"/>
      <c r="K38" s="16">
        <f>IFERROR(__xludf.DUMMYFUNCTION("""COMPUTED_VALUE"""),3363.0)</f>
        <v>3363</v>
      </c>
      <c r="L38" s="16"/>
      <c r="M38" s="14"/>
    </row>
    <row r="39">
      <c r="A39" s="16" t="str">
        <f>IFERROR(__xludf.DUMMYFUNCTION("""COMPUTED_VALUE"""),"Elhaji Abdou Leilata")</f>
        <v>Elhaji Abdou Leilata</v>
      </c>
      <c r="B39" s="16"/>
      <c r="C39" s="14"/>
      <c r="F39" s="16" t="str">
        <f>IFERROR(__xludf.DUMMYFUNCTION("""COMPUTED_VALUE"""),"Koutoutourou")</f>
        <v>Koutoutourou</v>
      </c>
      <c r="G39" s="16"/>
      <c r="H39" s="14"/>
      <c r="K39" s="16">
        <f>IFERROR(__xludf.DUMMYFUNCTION("""COMPUTED_VALUE"""),844.0)</f>
        <v>844</v>
      </c>
      <c r="L39" s="16"/>
      <c r="M39" s="14"/>
    </row>
    <row r="40">
      <c r="A40" s="16" t="str">
        <f>IFERROR(__xludf.DUMMYFUNCTION("""COMPUTED_VALUE"""),"Elhaji Abdou Leilata")</f>
        <v>Elhaji Abdou Leilata</v>
      </c>
      <c r="B40" s="16"/>
      <c r="C40" s="14"/>
      <c r="F40" s="16" t="str">
        <f>IFERROR(__xludf.DUMMYFUNCTION("""COMPUTED_VALUE"""),"Koutoutourou")</f>
        <v>Koutoutourou</v>
      </c>
      <c r="G40" s="16"/>
      <c r="H40" s="14"/>
      <c r="K40" s="16">
        <f>IFERROR(__xludf.DUMMYFUNCTION("""COMPUTED_VALUE"""),1524.0)</f>
        <v>1524</v>
      </c>
      <c r="L40" s="16"/>
      <c r="M40" s="14"/>
    </row>
    <row r="41">
      <c r="A41" s="16" t="str">
        <f>IFERROR(__xludf.DUMMYFUNCTION("""COMPUTED_VALUE"""),"Elhaji Abdou Leilata")</f>
        <v>Elhaji Abdou Leilata</v>
      </c>
      <c r="B41" s="16"/>
      <c r="C41" s="14"/>
      <c r="F41" s="16" t="str">
        <f>IFERROR(__xludf.DUMMYFUNCTION("""COMPUTED_VALUE"""),"Koutoutourou")</f>
        <v>Koutoutourou</v>
      </c>
      <c r="G41" s="16"/>
      <c r="H41" s="14"/>
      <c r="K41" s="16">
        <f>IFERROR(__xludf.DUMMYFUNCTION("""COMPUTED_VALUE"""),4289.0)</f>
        <v>4289</v>
      </c>
      <c r="L41" s="16"/>
      <c r="M41" s="14"/>
    </row>
    <row r="42">
      <c r="A42" s="16" t="str">
        <f>IFERROR(__xludf.DUMMYFUNCTION("""COMPUTED_VALUE"""),"Aboubacar Hamadou Manga")</f>
        <v>Aboubacar Hamadou Manga</v>
      </c>
      <c r="B42" s="16"/>
      <c r="C42" s="14"/>
      <c r="F42" s="16" t="str">
        <f>IFERROR(__xludf.DUMMYFUNCTION("""COMPUTED_VALUE"""),"Koutoutourou")</f>
        <v>Koutoutourou</v>
      </c>
      <c r="G42" s="16"/>
      <c r="H42" s="14"/>
      <c r="K42" s="16">
        <f>IFERROR(__xludf.DUMMYFUNCTION("""COMPUTED_VALUE"""),731.0)</f>
        <v>731</v>
      </c>
      <c r="L42" s="16"/>
      <c r="M42" s="14"/>
    </row>
    <row r="43">
      <c r="A43" s="16" t="str">
        <f>IFERROR(__xludf.DUMMYFUNCTION("""COMPUTED_VALUE"""),"Amadou Hamidou Abdoul Karim")</f>
        <v>Amadou Hamidou Abdoul Karim</v>
      </c>
      <c r="B43" s="16"/>
      <c r="C43" s="14"/>
      <c r="F43" s="16" t="str">
        <f>IFERROR(__xludf.DUMMYFUNCTION("""COMPUTED_VALUE"""),"Koutoutourou")</f>
        <v>Koutoutourou</v>
      </c>
      <c r="G43" s="16"/>
      <c r="H43" s="14"/>
      <c r="K43" s="16">
        <f>IFERROR(__xludf.DUMMYFUNCTION("""COMPUTED_VALUE"""),2891.0)</f>
        <v>2891</v>
      </c>
      <c r="L43" s="16"/>
      <c r="M43" s="14"/>
    </row>
    <row r="44">
      <c r="A44" s="16" t="str">
        <f>IFERROR(__xludf.DUMMYFUNCTION("""COMPUTED_VALUE"""),"Amadou Hamidou Abdoul Karim")</f>
        <v>Amadou Hamidou Abdoul Karim</v>
      </c>
      <c r="B44" s="16"/>
      <c r="C44" s="14"/>
      <c r="F44" s="16" t="str">
        <f>IFERROR(__xludf.DUMMYFUNCTION("""COMPUTED_VALUE"""),"Gidan Illa")</f>
        <v>Gidan Illa</v>
      </c>
      <c r="G44" s="16"/>
      <c r="H44" s="14"/>
      <c r="K44" s="16">
        <f>IFERROR(__xludf.DUMMYFUNCTION("""COMPUTED_VALUE"""),931.0)</f>
        <v>931</v>
      </c>
      <c r="L44" s="16"/>
      <c r="M44" s="14"/>
    </row>
    <row r="45">
      <c r="A45" s="16" t="str">
        <f>IFERROR(__xludf.DUMMYFUNCTION("""COMPUTED_VALUE"""),"Binta Maman")</f>
        <v>Binta Maman</v>
      </c>
      <c r="B45" s="16"/>
      <c r="C45" s="14"/>
      <c r="F45" s="16" t="str">
        <f>IFERROR(__xludf.DUMMYFUNCTION("""COMPUTED_VALUE"""),"Quartier: Doumessaoua")</f>
        <v>Quartier: Doumessaoua</v>
      </c>
      <c r="G45" s="16"/>
      <c r="H45" s="14"/>
      <c r="K45" s="16">
        <f>IFERROR(__xludf.DUMMYFUNCTION("""COMPUTED_VALUE"""),3849.0)</f>
        <v>3849</v>
      </c>
      <c r="L45" s="16"/>
      <c r="M45" s="14"/>
    </row>
    <row r="46">
      <c r="A46" s="16" t="str">
        <f>IFERROR(__xludf.DUMMYFUNCTION("""COMPUTED_VALUE"""),"Binta Maman")</f>
        <v>Binta Maman</v>
      </c>
      <c r="B46" s="16"/>
      <c r="C46" s="14"/>
      <c r="F46" s="16" t="str">
        <f>IFERROR(__xludf.DUMMYFUNCTION("""COMPUTED_VALUE"""),"Quartier: Doumessaoua")</f>
        <v>Quartier: Doumessaoua</v>
      </c>
      <c r="G46" s="16"/>
      <c r="H46" s="14"/>
      <c r="K46" s="16">
        <f>IFERROR(__xludf.DUMMYFUNCTION("""COMPUTED_VALUE"""),4434.0)</f>
        <v>4434</v>
      </c>
      <c r="L46" s="16"/>
      <c r="M46" s="14"/>
    </row>
    <row r="47">
      <c r="A47" s="16" t="str">
        <f>IFERROR(__xludf.DUMMYFUNCTION("""COMPUTED_VALUE"""),"Gaoh Maazou")</f>
        <v>Gaoh Maazou</v>
      </c>
      <c r="B47" s="16"/>
      <c r="C47" s="14"/>
      <c r="F47" s="16" t="str">
        <f>IFERROR(__xludf.DUMMYFUNCTION("""COMPUTED_VALUE"""),"Quartier: Dindaoua")</f>
        <v>Quartier: Dindaoua</v>
      </c>
      <c r="G47" s="16"/>
      <c r="H47" s="14"/>
      <c r="K47" s="16">
        <f>IFERROR(__xludf.DUMMYFUNCTION("""COMPUTED_VALUE"""),5325.0)</f>
        <v>5325</v>
      </c>
      <c r="L47" s="16"/>
      <c r="M47" s="14"/>
    </row>
    <row r="48">
      <c r="A48" s="16" t="str">
        <f>IFERROR(__xludf.DUMMYFUNCTION("""COMPUTED_VALUE"""),"Gaoh Maazou")</f>
        <v>Gaoh Maazou</v>
      </c>
      <c r="B48" s="16"/>
      <c r="C48" s="14"/>
      <c r="F48" s="16" t="str">
        <f>IFERROR(__xludf.DUMMYFUNCTION("""COMPUTED_VALUE"""),"Quartier: Dindaoua")</f>
        <v>Quartier: Dindaoua</v>
      </c>
      <c r="G48" s="16"/>
      <c r="H48" s="14"/>
      <c r="K48" s="16">
        <f>IFERROR(__xludf.DUMMYFUNCTION("""COMPUTED_VALUE"""),2871.0)</f>
        <v>2871</v>
      </c>
      <c r="L48" s="16"/>
      <c r="M48" s="14"/>
    </row>
    <row r="49">
      <c r="A49" s="16" t="str">
        <f>IFERROR(__xludf.DUMMYFUNCTION("""COMPUTED_VALUE"""),"Asmaou Tanko Issa")</f>
        <v>Asmaou Tanko Issa</v>
      </c>
      <c r="B49" s="16"/>
      <c r="C49" s="14"/>
      <c r="F49" s="16" t="str">
        <f>IFERROR(__xludf.DUMMYFUNCTION("""COMPUTED_VALUE"""),"Quartier: Dindaoua")</f>
        <v>Quartier: Dindaoua</v>
      </c>
      <c r="G49" s="16"/>
      <c r="H49" s="14"/>
      <c r="K49" s="16">
        <f>IFERROR(__xludf.DUMMYFUNCTION("""COMPUTED_VALUE"""),2897.0)</f>
        <v>2897</v>
      </c>
      <c r="L49" s="16"/>
      <c r="M49" s="14"/>
    </row>
    <row r="50">
      <c r="A50" s="16" t="str">
        <f>IFERROR(__xludf.DUMMYFUNCTION("""COMPUTED_VALUE"""),"Yacouba Idé dit Lumana")</f>
        <v>Yacouba Idé dit Lumana</v>
      </c>
      <c r="B50" s="16"/>
      <c r="C50" s="14"/>
      <c r="F50" s="16" t="str">
        <f>IFERROR(__xludf.DUMMYFUNCTION("""COMPUTED_VALUE"""),"Quartier: Dindaoua")</f>
        <v>Quartier: Dindaoua</v>
      </c>
      <c r="G50" s="16"/>
      <c r="H50" s="14"/>
      <c r="K50" s="16">
        <f>IFERROR(__xludf.DUMMYFUNCTION("""COMPUTED_VALUE"""),601.0)</f>
        <v>601</v>
      </c>
      <c r="L50" s="16"/>
      <c r="M50" s="14"/>
    </row>
    <row r="51">
      <c r="A51" s="16" t="str">
        <f>IFERROR(__xludf.DUMMYFUNCTION("""COMPUTED_VALUE"""),"Yacouba Idé dit Lumana")</f>
        <v>Yacouba Idé dit Lumana</v>
      </c>
      <c r="B51" s="16"/>
      <c r="C51" s="14"/>
      <c r="F51" s="16" t="str">
        <f>IFERROR(__xludf.DUMMYFUNCTION("""COMPUTED_VALUE"""),"Quartier: Doumessaoua")</f>
        <v>Quartier: Doumessaoua</v>
      </c>
      <c r="G51" s="16"/>
      <c r="H51" s="14"/>
      <c r="K51" s="16">
        <f>IFERROR(__xludf.DUMMYFUNCTION("""COMPUTED_VALUE"""),445.0)</f>
        <v>445</v>
      </c>
      <c r="L51" s="16"/>
      <c r="M51" s="14"/>
    </row>
    <row r="52">
      <c r="A52" s="16" t="str">
        <f>IFERROR(__xludf.DUMMYFUNCTION("""COMPUTED_VALUE"""),"Yacouba Idé dit Lumana")</f>
        <v>Yacouba Idé dit Lumana</v>
      </c>
      <c r="B52" s="16"/>
      <c r="C52" s="14"/>
      <c r="F52" s="16" t="str">
        <f>IFERROR(__xludf.DUMMYFUNCTION("""COMPUTED_VALUE"""),"Quartier: Doumessaoua")</f>
        <v>Quartier: Doumessaoua</v>
      </c>
      <c r="G52" s="16"/>
      <c r="H52" s="14"/>
      <c r="K52" s="16">
        <f>IFERROR(__xludf.DUMMYFUNCTION("""COMPUTED_VALUE"""),307.0)</f>
        <v>307</v>
      </c>
      <c r="L52" s="16"/>
      <c r="M52" s="14"/>
    </row>
    <row r="53">
      <c r="A53" s="16" t="str">
        <f>IFERROR(__xludf.DUMMYFUNCTION("""COMPUTED_VALUE"""),"Yacouba Idé dit Lumana")</f>
        <v>Yacouba Idé dit Lumana</v>
      </c>
      <c r="B53" s="16"/>
      <c r="C53" s="14"/>
      <c r="F53" s="16" t="str">
        <f>IFERROR(__xludf.DUMMYFUNCTION("""COMPUTED_VALUE"""),"Quartier: Dindaoua")</f>
        <v>Quartier: Dindaoua</v>
      </c>
      <c r="G53" s="16"/>
      <c r="H53" s="14"/>
      <c r="K53" s="16">
        <f>IFERROR(__xludf.DUMMYFUNCTION("""COMPUTED_VALUE"""),1177.0)</f>
        <v>1177</v>
      </c>
      <c r="L53" s="16"/>
      <c r="M53" s="14"/>
    </row>
    <row r="54">
      <c r="A54" s="16" t="str">
        <f>IFERROR(__xludf.DUMMYFUNCTION("""COMPUTED_VALUE"""),"Gaoh Maazou")</f>
        <v>Gaoh Maazou</v>
      </c>
      <c r="B54" s="16"/>
      <c r="C54" s="14"/>
      <c r="F54" s="16" t="str">
        <f>IFERROR(__xludf.DUMMYFUNCTION("""COMPUTED_VALUE"""),"Adingirou")</f>
        <v>Adingirou</v>
      </c>
      <c r="G54" s="16"/>
      <c r="H54" s="14"/>
      <c r="K54" s="16">
        <f>IFERROR(__xludf.DUMMYFUNCTION("""COMPUTED_VALUE"""),856.0)</f>
        <v>856</v>
      </c>
      <c r="L54" s="16"/>
      <c r="M54" s="14"/>
    </row>
    <row r="55">
      <c r="A55" s="16" t="str">
        <f>IFERROR(__xludf.DUMMYFUNCTION("""COMPUTED_VALUE"""),"Haladou Boukar")</f>
        <v>Haladou Boukar</v>
      </c>
      <c r="B55" s="16"/>
      <c r="C55" s="14"/>
      <c r="F55" s="16" t="str">
        <f>IFERROR(__xludf.DUMMYFUNCTION("""COMPUTED_VALUE"""),"Tambas 1")</f>
        <v>Tambas 1</v>
      </c>
      <c r="G55" s="16"/>
      <c r="H55" s="14"/>
      <c r="K55" s="16">
        <f>IFERROR(__xludf.DUMMYFUNCTION("""COMPUTED_VALUE"""),1392.0)</f>
        <v>1392</v>
      </c>
      <c r="L55" s="16"/>
      <c r="M55" s="14"/>
    </row>
    <row r="56">
      <c r="A56" s="16" t="str">
        <f>IFERROR(__xludf.DUMMYFUNCTION("""COMPUTED_VALUE"""),"Haladou Boukar")</f>
        <v>Haladou Boukar</v>
      </c>
      <c r="B56" s="16"/>
      <c r="C56" s="14"/>
      <c r="F56" s="16" t="str">
        <f>IFERROR(__xludf.DUMMYFUNCTION("""COMPUTED_VALUE"""),"Tambas 1")</f>
        <v>Tambas 1</v>
      </c>
      <c r="G56" s="16"/>
      <c r="H56" s="14"/>
      <c r="K56" s="16">
        <f>IFERROR(__xludf.DUMMYFUNCTION("""COMPUTED_VALUE"""),3660.0)</f>
        <v>3660</v>
      </c>
      <c r="L56" s="16"/>
      <c r="M56" s="14"/>
    </row>
    <row r="57">
      <c r="A57" s="16" t="str">
        <f>IFERROR(__xludf.DUMMYFUNCTION("""COMPUTED_VALUE"""),"Haladou Boukar")</f>
        <v>Haladou Boukar</v>
      </c>
      <c r="B57" s="16"/>
      <c r="C57" s="14"/>
      <c r="F57" s="16" t="str">
        <f>IFERROR(__xludf.DUMMYFUNCTION("""COMPUTED_VALUE"""),"Nadara II")</f>
        <v>Nadara II</v>
      </c>
      <c r="G57" s="16"/>
      <c r="H57" s="14"/>
      <c r="K57" s="16">
        <f>IFERROR(__xludf.DUMMYFUNCTION("""COMPUTED_VALUE"""),3952.0)</f>
        <v>3952</v>
      </c>
      <c r="L57" s="16"/>
      <c r="M57" s="14"/>
    </row>
    <row r="58">
      <c r="A58" s="16" t="str">
        <f>IFERROR(__xludf.DUMMYFUNCTION("""COMPUTED_VALUE"""),"Haladou Boukar")</f>
        <v>Haladou Boukar</v>
      </c>
      <c r="B58" s="16"/>
      <c r="C58" s="14"/>
      <c r="F58" s="16" t="str">
        <f>IFERROR(__xludf.DUMMYFUNCTION("""COMPUTED_VALUE"""),"Nadara II")</f>
        <v>Nadara II</v>
      </c>
      <c r="G58" s="16"/>
      <c r="H58" s="14"/>
      <c r="K58" s="16">
        <f>IFERROR(__xludf.DUMMYFUNCTION("""COMPUTED_VALUE"""),3606.0)</f>
        <v>3606</v>
      </c>
      <c r="L58" s="16"/>
      <c r="M58" s="14"/>
    </row>
    <row r="59">
      <c r="A59" s="16" t="str">
        <f>IFERROR(__xludf.DUMMYFUNCTION("""COMPUTED_VALUE"""),"Haladou Boukar")</f>
        <v>Haladou Boukar</v>
      </c>
      <c r="B59" s="16"/>
      <c r="C59" s="14"/>
      <c r="F59" s="16" t="str">
        <f>IFERROR(__xludf.DUMMYFUNCTION("""COMPUTED_VALUE"""),"Nadara II")</f>
        <v>Nadara II</v>
      </c>
      <c r="G59" s="16"/>
      <c r="H59" s="14"/>
      <c r="K59" s="16">
        <f>IFERROR(__xludf.DUMMYFUNCTION("""COMPUTED_VALUE"""),2984.0)</f>
        <v>2984</v>
      </c>
      <c r="L59" s="16"/>
      <c r="M59" s="14"/>
    </row>
    <row r="60">
      <c r="A60" s="16" t="str">
        <f>IFERROR(__xludf.DUMMYFUNCTION("""COMPUTED_VALUE"""),"Haladou Boukar")</f>
        <v>Haladou Boukar</v>
      </c>
      <c r="B60" s="16"/>
      <c r="C60" s="14"/>
      <c r="F60" s="16" t="str">
        <f>IFERROR(__xludf.DUMMYFUNCTION("""COMPUTED_VALUE"""),"Nadara II")</f>
        <v>Nadara II</v>
      </c>
      <c r="G60" s="16"/>
      <c r="H60" s="14"/>
      <c r="K60" s="16">
        <f>IFERROR(__xludf.DUMMYFUNCTION("""COMPUTED_VALUE"""),1770.0)</f>
        <v>1770</v>
      </c>
      <c r="L60" s="16"/>
      <c r="M60" s="14"/>
    </row>
    <row r="61">
      <c r="A61" s="16" t="str">
        <f>IFERROR(__xludf.DUMMYFUNCTION("""COMPUTED_VALUE"""),"Haladou Boukar")</f>
        <v>Haladou Boukar</v>
      </c>
      <c r="B61" s="16"/>
      <c r="C61" s="14"/>
      <c r="F61" s="16" t="str">
        <f>IFERROR(__xludf.DUMMYFUNCTION("""COMPUTED_VALUE"""),"Quartier: Kétaré-Nassaraoua")</f>
        <v>Quartier: Kétaré-Nassaraoua</v>
      </c>
      <c r="G61" s="16"/>
      <c r="H61" s="14"/>
      <c r="K61" s="16">
        <f>IFERROR(__xludf.DUMMYFUNCTION("""COMPUTED_VALUE"""),4086.0)</f>
        <v>4086</v>
      </c>
      <c r="L61" s="16"/>
      <c r="M61" s="14"/>
    </row>
    <row r="62">
      <c r="A62" s="16" t="str">
        <f>IFERROR(__xludf.DUMMYFUNCTION("""COMPUTED_VALUE"""),"Rabi Boubacar Younoussa")</f>
        <v>Rabi Boubacar Younoussa</v>
      </c>
      <c r="B62" s="16"/>
      <c r="C62" s="14"/>
      <c r="F62" s="16" t="str">
        <f>IFERROR(__xludf.DUMMYFUNCTION("""COMPUTED_VALUE"""),"Nadara I")</f>
        <v>Nadara I</v>
      </c>
      <c r="G62" s="16"/>
      <c r="H62" s="14"/>
      <c r="K62" s="16">
        <f>IFERROR(__xludf.DUMMYFUNCTION("""COMPUTED_VALUE"""),3721.0)</f>
        <v>3721</v>
      </c>
      <c r="L62" s="16"/>
      <c r="M62" s="14"/>
    </row>
    <row r="63">
      <c r="A63" s="16" t="str">
        <f>IFERROR(__xludf.DUMMYFUNCTION("""COMPUTED_VALUE"""),"Mohamadou Amadou")</f>
        <v>Mohamadou Amadou</v>
      </c>
      <c r="B63" s="16"/>
      <c r="C63" s="14"/>
      <c r="F63" s="16" t="str">
        <f>IFERROR(__xludf.DUMMYFUNCTION("""COMPUTED_VALUE"""),"Nadara I")</f>
        <v>Nadara I</v>
      </c>
      <c r="G63" s="16"/>
      <c r="H63" s="14"/>
      <c r="K63" s="16">
        <f>IFERROR(__xludf.DUMMYFUNCTION("""COMPUTED_VALUE"""),918.0)</f>
        <v>918</v>
      </c>
      <c r="L63" s="16"/>
      <c r="M63" s="14"/>
    </row>
    <row r="64">
      <c r="A64" s="16" t="str">
        <f>IFERROR(__xludf.DUMMYFUNCTION("""COMPUTED_VALUE"""),"Mohamadou Amadou")</f>
        <v>Mohamadou Amadou</v>
      </c>
      <c r="B64" s="16"/>
      <c r="C64" s="14"/>
      <c r="F64" s="16" t="str">
        <f>IFERROR(__xludf.DUMMYFUNCTION("""COMPUTED_VALUE"""),"Nadara I")</f>
        <v>Nadara I</v>
      </c>
      <c r="G64" s="16"/>
      <c r="H64" s="14"/>
      <c r="K64" s="16">
        <f>IFERROR(__xludf.DUMMYFUNCTION("""COMPUTED_VALUE"""),2218.0)</f>
        <v>2218</v>
      </c>
      <c r="L64" s="16"/>
      <c r="M64" s="14"/>
    </row>
    <row r="65">
      <c r="A65" s="16" t="str">
        <f>IFERROR(__xludf.DUMMYFUNCTION("""COMPUTED_VALUE"""),"Mohamadou Amadou")</f>
        <v>Mohamadou Amadou</v>
      </c>
      <c r="B65" s="16"/>
      <c r="C65" s="14"/>
      <c r="F65" s="16" t="str">
        <f>IFERROR(__xludf.DUMMYFUNCTION("""COMPUTED_VALUE"""),"Adingirou")</f>
        <v>Adingirou</v>
      </c>
      <c r="G65" s="16"/>
      <c r="H65" s="14"/>
      <c r="K65" s="16">
        <f>IFERROR(__xludf.DUMMYFUNCTION("""COMPUTED_VALUE"""),4089.0)</f>
        <v>4089</v>
      </c>
      <c r="L65" s="16"/>
      <c r="M65" s="14"/>
    </row>
    <row r="66">
      <c r="A66" s="16" t="str">
        <f>IFERROR(__xludf.DUMMYFUNCTION("""COMPUTED_VALUE"""),"Moumouni Adamou Yahaya")</f>
        <v>Moumouni Adamou Yahaya</v>
      </c>
      <c r="B66" s="16"/>
      <c r="C66" s="14"/>
      <c r="F66" s="16" t="str">
        <f>IFERROR(__xludf.DUMMYFUNCTION("""COMPUTED_VALUE"""),"Adingirou")</f>
        <v>Adingirou</v>
      </c>
      <c r="G66" s="16"/>
      <c r="H66" s="14"/>
      <c r="K66" s="16">
        <f>IFERROR(__xludf.DUMMYFUNCTION("""COMPUTED_VALUE"""),6821.0)</f>
        <v>6821</v>
      </c>
      <c r="L66" s="16"/>
      <c r="M66" s="14"/>
    </row>
    <row r="67">
      <c r="A67" s="16" t="str">
        <f>IFERROR(__xludf.DUMMYFUNCTION("""COMPUTED_VALUE"""),"Moumouni Adamou Yahaya")</f>
        <v>Moumouni Adamou Yahaya</v>
      </c>
      <c r="B67" s="16"/>
      <c r="C67" s="14"/>
      <c r="F67" s="16" t="str">
        <f>IFERROR(__xludf.DUMMYFUNCTION("""COMPUTED_VALUE"""),"Adingirou")</f>
        <v>Adingirou</v>
      </c>
      <c r="G67" s="16"/>
      <c r="H67" s="14"/>
      <c r="K67" s="16">
        <f>IFERROR(__xludf.DUMMYFUNCTION("""COMPUTED_VALUE"""),4238.0)</f>
        <v>4238</v>
      </c>
      <c r="L67" s="16"/>
      <c r="M67" s="14"/>
    </row>
    <row r="68">
      <c r="A68" s="16" t="str">
        <f>IFERROR(__xludf.DUMMYFUNCTION("""COMPUTED_VALUE"""),"Moumouni Adamou Yahaya")</f>
        <v>Moumouni Adamou Yahaya</v>
      </c>
      <c r="B68" s="16"/>
      <c r="C68" s="14"/>
      <c r="F68" s="16" t="str">
        <f>IFERROR(__xludf.DUMMYFUNCTION("""COMPUTED_VALUE"""),"Tambas 1")</f>
        <v>Tambas 1</v>
      </c>
      <c r="G68" s="16"/>
      <c r="H68" s="14"/>
      <c r="K68" s="16">
        <f>IFERROR(__xludf.DUMMYFUNCTION("""COMPUTED_VALUE"""),3931.0)</f>
        <v>3931</v>
      </c>
      <c r="L68" s="16"/>
      <c r="M68" s="14"/>
    </row>
    <row r="69">
      <c r="A69" s="16" t="str">
        <f>IFERROR(__xludf.DUMMYFUNCTION("""COMPUTED_VALUE"""),"Mathieu Alphonse Rachida Juliette")</f>
        <v>Mathieu Alphonse Rachida Juliette</v>
      </c>
      <c r="B69" s="16"/>
      <c r="C69" s="14"/>
      <c r="F69" s="16" t="str">
        <f>IFERROR(__xludf.DUMMYFUNCTION("""COMPUTED_VALUE"""),"Adingirou")</f>
        <v>Adingirou</v>
      </c>
      <c r="G69" s="16"/>
      <c r="H69" s="14"/>
      <c r="K69" s="16">
        <f>IFERROR(__xludf.DUMMYFUNCTION("""COMPUTED_VALUE"""),2310.0)</f>
        <v>2310</v>
      </c>
      <c r="L69" s="16"/>
      <c r="M69" s="14"/>
    </row>
    <row r="70">
      <c r="A70" s="16" t="str">
        <f>IFERROR(__xludf.DUMMYFUNCTION("""COMPUTED_VALUE"""),"Mathieu Alphonse Rachida Juliette")</f>
        <v>Mathieu Alphonse Rachida Juliette</v>
      </c>
      <c r="B70" s="16"/>
      <c r="C70" s="14"/>
      <c r="F70" s="16" t="str">
        <f>IFERROR(__xludf.DUMMYFUNCTION("""COMPUTED_VALUE"""),"Tambas 1")</f>
        <v>Tambas 1</v>
      </c>
      <c r="G70" s="16"/>
      <c r="H70" s="14"/>
      <c r="K70" s="16">
        <f>IFERROR(__xludf.DUMMYFUNCTION("""COMPUTED_VALUE"""),1753.0)</f>
        <v>1753</v>
      </c>
      <c r="L70" s="16"/>
      <c r="M70" s="14"/>
    </row>
    <row r="71">
      <c r="A71" s="16" t="str">
        <f>IFERROR(__xludf.DUMMYFUNCTION("""COMPUTED_VALUE"""),"Amadou Tidjani Ousmane")</f>
        <v>Amadou Tidjani Ousmane</v>
      </c>
      <c r="B71" s="16"/>
      <c r="C71" s="14"/>
      <c r="F71" s="16" t="str">
        <f>IFERROR(__xludf.DUMMYFUNCTION("""COMPUTED_VALUE"""),"Tambas 1")</f>
        <v>Tambas 1</v>
      </c>
      <c r="G71" s="16"/>
      <c r="H71" s="14"/>
      <c r="K71" s="16">
        <f>IFERROR(__xludf.DUMMYFUNCTION("""COMPUTED_VALUE"""),2795.0)</f>
        <v>2795</v>
      </c>
      <c r="L71" s="16"/>
      <c r="M71" s="14"/>
    </row>
    <row r="72">
      <c r="A72" s="16" t="str">
        <f>IFERROR(__xludf.DUMMYFUNCTION("""COMPUTED_VALUE"""),"Kaltoume Kimba")</f>
        <v>Kaltoume Kimba</v>
      </c>
      <c r="B72" s="16"/>
      <c r="C72" s="14"/>
      <c r="F72" s="16" t="str">
        <f>IFERROR(__xludf.DUMMYFUNCTION("""COMPUTED_VALUE"""),"Tambas 1")</f>
        <v>Tambas 1</v>
      </c>
      <c r="G72" s="16"/>
      <c r="H72" s="14"/>
      <c r="K72" s="16">
        <f>IFERROR(__xludf.DUMMYFUNCTION("""COMPUTED_VALUE"""),907.0)</f>
        <v>907</v>
      </c>
      <c r="L72" s="16"/>
      <c r="M72" s="14"/>
    </row>
    <row r="73">
      <c r="A73" s="16" t="str">
        <f>IFERROR(__xludf.DUMMYFUNCTION("""COMPUTED_VALUE"""),"Saddy Youssouf")</f>
        <v>Saddy Youssouf</v>
      </c>
      <c r="B73" s="16"/>
      <c r="C73" s="14"/>
      <c r="F73" s="16" t="str">
        <f>IFERROR(__xludf.DUMMYFUNCTION("""COMPUTED_VALUE"""),"Adingirou")</f>
        <v>Adingirou</v>
      </c>
      <c r="G73" s="16"/>
      <c r="H73" s="14"/>
      <c r="K73" s="16">
        <f>IFERROR(__xludf.DUMMYFUNCTION("""COMPUTED_VALUE"""),384.0)</f>
        <v>384</v>
      </c>
      <c r="L73" s="16"/>
      <c r="M73" s="14"/>
    </row>
    <row r="74">
      <c r="A74" s="16" t="str">
        <f>IFERROR(__xludf.DUMMYFUNCTION("""COMPUTED_VALUE"""),"Saddy Youssouf")</f>
        <v>Saddy Youssouf</v>
      </c>
      <c r="B74" s="16"/>
      <c r="C74" s="14"/>
      <c r="F74" s="16" t="str">
        <f>IFERROR(__xludf.DUMMYFUNCTION("""COMPUTED_VALUE"""),"Adingirou")</f>
        <v>Adingirou</v>
      </c>
      <c r="G74" s="16"/>
      <c r="H74" s="14"/>
      <c r="K74" s="16">
        <f>IFERROR(__xludf.DUMMYFUNCTION("""COMPUTED_VALUE"""),2503.0)</f>
        <v>2503</v>
      </c>
      <c r="L74" s="16"/>
      <c r="M74" s="14"/>
    </row>
    <row r="75">
      <c r="A75" s="16" t="str">
        <f>IFERROR(__xludf.DUMMYFUNCTION("""COMPUTED_VALUE"""),"Saddy Youssouf")</f>
        <v>Saddy Youssouf</v>
      </c>
      <c r="B75" s="16"/>
      <c r="C75" s="14"/>
      <c r="F75" s="16" t="str">
        <f>IFERROR(__xludf.DUMMYFUNCTION("""COMPUTED_VALUE"""),"Koutoutourou")</f>
        <v>Koutoutourou</v>
      </c>
      <c r="G75" s="16"/>
      <c r="H75" s="14"/>
      <c r="K75" s="16">
        <f>IFERROR(__xludf.DUMMYFUNCTION("""COMPUTED_VALUE"""),1481.0)</f>
        <v>1481</v>
      </c>
      <c r="L75" s="16"/>
      <c r="M75" s="14"/>
    </row>
    <row r="76">
      <c r="A76" s="16" t="str">
        <f>IFERROR(__xludf.DUMMYFUNCTION("""COMPUTED_VALUE"""),"Saddy Youssouf")</f>
        <v>Saddy Youssouf</v>
      </c>
      <c r="B76" s="16"/>
      <c r="C76" s="14"/>
      <c r="F76" s="16" t="str">
        <f>IFERROR(__xludf.DUMMYFUNCTION("""COMPUTED_VALUE"""),"Koutoutourou")</f>
        <v>Koutoutourou</v>
      </c>
      <c r="G76" s="16"/>
      <c r="H76" s="14"/>
      <c r="K76" s="16">
        <f>IFERROR(__xludf.DUMMYFUNCTION("""COMPUTED_VALUE"""),5670.0)</f>
        <v>5670</v>
      </c>
      <c r="L76" s="16"/>
      <c r="M76" s="14"/>
    </row>
    <row r="77">
      <c r="A77" s="16" t="str">
        <f>IFERROR(__xludf.DUMMYFUNCTION("""COMPUTED_VALUE"""),"Issoufou Amadou Aichatou")</f>
        <v>Issoufou Amadou Aichatou</v>
      </c>
      <c r="B77" s="16"/>
      <c r="C77" s="14"/>
      <c r="F77" s="16" t="str">
        <f>IFERROR(__xludf.DUMMYFUNCTION("""COMPUTED_VALUE"""),"Koutoutourou")</f>
        <v>Koutoutourou</v>
      </c>
      <c r="G77" s="16"/>
      <c r="H77" s="14"/>
      <c r="K77" s="16">
        <f>IFERROR(__xludf.DUMMYFUNCTION("""COMPUTED_VALUE"""),5211.0)</f>
        <v>5211</v>
      </c>
      <c r="L77" s="16"/>
      <c r="M77" s="14"/>
    </row>
    <row r="78">
      <c r="A78" s="16" t="str">
        <f>IFERROR(__xludf.DUMMYFUNCTION("""COMPUTED_VALUE"""),"Issoufou Amadou Aichatou")</f>
        <v>Issoufou Amadou Aichatou</v>
      </c>
      <c r="B78" s="16"/>
      <c r="C78" s="14"/>
      <c r="F78" s="16" t="str">
        <f>IFERROR(__xludf.DUMMYFUNCTION("""COMPUTED_VALUE"""),"Koutoutourou")</f>
        <v>Koutoutourou</v>
      </c>
      <c r="G78" s="16"/>
      <c r="H78" s="14"/>
      <c r="K78" s="16">
        <f>IFERROR(__xludf.DUMMYFUNCTION("""COMPUTED_VALUE"""),1151.0)</f>
        <v>1151</v>
      </c>
      <c r="L78" s="16"/>
      <c r="M78" s="14"/>
    </row>
    <row r="79">
      <c r="A79" s="16" t="str">
        <f>IFERROR(__xludf.DUMMYFUNCTION("""COMPUTED_VALUE"""),"Issoufou Amadou Aichatou")</f>
        <v>Issoufou Amadou Aichatou</v>
      </c>
      <c r="B79" s="16"/>
      <c r="C79" s="14"/>
      <c r="F79" s="16" t="str">
        <f>IFERROR(__xludf.DUMMYFUNCTION("""COMPUTED_VALUE"""),"Koutoutourou")</f>
        <v>Koutoutourou</v>
      </c>
      <c r="G79" s="16"/>
      <c r="H79" s="14"/>
      <c r="K79" s="16">
        <f>IFERROR(__xludf.DUMMYFUNCTION("""COMPUTED_VALUE"""),3043.0)</f>
        <v>3043</v>
      </c>
      <c r="L79" s="16"/>
      <c r="M79" s="14"/>
    </row>
    <row r="80">
      <c r="A80" s="16" t="str">
        <f>IFERROR(__xludf.DUMMYFUNCTION("""COMPUTED_VALUE"""),"Sani Moussa Aboubacar")</f>
        <v>Sani Moussa Aboubacar</v>
      </c>
      <c r="B80" s="16"/>
      <c r="C80" s="14"/>
      <c r="F80" s="16" t="str">
        <f>IFERROR(__xludf.DUMMYFUNCTION("""COMPUTED_VALUE"""),"Koutoutourou")</f>
        <v>Koutoutourou</v>
      </c>
      <c r="G80" s="16"/>
      <c r="H80" s="14"/>
      <c r="K80" s="16">
        <f>IFERROR(__xludf.DUMMYFUNCTION("""COMPUTED_VALUE"""),2132.0)</f>
        <v>2132</v>
      </c>
      <c r="L80" s="16"/>
      <c r="M80" s="14"/>
    </row>
    <row r="81">
      <c r="A81" s="16" t="str">
        <f>IFERROR(__xludf.DUMMYFUNCTION("""COMPUTED_VALUE"""),"Rakia moussa")</f>
        <v>Rakia moussa</v>
      </c>
      <c r="B81" s="16"/>
      <c r="C81" s="14"/>
      <c r="F81" s="16" t="str">
        <f>IFERROR(__xludf.DUMMYFUNCTION("""COMPUTED_VALUE"""),"Koutoutourou")</f>
        <v>Koutoutourou</v>
      </c>
      <c r="G81" s="16"/>
      <c r="H81" s="14"/>
      <c r="K81" s="16">
        <f>IFERROR(__xludf.DUMMYFUNCTION("""COMPUTED_VALUE"""),3322.0)</f>
        <v>3322</v>
      </c>
      <c r="L81" s="16"/>
      <c r="M81" s="14"/>
    </row>
    <row r="82">
      <c r="A82" s="16" t="str">
        <f>IFERROR(__xludf.DUMMYFUNCTION("""COMPUTED_VALUE"""),"Rakia moussa")</f>
        <v>Rakia moussa</v>
      </c>
      <c r="B82" s="16"/>
      <c r="C82" s="14"/>
      <c r="F82" s="16" t="str">
        <f>IFERROR(__xludf.DUMMYFUNCTION("""COMPUTED_VALUE"""),"Koutoutourou")</f>
        <v>Koutoutourou</v>
      </c>
      <c r="G82" s="16"/>
      <c r="H82" s="14"/>
      <c r="K82" s="16">
        <f>IFERROR(__xludf.DUMMYFUNCTION("""COMPUTED_VALUE"""),1088.0)</f>
        <v>1088</v>
      </c>
      <c r="L82" s="16"/>
      <c r="M82" s="14"/>
    </row>
    <row r="83">
      <c r="A83" s="16" t="str">
        <f>IFERROR(__xludf.DUMMYFUNCTION("""COMPUTED_VALUE"""),"Rakia moussa")</f>
        <v>Rakia moussa</v>
      </c>
      <c r="B83" s="16"/>
      <c r="C83" s="14"/>
      <c r="F83" s="16" t="str">
        <f>IFERROR(__xludf.DUMMYFUNCTION("""COMPUTED_VALUE"""),"Koutoutourou")</f>
        <v>Koutoutourou</v>
      </c>
      <c r="G83" s="16"/>
      <c r="H83" s="14"/>
      <c r="K83" s="16">
        <f>IFERROR(__xludf.DUMMYFUNCTION("""COMPUTED_VALUE"""),4483.0)</f>
        <v>4483</v>
      </c>
      <c r="L83" s="16"/>
      <c r="M83" s="14"/>
    </row>
    <row r="84">
      <c r="A84" s="16" t="str">
        <f>IFERROR(__xludf.DUMMYFUNCTION("""COMPUTED_VALUE"""),"Rakia moussa")</f>
        <v>Rakia moussa</v>
      </c>
      <c r="B84" s="16"/>
      <c r="C84" s="14"/>
      <c r="F84" s="16" t="str">
        <f>IFERROR(__xludf.DUMMYFUNCTION("""COMPUTED_VALUE"""),"Koutoutourou")</f>
        <v>Koutoutourou</v>
      </c>
      <c r="G84" s="16"/>
      <c r="H84" s="14"/>
      <c r="K84" s="16">
        <f>IFERROR(__xludf.DUMMYFUNCTION("""COMPUTED_VALUE"""),1024.0)</f>
        <v>1024</v>
      </c>
      <c r="L84" s="16"/>
      <c r="M84" s="14"/>
    </row>
    <row r="85">
      <c r="A85" s="16" t="str">
        <f>IFERROR(__xludf.DUMMYFUNCTION("""COMPUTED_VALUE"""),"Achirou kane Abdoul Nasser")</f>
        <v>Achirou kane Abdoul Nasser</v>
      </c>
      <c r="B85" s="16"/>
      <c r="C85" s="14"/>
      <c r="F85" s="16" t="str">
        <f>IFERROR(__xludf.DUMMYFUNCTION("""COMPUTED_VALUE"""),"Koutoutourou")</f>
        <v>Koutoutourou</v>
      </c>
      <c r="G85" s="16"/>
      <c r="H85" s="14"/>
      <c r="K85" s="16">
        <f>IFERROR(__xludf.DUMMYFUNCTION("""COMPUTED_VALUE"""),833.0)</f>
        <v>833</v>
      </c>
      <c r="L85" s="16"/>
      <c r="M85" s="14"/>
    </row>
    <row r="86">
      <c r="A86" s="16" t="str">
        <f>IFERROR(__xludf.DUMMYFUNCTION("""COMPUTED_VALUE"""),"Zakari Aboubacar")</f>
        <v>Zakari Aboubacar</v>
      </c>
      <c r="B86" s="16"/>
      <c r="C86" s="14"/>
      <c r="F86" s="16" t="str">
        <f>IFERROR(__xludf.DUMMYFUNCTION("""COMPUTED_VALUE"""),"Koutoutourou")</f>
        <v>Koutoutourou</v>
      </c>
      <c r="G86" s="16"/>
      <c r="H86" s="14"/>
      <c r="K86" s="16">
        <f>IFERROR(__xludf.DUMMYFUNCTION("""COMPUTED_VALUE"""),676.0)</f>
        <v>676</v>
      </c>
      <c r="L86" s="16"/>
      <c r="M86" s="14"/>
    </row>
    <row r="87">
      <c r="A87" s="16" t="str">
        <f>IFERROR(__xludf.DUMMYFUNCTION("""COMPUTED_VALUE"""),"Zakari Aboubacar")</f>
        <v>Zakari Aboubacar</v>
      </c>
      <c r="B87" s="16"/>
      <c r="C87" s="14"/>
      <c r="F87" s="16" t="str">
        <f>IFERROR(__xludf.DUMMYFUNCTION("""COMPUTED_VALUE"""),"Koutoutourou")</f>
        <v>Koutoutourou</v>
      </c>
      <c r="G87" s="16"/>
      <c r="H87" s="14"/>
      <c r="K87" s="16">
        <f>IFERROR(__xludf.DUMMYFUNCTION("""COMPUTED_VALUE"""),1949.0)</f>
        <v>1949</v>
      </c>
      <c r="L87" s="16"/>
      <c r="M87" s="14"/>
    </row>
    <row r="88">
      <c r="A88" s="16" t="str">
        <f>IFERROR(__xludf.DUMMYFUNCTION("""COMPUTED_VALUE"""),"Achirou Malam Dan Maradi Nassirou")</f>
        <v>Achirou Malam Dan Maradi Nassirou</v>
      </c>
      <c r="B88" s="16"/>
      <c r="C88" s="14"/>
      <c r="F88" s="16" t="str">
        <f>IFERROR(__xludf.DUMMYFUNCTION("""COMPUTED_VALUE"""),"Koutoutourou")</f>
        <v>Koutoutourou</v>
      </c>
      <c r="G88" s="16"/>
      <c r="H88" s="14"/>
      <c r="K88" s="16">
        <f>IFERROR(__xludf.DUMMYFUNCTION("""COMPUTED_VALUE"""),11336.0)</f>
        <v>11336</v>
      </c>
      <c r="L88" s="16"/>
      <c r="M88" s="14"/>
    </row>
    <row r="89">
      <c r="A89" s="16" t="str">
        <f>IFERROR(__xludf.DUMMYFUNCTION("""COMPUTED_VALUE"""),"Kailou Hamidou Rainatou")</f>
        <v>Kailou Hamidou Rainatou</v>
      </c>
      <c r="B89" s="16"/>
      <c r="C89" s="14"/>
      <c r="F89" s="16" t="str">
        <f>IFERROR(__xludf.DUMMYFUNCTION("""COMPUTED_VALUE"""),"Koutoutourou")</f>
        <v>Koutoutourou</v>
      </c>
      <c r="G89" s="16"/>
      <c r="H89" s="14"/>
      <c r="K89" s="16">
        <f>IFERROR(__xludf.DUMMYFUNCTION("""COMPUTED_VALUE"""),2872.0)</f>
        <v>2872</v>
      </c>
      <c r="L89" s="16"/>
      <c r="M89" s="14"/>
    </row>
    <row r="90">
      <c r="A90" s="16" t="str">
        <f>IFERROR(__xludf.DUMMYFUNCTION("""COMPUTED_VALUE"""),"Sani Moussa Aboubacar")</f>
        <v>Sani Moussa Aboubacar</v>
      </c>
      <c r="B90" s="16"/>
      <c r="C90" s="14"/>
      <c r="F90" s="16" t="str">
        <f>IFERROR(__xludf.DUMMYFUNCTION("""COMPUTED_VALUE"""),"Koutoutourou")</f>
        <v>Koutoutourou</v>
      </c>
      <c r="G90" s="16"/>
      <c r="H90" s="14"/>
      <c r="K90" s="16">
        <f>IFERROR(__xludf.DUMMYFUNCTION("""COMPUTED_VALUE"""),3545.0)</f>
        <v>3545</v>
      </c>
      <c r="L90" s="16"/>
      <c r="M90" s="14"/>
    </row>
    <row r="91">
      <c r="A91" s="16" t="str">
        <f>IFERROR(__xludf.DUMMYFUNCTION("""COMPUTED_VALUE"""),"Abdoul Salami Ibrahim")</f>
        <v>Abdoul Salami Ibrahim</v>
      </c>
      <c r="B91" s="16"/>
      <c r="C91" s="14"/>
      <c r="F91" s="16" t="str">
        <f>IFERROR(__xludf.DUMMYFUNCTION("""COMPUTED_VALUE"""),"Koutoutourou")</f>
        <v>Koutoutourou</v>
      </c>
      <c r="G91" s="16"/>
      <c r="H91" s="14"/>
      <c r="K91" s="16">
        <f>IFERROR(__xludf.DUMMYFUNCTION("""COMPUTED_VALUE"""),2965.0)</f>
        <v>2965</v>
      </c>
      <c r="L91" s="16"/>
      <c r="M91" s="14"/>
    </row>
    <row r="92">
      <c r="A92" s="16" t="str">
        <f>IFERROR(__xludf.DUMMYFUNCTION("""COMPUTED_VALUE"""),"Abdoul Salami Ibrahim")</f>
        <v>Abdoul Salami Ibrahim</v>
      </c>
      <c r="B92" s="16"/>
      <c r="C92" s="14"/>
      <c r="F92" s="16" t="str">
        <f>IFERROR(__xludf.DUMMYFUNCTION("""COMPUTED_VALUE"""),"Quartier: Kétaré-Nassaraoua")</f>
        <v>Quartier: Kétaré-Nassaraoua</v>
      </c>
      <c r="G92" s="16"/>
      <c r="H92" s="14"/>
      <c r="K92" s="16">
        <f>IFERROR(__xludf.DUMMYFUNCTION("""COMPUTED_VALUE"""),2982.0)</f>
        <v>2982</v>
      </c>
      <c r="L92" s="16"/>
      <c r="M92" s="14"/>
    </row>
    <row r="93">
      <c r="A93" s="16" t="str">
        <f>IFERROR(__xludf.DUMMYFUNCTION("""COMPUTED_VALUE"""),"Abdoul Salami Ibrahim")</f>
        <v>Abdoul Salami Ibrahim</v>
      </c>
      <c r="B93" s="16"/>
      <c r="C93" s="14"/>
      <c r="F93" s="16" t="str">
        <f>IFERROR(__xludf.DUMMYFUNCTION("""COMPUTED_VALUE"""),"Koutoutourou")</f>
        <v>Koutoutourou</v>
      </c>
      <c r="G93" s="16"/>
      <c r="H93" s="14"/>
      <c r="K93" s="16">
        <f>IFERROR(__xludf.DUMMYFUNCTION("""COMPUTED_VALUE"""),4800.0)</f>
        <v>4800</v>
      </c>
      <c r="L93" s="16"/>
      <c r="M93" s="14"/>
    </row>
    <row r="94">
      <c r="A94" s="16" t="str">
        <f>IFERROR(__xludf.DUMMYFUNCTION("""COMPUTED_VALUE"""),"Abdoul Salami Ibrahim")</f>
        <v>Abdoul Salami Ibrahim</v>
      </c>
      <c r="B94" s="16"/>
      <c r="C94" s="14"/>
      <c r="F94" s="16" t="str">
        <f>IFERROR(__xludf.DUMMYFUNCTION("""COMPUTED_VALUE"""),"Koutoutourou")</f>
        <v>Koutoutourou</v>
      </c>
      <c r="G94" s="16"/>
      <c r="H94" s="14"/>
      <c r="K94" s="16">
        <f>IFERROR(__xludf.DUMMYFUNCTION("""COMPUTED_VALUE"""),1453.0)</f>
        <v>1453</v>
      </c>
      <c r="L94" s="16"/>
      <c r="M94" s="14"/>
    </row>
    <row r="95">
      <c r="A95" s="16" t="str">
        <f>IFERROR(__xludf.DUMMYFUNCTION("""COMPUTED_VALUE"""),"Abdoul Salami Ibrahim")</f>
        <v>Abdoul Salami Ibrahim</v>
      </c>
      <c r="B95" s="16"/>
      <c r="C95" s="14"/>
      <c r="F95" s="16" t="str">
        <f>IFERROR(__xludf.DUMMYFUNCTION("""COMPUTED_VALUE"""),"Koutoutourou")</f>
        <v>Koutoutourou</v>
      </c>
      <c r="G95" s="16"/>
      <c r="H95" s="14"/>
      <c r="K95" s="16">
        <f>IFERROR(__xludf.DUMMYFUNCTION("""COMPUTED_VALUE"""),1630.0)</f>
        <v>1630</v>
      </c>
      <c r="L95" s="16"/>
      <c r="M95" s="14"/>
    </row>
    <row r="96">
      <c r="A96" s="16" t="str">
        <f>IFERROR(__xludf.DUMMYFUNCTION("""COMPUTED_VALUE"""),"Abdoul Salami Ibrahim")</f>
        <v>Abdoul Salami Ibrahim</v>
      </c>
      <c r="B96" s="16"/>
      <c r="C96" s="14"/>
      <c r="F96" s="16" t="str">
        <f>IFERROR(__xludf.DUMMYFUNCTION("""COMPUTED_VALUE"""),"Nadara I")</f>
        <v>Nadara I</v>
      </c>
      <c r="G96" s="16"/>
      <c r="H96" s="14"/>
      <c r="K96" s="16">
        <f>IFERROR(__xludf.DUMMYFUNCTION("""COMPUTED_VALUE"""),1687.0)</f>
        <v>1687</v>
      </c>
      <c r="L96" s="16"/>
      <c r="M96" s="14"/>
    </row>
    <row r="97">
      <c r="A97" s="16" t="str">
        <f>IFERROR(__xludf.DUMMYFUNCTION("""COMPUTED_VALUE"""),"Abdoul Salami Ibrahim")</f>
        <v>Abdoul Salami Ibrahim</v>
      </c>
      <c r="B97" s="16"/>
      <c r="C97" s="14"/>
      <c r="F97" s="16" t="str">
        <f>IFERROR(__xludf.DUMMYFUNCTION("""COMPUTED_VALUE"""),"Nadara I")</f>
        <v>Nadara I</v>
      </c>
      <c r="G97" s="16"/>
      <c r="H97" s="14"/>
      <c r="K97" s="16">
        <f>IFERROR(__xludf.DUMMYFUNCTION("""COMPUTED_VALUE"""),1801.0)</f>
        <v>1801</v>
      </c>
      <c r="L97" s="16"/>
      <c r="M97" s="14"/>
    </row>
    <row r="98">
      <c r="A98" s="16" t="str">
        <f>IFERROR(__xludf.DUMMYFUNCTION("""COMPUTED_VALUE"""),"Abdoul Salami Ibrahim")</f>
        <v>Abdoul Salami Ibrahim</v>
      </c>
      <c r="B98" s="16"/>
      <c r="C98" s="14"/>
      <c r="F98" s="16" t="str">
        <f>IFERROR(__xludf.DUMMYFUNCTION("""COMPUTED_VALUE"""),"Nadara I")</f>
        <v>Nadara I</v>
      </c>
      <c r="G98" s="16"/>
      <c r="H98" s="14"/>
      <c r="K98" s="16">
        <f>IFERROR(__xludf.DUMMYFUNCTION("""COMPUTED_VALUE"""),2527.0)</f>
        <v>2527</v>
      </c>
      <c r="L98" s="16"/>
      <c r="M98" s="14"/>
    </row>
    <row r="99">
      <c r="A99" s="16" t="str">
        <f>IFERROR(__xludf.DUMMYFUNCTION("""COMPUTED_VALUE"""),"Abdoul Salami Ibrahim")</f>
        <v>Abdoul Salami Ibrahim</v>
      </c>
      <c r="B99" s="16"/>
      <c r="C99" s="14"/>
      <c r="F99" s="16" t="str">
        <f>IFERROR(__xludf.DUMMYFUNCTION("""COMPUTED_VALUE"""),"Quartier: Toudou")</f>
        <v>Quartier: Toudou</v>
      </c>
      <c r="G99" s="16"/>
      <c r="H99" s="14"/>
      <c r="K99" s="16">
        <f>IFERROR(__xludf.DUMMYFUNCTION("""COMPUTED_VALUE"""),2005.0)</f>
        <v>2005</v>
      </c>
      <c r="L99" s="16"/>
      <c r="M99" s="14"/>
    </row>
    <row r="100">
      <c r="A100" s="16" t="str">
        <f>IFERROR(__xludf.DUMMYFUNCTION("""COMPUTED_VALUE"""),"Halidou Tagaza Balkissa")</f>
        <v>Halidou Tagaza Balkissa</v>
      </c>
      <c r="B100" s="16"/>
      <c r="C100" s="14"/>
      <c r="F100" s="16" t="str">
        <f>IFERROR(__xludf.DUMMYFUNCTION("""COMPUTED_VALUE"""),"Quartier: Toudou")</f>
        <v>Quartier: Toudou</v>
      </c>
      <c r="G100" s="16"/>
      <c r="H100" s="14"/>
      <c r="K100" s="16">
        <f>IFERROR(__xludf.DUMMYFUNCTION("""COMPUTED_VALUE"""),3384.0)</f>
        <v>3384</v>
      </c>
      <c r="L100" s="16"/>
      <c r="M100" s="14"/>
    </row>
    <row r="101">
      <c r="A101" s="16" t="str">
        <f>IFERROR(__xludf.DUMMYFUNCTION("""COMPUTED_VALUE"""),"Ibrahim Dan Habou Larwana")</f>
        <v>Ibrahim Dan Habou Larwana</v>
      </c>
      <c r="B101" s="16"/>
      <c r="C101" s="14"/>
      <c r="F101" s="16" t="str">
        <f>IFERROR(__xludf.DUMMYFUNCTION("""COMPUTED_VALUE"""),"Adingirou")</f>
        <v>Adingirou</v>
      </c>
      <c r="G101" s="16"/>
      <c r="H101" s="14"/>
      <c r="K101" s="16">
        <f>IFERROR(__xludf.DUMMYFUNCTION("""COMPUTED_VALUE"""),2440.0)</f>
        <v>2440</v>
      </c>
      <c r="L101" s="16"/>
      <c r="M101" s="14"/>
    </row>
    <row r="102">
      <c r="A102" s="16" t="str">
        <f>IFERROR(__xludf.DUMMYFUNCTION("""COMPUTED_VALUE"""),"Kimba Issa Mamoudou")</f>
        <v>Kimba Issa Mamoudou</v>
      </c>
      <c r="B102" s="16"/>
      <c r="C102" s="14"/>
      <c r="F102" s="16" t="str">
        <f>IFERROR(__xludf.DUMMYFUNCTION("""COMPUTED_VALUE"""),"Adingirou")</f>
        <v>Adingirou</v>
      </c>
      <c r="G102" s="16"/>
      <c r="H102" s="14"/>
      <c r="K102" s="16">
        <f>IFERROR(__xludf.DUMMYFUNCTION("""COMPUTED_VALUE"""),2708.0)</f>
        <v>2708</v>
      </c>
      <c r="L102" s="16"/>
      <c r="M102" s="14"/>
    </row>
    <row r="103">
      <c r="A103" s="16" t="str">
        <f>IFERROR(__xludf.DUMMYFUNCTION("""COMPUTED_VALUE"""),"Moussa Ide Ibrahim")</f>
        <v>Moussa Ide Ibrahim</v>
      </c>
      <c r="B103" s="16"/>
      <c r="C103" s="14"/>
      <c r="F103" s="16" t="str">
        <f>IFERROR(__xludf.DUMMYFUNCTION("""COMPUTED_VALUE"""),"Quartier: Kétaré-Kawadata")</f>
        <v>Quartier: Kétaré-Kawadata</v>
      </c>
      <c r="G103" s="16"/>
      <c r="H103" s="14"/>
      <c r="K103" s="16">
        <f>IFERROR(__xludf.DUMMYFUNCTION("""COMPUTED_VALUE"""),411.0)</f>
        <v>411</v>
      </c>
      <c r="L103" s="16"/>
      <c r="M103" s="14"/>
    </row>
    <row r="104">
      <c r="A104" s="16" t="str">
        <f>IFERROR(__xludf.DUMMYFUNCTION("""COMPUTED_VALUE"""),"Moussa Ide Ibrahim")</f>
        <v>Moussa Ide Ibrahim</v>
      </c>
      <c r="B104" s="16"/>
      <c r="C104" s="14"/>
      <c r="F104" s="16" t="str">
        <f>IFERROR(__xludf.DUMMYFUNCTION("""COMPUTED_VALUE"""),"Quartier: Kétaré-Kawadata")</f>
        <v>Quartier: Kétaré-Kawadata</v>
      </c>
      <c r="G104" s="16"/>
      <c r="H104" s="14"/>
      <c r="K104" s="16">
        <f>IFERROR(__xludf.DUMMYFUNCTION("""COMPUTED_VALUE"""),3704.0)</f>
        <v>3704</v>
      </c>
      <c r="L104" s="16"/>
      <c r="M104" s="14"/>
    </row>
    <row r="105">
      <c r="A105" s="16" t="str">
        <f>IFERROR(__xludf.DUMMYFUNCTION("""COMPUTED_VALUE"""),"Moussa Ide Ibrahim")</f>
        <v>Moussa Ide Ibrahim</v>
      </c>
      <c r="B105" s="16"/>
      <c r="C105" s="14"/>
      <c r="F105" s="16" t="str">
        <f>IFERROR(__xludf.DUMMYFUNCTION("""COMPUTED_VALUE"""),"Nadara II")</f>
        <v>Nadara II</v>
      </c>
      <c r="G105" s="16"/>
      <c r="H105" s="14"/>
      <c r="K105" s="16">
        <f>IFERROR(__xludf.DUMMYFUNCTION("""COMPUTED_VALUE"""),1322.0)</f>
        <v>1322</v>
      </c>
      <c r="L105" s="16"/>
      <c r="M105" s="14"/>
    </row>
    <row r="106">
      <c r="A106" s="16" t="str">
        <f>IFERROR(__xludf.DUMMYFUNCTION("""COMPUTED_VALUE"""),"Fatimata Mohamed")</f>
        <v>Fatimata Mohamed</v>
      </c>
      <c r="B106" s="16"/>
      <c r="C106" s="14"/>
      <c r="F106" s="16" t="str">
        <f>IFERROR(__xludf.DUMMYFUNCTION("""COMPUTED_VALUE"""),"Adingirou")</f>
        <v>Adingirou</v>
      </c>
      <c r="G106" s="16"/>
      <c r="H106" s="14"/>
      <c r="K106" s="16">
        <f>IFERROR(__xludf.DUMMYFUNCTION("""COMPUTED_VALUE"""),1779.0)</f>
        <v>1779</v>
      </c>
      <c r="L106" s="16"/>
      <c r="M106" s="14"/>
    </row>
    <row r="107">
      <c r="A107" s="16" t="str">
        <f>IFERROR(__xludf.DUMMYFUNCTION("""COMPUTED_VALUE"""),"Fatimata Mohamed")</f>
        <v>Fatimata Mohamed</v>
      </c>
      <c r="B107" s="16"/>
      <c r="C107" s="14"/>
      <c r="F107" s="16" t="str">
        <f>IFERROR(__xludf.DUMMYFUNCTION("""COMPUTED_VALUE"""),"Tounga Saddi")</f>
        <v>Tounga Saddi</v>
      </c>
      <c r="G107" s="16"/>
      <c r="H107" s="14"/>
      <c r="K107" s="16">
        <f>IFERROR(__xludf.DUMMYFUNCTION("""COMPUTED_VALUE"""),5797.0)</f>
        <v>5797</v>
      </c>
      <c r="L107" s="16"/>
      <c r="M107" s="14"/>
    </row>
    <row r="108">
      <c r="A108" s="16" t="str">
        <f>IFERROR(__xludf.DUMMYFUNCTION("""COMPUTED_VALUE"""),"Fatimata Mohamed")</f>
        <v>Fatimata Mohamed</v>
      </c>
      <c r="B108" s="16"/>
      <c r="C108" s="14"/>
      <c r="F108" s="16" t="str">
        <f>IFERROR(__xludf.DUMMYFUNCTION("""COMPUTED_VALUE"""),"Nadara II")</f>
        <v>Nadara II</v>
      </c>
      <c r="G108" s="16"/>
      <c r="H108" s="14"/>
      <c r="K108" s="16">
        <f>IFERROR(__xludf.DUMMYFUNCTION("""COMPUTED_VALUE"""),4816.0)</f>
        <v>4816</v>
      </c>
      <c r="L108" s="16"/>
      <c r="M108" s="14"/>
    </row>
    <row r="109">
      <c r="A109" s="16" t="str">
        <f>IFERROR(__xludf.DUMMYFUNCTION("""COMPUTED_VALUE"""),"Halimatou Adamou Marafa")</f>
        <v>Halimatou Adamou Marafa</v>
      </c>
      <c r="B109" s="16"/>
      <c r="C109" s="14"/>
      <c r="F109" s="16" t="str">
        <f>IFERROR(__xludf.DUMMYFUNCTION("""COMPUTED_VALUE"""),"Quartier: Kétaré-Kawadata")</f>
        <v>Quartier: Kétaré-Kawadata</v>
      </c>
      <c r="G109" s="16"/>
      <c r="H109" s="14"/>
      <c r="K109" s="16">
        <f>IFERROR(__xludf.DUMMYFUNCTION("""COMPUTED_VALUE"""),5880.0)</f>
        <v>5880</v>
      </c>
      <c r="L109" s="16"/>
      <c r="M109" s="14"/>
    </row>
    <row r="110">
      <c r="A110" s="16" t="str">
        <f>IFERROR(__xludf.DUMMYFUNCTION("""COMPUTED_VALUE"""),"Amadou Hamidou Abdoul Karim")</f>
        <v>Amadou Hamidou Abdoul Karim</v>
      </c>
      <c r="B110" s="16"/>
      <c r="C110" s="14"/>
      <c r="F110" s="16" t="str">
        <f>IFERROR(__xludf.DUMMYFUNCTION("""COMPUTED_VALUE"""),"Quartier: Kétaré-Kawadata")</f>
        <v>Quartier: Kétaré-Kawadata</v>
      </c>
      <c r="G110" s="16"/>
      <c r="H110" s="14"/>
      <c r="K110" s="16">
        <f>IFERROR(__xludf.DUMMYFUNCTION("""COMPUTED_VALUE"""),5762.0)</f>
        <v>5762</v>
      </c>
      <c r="L110" s="16"/>
      <c r="M110" s="14"/>
    </row>
    <row r="111">
      <c r="A111" s="16" t="str">
        <f>IFERROR(__xludf.DUMMYFUNCTION("""COMPUTED_VALUE"""),"Amadou Hamidou Abdoul Karim")</f>
        <v>Amadou Hamidou Abdoul Karim</v>
      </c>
      <c r="B111" s="16"/>
      <c r="C111" s="14"/>
      <c r="F111" s="16" t="str">
        <f>IFERROR(__xludf.DUMMYFUNCTION("""COMPUTED_VALUE"""),"Roumbouki")</f>
        <v>Roumbouki</v>
      </c>
      <c r="G111" s="16"/>
      <c r="H111" s="14"/>
      <c r="K111" s="16">
        <f>IFERROR(__xludf.DUMMYFUNCTION("""COMPUTED_VALUE"""),2385.0)</f>
        <v>2385</v>
      </c>
      <c r="L111" s="16"/>
      <c r="M111" s="14"/>
    </row>
    <row r="112">
      <c r="A112" s="16" t="str">
        <f>IFERROR(__xludf.DUMMYFUNCTION("""COMPUTED_VALUE"""),"Amadou Hamidou Abdoul Karim")</f>
        <v>Amadou Hamidou Abdoul Karim</v>
      </c>
      <c r="B112" s="16"/>
      <c r="C112" s="14"/>
      <c r="F112" s="16" t="str">
        <f>IFERROR(__xludf.DUMMYFUNCTION("""COMPUTED_VALUE"""),"Roumbouki")</f>
        <v>Roumbouki</v>
      </c>
      <c r="G112" s="16"/>
      <c r="H112" s="14"/>
      <c r="K112" s="16">
        <f>IFERROR(__xludf.DUMMYFUNCTION("""COMPUTED_VALUE"""),2242.0)</f>
        <v>2242</v>
      </c>
      <c r="L112" s="16"/>
      <c r="M112" s="14"/>
    </row>
    <row r="113">
      <c r="A113" s="16" t="str">
        <f>IFERROR(__xludf.DUMMYFUNCTION("""COMPUTED_VALUE"""),"Achirou Malam Dan Maradi Nassirou")</f>
        <v>Achirou Malam Dan Maradi Nassirou</v>
      </c>
      <c r="B113" s="16"/>
      <c r="C113" s="14"/>
      <c r="F113" s="16" t="str">
        <f>IFERROR(__xludf.DUMMYFUNCTION("""COMPUTED_VALUE"""),"Tambas 1")</f>
        <v>Tambas 1</v>
      </c>
      <c r="G113" s="16"/>
      <c r="H113" s="14"/>
      <c r="K113" s="16">
        <f>IFERROR(__xludf.DUMMYFUNCTION("""COMPUTED_VALUE"""),805.0)</f>
        <v>805</v>
      </c>
      <c r="L113" s="16"/>
      <c r="M113" s="14"/>
    </row>
    <row r="114">
      <c r="A114" s="16" t="str">
        <f>IFERROR(__xludf.DUMMYFUNCTION("""COMPUTED_VALUE"""),"Mohamed Cherif")</f>
        <v>Mohamed Cherif</v>
      </c>
      <c r="B114" s="16"/>
      <c r="C114" s="14"/>
      <c r="F114" s="16" t="str">
        <f>IFERROR(__xludf.DUMMYFUNCTION("""COMPUTED_VALUE"""),"Zangon-Kachéfawa")</f>
        <v>Zangon-Kachéfawa</v>
      </c>
      <c r="G114" s="16"/>
      <c r="H114" s="14"/>
      <c r="K114" s="16">
        <f>IFERROR(__xludf.DUMMYFUNCTION("""COMPUTED_VALUE"""),4076.0)</f>
        <v>4076</v>
      </c>
      <c r="L114" s="16"/>
      <c r="M114" s="14"/>
    </row>
    <row r="115">
      <c r="A115" s="16" t="str">
        <f>IFERROR(__xludf.DUMMYFUNCTION("""COMPUTED_VALUE"""),"Mohamed Cherif")</f>
        <v>Mohamed Cherif</v>
      </c>
      <c r="B115" s="16"/>
      <c r="C115" s="14"/>
      <c r="F115" s="16" t="str">
        <f>IFERROR(__xludf.DUMMYFUNCTION("""COMPUTED_VALUE"""),"Zangon-Kachéfawa")</f>
        <v>Zangon-Kachéfawa</v>
      </c>
      <c r="G115" s="16"/>
      <c r="H115" s="14"/>
      <c r="K115" s="16">
        <f>IFERROR(__xludf.DUMMYFUNCTION("""COMPUTED_VALUE"""),932.0)</f>
        <v>932</v>
      </c>
      <c r="L115" s="16"/>
      <c r="M115" s="14"/>
    </row>
    <row r="116">
      <c r="A116" s="16" t="str">
        <f>IFERROR(__xludf.DUMMYFUNCTION("""COMPUTED_VALUE"""),"Mohamed Cherif")</f>
        <v>Mohamed Cherif</v>
      </c>
      <c r="B116" s="16"/>
      <c r="C116" s="14"/>
      <c r="F116" s="16" t="str">
        <f>IFERROR(__xludf.DUMMYFUNCTION("""COMPUTED_VALUE"""),"Kobkoli")</f>
        <v>Kobkoli</v>
      </c>
      <c r="G116" s="16"/>
      <c r="H116" s="14"/>
      <c r="K116" s="16">
        <f>IFERROR(__xludf.DUMMYFUNCTION("""COMPUTED_VALUE"""),1865.0)</f>
        <v>1865</v>
      </c>
      <c r="L116" s="16"/>
      <c r="M116" s="14"/>
    </row>
    <row r="117">
      <c r="A117" s="16" t="str">
        <f>IFERROR(__xludf.DUMMYFUNCTION("""COMPUTED_VALUE"""),"Ouhoumoudou Djannou Ibrahim")</f>
        <v>Ouhoumoudou Djannou Ibrahim</v>
      </c>
      <c r="B117" s="16"/>
      <c r="C117" s="14"/>
      <c r="F117" s="16" t="str">
        <f>IFERROR(__xludf.DUMMYFUNCTION("""COMPUTED_VALUE"""),"Kobkoli")</f>
        <v>Kobkoli</v>
      </c>
      <c r="G117" s="16"/>
      <c r="H117" s="14"/>
      <c r="K117" s="16">
        <f>IFERROR(__xludf.DUMMYFUNCTION("""COMPUTED_VALUE"""),608.0)</f>
        <v>608</v>
      </c>
      <c r="L117" s="16"/>
      <c r="M117" s="14"/>
    </row>
    <row r="118">
      <c r="A118" s="16" t="str">
        <f>IFERROR(__xludf.DUMMYFUNCTION("""COMPUTED_VALUE"""),"Ouhoumoudou Djannou Ibrahim")</f>
        <v>Ouhoumoudou Djannou Ibrahim</v>
      </c>
      <c r="B118" s="16"/>
      <c r="C118" s="14"/>
      <c r="F118" s="16" t="str">
        <f>IFERROR(__xludf.DUMMYFUNCTION("""COMPUTED_VALUE"""),"Intouramé")</f>
        <v>Intouramé</v>
      </c>
      <c r="G118" s="16"/>
      <c r="H118" s="14"/>
      <c r="K118" s="16">
        <f>IFERROR(__xludf.DUMMYFUNCTION("""COMPUTED_VALUE"""),795.0)</f>
        <v>795</v>
      </c>
      <c r="L118" s="16"/>
      <c r="M118" s="14"/>
    </row>
    <row r="119">
      <c r="A119" s="16" t="str">
        <f>IFERROR(__xludf.DUMMYFUNCTION("""COMPUTED_VALUE"""),"Ouhoumoudou Djannou Ibrahim")</f>
        <v>Ouhoumoudou Djannou Ibrahim</v>
      </c>
      <c r="B119" s="16"/>
      <c r="C119" s="14"/>
      <c r="F119" s="16" t="str">
        <f>IFERROR(__xludf.DUMMYFUNCTION("""COMPUTED_VALUE"""),"Intouramé")</f>
        <v>Intouramé</v>
      </c>
      <c r="G119" s="16"/>
      <c r="H119" s="14"/>
      <c r="K119" s="16">
        <f>IFERROR(__xludf.DUMMYFUNCTION("""COMPUTED_VALUE"""),442.0)</f>
        <v>442</v>
      </c>
      <c r="L119" s="16"/>
      <c r="M119" s="14"/>
    </row>
    <row r="120">
      <c r="A120" s="16" t="str">
        <f>IFERROR(__xludf.DUMMYFUNCTION("""COMPUTED_VALUE"""),"Hadjara Abdourahamane Tambari")</f>
        <v>Hadjara Abdourahamane Tambari</v>
      </c>
      <c r="B120" s="16"/>
      <c r="C120" s="14"/>
      <c r="F120" s="16" t="str">
        <f>IFERROR(__xludf.DUMMYFUNCTION("""COMPUTED_VALUE"""),"Kobkoli")</f>
        <v>Kobkoli</v>
      </c>
      <c r="G120" s="16"/>
      <c r="H120" s="14"/>
      <c r="K120" s="16">
        <f>IFERROR(__xludf.DUMMYFUNCTION("""COMPUTED_VALUE"""),1301.0)</f>
        <v>1301</v>
      </c>
      <c r="L120" s="16"/>
      <c r="M120" s="14"/>
    </row>
    <row r="121">
      <c r="A121" s="16" t="str">
        <f>IFERROR(__xludf.DUMMYFUNCTION("""COMPUTED_VALUE"""),"Hadjara Abdourahamane Tambari")</f>
        <v>Hadjara Abdourahamane Tambari</v>
      </c>
      <c r="B121" s="16"/>
      <c r="C121" s="14"/>
      <c r="F121" s="16" t="str">
        <f>IFERROR(__xludf.DUMMYFUNCTION("""COMPUTED_VALUE"""),"Kobkoli")</f>
        <v>Kobkoli</v>
      </c>
      <c r="G121" s="16"/>
      <c r="H121" s="14"/>
      <c r="K121" s="16">
        <f>IFERROR(__xludf.DUMMYFUNCTION("""COMPUTED_VALUE"""),2402.0)</f>
        <v>2402</v>
      </c>
      <c r="L121" s="16"/>
      <c r="M121" s="14"/>
    </row>
    <row r="122">
      <c r="A122" s="16" t="str">
        <f>IFERROR(__xludf.DUMMYFUNCTION("""COMPUTED_VALUE"""),"Hadjara Abdourahamane Tambari")</f>
        <v>Hadjara Abdourahamane Tambari</v>
      </c>
      <c r="B122" s="16"/>
      <c r="C122" s="14"/>
      <c r="F122" s="16" t="str">
        <f>IFERROR(__xludf.DUMMYFUNCTION("""COMPUTED_VALUE"""),"Intouramé")</f>
        <v>Intouramé</v>
      </c>
      <c r="G122" s="16"/>
      <c r="H122" s="14"/>
      <c r="K122" s="16">
        <f>IFERROR(__xludf.DUMMYFUNCTION("""COMPUTED_VALUE"""),1296.0)</f>
        <v>1296</v>
      </c>
      <c r="L122" s="16"/>
      <c r="M122" s="14"/>
    </row>
    <row r="123">
      <c r="A123" s="16" t="str">
        <f>IFERROR(__xludf.DUMMYFUNCTION("""COMPUTED_VALUE"""),"Larabou Chamsoudine")</f>
        <v>Larabou Chamsoudine</v>
      </c>
      <c r="B123" s="16"/>
      <c r="C123" s="14"/>
      <c r="F123" s="16" t="str">
        <f>IFERROR(__xludf.DUMMYFUNCTION("""COMPUTED_VALUE"""),"Intouramé")</f>
        <v>Intouramé</v>
      </c>
      <c r="G123" s="16"/>
      <c r="H123" s="14"/>
      <c r="K123" s="16">
        <f>IFERROR(__xludf.DUMMYFUNCTION("""COMPUTED_VALUE"""),1482.0)</f>
        <v>1482</v>
      </c>
      <c r="L123" s="16"/>
      <c r="M123" s="14"/>
    </row>
    <row r="124">
      <c r="A124" s="16" t="str">
        <f>IFERROR(__xludf.DUMMYFUNCTION("""COMPUTED_VALUE"""),"Kadidja Issaka Hamidou")</f>
        <v>Kadidja Issaka Hamidou</v>
      </c>
      <c r="B124" s="16"/>
      <c r="C124" s="14"/>
      <c r="F124" s="16" t="str">
        <f>IFERROR(__xludf.DUMMYFUNCTION("""COMPUTED_VALUE"""),"Tounga Saddi")</f>
        <v>Tounga Saddi</v>
      </c>
      <c r="G124" s="16"/>
      <c r="H124" s="14"/>
      <c r="K124" s="16">
        <f>IFERROR(__xludf.DUMMYFUNCTION("""COMPUTED_VALUE"""),1225.0)</f>
        <v>1225</v>
      </c>
      <c r="L124" s="16"/>
      <c r="M124" s="14"/>
    </row>
    <row r="125">
      <c r="A125" s="16" t="str">
        <f>IFERROR(__xludf.DUMMYFUNCTION("""COMPUTED_VALUE"""),"Kadidja Issaka Hamidou")</f>
        <v>Kadidja Issaka Hamidou</v>
      </c>
      <c r="B125" s="16"/>
      <c r="C125" s="14"/>
      <c r="F125" s="16" t="str">
        <f>IFERROR(__xludf.DUMMYFUNCTION("""COMPUTED_VALUE"""),"Tounga Saddi")</f>
        <v>Tounga Saddi</v>
      </c>
      <c r="G125" s="16"/>
      <c r="H125" s="14"/>
      <c r="K125" s="16">
        <f>IFERROR(__xludf.DUMMYFUNCTION("""COMPUTED_VALUE"""),5937.0)</f>
        <v>5937</v>
      </c>
      <c r="L125" s="16"/>
      <c r="M125" s="14"/>
    </row>
    <row r="126">
      <c r="A126" s="16" t="str">
        <f>IFERROR(__xludf.DUMMYFUNCTION("""COMPUTED_VALUE"""),"Larabou Chamsoudine")</f>
        <v>Larabou Chamsoudine</v>
      </c>
      <c r="B126" s="16"/>
      <c r="C126" s="14"/>
      <c r="F126" s="16" t="str">
        <f>IFERROR(__xludf.DUMMYFUNCTION("""COMPUTED_VALUE"""),"Zangon-Kachéfawa")</f>
        <v>Zangon-Kachéfawa</v>
      </c>
      <c r="G126" s="16"/>
      <c r="H126" s="14"/>
      <c r="K126" s="16">
        <f>IFERROR(__xludf.DUMMYFUNCTION("""COMPUTED_VALUE"""),524.0)</f>
        <v>524</v>
      </c>
      <c r="L126" s="16"/>
      <c r="M126" s="14"/>
    </row>
    <row r="127">
      <c r="A127" s="16" t="str">
        <f>IFERROR(__xludf.DUMMYFUNCTION("""COMPUTED_VALUE"""),"Aboubacar Hamadou Manga")</f>
        <v>Aboubacar Hamadou Manga</v>
      </c>
      <c r="B127" s="16"/>
      <c r="C127" s="14"/>
      <c r="F127" s="16" t="str">
        <f>IFERROR(__xludf.DUMMYFUNCTION("""COMPUTED_VALUE"""),"Zangon-Kachéfawa")</f>
        <v>Zangon-Kachéfawa</v>
      </c>
      <c r="G127" s="16"/>
      <c r="H127" s="14"/>
      <c r="K127" s="16">
        <f>IFERROR(__xludf.DUMMYFUNCTION("""COMPUTED_VALUE"""),5624.0)</f>
        <v>5624</v>
      </c>
      <c r="L127" s="16"/>
      <c r="M127" s="14"/>
    </row>
    <row r="128">
      <c r="A128" s="16" t="str">
        <f>IFERROR(__xludf.DUMMYFUNCTION("""COMPUTED_VALUE"""),"Larabou Chamsoudine")</f>
        <v>Larabou Chamsoudine</v>
      </c>
      <c r="B128" s="16"/>
      <c r="C128" s="14"/>
      <c r="F128" s="16" t="str">
        <f>IFERROR(__xludf.DUMMYFUNCTION("""COMPUTED_VALUE"""),"Zangon-Kachéfawa")</f>
        <v>Zangon-Kachéfawa</v>
      </c>
      <c r="G128" s="16"/>
      <c r="H128" s="14"/>
      <c r="K128" s="16">
        <f>IFERROR(__xludf.DUMMYFUNCTION("""COMPUTED_VALUE"""),633.0)</f>
        <v>633</v>
      </c>
      <c r="L128" s="16"/>
      <c r="M128" s="14"/>
    </row>
    <row r="129">
      <c r="A129" s="16" t="str">
        <f>IFERROR(__xludf.DUMMYFUNCTION("""COMPUTED_VALUE"""),"Kadidja Issaka Hamidou")</f>
        <v>Kadidja Issaka Hamidou</v>
      </c>
      <c r="B129" s="16"/>
      <c r="C129" s="14"/>
      <c r="F129" s="16" t="str">
        <f>IFERROR(__xludf.DUMMYFUNCTION("""COMPUTED_VALUE"""),"Tounga Saddi")</f>
        <v>Tounga Saddi</v>
      </c>
      <c r="G129" s="16"/>
      <c r="H129" s="14"/>
      <c r="K129" s="16">
        <f>IFERROR(__xludf.DUMMYFUNCTION("""COMPUTED_VALUE"""),3068.0)</f>
        <v>3068</v>
      </c>
      <c r="L129" s="16"/>
      <c r="M129" s="14"/>
    </row>
    <row r="130">
      <c r="A130" s="16" t="str">
        <f>IFERROR(__xludf.DUMMYFUNCTION("""COMPUTED_VALUE"""),"Larabou Chamsoudine")</f>
        <v>Larabou Chamsoudine</v>
      </c>
      <c r="B130" s="16"/>
      <c r="C130" s="14"/>
      <c r="F130" s="16" t="str">
        <f>IFERROR(__xludf.DUMMYFUNCTION("""COMPUTED_VALUE"""),"Tounga Saddi")</f>
        <v>Tounga Saddi</v>
      </c>
      <c r="G130" s="16"/>
      <c r="H130" s="14"/>
      <c r="K130" s="16">
        <f>IFERROR(__xludf.DUMMYFUNCTION("""COMPUTED_VALUE"""),502.0)</f>
        <v>502</v>
      </c>
      <c r="L130" s="16"/>
      <c r="M130" s="14"/>
    </row>
    <row r="131">
      <c r="A131" s="16" t="str">
        <f>IFERROR(__xludf.DUMMYFUNCTION("""COMPUTED_VALUE"""),"Larabou Chamsoudine")</f>
        <v>Larabou Chamsoudine</v>
      </c>
      <c r="B131" s="16"/>
      <c r="C131" s="14"/>
      <c r="F131" s="16" t="str">
        <f>IFERROR(__xludf.DUMMYFUNCTION("""COMPUTED_VALUE"""),"Roumbouki")</f>
        <v>Roumbouki</v>
      </c>
      <c r="G131" s="16"/>
      <c r="H131" s="14"/>
      <c r="K131" s="16">
        <f>IFERROR(__xludf.DUMMYFUNCTION("""COMPUTED_VALUE"""),434.0)</f>
        <v>434</v>
      </c>
      <c r="L131" s="16"/>
      <c r="M131" s="14"/>
    </row>
    <row r="132">
      <c r="A132" s="16" t="str">
        <f>IFERROR(__xludf.DUMMYFUNCTION("""COMPUTED_VALUE"""),"Saddy Youssouf")</f>
        <v>Saddy Youssouf</v>
      </c>
      <c r="B132" s="16"/>
      <c r="C132" s="14"/>
      <c r="F132" s="16" t="str">
        <f>IFERROR(__xludf.DUMMYFUNCTION("""COMPUTED_VALUE"""),"Roumbouki")</f>
        <v>Roumbouki</v>
      </c>
      <c r="G132" s="16"/>
      <c r="H132" s="14"/>
      <c r="K132" s="16">
        <f>IFERROR(__xludf.DUMMYFUNCTION("""COMPUTED_VALUE"""),3270.0)</f>
        <v>3270</v>
      </c>
      <c r="L132" s="16"/>
      <c r="M132" s="14"/>
    </row>
    <row r="133">
      <c r="A133" s="16" t="str">
        <f>IFERROR(__xludf.DUMMYFUNCTION("""COMPUTED_VALUE"""),"Saddy Youssouf")</f>
        <v>Saddy Youssouf</v>
      </c>
      <c r="B133" s="16"/>
      <c r="C133" s="14"/>
      <c r="F133" s="16" t="str">
        <f>IFERROR(__xludf.DUMMYFUNCTION("""COMPUTED_VALUE"""),"Fardatt")</f>
        <v>Fardatt</v>
      </c>
      <c r="G133" s="16"/>
      <c r="H133" s="14"/>
      <c r="K133" s="16">
        <f>IFERROR(__xludf.DUMMYFUNCTION("""COMPUTED_VALUE"""),2228.0)</f>
        <v>2228</v>
      </c>
      <c r="L133" s="16"/>
      <c r="M133" s="14"/>
    </row>
    <row r="134">
      <c r="A134" s="16" t="str">
        <f>IFERROR(__xludf.DUMMYFUNCTION("""COMPUTED_VALUE"""),"Saddy Youssouf")</f>
        <v>Saddy Youssouf</v>
      </c>
      <c r="B134" s="16"/>
      <c r="C134" s="14"/>
      <c r="F134" s="16" t="str">
        <f>IFERROR(__xludf.DUMMYFUNCTION("""COMPUTED_VALUE"""),"Fardatt")</f>
        <v>Fardatt</v>
      </c>
      <c r="G134" s="16"/>
      <c r="H134" s="14"/>
      <c r="K134" s="16">
        <f>IFERROR(__xludf.DUMMYFUNCTION("""COMPUTED_VALUE"""),664.0)</f>
        <v>664</v>
      </c>
      <c r="L134" s="16"/>
      <c r="M134" s="14"/>
    </row>
    <row r="135">
      <c r="A135" s="16" t="str">
        <f>IFERROR(__xludf.DUMMYFUNCTION("""COMPUTED_VALUE"""),"Saddy Youssouf")</f>
        <v>Saddy Youssouf</v>
      </c>
      <c r="B135" s="16"/>
      <c r="C135" s="14"/>
      <c r="F135" s="16" t="str">
        <f>IFERROR(__xludf.DUMMYFUNCTION("""COMPUTED_VALUE"""),"Fardatt")</f>
        <v>Fardatt</v>
      </c>
      <c r="G135" s="16"/>
      <c r="H135" s="14"/>
      <c r="K135" s="16">
        <f>IFERROR(__xludf.DUMMYFUNCTION("""COMPUTED_VALUE"""),1230.0)</f>
        <v>1230</v>
      </c>
      <c r="L135" s="16"/>
      <c r="M135" s="14"/>
    </row>
    <row r="136">
      <c r="A136" s="16" t="str">
        <f>IFERROR(__xludf.DUMMYFUNCTION("""COMPUTED_VALUE"""),"Saddy Youssouf")</f>
        <v>Saddy Youssouf</v>
      </c>
      <c r="B136" s="16"/>
      <c r="C136" s="14"/>
      <c r="F136" s="16" t="str">
        <f>IFERROR(__xludf.DUMMYFUNCTION("""COMPUTED_VALUE"""),"Fardatt")</f>
        <v>Fardatt</v>
      </c>
      <c r="G136" s="16"/>
      <c r="H136" s="14"/>
      <c r="K136" s="16">
        <f>IFERROR(__xludf.DUMMYFUNCTION("""COMPUTED_VALUE"""),3248.0)</f>
        <v>3248</v>
      </c>
      <c r="L136" s="16"/>
      <c r="M136" s="14"/>
    </row>
    <row r="137">
      <c r="A137" s="16" t="str">
        <f>IFERROR(__xludf.DUMMYFUNCTION("""COMPUTED_VALUE"""),"Abdoul Salami Ibrahim")</f>
        <v>Abdoul Salami Ibrahim</v>
      </c>
      <c r="B137" s="16"/>
      <c r="C137" s="14"/>
      <c r="F137" s="16" t="str">
        <f>IFERROR(__xludf.DUMMYFUNCTION("""COMPUTED_VALUE"""),"Quartier: Doumessaoua")</f>
        <v>Quartier: Doumessaoua</v>
      </c>
      <c r="G137" s="16"/>
      <c r="H137" s="14"/>
      <c r="K137" s="16">
        <f>IFERROR(__xludf.DUMMYFUNCTION("""COMPUTED_VALUE"""),2414.0)</f>
        <v>2414</v>
      </c>
      <c r="L137" s="16"/>
      <c r="M137" s="14"/>
    </row>
    <row r="138">
      <c r="A138" s="16" t="str">
        <f>IFERROR(__xludf.DUMMYFUNCTION("""COMPUTED_VALUE"""),"Abdoul Salami Ibrahim")</f>
        <v>Abdoul Salami Ibrahim</v>
      </c>
      <c r="B138" s="16"/>
      <c r="C138" s="14"/>
      <c r="F138" s="16" t="str">
        <f>IFERROR(__xludf.DUMMYFUNCTION("""COMPUTED_VALUE"""),"Kobkoli")</f>
        <v>Kobkoli</v>
      </c>
      <c r="G138" s="16"/>
      <c r="H138" s="14"/>
      <c r="K138" s="16">
        <f>IFERROR(__xludf.DUMMYFUNCTION("""COMPUTED_VALUE"""),3518.0)</f>
        <v>3518</v>
      </c>
      <c r="L138" s="16"/>
      <c r="M138" s="14"/>
    </row>
    <row r="139">
      <c r="A139" s="16" t="str">
        <f>IFERROR(__xludf.DUMMYFUNCTION("""COMPUTED_VALUE"""),"Abdoul Salami Ibrahim")</f>
        <v>Abdoul Salami Ibrahim</v>
      </c>
      <c r="B139" s="16"/>
      <c r="C139" s="14"/>
      <c r="F139" s="16" t="str">
        <f>IFERROR(__xludf.DUMMYFUNCTION("""COMPUTED_VALUE"""),"Kobkoli")</f>
        <v>Kobkoli</v>
      </c>
      <c r="G139" s="16"/>
      <c r="H139" s="14"/>
      <c r="K139" s="16">
        <f>IFERROR(__xludf.DUMMYFUNCTION("""COMPUTED_VALUE"""),3097.0)</f>
        <v>3097</v>
      </c>
      <c r="L139" s="16"/>
      <c r="M139" s="14"/>
    </row>
    <row r="140">
      <c r="A140" s="16" t="str">
        <f>IFERROR(__xludf.DUMMYFUNCTION("""COMPUTED_VALUE"""),"Mohamadou Amadou")</f>
        <v>Mohamadou Amadou</v>
      </c>
      <c r="B140" s="16"/>
      <c r="C140" s="14"/>
      <c r="F140" s="16" t="str">
        <f>IFERROR(__xludf.DUMMYFUNCTION("""COMPUTED_VALUE"""),"Tounga Saddi")</f>
        <v>Tounga Saddi</v>
      </c>
      <c r="G140" s="16"/>
      <c r="H140" s="14"/>
      <c r="K140" s="16">
        <f>IFERROR(__xludf.DUMMYFUNCTION("""COMPUTED_VALUE"""),4853.0)</f>
        <v>4853</v>
      </c>
      <c r="L140" s="16"/>
      <c r="M140" s="14"/>
    </row>
    <row r="141">
      <c r="A141" s="16" t="str">
        <f>IFERROR(__xludf.DUMMYFUNCTION("""COMPUTED_VALUE"""),"Mohamadou Amadou")</f>
        <v>Mohamadou Amadou</v>
      </c>
      <c r="B141" s="16"/>
      <c r="C141" s="14"/>
      <c r="F141" s="16" t="str">
        <f>IFERROR(__xludf.DUMMYFUNCTION("""COMPUTED_VALUE"""),"Tounga Saddi")</f>
        <v>Tounga Saddi</v>
      </c>
      <c r="G141" s="16"/>
      <c r="H141" s="14"/>
      <c r="K141" s="16">
        <f>IFERROR(__xludf.DUMMYFUNCTION("""COMPUTED_VALUE"""),3837.0)</f>
        <v>3837</v>
      </c>
      <c r="L141" s="16"/>
      <c r="M141" s="14"/>
    </row>
    <row r="142">
      <c r="A142" s="16" t="str">
        <f>IFERROR(__xludf.DUMMYFUNCTION("""COMPUTED_VALUE"""),"Mohamadou Amadou")</f>
        <v>Mohamadou Amadou</v>
      </c>
      <c r="B142" s="16"/>
      <c r="C142" s="14"/>
      <c r="F142" s="16" t="str">
        <f>IFERROR(__xludf.DUMMYFUNCTION("""COMPUTED_VALUE"""),"Roumbouki")</f>
        <v>Roumbouki</v>
      </c>
      <c r="G142" s="16"/>
      <c r="H142" s="14"/>
      <c r="K142" s="16">
        <f>IFERROR(__xludf.DUMMYFUNCTION("""COMPUTED_VALUE"""),1508.0)</f>
        <v>1508</v>
      </c>
      <c r="L142" s="16"/>
      <c r="M142" s="14"/>
    </row>
    <row r="143">
      <c r="A143" s="16" t="str">
        <f>IFERROR(__xludf.DUMMYFUNCTION("""COMPUTED_VALUE"""),"Inoussa Balkissou")</f>
        <v>Inoussa Balkissou</v>
      </c>
      <c r="B143" s="16"/>
      <c r="C143" s="14"/>
      <c r="F143" s="16" t="str">
        <f>IFERROR(__xludf.DUMMYFUNCTION("""COMPUTED_VALUE"""),"Kobkoli")</f>
        <v>Kobkoli</v>
      </c>
      <c r="G143" s="16"/>
      <c r="H143" s="14"/>
      <c r="K143" s="16">
        <f>IFERROR(__xludf.DUMMYFUNCTION("""COMPUTED_VALUE"""),757.0)</f>
        <v>757</v>
      </c>
      <c r="L143" s="16"/>
      <c r="M143" s="14"/>
    </row>
    <row r="144">
      <c r="A144" s="16" t="str">
        <f>IFERROR(__xludf.DUMMYFUNCTION("""COMPUTED_VALUE"""),"Rabi Boubacar Younoussa")</f>
        <v>Rabi Boubacar Younoussa</v>
      </c>
      <c r="B144" s="16"/>
      <c r="C144" s="14"/>
      <c r="F144" s="16" t="str">
        <f>IFERROR(__xludf.DUMMYFUNCTION("""COMPUTED_VALUE"""),"Farabani")</f>
        <v>Farabani</v>
      </c>
      <c r="G144" s="16"/>
      <c r="H144" s="14"/>
      <c r="K144" s="16">
        <f>IFERROR(__xludf.DUMMYFUNCTION("""COMPUTED_VALUE"""),963.0)</f>
        <v>963</v>
      </c>
      <c r="L144" s="16"/>
      <c r="M144" s="14"/>
    </row>
    <row r="145">
      <c r="A145" s="16" t="str">
        <f>IFERROR(__xludf.DUMMYFUNCTION("""COMPUTED_VALUE"""),"Rabi Boubacar Younoussa")</f>
        <v>Rabi Boubacar Younoussa</v>
      </c>
      <c r="B145" s="16"/>
      <c r="C145" s="14"/>
      <c r="F145" s="16" t="str">
        <f>IFERROR(__xludf.DUMMYFUNCTION("""COMPUTED_VALUE"""),"Farabani")</f>
        <v>Farabani</v>
      </c>
      <c r="G145" s="16"/>
      <c r="H145" s="14"/>
      <c r="K145" s="16">
        <f>IFERROR(__xludf.DUMMYFUNCTION("""COMPUTED_VALUE"""),2836.0)</f>
        <v>2836</v>
      </c>
      <c r="L145" s="16"/>
      <c r="M145" s="14"/>
    </row>
    <row r="146">
      <c r="A146" s="16" t="str">
        <f>IFERROR(__xludf.DUMMYFUNCTION("""COMPUTED_VALUE"""),"Rabi Boubacar Younoussa")</f>
        <v>Rabi Boubacar Younoussa</v>
      </c>
      <c r="B146" s="16"/>
      <c r="C146" s="14"/>
      <c r="F146" s="16" t="str">
        <f>IFERROR(__xludf.DUMMYFUNCTION("""COMPUTED_VALUE"""),"Roumbouki")</f>
        <v>Roumbouki</v>
      </c>
      <c r="G146" s="16"/>
      <c r="H146" s="14"/>
      <c r="K146" s="16">
        <f>IFERROR(__xludf.DUMMYFUNCTION("""COMPUTED_VALUE"""),675.0)</f>
        <v>675</v>
      </c>
      <c r="L146" s="16"/>
      <c r="M146" s="14"/>
    </row>
    <row r="147">
      <c r="A147" s="16" t="str">
        <f>IFERROR(__xludf.DUMMYFUNCTION("""COMPUTED_VALUE"""),"Rabi Boubacar Younoussa")</f>
        <v>Rabi Boubacar Younoussa</v>
      </c>
      <c r="B147" s="16"/>
      <c r="C147" s="14"/>
      <c r="F147" s="16" t="str">
        <f>IFERROR(__xludf.DUMMYFUNCTION("""COMPUTED_VALUE"""),"Roumbouki")</f>
        <v>Roumbouki</v>
      </c>
      <c r="G147" s="16"/>
      <c r="H147" s="14"/>
      <c r="K147" s="16">
        <f>IFERROR(__xludf.DUMMYFUNCTION("""COMPUTED_VALUE"""),709.0)</f>
        <v>709</v>
      </c>
      <c r="L147" s="16"/>
      <c r="M147" s="14"/>
    </row>
    <row r="148">
      <c r="A148" s="16" t="str">
        <f>IFERROR(__xludf.DUMMYFUNCTION("""COMPUTED_VALUE"""),"Amadou Tidjani Ousmane")</f>
        <v>Amadou Tidjani Ousmane</v>
      </c>
      <c r="B148" s="16"/>
      <c r="C148" s="14"/>
      <c r="F148" s="16" t="str">
        <f>IFERROR(__xludf.DUMMYFUNCTION("""COMPUTED_VALUE"""),"Fardatt")</f>
        <v>Fardatt</v>
      </c>
      <c r="G148" s="16"/>
      <c r="H148" s="14"/>
      <c r="K148" s="16">
        <f>IFERROR(__xludf.DUMMYFUNCTION("""COMPUTED_VALUE"""),2116.0)</f>
        <v>2116</v>
      </c>
      <c r="L148" s="16"/>
      <c r="M148" s="14"/>
    </row>
    <row r="149">
      <c r="A149" s="16" t="str">
        <f>IFERROR(__xludf.DUMMYFUNCTION("""COMPUTED_VALUE"""),"Kaltoume Kimba")</f>
        <v>Kaltoume Kimba</v>
      </c>
      <c r="B149" s="16"/>
      <c r="C149" s="14"/>
      <c r="F149" s="16" t="str">
        <f>IFERROR(__xludf.DUMMYFUNCTION("""COMPUTED_VALUE"""),"Roumbouki")</f>
        <v>Roumbouki</v>
      </c>
      <c r="G149" s="16"/>
      <c r="H149" s="14"/>
      <c r="K149" s="16">
        <f>IFERROR(__xludf.DUMMYFUNCTION("""COMPUTED_VALUE"""),405.0)</f>
        <v>405</v>
      </c>
      <c r="L149" s="16"/>
      <c r="M149" s="14"/>
    </row>
    <row r="150">
      <c r="A150" s="16" t="str">
        <f>IFERROR(__xludf.DUMMYFUNCTION("""COMPUTED_VALUE"""),"Kaltoume Kimba")</f>
        <v>Kaltoume Kimba</v>
      </c>
      <c r="B150" s="16"/>
      <c r="C150" s="14"/>
      <c r="F150" s="16" t="str">
        <f>IFERROR(__xludf.DUMMYFUNCTION("""COMPUTED_VALUE"""),"Fardatt")</f>
        <v>Fardatt</v>
      </c>
      <c r="G150" s="16"/>
      <c r="H150" s="14"/>
      <c r="K150" s="16">
        <f>IFERROR(__xludf.DUMMYFUNCTION("""COMPUTED_VALUE"""),1885.0)</f>
        <v>1885</v>
      </c>
      <c r="L150" s="16"/>
      <c r="M150" s="14"/>
    </row>
    <row r="151">
      <c r="A151" s="16" t="str">
        <f>IFERROR(__xludf.DUMMYFUNCTION("""COMPUTED_VALUE"""),"Kaltoume Kimba")</f>
        <v>Kaltoume Kimba</v>
      </c>
      <c r="B151" s="16"/>
      <c r="C151" s="14"/>
      <c r="F151" s="16" t="str">
        <f>IFERROR(__xludf.DUMMYFUNCTION("""COMPUTED_VALUE"""),"Fardatt")</f>
        <v>Fardatt</v>
      </c>
      <c r="G151" s="16"/>
      <c r="H151" s="14"/>
      <c r="K151" s="16">
        <f>IFERROR(__xludf.DUMMYFUNCTION("""COMPUTED_VALUE"""),692.0)</f>
        <v>692</v>
      </c>
      <c r="L151" s="16"/>
      <c r="M151" s="14"/>
    </row>
    <row r="152">
      <c r="A152" s="16" t="str">
        <f>IFERROR(__xludf.DUMMYFUNCTION("""COMPUTED_VALUE"""),"Kaltoume Kimba")</f>
        <v>Kaltoume Kimba</v>
      </c>
      <c r="B152" s="16"/>
      <c r="C152" s="14"/>
      <c r="F152" s="16" t="str">
        <f>IFERROR(__xludf.DUMMYFUNCTION("""COMPUTED_VALUE"""),"Roumbouki")</f>
        <v>Roumbouki</v>
      </c>
      <c r="G152" s="16"/>
      <c r="H152" s="14"/>
      <c r="K152" s="16">
        <f>IFERROR(__xludf.DUMMYFUNCTION("""COMPUTED_VALUE"""),2223.0)</f>
        <v>2223</v>
      </c>
      <c r="L152" s="16"/>
      <c r="M152" s="14"/>
    </row>
    <row r="153">
      <c r="A153" s="16" t="str">
        <f>IFERROR(__xludf.DUMMYFUNCTION("""COMPUTED_VALUE"""),"Kaltoume Kimba")</f>
        <v>Kaltoume Kimba</v>
      </c>
      <c r="B153" s="16"/>
      <c r="C153" s="14"/>
      <c r="F153" s="16" t="str">
        <f>IFERROR(__xludf.DUMMYFUNCTION("""COMPUTED_VALUE"""),"Nadara II")</f>
        <v>Nadara II</v>
      </c>
      <c r="G153" s="16"/>
      <c r="H153" s="14"/>
      <c r="K153" s="16">
        <f>IFERROR(__xludf.DUMMYFUNCTION("""COMPUTED_VALUE"""),708.0)</f>
        <v>708</v>
      </c>
      <c r="L153" s="16"/>
      <c r="M153" s="14"/>
    </row>
    <row r="154">
      <c r="A154" s="16" t="str">
        <f>IFERROR(__xludf.DUMMYFUNCTION("""COMPUTED_VALUE"""),"Mathieu Alphonse Rachida Juliette")</f>
        <v>Mathieu Alphonse Rachida Juliette</v>
      </c>
      <c r="B154" s="16"/>
      <c r="C154" s="14"/>
      <c r="F154" s="16" t="str">
        <f>IFERROR(__xludf.DUMMYFUNCTION("""COMPUTED_VALUE"""),"Farabani")</f>
        <v>Farabani</v>
      </c>
      <c r="G154" s="16"/>
      <c r="H154" s="14"/>
      <c r="K154" s="16">
        <f>IFERROR(__xludf.DUMMYFUNCTION("""COMPUTED_VALUE"""),519.0)</f>
        <v>519</v>
      </c>
      <c r="L154" s="16"/>
      <c r="M154" s="14"/>
    </row>
    <row r="155">
      <c r="A155" s="16" t="str">
        <f>IFERROR(__xludf.DUMMYFUNCTION("""COMPUTED_VALUE"""),"Zakari Aboubacar")</f>
        <v>Zakari Aboubacar</v>
      </c>
      <c r="B155" s="16"/>
      <c r="C155" s="14"/>
      <c r="F155" s="16" t="str">
        <f>IFERROR(__xludf.DUMMYFUNCTION("""COMPUTED_VALUE"""),"Farabani")</f>
        <v>Farabani</v>
      </c>
      <c r="G155" s="16"/>
      <c r="H155" s="14"/>
      <c r="K155" s="16">
        <f>IFERROR(__xludf.DUMMYFUNCTION("""COMPUTED_VALUE"""),733.0)</f>
        <v>733</v>
      </c>
      <c r="L155" s="16"/>
      <c r="M155" s="14"/>
    </row>
    <row r="156">
      <c r="A156" s="16" t="str">
        <f>IFERROR(__xludf.DUMMYFUNCTION("""COMPUTED_VALUE"""),"Zakari Aboubacar")</f>
        <v>Zakari Aboubacar</v>
      </c>
      <c r="B156" s="16"/>
      <c r="C156" s="14"/>
      <c r="F156" s="16" t="str">
        <f>IFERROR(__xludf.DUMMYFUNCTION("""COMPUTED_VALUE"""),"Zangon-Kachéfawa")</f>
        <v>Zangon-Kachéfawa</v>
      </c>
      <c r="G156" s="16"/>
      <c r="H156" s="14"/>
      <c r="K156" s="16">
        <f>IFERROR(__xludf.DUMMYFUNCTION("""COMPUTED_VALUE"""),4073.0)</f>
        <v>4073</v>
      </c>
      <c r="L156" s="16"/>
      <c r="M156" s="14"/>
    </row>
    <row r="157">
      <c r="A157" s="16" t="str">
        <f>IFERROR(__xludf.DUMMYFUNCTION("""COMPUTED_VALUE"""),"Zakari Aboubacar")</f>
        <v>Zakari Aboubacar</v>
      </c>
      <c r="B157" s="16"/>
      <c r="C157" s="14"/>
      <c r="F157" s="16" t="str">
        <f>IFERROR(__xludf.DUMMYFUNCTION("""COMPUTED_VALUE"""),"Zangon-Kachéfawa")</f>
        <v>Zangon-Kachéfawa</v>
      </c>
      <c r="G157" s="16"/>
      <c r="H157" s="14"/>
      <c r="K157" s="16">
        <f>IFERROR(__xludf.DUMMYFUNCTION("""COMPUTED_VALUE"""),235.0)</f>
        <v>235</v>
      </c>
      <c r="L157" s="16"/>
      <c r="M157" s="14"/>
    </row>
    <row r="158">
      <c r="A158" s="16" t="str">
        <f>IFERROR(__xludf.DUMMYFUNCTION("""COMPUTED_VALUE"""),"Zakari Aboubacar")</f>
        <v>Zakari Aboubacar</v>
      </c>
      <c r="B158" s="16"/>
      <c r="C158" s="14"/>
      <c r="F158" s="16" t="str">
        <f>IFERROR(__xludf.DUMMYFUNCTION("""COMPUTED_VALUE"""),"Badaguichiri 2")</f>
        <v>Badaguichiri 2</v>
      </c>
      <c r="G158" s="16"/>
      <c r="H158" s="14"/>
      <c r="K158" s="16">
        <f>IFERROR(__xludf.DUMMYFUNCTION("""COMPUTED_VALUE"""),6630.0)</f>
        <v>6630</v>
      </c>
      <c r="L158" s="16"/>
      <c r="M158" s="14"/>
    </row>
    <row r="159">
      <c r="A159" s="16" t="str">
        <f>IFERROR(__xludf.DUMMYFUNCTION("""COMPUTED_VALUE"""),"Sani Moussa Aboubacar")</f>
        <v>Sani Moussa Aboubacar</v>
      </c>
      <c r="B159" s="16"/>
      <c r="C159" s="14"/>
      <c r="F159" s="16" t="str">
        <f>IFERROR(__xludf.DUMMYFUNCTION("""COMPUTED_VALUE"""),"Roumbouki")</f>
        <v>Roumbouki</v>
      </c>
      <c r="G159" s="16"/>
      <c r="H159" s="14"/>
      <c r="K159" s="16">
        <f>IFERROR(__xludf.DUMMYFUNCTION("""COMPUTED_VALUE"""),577.0)</f>
        <v>577</v>
      </c>
      <c r="L159" s="16"/>
      <c r="M159" s="14"/>
    </row>
    <row r="160">
      <c r="A160" s="16" t="str">
        <f>IFERROR(__xludf.DUMMYFUNCTION("""COMPUTED_VALUE"""),"Sani Moussa Aboubacar")</f>
        <v>Sani Moussa Aboubacar</v>
      </c>
      <c r="B160" s="16"/>
      <c r="C160" s="14"/>
      <c r="F160" s="16" t="str">
        <f>IFERROR(__xludf.DUMMYFUNCTION("""COMPUTED_VALUE"""),"Roumbouki")</f>
        <v>Roumbouki</v>
      </c>
      <c r="G160" s="16"/>
      <c r="H160" s="14"/>
      <c r="K160" s="16">
        <f>IFERROR(__xludf.DUMMYFUNCTION("""COMPUTED_VALUE"""),583.0)</f>
        <v>583</v>
      </c>
      <c r="L160" s="16"/>
      <c r="M160" s="14"/>
    </row>
    <row r="161">
      <c r="A161" s="16" t="str">
        <f>IFERROR(__xludf.DUMMYFUNCTION("""COMPUTED_VALUE"""),"Sani Moussa Aboubacar")</f>
        <v>Sani Moussa Aboubacar</v>
      </c>
      <c r="B161" s="16"/>
      <c r="C161" s="14"/>
      <c r="F161" s="16" t="str">
        <f>IFERROR(__xludf.DUMMYFUNCTION("""COMPUTED_VALUE"""),"Roumbouki")</f>
        <v>Roumbouki</v>
      </c>
      <c r="G161" s="16"/>
      <c r="H161" s="14"/>
      <c r="K161" s="16">
        <f>IFERROR(__xludf.DUMMYFUNCTION("""COMPUTED_VALUE"""),2843.0)</f>
        <v>2843</v>
      </c>
      <c r="L161" s="16"/>
      <c r="M161" s="14"/>
    </row>
    <row r="162">
      <c r="A162" s="16" t="str">
        <f>IFERROR(__xludf.DUMMYFUNCTION("""COMPUTED_VALUE"""),"Sani Moussa Aboubacar")</f>
        <v>Sani Moussa Aboubacar</v>
      </c>
      <c r="B162" s="16"/>
      <c r="C162" s="14"/>
      <c r="F162" s="16" t="str">
        <f>IFERROR(__xludf.DUMMYFUNCTION("""COMPUTED_VALUE"""),"Roumbouki")</f>
        <v>Roumbouki</v>
      </c>
      <c r="G162" s="16"/>
      <c r="H162" s="14"/>
      <c r="K162" s="16">
        <f>IFERROR(__xludf.DUMMYFUNCTION("""COMPUTED_VALUE"""),582.0)</f>
        <v>582</v>
      </c>
      <c r="L162" s="16"/>
      <c r="M162" s="14"/>
    </row>
    <row r="163">
      <c r="A163" s="16" t="str">
        <f>IFERROR(__xludf.DUMMYFUNCTION("""COMPUTED_VALUE"""),"Rakia moussa")</f>
        <v>Rakia moussa</v>
      </c>
      <c r="B163" s="16"/>
      <c r="C163" s="14"/>
      <c r="F163" s="16" t="str">
        <f>IFERROR(__xludf.DUMMYFUNCTION("""COMPUTED_VALUE"""),"Roumbouki")</f>
        <v>Roumbouki</v>
      </c>
      <c r="G163" s="16"/>
      <c r="H163" s="14"/>
      <c r="K163" s="16">
        <f>IFERROR(__xludf.DUMMYFUNCTION("""COMPUTED_VALUE"""),1862.0)</f>
        <v>1862</v>
      </c>
      <c r="L163" s="16"/>
      <c r="M163" s="14"/>
    </row>
    <row r="164">
      <c r="A164" s="16" t="str">
        <f>IFERROR(__xludf.DUMMYFUNCTION("""COMPUTED_VALUE"""),"Rakia moussa")</f>
        <v>Rakia moussa</v>
      </c>
      <c r="B164" s="16"/>
      <c r="C164" s="14"/>
      <c r="F164" s="16" t="str">
        <f>IFERROR(__xludf.DUMMYFUNCTION("""COMPUTED_VALUE"""),"Roumbouki")</f>
        <v>Roumbouki</v>
      </c>
      <c r="G164" s="16"/>
      <c r="H164" s="14"/>
      <c r="K164" s="16">
        <f>IFERROR(__xludf.DUMMYFUNCTION("""COMPUTED_VALUE"""),612.0)</f>
        <v>612</v>
      </c>
      <c r="L164" s="16"/>
      <c r="M164" s="14"/>
    </row>
    <row r="165">
      <c r="A165" s="16" t="str">
        <f>IFERROR(__xludf.DUMMYFUNCTION("""COMPUTED_VALUE"""),"Rakia moussa")</f>
        <v>Rakia moussa</v>
      </c>
      <c r="B165" s="16"/>
      <c r="C165" s="14"/>
      <c r="F165" s="16" t="str">
        <f>IFERROR(__xludf.DUMMYFUNCTION("""COMPUTED_VALUE"""),"Roumbouki")</f>
        <v>Roumbouki</v>
      </c>
      <c r="G165" s="16"/>
      <c r="H165" s="14"/>
      <c r="K165" s="16">
        <f>IFERROR(__xludf.DUMMYFUNCTION("""COMPUTED_VALUE"""),2531.0)</f>
        <v>2531</v>
      </c>
      <c r="L165" s="16"/>
      <c r="M165" s="14"/>
    </row>
    <row r="166">
      <c r="A166" s="16" t="str">
        <f>IFERROR(__xludf.DUMMYFUNCTION("""COMPUTED_VALUE"""),"Younoussi Bilan Djamila")</f>
        <v>Younoussi Bilan Djamila</v>
      </c>
      <c r="B166" s="16"/>
      <c r="C166" s="14"/>
      <c r="F166" s="16" t="str">
        <f>IFERROR(__xludf.DUMMYFUNCTION("""COMPUTED_VALUE"""),"Badaguichiri 2")</f>
        <v>Badaguichiri 2</v>
      </c>
      <c r="G166" s="16"/>
      <c r="H166" s="14"/>
      <c r="K166" s="16">
        <f>IFERROR(__xludf.DUMMYFUNCTION("""COMPUTED_VALUE"""),2178.0)</f>
        <v>2178</v>
      </c>
      <c r="L166" s="16"/>
      <c r="M166" s="14"/>
    </row>
    <row r="167">
      <c r="A167" s="16" t="str">
        <f>IFERROR(__xludf.DUMMYFUNCTION("""COMPUTED_VALUE"""),"Younoussi Bilan Djamila")</f>
        <v>Younoussi Bilan Djamila</v>
      </c>
      <c r="B167" s="16"/>
      <c r="C167" s="14"/>
      <c r="F167" s="16" t="str">
        <f>IFERROR(__xludf.DUMMYFUNCTION("""COMPUTED_VALUE"""),"Badaguichiri 2")</f>
        <v>Badaguichiri 2</v>
      </c>
      <c r="G167" s="16"/>
      <c r="H167" s="14"/>
      <c r="K167" s="16">
        <f>IFERROR(__xludf.DUMMYFUNCTION("""COMPUTED_VALUE"""),458.0)</f>
        <v>458</v>
      </c>
      <c r="L167" s="16"/>
      <c r="M167" s="14"/>
    </row>
    <row r="168">
      <c r="A168" s="16" t="str">
        <f>IFERROR(__xludf.DUMMYFUNCTION("""COMPUTED_VALUE"""),"Maman Zayanou Harouna")</f>
        <v>Maman Zayanou Harouna</v>
      </c>
      <c r="B168" s="16"/>
      <c r="C168" s="14"/>
      <c r="F168" s="16" t="str">
        <f>IFERROR(__xludf.DUMMYFUNCTION("""COMPUTED_VALUE"""),"Badaguichiri 2")</f>
        <v>Badaguichiri 2</v>
      </c>
      <c r="G168" s="16"/>
      <c r="H168" s="14"/>
      <c r="K168" s="16">
        <f>IFERROR(__xludf.DUMMYFUNCTION("""COMPUTED_VALUE"""),834.0)</f>
        <v>834</v>
      </c>
      <c r="L168" s="16"/>
      <c r="M168" s="14"/>
    </row>
    <row r="169">
      <c r="A169" s="16" t="str">
        <f>IFERROR(__xludf.DUMMYFUNCTION("""COMPUTED_VALUE"""),"Younoussi Bilan Djamila")</f>
        <v>Younoussi Bilan Djamila</v>
      </c>
      <c r="B169" s="16"/>
      <c r="C169" s="14"/>
      <c r="F169" s="16" t="str">
        <f>IFERROR(__xludf.DUMMYFUNCTION("""COMPUTED_VALUE"""),"Badaguichiri 2")</f>
        <v>Badaguichiri 2</v>
      </c>
      <c r="G169" s="16"/>
      <c r="H169" s="14"/>
      <c r="K169" s="16">
        <f>IFERROR(__xludf.DUMMYFUNCTION("""COMPUTED_VALUE"""),2017.0)</f>
        <v>2017</v>
      </c>
      <c r="L169" s="16"/>
      <c r="M169" s="14"/>
    </row>
    <row r="170">
      <c r="A170" s="16" t="str">
        <f>IFERROR(__xludf.DUMMYFUNCTION("""COMPUTED_VALUE"""),"Zakari Aboubacar")</f>
        <v>Zakari Aboubacar</v>
      </c>
      <c r="B170" s="16"/>
      <c r="C170" s="14"/>
      <c r="F170" s="16" t="str">
        <f>IFERROR(__xludf.DUMMYFUNCTION("""COMPUTED_VALUE"""),"Badaguichiri 2")</f>
        <v>Badaguichiri 2</v>
      </c>
      <c r="G170" s="16"/>
      <c r="H170" s="14"/>
      <c r="K170" s="16">
        <f>IFERROR(__xludf.DUMMYFUNCTION("""COMPUTED_VALUE"""),2296.0)</f>
        <v>2296</v>
      </c>
      <c r="L170" s="16"/>
      <c r="M170" s="14"/>
    </row>
    <row r="171">
      <c r="A171" s="16" t="str">
        <f>IFERROR(__xludf.DUMMYFUNCTION("""COMPUTED_VALUE"""),"Haladou Boukar")</f>
        <v>Haladou Boukar</v>
      </c>
      <c r="B171" s="16"/>
      <c r="C171" s="14"/>
      <c r="F171" s="16" t="str">
        <f>IFERROR(__xludf.DUMMYFUNCTION("""COMPUTED_VALUE"""),"Badaguichiri 2")</f>
        <v>Badaguichiri 2</v>
      </c>
      <c r="G171" s="16"/>
      <c r="H171" s="14"/>
      <c r="K171" s="16">
        <f>IFERROR(__xludf.DUMMYFUNCTION("""COMPUTED_VALUE"""),2571.0)</f>
        <v>2571</v>
      </c>
      <c r="L171" s="16"/>
      <c r="M171" s="14"/>
    </row>
    <row r="172">
      <c r="A172" s="16" t="str">
        <f>IFERROR(__xludf.DUMMYFUNCTION("""COMPUTED_VALUE"""),"Haladou Boukar")</f>
        <v>Haladou Boukar</v>
      </c>
      <c r="B172" s="16"/>
      <c r="C172" s="14"/>
      <c r="F172" s="16" t="str">
        <f>IFERROR(__xludf.DUMMYFUNCTION("""COMPUTED_VALUE"""),"Badaguichiri 2")</f>
        <v>Badaguichiri 2</v>
      </c>
      <c r="G172" s="16"/>
      <c r="H172" s="14"/>
      <c r="K172" s="16">
        <f>IFERROR(__xludf.DUMMYFUNCTION("""COMPUTED_VALUE"""),1676.0)</f>
        <v>1676</v>
      </c>
      <c r="L172" s="16"/>
      <c r="M172" s="14"/>
    </row>
    <row r="173">
      <c r="A173" s="16" t="str">
        <f>IFERROR(__xludf.DUMMYFUNCTION("""COMPUTED_VALUE"""),"Maman Zayanou Harouna")</f>
        <v>Maman Zayanou Harouna</v>
      </c>
      <c r="B173" s="16"/>
      <c r="C173" s="14"/>
      <c r="F173" s="16" t="str">
        <f>IFERROR(__xludf.DUMMYFUNCTION("""COMPUTED_VALUE"""),"Badaguichiri 2")</f>
        <v>Badaguichiri 2</v>
      </c>
      <c r="G173" s="16"/>
      <c r="H173" s="14"/>
      <c r="K173" s="16">
        <f>IFERROR(__xludf.DUMMYFUNCTION("""COMPUTED_VALUE"""),2866.0)</f>
        <v>2866</v>
      </c>
      <c r="L173" s="16"/>
      <c r="M173" s="14"/>
    </row>
    <row r="174">
      <c r="A174" s="16" t="str">
        <f>IFERROR(__xludf.DUMMYFUNCTION("""COMPUTED_VALUE"""),"Moumouni Adamou Yahaya")</f>
        <v>Moumouni Adamou Yahaya</v>
      </c>
      <c r="B174" s="16"/>
      <c r="C174" s="14"/>
      <c r="F174" s="16" t="str">
        <f>IFERROR(__xludf.DUMMYFUNCTION("""COMPUTED_VALUE"""),"Badaguichiri 2")</f>
        <v>Badaguichiri 2</v>
      </c>
      <c r="G174" s="16"/>
      <c r="H174" s="14"/>
      <c r="K174" s="16">
        <f>IFERROR(__xludf.DUMMYFUNCTION("""COMPUTED_VALUE"""),395.0)</f>
        <v>395</v>
      </c>
      <c r="L174" s="16"/>
      <c r="M174" s="14"/>
    </row>
    <row r="175">
      <c r="A175" s="16" t="str">
        <f>IFERROR(__xludf.DUMMYFUNCTION("""COMPUTED_VALUE"""),"Moumouni Adamou Yahaya")</f>
        <v>Moumouni Adamou Yahaya</v>
      </c>
      <c r="B175" s="16"/>
      <c r="C175" s="14"/>
      <c r="F175" s="16" t="str">
        <f>IFERROR(__xludf.DUMMYFUNCTION("""COMPUTED_VALUE"""),"Badaguichiri 2")</f>
        <v>Badaguichiri 2</v>
      </c>
      <c r="G175" s="16"/>
      <c r="H175" s="14"/>
      <c r="K175" s="16">
        <f>IFERROR(__xludf.DUMMYFUNCTION("""COMPUTED_VALUE"""),807.0)</f>
        <v>807</v>
      </c>
      <c r="L175" s="16"/>
      <c r="M175" s="14"/>
    </row>
    <row r="176">
      <c r="A176" s="16" t="str">
        <f>IFERROR(__xludf.DUMMYFUNCTION("""COMPUTED_VALUE"""),"Moumouni Adamou Yahaya")</f>
        <v>Moumouni Adamou Yahaya</v>
      </c>
      <c r="B176" s="16"/>
      <c r="C176" s="14"/>
      <c r="F176" s="16" t="str">
        <f>IFERROR(__xludf.DUMMYFUNCTION("""COMPUTED_VALUE"""),"Badaguichiri 2")</f>
        <v>Badaguichiri 2</v>
      </c>
      <c r="G176" s="16"/>
      <c r="H176" s="14"/>
      <c r="K176" s="16">
        <f>IFERROR(__xludf.DUMMYFUNCTION("""COMPUTED_VALUE"""),3866.0)</f>
        <v>3866</v>
      </c>
      <c r="L176" s="16"/>
      <c r="M176" s="14"/>
    </row>
    <row r="177">
      <c r="A177" s="16" t="str">
        <f>IFERROR(__xludf.DUMMYFUNCTION("""COMPUTED_VALUE"""),"Hachimou Rabiou Mamoudou")</f>
        <v>Hachimou Rabiou Mamoudou</v>
      </c>
      <c r="B177" s="16"/>
      <c r="C177" s="14"/>
      <c r="F177" s="16" t="str">
        <f>IFERROR(__xludf.DUMMYFUNCTION("""COMPUTED_VALUE"""),"Roumbouki")</f>
        <v>Roumbouki</v>
      </c>
      <c r="G177" s="16"/>
      <c r="H177" s="14"/>
      <c r="K177" s="16">
        <f>IFERROR(__xludf.DUMMYFUNCTION("""COMPUTED_VALUE"""),3548.0)</f>
        <v>3548</v>
      </c>
      <c r="L177" s="16"/>
      <c r="M177" s="14"/>
    </row>
    <row r="178">
      <c r="A178" s="16" t="str">
        <f>IFERROR(__xludf.DUMMYFUNCTION("""COMPUTED_VALUE"""),"Abdoul Razak Mahamane Boukari")</f>
        <v>Abdoul Razak Mahamane Boukari</v>
      </c>
      <c r="B178" s="16"/>
      <c r="C178" s="14"/>
      <c r="F178" s="16" t="str">
        <f>IFERROR(__xludf.DUMMYFUNCTION("""COMPUTED_VALUE"""),"Roumbouki")</f>
        <v>Roumbouki</v>
      </c>
      <c r="G178" s="16"/>
      <c r="H178" s="14"/>
      <c r="K178" s="16">
        <f>IFERROR(__xludf.DUMMYFUNCTION("""COMPUTED_VALUE"""),2144.0)</f>
        <v>2144</v>
      </c>
      <c r="L178" s="16"/>
      <c r="M178" s="14"/>
    </row>
    <row r="179">
      <c r="A179" s="16" t="str">
        <f>IFERROR(__xludf.DUMMYFUNCTION("""COMPUTED_VALUE"""),"Hachimou Rabiou Mamoudou")</f>
        <v>Hachimou Rabiou Mamoudou</v>
      </c>
      <c r="B179" s="16"/>
      <c r="C179" s="14"/>
      <c r="F179" s="16" t="str">
        <f>IFERROR(__xludf.DUMMYFUNCTION("""COMPUTED_VALUE"""),"Roumbouki")</f>
        <v>Roumbouki</v>
      </c>
      <c r="G179" s="16"/>
      <c r="H179" s="14"/>
      <c r="K179" s="16">
        <f>IFERROR(__xludf.DUMMYFUNCTION("""COMPUTED_VALUE"""),720.0)</f>
        <v>720</v>
      </c>
      <c r="L179" s="16"/>
      <c r="M179" s="14"/>
    </row>
    <row r="180">
      <c r="A180" s="16" t="str">
        <f>IFERROR(__xludf.DUMMYFUNCTION("""COMPUTED_VALUE"""),"Hachimou Rabiou Mamoudou")</f>
        <v>Hachimou Rabiou Mamoudou</v>
      </c>
      <c r="B180" s="16"/>
      <c r="C180" s="14"/>
      <c r="F180" s="16" t="str">
        <f>IFERROR(__xludf.DUMMYFUNCTION("""COMPUTED_VALUE"""),"Roumbouki")</f>
        <v>Roumbouki</v>
      </c>
      <c r="G180" s="16"/>
      <c r="H180" s="14"/>
      <c r="K180" s="16">
        <f>IFERROR(__xludf.DUMMYFUNCTION("""COMPUTED_VALUE"""),781.0)</f>
        <v>781</v>
      </c>
      <c r="L180" s="16"/>
      <c r="M180" s="14"/>
    </row>
    <row r="181">
      <c r="A181" s="16" t="str">
        <f>IFERROR(__xludf.DUMMYFUNCTION("""COMPUTED_VALUE"""),"Adamou Halidou Daouda")</f>
        <v>Adamou Halidou Daouda</v>
      </c>
      <c r="B181" s="16"/>
      <c r="C181" s="14"/>
      <c r="F181" s="16" t="str">
        <f>IFERROR(__xludf.DUMMYFUNCTION("""COMPUTED_VALUE"""),"Roumbouki")</f>
        <v>Roumbouki</v>
      </c>
      <c r="G181" s="16"/>
      <c r="H181" s="14"/>
      <c r="K181" s="16">
        <f>IFERROR(__xludf.DUMMYFUNCTION("""COMPUTED_VALUE"""),749.0)</f>
        <v>749</v>
      </c>
      <c r="L181" s="16"/>
      <c r="M181" s="14"/>
    </row>
    <row r="182">
      <c r="A182" s="16" t="str">
        <f>IFERROR(__xludf.DUMMYFUNCTION("""COMPUTED_VALUE"""),"Adamou Halidou Daouda")</f>
        <v>Adamou Halidou Daouda</v>
      </c>
      <c r="B182" s="16"/>
      <c r="C182" s="14"/>
      <c r="F182" s="16" t="str">
        <f>IFERROR(__xludf.DUMMYFUNCTION("""COMPUTED_VALUE"""),"Roumbouki")</f>
        <v>Roumbouki</v>
      </c>
      <c r="G182" s="16"/>
      <c r="H182" s="14"/>
      <c r="K182" s="16">
        <f>IFERROR(__xludf.DUMMYFUNCTION("""COMPUTED_VALUE"""),1849.0)</f>
        <v>1849</v>
      </c>
      <c r="L182" s="16"/>
      <c r="M182" s="14"/>
    </row>
    <row r="183">
      <c r="A183" s="16" t="str">
        <f>IFERROR(__xludf.DUMMYFUNCTION("""COMPUTED_VALUE"""),"Abdoul Razak Mahamane Boukari")</f>
        <v>Abdoul Razak Mahamane Boukari</v>
      </c>
      <c r="B183" s="16"/>
      <c r="C183" s="14"/>
      <c r="F183" s="16" t="str">
        <f>IFERROR(__xludf.DUMMYFUNCTION("""COMPUTED_VALUE"""),"Badaguichiri 2")</f>
        <v>Badaguichiri 2</v>
      </c>
      <c r="G183" s="16"/>
      <c r="H183" s="14"/>
      <c r="K183" s="16">
        <f>IFERROR(__xludf.DUMMYFUNCTION("""COMPUTED_VALUE"""),2552.0)</f>
        <v>2552</v>
      </c>
      <c r="L183" s="16"/>
      <c r="M183" s="14"/>
    </row>
    <row r="184">
      <c r="A184" s="16" t="str">
        <f>IFERROR(__xludf.DUMMYFUNCTION("""COMPUTED_VALUE"""),"Kailou Hamidou Rainatou")</f>
        <v>Kailou Hamidou Rainatou</v>
      </c>
      <c r="B184" s="16"/>
      <c r="C184" s="14"/>
      <c r="F184" s="16" t="str">
        <f>IFERROR(__xludf.DUMMYFUNCTION("""COMPUTED_VALUE"""),"Roumbouki")</f>
        <v>Roumbouki</v>
      </c>
      <c r="G184" s="16"/>
      <c r="H184" s="14"/>
      <c r="K184" s="16">
        <f>IFERROR(__xludf.DUMMYFUNCTION("""COMPUTED_VALUE"""),3165.0)</f>
        <v>3165</v>
      </c>
      <c r="L184" s="16"/>
      <c r="M184" s="14"/>
    </row>
    <row r="185">
      <c r="A185" s="16" t="str">
        <f>IFERROR(__xludf.DUMMYFUNCTION("""COMPUTED_VALUE"""),"Gaoh Maazou")</f>
        <v>Gaoh Maazou</v>
      </c>
      <c r="B185" s="16"/>
      <c r="C185" s="14"/>
      <c r="F185" s="16" t="str">
        <f>IFERROR(__xludf.DUMMYFUNCTION("""COMPUTED_VALUE"""),"Roumbouki")</f>
        <v>Roumbouki</v>
      </c>
      <c r="G185" s="16"/>
      <c r="H185" s="14"/>
      <c r="K185" s="16">
        <f>IFERROR(__xludf.DUMMYFUNCTION("""COMPUTED_VALUE"""),2237.0)</f>
        <v>2237</v>
      </c>
      <c r="L185" s="16"/>
      <c r="M185" s="14"/>
    </row>
    <row r="186">
      <c r="A186" s="16" t="str">
        <f>IFERROR(__xludf.DUMMYFUNCTION("""COMPUTED_VALUE"""),"Aboubacar Hamadou Manga")</f>
        <v>Aboubacar Hamadou Manga</v>
      </c>
      <c r="B186" s="16"/>
      <c r="C186" s="14"/>
      <c r="F186" s="16" t="str">
        <f>IFERROR(__xludf.DUMMYFUNCTION("""COMPUTED_VALUE"""),"Roumbouki")</f>
        <v>Roumbouki</v>
      </c>
      <c r="G186" s="16"/>
      <c r="H186" s="14"/>
      <c r="K186" s="16">
        <f>IFERROR(__xludf.DUMMYFUNCTION("""COMPUTED_VALUE"""),2530.0)</f>
        <v>2530</v>
      </c>
      <c r="L186" s="16"/>
      <c r="M186" s="14"/>
    </row>
    <row r="187">
      <c r="A187" s="16" t="str">
        <f>IFERROR(__xludf.DUMMYFUNCTION("""COMPUTED_VALUE"""),"Elhaji Abdou Leilata")</f>
        <v>Elhaji Abdou Leilata</v>
      </c>
      <c r="B187" s="16"/>
      <c r="C187" s="14"/>
      <c r="F187" s="16" t="str">
        <f>IFERROR(__xludf.DUMMYFUNCTION("""COMPUTED_VALUE"""),"Badaguichiri 2")</f>
        <v>Badaguichiri 2</v>
      </c>
      <c r="G187" s="16"/>
      <c r="H187" s="14"/>
      <c r="K187" s="16">
        <f>IFERROR(__xludf.DUMMYFUNCTION("""COMPUTED_VALUE"""),5131.0)</f>
        <v>5131</v>
      </c>
      <c r="L187" s="16"/>
      <c r="M187" s="14"/>
    </row>
    <row r="188">
      <c r="A188" s="16" t="str">
        <f>IFERROR(__xludf.DUMMYFUNCTION("""COMPUTED_VALUE"""),"Rabeika Ide Mabeye")</f>
        <v>Rabeika Ide Mabeye</v>
      </c>
      <c r="B188" s="16"/>
      <c r="C188" s="14"/>
      <c r="F188" s="16" t="str">
        <f>IFERROR(__xludf.DUMMYFUNCTION("""COMPUTED_VALUE"""),"Roumbouki")</f>
        <v>Roumbouki</v>
      </c>
      <c r="G188" s="16"/>
      <c r="H188" s="14"/>
      <c r="K188" s="16">
        <f>IFERROR(__xludf.DUMMYFUNCTION("""COMPUTED_VALUE"""),775.0)</f>
        <v>775</v>
      </c>
      <c r="L188" s="16"/>
      <c r="M188" s="14"/>
    </row>
    <row r="189">
      <c r="A189" s="16" t="str">
        <f>IFERROR(__xludf.DUMMYFUNCTION("""COMPUTED_VALUE"""),"Asmaou Tanko Issa")</f>
        <v>Asmaou Tanko Issa</v>
      </c>
      <c r="B189" s="16"/>
      <c r="C189" s="14"/>
      <c r="F189" s="16" t="str">
        <f>IFERROR(__xludf.DUMMYFUNCTION("""COMPUTED_VALUE"""),"Roumbouki")</f>
        <v>Roumbouki</v>
      </c>
      <c r="G189" s="16"/>
      <c r="H189" s="14"/>
      <c r="K189" s="16">
        <f>IFERROR(__xludf.DUMMYFUNCTION("""COMPUTED_VALUE"""),1169.0)</f>
        <v>1169</v>
      </c>
      <c r="L189" s="16"/>
      <c r="M189" s="14"/>
    </row>
    <row r="190">
      <c r="A190" s="16" t="str">
        <f>IFERROR(__xludf.DUMMYFUNCTION("""COMPUTED_VALUE"""),"Asmaou Tanko Issa")</f>
        <v>Asmaou Tanko Issa</v>
      </c>
      <c r="B190" s="16"/>
      <c r="C190" s="14"/>
      <c r="F190" s="16" t="str">
        <f>IFERROR(__xludf.DUMMYFUNCTION("""COMPUTED_VALUE"""),"Roumbouki")</f>
        <v>Roumbouki</v>
      </c>
      <c r="G190" s="16"/>
      <c r="H190" s="14"/>
      <c r="K190" s="16">
        <f>IFERROR(__xludf.DUMMYFUNCTION("""COMPUTED_VALUE"""),3875.0)</f>
        <v>3875</v>
      </c>
      <c r="L190" s="16"/>
      <c r="M190" s="14"/>
    </row>
    <row r="191">
      <c r="A191" s="16" t="str">
        <f>IFERROR(__xludf.DUMMYFUNCTION("""COMPUTED_VALUE"""),"Yacouba Idé dit Lumana")</f>
        <v>Yacouba Idé dit Lumana</v>
      </c>
      <c r="B191" s="16"/>
      <c r="C191" s="14"/>
      <c r="F191" s="16" t="str">
        <f>IFERROR(__xludf.DUMMYFUNCTION("""COMPUTED_VALUE"""),"Roumbouki")</f>
        <v>Roumbouki</v>
      </c>
      <c r="G191" s="16"/>
      <c r="H191" s="14"/>
      <c r="K191" s="16">
        <f>IFERROR(__xludf.DUMMYFUNCTION("""COMPUTED_VALUE"""),630.0)</f>
        <v>630</v>
      </c>
      <c r="L191" s="16"/>
      <c r="M191" s="14"/>
    </row>
    <row r="192">
      <c r="A192" s="16" t="str">
        <f>IFERROR(__xludf.DUMMYFUNCTION("""COMPUTED_VALUE"""),"Yacouba Idé dit Lumana")</f>
        <v>Yacouba Idé dit Lumana</v>
      </c>
      <c r="B192" s="16"/>
      <c r="C192" s="14"/>
      <c r="F192" s="16" t="str">
        <f>IFERROR(__xludf.DUMMYFUNCTION("""COMPUTED_VALUE"""),"Roumbouki")</f>
        <v>Roumbouki</v>
      </c>
      <c r="G192" s="16"/>
      <c r="H192" s="14"/>
      <c r="K192" s="16">
        <f>IFERROR(__xludf.DUMMYFUNCTION("""COMPUTED_VALUE"""),3389.0)</f>
        <v>3389</v>
      </c>
      <c r="L192" s="16"/>
      <c r="M192" s="14"/>
    </row>
    <row r="193">
      <c r="A193" s="16" t="str">
        <f>IFERROR(__xludf.DUMMYFUNCTION("""COMPUTED_VALUE"""),"Maman Ado Abdourahamane")</f>
        <v>Maman Ado Abdourahamane</v>
      </c>
      <c r="B193" s="16"/>
      <c r="C193" s="14"/>
      <c r="F193" s="16" t="str">
        <f>IFERROR(__xludf.DUMMYFUNCTION("""COMPUTED_VALUE"""),"Fardatt")</f>
        <v>Fardatt</v>
      </c>
      <c r="G193" s="16"/>
      <c r="H193" s="14"/>
      <c r="K193" s="16">
        <f>IFERROR(__xludf.DUMMYFUNCTION("""COMPUTED_VALUE"""),675.0)</f>
        <v>675</v>
      </c>
      <c r="L193" s="16"/>
      <c r="M193" s="14"/>
    </row>
    <row r="194">
      <c r="A194" s="16" t="str">
        <f>IFERROR(__xludf.DUMMYFUNCTION("""COMPUTED_VALUE"""),"Maman Ado Abdourahamane")</f>
        <v>Maman Ado Abdourahamane</v>
      </c>
      <c r="B194" s="16"/>
      <c r="C194" s="14"/>
      <c r="F194" s="16" t="str">
        <f>IFERROR(__xludf.DUMMYFUNCTION("""COMPUTED_VALUE"""),"Intouramé")</f>
        <v>Intouramé</v>
      </c>
      <c r="G194" s="16"/>
      <c r="H194" s="14"/>
      <c r="K194" s="16">
        <f>IFERROR(__xludf.DUMMYFUNCTION("""COMPUTED_VALUE"""),3964.0)</f>
        <v>3964</v>
      </c>
      <c r="L194" s="16"/>
      <c r="M194" s="14"/>
    </row>
    <row r="195">
      <c r="A195" s="16" t="str">
        <f>IFERROR(__xludf.DUMMYFUNCTION("""COMPUTED_VALUE"""),"Maman Ado Abdourahamane")</f>
        <v>Maman Ado Abdourahamane</v>
      </c>
      <c r="B195" s="16"/>
      <c r="C195" s="14"/>
      <c r="F195" s="16" t="str">
        <f>IFERROR(__xludf.DUMMYFUNCTION("""COMPUTED_VALUE"""),"Intouramé")</f>
        <v>Intouramé</v>
      </c>
      <c r="G195" s="16"/>
      <c r="H195" s="14"/>
      <c r="K195" s="16">
        <f>IFERROR(__xludf.DUMMYFUNCTION("""COMPUTED_VALUE"""),803.0)</f>
        <v>803</v>
      </c>
      <c r="L195" s="16"/>
      <c r="M195" s="14"/>
    </row>
    <row r="196">
      <c r="A196" s="16" t="str">
        <f>IFERROR(__xludf.DUMMYFUNCTION("""COMPUTED_VALUE"""),"Maman Ado Abdourahamane")</f>
        <v>Maman Ado Abdourahamane</v>
      </c>
      <c r="B196" s="16"/>
      <c r="C196" s="14"/>
      <c r="F196" s="16" t="str">
        <f>IFERROR(__xludf.DUMMYFUNCTION("""COMPUTED_VALUE"""),"Intouramé")</f>
        <v>Intouramé</v>
      </c>
      <c r="G196" s="16"/>
      <c r="H196" s="14"/>
      <c r="K196" s="16">
        <f>IFERROR(__xludf.DUMMYFUNCTION("""COMPUTED_VALUE"""),583.0)</f>
        <v>583</v>
      </c>
      <c r="L196" s="16"/>
      <c r="M196" s="14"/>
    </row>
    <row r="197">
      <c r="A197" s="16" t="str">
        <f>IFERROR(__xludf.DUMMYFUNCTION("""COMPUTED_VALUE"""),"Amadou Hamidou Abdoul Karim")</f>
        <v>Amadou Hamidou Abdoul Karim</v>
      </c>
      <c r="B197" s="16"/>
      <c r="C197" s="14"/>
      <c r="F197" s="16" t="str">
        <f>IFERROR(__xludf.DUMMYFUNCTION("""COMPUTED_VALUE"""),"Intouramé")</f>
        <v>Intouramé</v>
      </c>
      <c r="G197" s="16"/>
      <c r="H197" s="14"/>
      <c r="K197" s="16">
        <f>IFERROR(__xludf.DUMMYFUNCTION("""COMPUTED_VALUE"""),500.0)</f>
        <v>500</v>
      </c>
      <c r="L197" s="16"/>
      <c r="M197" s="14"/>
    </row>
    <row r="198">
      <c r="A198" s="16" t="str">
        <f>IFERROR(__xludf.DUMMYFUNCTION("""COMPUTED_VALUE"""),"Amadou Hamidou Abdoul Karim")</f>
        <v>Amadou Hamidou Abdoul Karim</v>
      </c>
      <c r="B198" s="16"/>
      <c r="C198" s="14"/>
      <c r="F198" s="16" t="str">
        <f>IFERROR(__xludf.DUMMYFUNCTION("""COMPUTED_VALUE"""),"Fardatt")</f>
        <v>Fardatt</v>
      </c>
      <c r="G198" s="16"/>
      <c r="H198" s="14"/>
      <c r="K198" s="16">
        <f>IFERROR(__xludf.DUMMYFUNCTION("""COMPUTED_VALUE"""),5601.0)</f>
        <v>5601</v>
      </c>
      <c r="L198" s="16"/>
      <c r="M198" s="14"/>
    </row>
    <row r="199">
      <c r="A199" s="16" t="str">
        <f>IFERROR(__xludf.DUMMYFUNCTION("""COMPUTED_VALUE"""),"Mohamadou Amadou")</f>
        <v>Mohamadou Amadou</v>
      </c>
      <c r="B199" s="16"/>
      <c r="C199" s="14"/>
      <c r="F199" s="16" t="str">
        <f>IFERROR(__xludf.DUMMYFUNCTION("""COMPUTED_VALUE"""),"Fardatt")</f>
        <v>Fardatt</v>
      </c>
      <c r="G199" s="16"/>
      <c r="H199" s="14"/>
      <c r="K199" s="16">
        <f>IFERROR(__xludf.DUMMYFUNCTION("""COMPUTED_VALUE"""),2903.0)</f>
        <v>2903</v>
      </c>
      <c r="L199" s="16"/>
      <c r="M199" s="14"/>
    </row>
    <row r="200">
      <c r="A200" s="16" t="str">
        <f>IFERROR(__xludf.DUMMYFUNCTION("""COMPUTED_VALUE"""),"Binta Maman")</f>
        <v>Binta Maman</v>
      </c>
      <c r="B200" s="16"/>
      <c r="C200" s="14"/>
      <c r="F200" s="16" t="str">
        <f>IFERROR(__xludf.DUMMYFUNCTION("""COMPUTED_VALUE"""),"Intouramé")</f>
        <v>Intouramé</v>
      </c>
      <c r="G200" s="16"/>
      <c r="H200" s="14"/>
      <c r="K200" s="16">
        <f>IFERROR(__xludf.DUMMYFUNCTION("""COMPUTED_VALUE"""),759.0)</f>
        <v>759</v>
      </c>
      <c r="L200" s="16"/>
      <c r="M200" s="14"/>
    </row>
    <row r="201">
      <c r="A201" s="16" t="str">
        <f>IFERROR(__xludf.DUMMYFUNCTION("""COMPUTED_VALUE"""),"Binta Maman")</f>
        <v>Binta Maman</v>
      </c>
      <c r="B201" s="16"/>
      <c r="C201" s="14"/>
      <c r="F201" s="16" t="str">
        <f>IFERROR(__xludf.DUMMYFUNCTION("""COMPUTED_VALUE"""),"Intouramé")</f>
        <v>Intouramé</v>
      </c>
      <c r="G201" s="16"/>
      <c r="H201" s="14"/>
      <c r="K201" s="16">
        <f>IFERROR(__xludf.DUMMYFUNCTION("""COMPUTED_VALUE"""),638.0)</f>
        <v>638</v>
      </c>
      <c r="L201" s="16"/>
      <c r="M201" s="14"/>
    </row>
    <row r="202">
      <c r="A202" s="16" t="str">
        <f>IFERROR(__xludf.DUMMYFUNCTION("""COMPUTED_VALUE"""),"Binta Maman")</f>
        <v>Binta Maman</v>
      </c>
      <c r="B202" s="16"/>
      <c r="C202" s="14"/>
      <c r="F202" s="16" t="str">
        <f>IFERROR(__xludf.DUMMYFUNCTION("""COMPUTED_VALUE"""),"Intouramé")</f>
        <v>Intouramé</v>
      </c>
      <c r="G202" s="16"/>
      <c r="H202" s="14"/>
      <c r="K202" s="16">
        <f>IFERROR(__xludf.DUMMYFUNCTION("""COMPUTED_VALUE"""),3016.0)</f>
        <v>3016</v>
      </c>
      <c r="L202" s="16"/>
      <c r="M202" s="14"/>
    </row>
    <row r="203">
      <c r="A203" s="16" t="str">
        <f>IFERROR(__xludf.DUMMYFUNCTION("""COMPUTED_VALUE"""),"Amadou Tidjani Ousmane")</f>
        <v>Amadou Tidjani Ousmane</v>
      </c>
      <c r="B203" s="16"/>
      <c r="C203" s="14"/>
      <c r="F203" s="16" t="str">
        <f>IFERROR(__xludf.DUMMYFUNCTION("""COMPUTED_VALUE"""),"Intouramé")</f>
        <v>Intouramé</v>
      </c>
      <c r="G203" s="16"/>
      <c r="H203" s="14"/>
      <c r="K203" s="16">
        <f>IFERROR(__xludf.DUMMYFUNCTION("""COMPUTED_VALUE"""),905.0)</f>
        <v>905</v>
      </c>
      <c r="L203" s="16"/>
      <c r="M203" s="14"/>
    </row>
    <row r="204">
      <c r="A204" s="16" t="str">
        <f>IFERROR(__xludf.DUMMYFUNCTION("""COMPUTED_VALUE"""),"Sani Moussa Aboubacar")</f>
        <v>Sani Moussa Aboubacar</v>
      </c>
      <c r="B204" s="16"/>
      <c r="C204" s="14"/>
      <c r="F204" s="16" t="str">
        <f>IFERROR(__xludf.DUMMYFUNCTION("""COMPUTED_VALUE"""),"Intouramé")</f>
        <v>Intouramé</v>
      </c>
      <c r="G204" s="16"/>
      <c r="H204" s="14"/>
      <c r="K204" s="16">
        <f>IFERROR(__xludf.DUMMYFUNCTION("""COMPUTED_VALUE"""),2919.0)</f>
        <v>2919</v>
      </c>
      <c r="L204" s="16"/>
      <c r="M204" s="14"/>
    </row>
    <row r="205">
      <c r="A205" s="16" t="str">
        <f>IFERROR(__xludf.DUMMYFUNCTION("""COMPUTED_VALUE"""),"Sani Moussa Aboubacar")</f>
        <v>Sani Moussa Aboubacar</v>
      </c>
      <c r="B205" s="16"/>
      <c r="C205" s="14"/>
      <c r="F205" s="16" t="str">
        <f>IFERROR(__xludf.DUMMYFUNCTION("""COMPUTED_VALUE"""),"Intouramé")</f>
        <v>Intouramé</v>
      </c>
      <c r="G205" s="16"/>
      <c r="H205" s="14"/>
      <c r="K205" s="16">
        <f>IFERROR(__xludf.DUMMYFUNCTION("""COMPUTED_VALUE"""),1082.0)</f>
        <v>1082</v>
      </c>
      <c r="L205" s="16"/>
      <c r="M205" s="14"/>
    </row>
    <row r="206">
      <c r="A206" s="16" t="str">
        <f>IFERROR(__xludf.DUMMYFUNCTION("""COMPUTED_VALUE"""),"Sani Moussa Aboubacar")</f>
        <v>Sani Moussa Aboubacar</v>
      </c>
      <c r="B206" s="16"/>
      <c r="C206" s="14"/>
      <c r="F206" s="16" t="str">
        <f>IFERROR(__xludf.DUMMYFUNCTION("""COMPUTED_VALUE"""),"Intouramé")</f>
        <v>Intouramé</v>
      </c>
      <c r="G206" s="16"/>
      <c r="H206" s="14"/>
      <c r="K206" s="16">
        <f>IFERROR(__xludf.DUMMYFUNCTION("""COMPUTED_VALUE"""),1672.0)</f>
        <v>1672</v>
      </c>
      <c r="L206" s="16"/>
      <c r="M206" s="14"/>
    </row>
    <row r="207">
      <c r="A207" s="16" t="str">
        <f>IFERROR(__xludf.DUMMYFUNCTION("""COMPUTED_VALUE"""),"Sani Moussa Aboubacar")</f>
        <v>Sani Moussa Aboubacar</v>
      </c>
      <c r="B207" s="16"/>
      <c r="C207" s="14"/>
      <c r="F207" s="16" t="str">
        <f>IFERROR(__xludf.DUMMYFUNCTION("""COMPUTED_VALUE"""),"Intouramé")</f>
        <v>Intouramé</v>
      </c>
      <c r="G207" s="16"/>
      <c r="H207" s="14"/>
      <c r="K207" s="16">
        <f>IFERROR(__xludf.DUMMYFUNCTION("""COMPUTED_VALUE"""),1734.0)</f>
        <v>1734</v>
      </c>
      <c r="L207" s="16"/>
      <c r="M207" s="14"/>
    </row>
    <row r="208">
      <c r="A208" s="16" t="str">
        <f>IFERROR(__xludf.DUMMYFUNCTION("""COMPUTED_VALUE"""),"Sani Moussa Aboubacar")</f>
        <v>Sani Moussa Aboubacar</v>
      </c>
      <c r="B208" s="16"/>
      <c r="C208" s="14"/>
      <c r="F208" s="16" t="str">
        <f>IFERROR(__xludf.DUMMYFUNCTION("""COMPUTED_VALUE"""),"Intouramé")</f>
        <v>Intouramé</v>
      </c>
      <c r="G208" s="16"/>
      <c r="H208" s="14"/>
      <c r="K208" s="16">
        <f>IFERROR(__xludf.DUMMYFUNCTION("""COMPUTED_VALUE"""),785.0)</f>
        <v>785</v>
      </c>
      <c r="L208" s="16"/>
      <c r="M208" s="14"/>
    </row>
    <row r="209">
      <c r="A209" s="16" t="str">
        <f>IFERROR(__xludf.DUMMYFUNCTION("""COMPUTED_VALUE"""),"Kadidja Issaka Hamidou")</f>
        <v>Kadidja Issaka Hamidou</v>
      </c>
      <c r="B209" s="16"/>
      <c r="C209" s="14"/>
      <c r="F209" s="16" t="str">
        <f>IFERROR(__xludf.DUMMYFUNCTION("""COMPUTED_VALUE"""),"Farabani")</f>
        <v>Farabani</v>
      </c>
      <c r="G209" s="16"/>
      <c r="H209" s="14"/>
      <c r="K209" s="16">
        <f>IFERROR(__xludf.DUMMYFUNCTION("""COMPUTED_VALUE"""),2708.0)</f>
        <v>2708</v>
      </c>
      <c r="L209" s="16"/>
      <c r="M209" s="14"/>
    </row>
    <row r="210">
      <c r="A210" s="16" t="str">
        <f>IFERROR(__xludf.DUMMYFUNCTION("""COMPUTED_VALUE"""),"Kadidja Issaka Hamidou")</f>
        <v>Kadidja Issaka Hamidou</v>
      </c>
      <c r="B210" s="16"/>
      <c r="C210" s="14"/>
      <c r="F210" s="16" t="str">
        <f>IFERROR(__xludf.DUMMYFUNCTION("""COMPUTED_VALUE"""),"Farabani")</f>
        <v>Farabani</v>
      </c>
      <c r="G210" s="16"/>
      <c r="H210" s="14"/>
      <c r="K210" s="16">
        <f>IFERROR(__xludf.DUMMYFUNCTION("""COMPUTED_VALUE"""),544.0)</f>
        <v>544</v>
      </c>
      <c r="L210" s="16"/>
      <c r="M210" s="14"/>
    </row>
    <row r="211">
      <c r="A211" s="16" t="str">
        <f>IFERROR(__xludf.DUMMYFUNCTION("""COMPUTED_VALUE"""),"Kadidja Issaka Hamidou")</f>
        <v>Kadidja Issaka Hamidou</v>
      </c>
      <c r="B211" s="16"/>
      <c r="C211" s="14"/>
      <c r="F211" s="16" t="str">
        <f>IFERROR(__xludf.DUMMYFUNCTION("""COMPUTED_VALUE"""),"Farabani")</f>
        <v>Farabani</v>
      </c>
      <c r="G211" s="16"/>
      <c r="H211" s="14"/>
      <c r="K211" s="16">
        <f>IFERROR(__xludf.DUMMYFUNCTION("""COMPUTED_VALUE"""),2199.0)</f>
        <v>2199</v>
      </c>
      <c r="L211" s="16"/>
      <c r="M211" s="14"/>
    </row>
    <row r="212">
      <c r="A212" s="16" t="str">
        <f>IFERROR(__xludf.DUMMYFUNCTION("""COMPUTED_VALUE"""),"Amadou Tidjani Ousmane")</f>
        <v>Amadou Tidjani Ousmane</v>
      </c>
      <c r="B212" s="16"/>
      <c r="C212" s="14"/>
      <c r="F212" s="16" t="str">
        <f>IFERROR(__xludf.DUMMYFUNCTION("""COMPUTED_VALUE"""),"Fardatt")</f>
        <v>Fardatt</v>
      </c>
      <c r="G212" s="16"/>
      <c r="H212" s="14"/>
      <c r="K212" s="16">
        <f>IFERROR(__xludf.DUMMYFUNCTION("""COMPUTED_VALUE"""),3765.0)</f>
        <v>3765</v>
      </c>
      <c r="L212" s="16"/>
      <c r="M212" s="14"/>
    </row>
    <row r="213">
      <c r="A213" s="16" t="str">
        <f>IFERROR(__xludf.DUMMYFUNCTION("""COMPUTED_VALUE"""),"Ouhoumoudou Djannou Ibrahim")</f>
        <v>Ouhoumoudou Djannou Ibrahim</v>
      </c>
      <c r="B213" s="16"/>
      <c r="C213" s="14"/>
      <c r="F213" s="16" t="str">
        <f>IFERROR(__xludf.DUMMYFUNCTION("""COMPUTED_VALUE"""),"Fardatt")</f>
        <v>Fardatt</v>
      </c>
      <c r="G213" s="16"/>
      <c r="H213" s="14"/>
      <c r="K213" s="16">
        <f>IFERROR(__xludf.DUMMYFUNCTION("""COMPUTED_VALUE"""),2831.0)</f>
        <v>2831</v>
      </c>
      <c r="L213" s="16"/>
      <c r="M213" s="14"/>
    </row>
    <row r="214">
      <c r="A214" s="16" t="str">
        <f>IFERROR(__xludf.DUMMYFUNCTION("""COMPUTED_VALUE"""),"Ouhoumoudou Djannou Ibrahim")</f>
        <v>Ouhoumoudou Djannou Ibrahim</v>
      </c>
      <c r="B214" s="16"/>
      <c r="C214" s="14"/>
      <c r="F214" s="16" t="str">
        <f>IFERROR(__xludf.DUMMYFUNCTION("""COMPUTED_VALUE"""),"Fardatt")</f>
        <v>Fardatt</v>
      </c>
      <c r="G214" s="16"/>
      <c r="H214" s="14"/>
      <c r="K214" s="16">
        <f>IFERROR(__xludf.DUMMYFUNCTION("""COMPUTED_VALUE"""),549.0)</f>
        <v>549</v>
      </c>
      <c r="L214" s="16"/>
      <c r="M214" s="14"/>
    </row>
    <row r="215">
      <c r="A215" s="16" t="str">
        <f>IFERROR(__xludf.DUMMYFUNCTION("""COMPUTED_VALUE"""),"Ouhoumoudou Djannou Ibrahim")</f>
        <v>Ouhoumoudou Djannou Ibrahim</v>
      </c>
      <c r="B215" s="16"/>
      <c r="C215" s="14"/>
      <c r="F215" s="16" t="str">
        <f>IFERROR(__xludf.DUMMYFUNCTION("""COMPUTED_VALUE"""),"Fardatt")</f>
        <v>Fardatt</v>
      </c>
      <c r="G215" s="16"/>
      <c r="H215" s="14"/>
      <c r="K215" s="16">
        <f>IFERROR(__xludf.DUMMYFUNCTION("""COMPUTED_VALUE"""),2003.0)</f>
        <v>2003</v>
      </c>
      <c r="L215" s="16"/>
      <c r="M215" s="14"/>
    </row>
    <row r="216">
      <c r="A216" s="16" t="str">
        <f>IFERROR(__xludf.DUMMYFUNCTION("""COMPUTED_VALUE"""),"Hachimou Rabiou Mamoudou")</f>
        <v>Hachimou Rabiou Mamoudou</v>
      </c>
      <c r="B216" s="16"/>
      <c r="C216" s="14"/>
      <c r="F216" s="16" t="str">
        <f>IFERROR(__xludf.DUMMYFUNCTION("""COMPUTED_VALUE"""),"Farabani")</f>
        <v>Farabani</v>
      </c>
      <c r="G216" s="16"/>
      <c r="H216" s="14"/>
      <c r="K216" s="16">
        <f>IFERROR(__xludf.DUMMYFUNCTION("""COMPUTED_VALUE"""),248.0)</f>
        <v>248</v>
      </c>
      <c r="L216" s="16"/>
      <c r="M216" s="14"/>
    </row>
    <row r="217">
      <c r="A217" s="16" t="str">
        <f>IFERROR(__xludf.DUMMYFUNCTION("""COMPUTED_VALUE"""),"Rabeika Ide Mabeye")</f>
        <v>Rabeika Ide Mabeye</v>
      </c>
      <c r="B217" s="16"/>
      <c r="C217" s="14"/>
      <c r="F217" s="16" t="str">
        <f>IFERROR(__xludf.DUMMYFUNCTION("""COMPUTED_VALUE"""),"Quartier: Toudou")</f>
        <v>Quartier: Toudou</v>
      </c>
      <c r="G217" s="16"/>
      <c r="H217" s="14"/>
      <c r="K217" s="16">
        <f>IFERROR(__xludf.DUMMYFUNCTION("""COMPUTED_VALUE"""),1244.0)</f>
        <v>1244</v>
      </c>
      <c r="L217" s="16"/>
      <c r="M217" s="14"/>
    </row>
    <row r="218">
      <c r="A218" s="16" t="str">
        <f>IFERROR(__xludf.DUMMYFUNCTION("""COMPUTED_VALUE"""),"Rabeika Ide Mabeye")</f>
        <v>Rabeika Ide Mabeye</v>
      </c>
      <c r="B218" s="16"/>
      <c r="C218" s="14"/>
      <c r="F218" s="16" t="str">
        <f>IFERROR(__xludf.DUMMYFUNCTION("""COMPUTED_VALUE"""),"Farabani")</f>
        <v>Farabani</v>
      </c>
      <c r="G218" s="16"/>
      <c r="H218" s="14"/>
      <c r="K218" s="16">
        <f>IFERROR(__xludf.DUMMYFUNCTION("""COMPUTED_VALUE"""),1305.0)</f>
        <v>1305</v>
      </c>
      <c r="L218" s="16"/>
      <c r="M218" s="14"/>
    </row>
    <row r="219">
      <c r="A219" s="16" t="str">
        <f>IFERROR(__xludf.DUMMYFUNCTION("""COMPUTED_VALUE"""),"Hachimou Rabiou Mamoudou")</f>
        <v>Hachimou Rabiou Mamoudou</v>
      </c>
      <c r="B219" s="16"/>
      <c r="C219" s="14"/>
      <c r="F219" s="16" t="str">
        <f>IFERROR(__xludf.DUMMYFUNCTION("""COMPUTED_VALUE"""),"Farabani")</f>
        <v>Farabani</v>
      </c>
      <c r="G219" s="16"/>
      <c r="H219" s="14"/>
      <c r="K219" s="16">
        <f>IFERROR(__xludf.DUMMYFUNCTION("""COMPUTED_VALUE"""),1072.0)</f>
        <v>1072</v>
      </c>
      <c r="L219" s="16"/>
      <c r="M219" s="14"/>
    </row>
    <row r="220">
      <c r="A220" s="16" t="str">
        <f>IFERROR(__xludf.DUMMYFUNCTION("""COMPUTED_VALUE"""),"Yacouba Idé dit Lumana")</f>
        <v>Yacouba Idé dit Lumana</v>
      </c>
      <c r="B220" s="16"/>
      <c r="C220" s="14"/>
      <c r="F220" s="16" t="str">
        <f>IFERROR(__xludf.DUMMYFUNCTION("""COMPUTED_VALUE"""),"Fardatt")</f>
        <v>Fardatt</v>
      </c>
      <c r="G220" s="16"/>
      <c r="H220" s="14"/>
      <c r="K220" s="16">
        <f>IFERROR(__xludf.DUMMYFUNCTION("""COMPUTED_VALUE"""),1405.0)</f>
        <v>1405</v>
      </c>
      <c r="L220" s="16"/>
      <c r="M220" s="14"/>
    </row>
    <row r="221">
      <c r="A221" s="16" t="str">
        <f>IFERROR(__xludf.DUMMYFUNCTION("""COMPUTED_VALUE"""),"Yacouba Idé dit Lumana")</f>
        <v>Yacouba Idé dit Lumana</v>
      </c>
      <c r="B221" s="16"/>
      <c r="C221" s="14"/>
      <c r="F221" s="16" t="str">
        <f>IFERROR(__xludf.DUMMYFUNCTION("""COMPUTED_VALUE"""),"Fardatt")</f>
        <v>Fardatt</v>
      </c>
      <c r="G221" s="16"/>
      <c r="H221" s="14"/>
      <c r="K221" s="16">
        <f>IFERROR(__xludf.DUMMYFUNCTION("""COMPUTED_VALUE"""),2836.0)</f>
        <v>2836</v>
      </c>
      <c r="L221" s="16"/>
      <c r="M221" s="14"/>
    </row>
    <row r="222">
      <c r="A222" s="16" t="str">
        <f>IFERROR(__xludf.DUMMYFUNCTION("""COMPUTED_VALUE"""),"Zakari Aboubacar")</f>
        <v>Zakari Aboubacar</v>
      </c>
      <c r="B222" s="16"/>
      <c r="C222" s="14"/>
      <c r="F222" s="16" t="str">
        <f>IFERROR(__xludf.DUMMYFUNCTION("""COMPUTED_VALUE"""),"Farabani")</f>
        <v>Farabani</v>
      </c>
      <c r="G222" s="16"/>
      <c r="H222" s="14"/>
      <c r="K222" s="16">
        <f>IFERROR(__xludf.DUMMYFUNCTION("""COMPUTED_VALUE"""),3400.0)</f>
        <v>3400</v>
      </c>
      <c r="L222" s="16"/>
      <c r="M222" s="14"/>
    </row>
    <row r="223">
      <c r="A223" s="16" t="str">
        <f>IFERROR(__xludf.DUMMYFUNCTION("""COMPUTED_VALUE"""),"Zakari Aboubacar")</f>
        <v>Zakari Aboubacar</v>
      </c>
      <c r="B223" s="16"/>
      <c r="C223" s="14"/>
      <c r="F223" s="16" t="str">
        <f>IFERROR(__xludf.DUMMYFUNCTION("""COMPUTED_VALUE"""),"Quartier: Toudou")</f>
        <v>Quartier: Toudou</v>
      </c>
      <c r="G223" s="16"/>
      <c r="H223" s="14"/>
      <c r="K223" s="16">
        <f>IFERROR(__xludf.DUMMYFUNCTION("""COMPUTED_VALUE"""),583.0)</f>
        <v>583</v>
      </c>
      <c r="L223" s="16"/>
      <c r="M223" s="14"/>
    </row>
    <row r="224">
      <c r="A224" s="16" t="str">
        <f>IFERROR(__xludf.DUMMYFUNCTION("""COMPUTED_VALUE"""),"Maman Zayanou Harouna")</f>
        <v>Maman Zayanou Harouna</v>
      </c>
      <c r="B224" s="16"/>
      <c r="C224" s="14"/>
      <c r="F224" s="16" t="str">
        <f>IFERROR(__xludf.DUMMYFUNCTION("""COMPUTED_VALUE"""),"Farabani")</f>
        <v>Farabani</v>
      </c>
      <c r="G224" s="16"/>
      <c r="H224" s="14"/>
      <c r="K224" s="16">
        <f>IFERROR(__xludf.DUMMYFUNCTION("""COMPUTED_VALUE"""),455.0)</f>
        <v>455</v>
      </c>
      <c r="L224" s="16"/>
      <c r="M224" s="14"/>
    </row>
    <row r="225">
      <c r="A225" s="16" t="str">
        <f>IFERROR(__xludf.DUMMYFUNCTION("""COMPUTED_VALUE"""),"Maman Zayanou Harouna")</f>
        <v>Maman Zayanou Harouna</v>
      </c>
      <c r="B225" s="16"/>
      <c r="C225" s="14"/>
      <c r="F225" s="16" t="str">
        <f>IFERROR(__xludf.DUMMYFUNCTION("""COMPUTED_VALUE"""),"Fardatt")</f>
        <v>Fardatt</v>
      </c>
      <c r="G225" s="16"/>
      <c r="H225" s="14"/>
      <c r="K225" s="16">
        <f>IFERROR(__xludf.DUMMYFUNCTION("""COMPUTED_VALUE"""),472.0)</f>
        <v>472</v>
      </c>
      <c r="L225" s="16"/>
      <c r="M225" s="14"/>
    </row>
    <row r="226">
      <c r="A226" s="16" t="str">
        <f>IFERROR(__xludf.DUMMYFUNCTION("""COMPUTED_VALUE"""),"Maman Zayanou Harouna")</f>
        <v>Maman Zayanou Harouna</v>
      </c>
      <c r="B226" s="16"/>
      <c r="C226" s="14"/>
      <c r="F226" s="16" t="str">
        <f>IFERROR(__xludf.DUMMYFUNCTION("""COMPUTED_VALUE"""),"Farabani")</f>
        <v>Farabani</v>
      </c>
      <c r="G226" s="16"/>
      <c r="H226" s="14"/>
      <c r="K226" s="16">
        <f>IFERROR(__xludf.DUMMYFUNCTION("""COMPUTED_VALUE"""),358.0)</f>
        <v>358</v>
      </c>
      <c r="L226" s="16"/>
      <c r="M226" s="14"/>
    </row>
    <row r="227">
      <c r="A227" s="16" t="str">
        <f>IFERROR(__xludf.DUMMYFUNCTION("""COMPUTED_VALUE"""),"Younoussi Bilan Djamila")</f>
        <v>Younoussi Bilan Djamila</v>
      </c>
      <c r="B227" s="16"/>
      <c r="C227" s="14"/>
      <c r="F227" s="16" t="str">
        <f>IFERROR(__xludf.DUMMYFUNCTION("""COMPUTED_VALUE"""),"Farabani")</f>
        <v>Farabani</v>
      </c>
      <c r="G227" s="16"/>
      <c r="H227" s="14"/>
      <c r="K227" s="16">
        <f>IFERROR(__xludf.DUMMYFUNCTION("""COMPUTED_VALUE"""),549.0)</f>
        <v>549</v>
      </c>
      <c r="L227" s="16"/>
      <c r="M227" s="14"/>
    </row>
    <row r="228">
      <c r="A228" s="16" t="str">
        <f>IFERROR(__xludf.DUMMYFUNCTION("""COMPUTED_VALUE"""),"Gaoh Maazou")</f>
        <v>Gaoh Maazou</v>
      </c>
      <c r="B228" s="16"/>
      <c r="C228" s="14"/>
      <c r="F228" s="16" t="str">
        <f>IFERROR(__xludf.DUMMYFUNCTION("""COMPUTED_VALUE"""),"Farabani")</f>
        <v>Farabani</v>
      </c>
      <c r="G228" s="16"/>
      <c r="H228" s="14"/>
      <c r="K228" s="16">
        <f>IFERROR(__xludf.DUMMYFUNCTION("""COMPUTED_VALUE"""),1499.0)</f>
        <v>1499</v>
      </c>
      <c r="L228" s="16"/>
      <c r="M228" s="14"/>
    </row>
    <row r="229">
      <c r="A229" s="16" t="str">
        <f>IFERROR(__xludf.DUMMYFUNCTION("""COMPUTED_VALUE"""),"Gaoh Maazou")</f>
        <v>Gaoh Maazou</v>
      </c>
      <c r="B229" s="16"/>
      <c r="C229" s="14"/>
      <c r="F229" s="16" t="str">
        <f>IFERROR(__xludf.DUMMYFUNCTION("""COMPUTED_VALUE"""),"Intouramé")</f>
        <v>Intouramé</v>
      </c>
      <c r="G229" s="16"/>
      <c r="H229" s="14"/>
      <c r="K229" s="16">
        <f>IFERROR(__xludf.DUMMYFUNCTION("""COMPUTED_VALUE"""),1465.0)</f>
        <v>1465</v>
      </c>
      <c r="L229" s="16"/>
      <c r="M229" s="14"/>
    </row>
    <row r="230">
      <c r="A230" s="16" t="str">
        <f>IFERROR(__xludf.DUMMYFUNCTION("""COMPUTED_VALUE"""),"Gaoh Maazou")</f>
        <v>Gaoh Maazou</v>
      </c>
      <c r="B230" s="16"/>
      <c r="C230" s="14"/>
      <c r="F230" s="16" t="str">
        <f>IFERROR(__xludf.DUMMYFUNCTION("""COMPUTED_VALUE"""),"Intouramé")</f>
        <v>Intouramé</v>
      </c>
      <c r="G230" s="16"/>
      <c r="H230" s="14"/>
      <c r="K230" s="16">
        <f>IFERROR(__xludf.DUMMYFUNCTION("""COMPUTED_VALUE"""),408.0)</f>
        <v>408</v>
      </c>
      <c r="L230" s="16"/>
      <c r="M230" s="14"/>
    </row>
    <row r="231">
      <c r="A231" s="16" t="str">
        <f>IFERROR(__xludf.DUMMYFUNCTION("""COMPUTED_VALUE"""),"Abdoul Salami Ibrahim")</f>
        <v>Abdoul Salami Ibrahim</v>
      </c>
      <c r="B231" s="16"/>
      <c r="C231" s="14"/>
      <c r="F231" s="16" t="str">
        <f>IFERROR(__xludf.DUMMYFUNCTION("""COMPUTED_VALUE"""),"Intouramé")</f>
        <v>Intouramé</v>
      </c>
      <c r="G231" s="16"/>
      <c r="H231" s="14"/>
      <c r="K231" s="16">
        <f>IFERROR(__xludf.DUMMYFUNCTION("""COMPUTED_VALUE"""),1933.0)</f>
        <v>1933</v>
      </c>
      <c r="L231" s="16"/>
      <c r="M231" s="14"/>
    </row>
    <row r="232">
      <c r="A232" s="16" t="str">
        <f>IFERROR(__xludf.DUMMYFUNCTION("""COMPUTED_VALUE"""),"Abdoul Salami Ibrahim")</f>
        <v>Abdoul Salami Ibrahim</v>
      </c>
      <c r="B232" s="16"/>
      <c r="C232" s="14"/>
      <c r="F232" s="16" t="str">
        <f>IFERROR(__xludf.DUMMYFUNCTION("""COMPUTED_VALUE"""),"Farabani")</f>
        <v>Farabani</v>
      </c>
      <c r="G232" s="16"/>
      <c r="H232" s="14"/>
      <c r="K232" s="16">
        <f>IFERROR(__xludf.DUMMYFUNCTION("""COMPUTED_VALUE"""),866.0)</f>
        <v>866</v>
      </c>
      <c r="L232" s="16"/>
      <c r="M232" s="14"/>
    </row>
    <row r="233">
      <c r="A233" s="16" t="str">
        <f>IFERROR(__xludf.DUMMYFUNCTION("""COMPUTED_VALUE"""),"Abdoul Salami Ibrahim")</f>
        <v>Abdoul Salami Ibrahim</v>
      </c>
      <c r="B233" s="16"/>
      <c r="C233" s="14"/>
      <c r="F233" s="16" t="str">
        <f>IFERROR(__xludf.DUMMYFUNCTION("""COMPUTED_VALUE"""),"Farabani")</f>
        <v>Farabani</v>
      </c>
      <c r="G233" s="16"/>
      <c r="H233" s="14"/>
      <c r="K233" s="16">
        <f>IFERROR(__xludf.DUMMYFUNCTION("""COMPUTED_VALUE"""),869.0)</f>
        <v>869</v>
      </c>
      <c r="L233" s="16"/>
      <c r="M233" s="14"/>
    </row>
    <row r="234">
      <c r="A234" s="16" t="str">
        <f>IFERROR(__xludf.DUMMYFUNCTION("""COMPUTED_VALUE"""),"Hamissou Moussa Nana Mariama")</f>
        <v>Hamissou Moussa Nana Mariama</v>
      </c>
      <c r="B234" s="16"/>
      <c r="C234" s="14"/>
      <c r="F234" s="16" t="str">
        <f>IFERROR(__xludf.DUMMYFUNCTION("""COMPUTED_VALUE"""),"Farabani")</f>
        <v>Farabani</v>
      </c>
      <c r="G234" s="16"/>
      <c r="H234" s="14"/>
      <c r="K234" s="16">
        <f>IFERROR(__xludf.DUMMYFUNCTION("""COMPUTED_VALUE"""),566.0)</f>
        <v>566</v>
      </c>
      <c r="L234" s="16"/>
      <c r="M234" s="14"/>
    </row>
    <row r="235">
      <c r="A235" s="16" t="str">
        <f>IFERROR(__xludf.DUMMYFUNCTION("""COMPUTED_VALUE"""),"Maman Ado Abdourahamane")</f>
        <v>Maman Ado Abdourahamane</v>
      </c>
      <c r="B235" s="16"/>
      <c r="C235" s="14"/>
      <c r="F235" s="16" t="str">
        <f>IFERROR(__xludf.DUMMYFUNCTION("""COMPUTED_VALUE"""),"Farabani")</f>
        <v>Farabani</v>
      </c>
      <c r="G235" s="16"/>
      <c r="H235" s="14"/>
      <c r="K235" s="16">
        <f>IFERROR(__xludf.DUMMYFUNCTION("""COMPUTED_VALUE"""),1550.0)</f>
        <v>1550</v>
      </c>
      <c r="L235" s="16"/>
      <c r="M235" s="14"/>
    </row>
    <row r="236">
      <c r="A236" s="16" t="str">
        <f>IFERROR(__xludf.DUMMYFUNCTION("""COMPUTED_VALUE"""),"Maman Ado Abdourahamane")</f>
        <v>Maman Ado Abdourahamane</v>
      </c>
      <c r="B236" s="16"/>
      <c r="C236" s="14"/>
      <c r="F236" s="16" t="str">
        <f>IFERROR(__xludf.DUMMYFUNCTION("""COMPUTED_VALUE"""),"Fardatt")</f>
        <v>Fardatt</v>
      </c>
      <c r="G236" s="16"/>
      <c r="H236" s="14"/>
      <c r="K236" s="16">
        <f>IFERROR(__xludf.DUMMYFUNCTION("""COMPUTED_VALUE"""),602.0)</f>
        <v>602</v>
      </c>
      <c r="L236" s="16"/>
      <c r="M236" s="14"/>
    </row>
    <row r="237">
      <c r="A237" s="16" t="str">
        <f>IFERROR(__xludf.DUMMYFUNCTION("""COMPUTED_VALUE"""),"Elhaji Abdou Leilata")</f>
        <v>Elhaji Abdou Leilata</v>
      </c>
      <c r="B237" s="16"/>
      <c r="C237" s="14"/>
      <c r="F237" s="16" t="str">
        <f>IFERROR(__xludf.DUMMYFUNCTION("""COMPUTED_VALUE"""),"Fardatt")</f>
        <v>Fardatt</v>
      </c>
      <c r="G237" s="16"/>
      <c r="H237" s="14"/>
      <c r="K237" s="16">
        <f>IFERROR(__xludf.DUMMYFUNCTION("""COMPUTED_VALUE"""),944.0)</f>
        <v>944</v>
      </c>
      <c r="L237" s="16"/>
      <c r="M237" s="14"/>
    </row>
    <row r="238">
      <c r="A238" s="16" t="str">
        <f>IFERROR(__xludf.DUMMYFUNCTION("""COMPUTED_VALUE"""),"Elhaji Abdou Leilata")</f>
        <v>Elhaji Abdou Leilata</v>
      </c>
      <c r="B238" s="16"/>
      <c r="C238" s="14"/>
      <c r="F238" s="16" t="str">
        <f>IFERROR(__xludf.DUMMYFUNCTION("""COMPUTED_VALUE"""),"Fardatt")</f>
        <v>Fardatt</v>
      </c>
      <c r="G238" s="16"/>
      <c r="H238" s="14"/>
      <c r="K238" s="16">
        <f>IFERROR(__xludf.DUMMYFUNCTION("""COMPUTED_VALUE"""),3568.0)</f>
        <v>3568</v>
      </c>
      <c r="L238" s="16"/>
      <c r="M238" s="14"/>
    </row>
    <row r="239">
      <c r="A239" s="16" t="str">
        <f>IFERROR(__xludf.DUMMYFUNCTION("""COMPUTED_VALUE"""),"Haladou Boukar")</f>
        <v>Haladou Boukar</v>
      </c>
      <c r="B239" s="16"/>
      <c r="C239" s="14"/>
      <c r="F239" s="16" t="str">
        <f>IFERROR(__xludf.DUMMYFUNCTION("""COMPUTED_VALUE"""),"Fardatt")</f>
        <v>Fardatt</v>
      </c>
      <c r="G239" s="16"/>
      <c r="H239" s="14"/>
      <c r="K239" s="16">
        <f>IFERROR(__xludf.DUMMYFUNCTION("""COMPUTED_VALUE"""),1000.0)</f>
        <v>1000</v>
      </c>
      <c r="L239" s="16"/>
      <c r="M239" s="14"/>
    </row>
    <row r="240">
      <c r="A240" s="16" t="str">
        <f>IFERROR(__xludf.DUMMYFUNCTION("""COMPUTED_VALUE"""),"Haladou Boukar")</f>
        <v>Haladou Boukar</v>
      </c>
      <c r="B240" s="16"/>
      <c r="C240" s="14"/>
      <c r="F240" s="16" t="str">
        <f>IFERROR(__xludf.DUMMYFUNCTION("""COMPUTED_VALUE"""),"Fardatt")</f>
        <v>Fardatt</v>
      </c>
      <c r="G240" s="16"/>
      <c r="H240" s="14"/>
      <c r="K240" s="16">
        <f>IFERROR(__xludf.DUMMYFUNCTION("""COMPUTED_VALUE"""),596.0)</f>
        <v>596</v>
      </c>
      <c r="L240" s="16"/>
      <c r="M240" s="14"/>
    </row>
    <row r="241">
      <c r="A241" s="16" t="str">
        <f>IFERROR(__xludf.DUMMYFUNCTION("""COMPUTED_VALUE"""),"Haladou Boukar")</f>
        <v>Haladou Boukar</v>
      </c>
      <c r="B241" s="16"/>
      <c r="C241" s="14"/>
      <c r="F241" s="16" t="str">
        <f>IFERROR(__xludf.DUMMYFUNCTION("""COMPUTED_VALUE"""),"Kirékafada")</f>
        <v>Kirékafada</v>
      </c>
      <c r="G241" s="16"/>
      <c r="H241" s="14"/>
      <c r="K241" s="16">
        <f>IFERROR(__xludf.DUMMYFUNCTION("""COMPUTED_VALUE"""),506.0)</f>
        <v>506</v>
      </c>
      <c r="L241" s="16"/>
      <c r="M241" s="14"/>
    </row>
    <row r="242">
      <c r="A242" s="16" t="str">
        <f>IFERROR(__xludf.DUMMYFUNCTION("""COMPUTED_VALUE"""),"Mathieu Alphonse Rachida Juliette")</f>
        <v>Mathieu Alphonse Rachida Juliette</v>
      </c>
      <c r="B242" s="16"/>
      <c r="C242" s="14"/>
      <c r="F242" s="16" t="str">
        <f>IFERROR(__xludf.DUMMYFUNCTION("""COMPUTED_VALUE"""),"Kirékafada")</f>
        <v>Kirékafada</v>
      </c>
      <c r="G242" s="16"/>
      <c r="H242" s="14"/>
      <c r="K242" s="16">
        <f>IFERROR(__xludf.DUMMYFUNCTION("""COMPUTED_VALUE"""),641.0)</f>
        <v>641</v>
      </c>
      <c r="L242" s="16"/>
      <c r="M242" s="14"/>
    </row>
    <row r="243">
      <c r="A243" s="16" t="str">
        <f>IFERROR(__xludf.DUMMYFUNCTION("""COMPUTED_VALUE"""),"Larabou Chamsoudine")</f>
        <v>Larabou Chamsoudine</v>
      </c>
      <c r="B243" s="16"/>
      <c r="C243" s="14"/>
      <c r="F243" s="16" t="str">
        <f>IFERROR(__xludf.DUMMYFUNCTION("""COMPUTED_VALUE"""),"Intouramé")</f>
        <v>Intouramé</v>
      </c>
      <c r="G243" s="16"/>
      <c r="H243" s="14"/>
      <c r="K243" s="16">
        <f>IFERROR(__xludf.DUMMYFUNCTION("""COMPUTED_VALUE"""),523.0)</f>
        <v>523</v>
      </c>
      <c r="L243" s="16"/>
      <c r="M243" s="14"/>
    </row>
    <row r="244">
      <c r="A244" s="16" t="str">
        <f>IFERROR(__xludf.DUMMYFUNCTION("""COMPUTED_VALUE"""),"Larabou Chamsoudine")</f>
        <v>Larabou Chamsoudine</v>
      </c>
      <c r="B244" s="16"/>
      <c r="C244" s="14"/>
      <c r="F244" s="16" t="str">
        <f>IFERROR(__xludf.DUMMYFUNCTION("""COMPUTED_VALUE"""),"Intouramé")</f>
        <v>Intouramé</v>
      </c>
      <c r="G244" s="16"/>
      <c r="H244" s="14"/>
      <c r="K244" s="16">
        <f>IFERROR(__xludf.DUMMYFUNCTION("""COMPUTED_VALUE"""),671.0)</f>
        <v>671</v>
      </c>
      <c r="L244" s="16"/>
      <c r="M244" s="14"/>
    </row>
    <row r="245">
      <c r="A245" s="16" t="str">
        <f>IFERROR(__xludf.DUMMYFUNCTION("""COMPUTED_VALUE"""),"Moumouni Adamou Yahaya")</f>
        <v>Moumouni Adamou Yahaya</v>
      </c>
      <c r="B245" s="16"/>
      <c r="C245" s="14"/>
      <c r="F245" s="16" t="str">
        <f>IFERROR(__xludf.DUMMYFUNCTION("""COMPUTED_VALUE"""),"Intouramé")</f>
        <v>Intouramé</v>
      </c>
      <c r="G245" s="16"/>
      <c r="H245" s="14"/>
      <c r="K245" s="16">
        <f>IFERROR(__xludf.DUMMYFUNCTION("""COMPUTED_VALUE"""),1236.0)</f>
        <v>1236</v>
      </c>
      <c r="L245" s="16"/>
      <c r="M245" s="14"/>
    </row>
    <row r="246">
      <c r="A246" s="16" t="str">
        <f>IFERROR(__xludf.DUMMYFUNCTION("""COMPUTED_VALUE"""),"Inoussa Balkissou")</f>
        <v>Inoussa Balkissou</v>
      </c>
      <c r="B246" s="16"/>
      <c r="C246" s="14"/>
      <c r="F246" s="16" t="str">
        <f>IFERROR(__xludf.DUMMYFUNCTION("""COMPUTED_VALUE"""),"Intouramé")</f>
        <v>Intouramé</v>
      </c>
      <c r="G246" s="16"/>
      <c r="H246" s="14"/>
      <c r="K246" s="16">
        <f>IFERROR(__xludf.DUMMYFUNCTION("""COMPUTED_VALUE"""),3916.0)</f>
        <v>3916</v>
      </c>
      <c r="L246" s="16"/>
      <c r="M246" s="14"/>
    </row>
    <row r="247">
      <c r="A247" s="16" t="str">
        <f>IFERROR(__xludf.DUMMYFUNCTION("""COMPUTED_VALUE"""),"Halidou Tagaza Balkissa")</f>
        <v>Halidou Tagaza Balkissa</v>
      </c>
      <c r="B247" s="16"/>
      <c r="C247" s="14"/>
      <c r="F247" s="16" t="str">
        <f>IFERROR(__xludf.DUMMYFUNCTION("""COMPUTED_VALUE"""),"Intouramé")</f>
        <v>Intouramé</v>
      </c>
      <c r="G247" s="16"/>
      <c r="H247" s="14"/>
      <c r="K247" s="16">
        <f>IFERROR(__xludf.DUMMYFUNCTION("""COMPUTED_VALUE"""),431.0)</f>
        <v>431</v>
      </c>
      <c r="L247" s="16"/>
      <c r="M247" s="14"/>
    </row>
    <row r="248">
      <c r="A248" s="16" t="str">
        <f>IFERROR(__xludf.DUMMYFUNCTION("""COMPUTED_VALUE"""),"Ibrahim Dan Habou Larwana")</f>
        <v>Ibrahim Dan Habou Larwana</v>
      </c>
      <c r="B248" s="16"/>
      <c r="C248" s="14"/>
      <c r="F248" s="16" t="str">
        <f>IFERROR(__xludf.DUMMYFUNCTION("""COMPUTED_VALUE"""),"Intouramé")</f>
        <v>Intouramé</v>
      </c>
      <c r="G248" s="16"/>
      <c r="H248" s="14"/>
      <c r="K248" s="16">
        <f>IFERROR(__xludf.DUMMYFUNCTION("""COMPUTED_VALUE"""),1958.0)</f>
        <v>1958</v>
      </c>
      <c r="L248" s="16"/>
      <c r="M248" s="14"/>
    </row>
    <row r="249">
      <c r="A249" s="16" t="str">
        <f>IFERROR(__xludf.DUMMYFUNCTION("""COMPUTED_VALUE"""),"Rakia moussa")</f>
        <v>Rakia moussa</v>
      </c>
      <c r="B249" s="16"/>
      <c r="C249" s="14"/>
      <c r="F249" s="16" t="str">
        <f>IFERROR(__xludf.DUMMYFUNCTION("""COMPUTED_VALUE"""),"Intouramé")</f>
        <v>Intouramé</v>
      </c>
      <c r="G249" s="16"/>
      <c r="H249" s="14"/>
      <c r="K249" s="16">
        <f>IFERROR(__xludf.DUMMYFUNCTION("""COMPUTED_VALUE"""),387.0)</f>
        <v>387</v>
      </c>
      <c r="L249" s="16"/>
      <c r="M249" s="14"/>
    </row>
    <row r="250">
      <c r="A250" s="16" t="str">
        <f>IFERROR(__xludf.DUMMYFUNCTION("""COMPUTED_VALUE"""),"Saddy Youssouf")</f>
        <v>Saddy Youssouf</v>
      </c>
      <c r="B250" s="16"/>
      <c r="C250" s="14"/>
      <c r="F250" s="16" t="str">
        <f>IFERROR(__xludf.DUMMYFUNCTION("""COMPUTED_VALUE"""),"Intouramé")</f>
        <v>Intouramé</v>
      </c>
      <c r="G250" s="16"/>
      <c r="H250" s="14"/>
      <c r="K250" s="16">
        <f>IFERROR(__xludf.DUMMYFUNCTION("""COMPUTED_VALUE"""),918.0)</f>
        <v>918</v>
      </c>
      <c r="L250" s="16"/>
      <c r="M250" s="14"/>
    </row>
    <row r="251">
      <c r="A251" s="16" t="str">
        <f>IFERROR(__xludf.DUMMYFUNCTION("""COMPUTED_VALUE"""),"Saddy Youssouf")</f>
        <v>Saddy Youssouf</v>
      </c>
      <c r="B251" s="16"/>
      <c r="C251" s="14"/>
      <c r="F251" s="16" t="str">
        <f>IFERROR(__xludf.DUMMYFUNCTION("""COMPUTED_VALUE"""),"Fardatt")</f>
        <v>Fardatt</v>
      </c>
      <c r="G251" s="16"/>
      <c r="H251" s="14"/>
      <c r="K251" s="16">
        <f>IFERROR(__xludf.DUMMYFUNCTION("""COMPUTED_VALUE"""),2687.0)</f>
        <v>2687</v>
      </c>
      <c r="L251" s="16"/>
      <c r="M251" s="14"/>
    </row>
    <row r="252">
      <c r="A252" s="16" t="str">
        <f>IFERROR(__xludf.DUMMYFUNCTION("""COMPUTED_VALUE"""),"Saddy Youssouf")</f>
        <v>Saddy Youssouf</v>
      </c>
      <c r="B252" s="16"/>
      <c r="C252" s="14"/>
      <c r="F252" s="16" t="str">
        <f>IFERROR(__xludf.DUMMYFUNCTION("""COMPUTED_VALUE"""),"Kirékafada")</f>
        <v>Kirékafada</v>
      </c>
      <c r="G252" s="16"/>
      <c r="H252" s="14"/>
      <c r="K252" s="16">
        <f>IFERROR(__xludf.DUMMYFUNCTION("""COMPUTED_VALUE"""),587.0)</f>
        <v>587</v>
      </c>
      <c r="L252" s="16"/>
      <c r="M252" s="14"/>
    </row>
    <row r="253">
      <c r="A253" s="16" t="str">
        <f>IFERROR(__xludf.DUMMYFUNCTION("""COMPUTED_VALUE"""),"Saddy Youssouf")</f>
        <v>Saddy Youssouf</v>
      </c>
      <c r="B253" s="16"/>
      <c r="C253" s="14"/>
      <c r="F253" s="16" t="str">
        <f>IFERROR(__xludf.DUMMYFUNCTION("""COMPUTED_VALUE"""),"Kirékafada")</f>
        <v>Kirékafada</v>
      </c>
      <c r="G253" s="16"/>
      <c r="H253" s="14"/>
      <c r="K253" s="16">
        <f>IFERROR(__xludf.DUMMYFUNCTION("""COMPUTED_VALUE"""),2737.0)</f>
        <v>2737</v>
      </c>
      <c r="L253" s="16"/>
      <c r="M253" s="14"/>
    </row>
    <row r="254">
      <c r="A254" s="16" t="str">
        <f>IFERROR(__xludf.DUMMYFUNCTION("""COMPUTED_VALUE"""),"Achirou Malam Dan Maradi Nassirou")</f>
        <v>Achirou Malam Dan Maradi Nassirou</v>
      </c>
      <c r="B254" s="16"/>
      <c r="C254" s="14"/>
      <c r="F254" s="16" t="str">
        <f>IFERROR(__xludf.DUMMYFUNCTION("""COMPUTED_VALUE"""),"Kirékafada")</f>
        <v>Kirékafada</v>
      </c>
      <c r="G254" s="16"/>
      <c r="H254" s="14"/>
      <c r="K254" s="16">
        <f>IFERROR(__xludf.DUMMYFUNCTION("""COMPUTED_VALUE"""),2175.0)</f>
        <v>2175</v>
      </c>
      <c r="L254" s="16"/>
      <c r="M254" s="14"/>
    </row>
    <row r="255">
      <c r="A255" s="16" t="str">
        <f>IFERROR(__xludf.DUMMYFUNCTION("""COMPUTED_VALUE"""),"Kailou Hamidou Rainatou")</f>
        <v>Kailou Hamidou Rainatou</v>
      </c>
      <c r="B255" s="16"/>
      <c r="C255" s="14"/>
      <c r="F255" s="16" t="str">
        <f>IFERROR(__xludf.DUMMYFUNCTION("""COMPUTED_VALUE"""),"Kirékafada")</f>
        <v>Kirékafada</v>
      </c>
      <c r="G255" s="16"/>
      <c r="H255" s="14"/>
      <c r="K255" s="16">
        <f>IFERROR(__xludf.DUMMYFUNCTION("""COMPUTED_VALUE"""),2701.0)</f>
        <v>2701</v>
      </c>
      <c r="L255" s="16"/>
      <c r="M255" s="14"/>
    </row>
    <row r="256">
      <c r="A256" s="16" t="str">
        <f>IFERROR(__xludf.DUMMYFUNCTION("""COMPUTED_VALUE"""),"Rabi Boubacar Younoussa")</f>
        <v>Rabi Boubacar Younoussa</v>
      </c>
      <c r="B256" s="16"/>
      <c r="C256" s="14"/>
      <c r="F256" s="16" t="str">
        <f>IFERROR(__xludf.DUMMYFUNCTION("""COMPUTED_VALUE"""),"Kirékafada")</f>
        <v>Kirékafada</v>
      </c>
      <c r="G256" s="16"/>
      <c r="H256" s="14"/>
      <c r="K256" s="16">
        <f>IFERROR(__xludf.DUMMYFUNCTION("""COMPUTED_VALUE"""),499.0)</f>
        <v>499</v>
      </c>
      <c r="L256" s="16"/>
      <c r="M256" s="14"/>
    </row>
    <row r="257">
      <c r="A257" s="16" t="str">
        <f>IFERROR(__xludf.DUMMYFUNCTION("""COMPUTED_VALUE"""),"Rabi Boubacar Younoussa")</f>
        <v>Rabi Boubacar Younoussa</v>
      </c>
      <c r="B257" s="16"/>
      <c r="C257" s="14"/>
      <c r="F257" s="16" t="str">
        <f>IFERROR(__xludf.DUMMYFUNCTION("""COMPUTED_VALUE"""),"Kirékafada")</f>
        <v>Kirékafada</v>
      </c>
      <c r="G257" s="16"/>
      <c r="H257" s="14"/>
      <c r="K257" s="16">
        <f>IFERROR(__xludf.DUMMYFUNCTION("""COMPUTED_VALUE"""),497.0)</f>
        <v>497</v>
      </c>
      <c r="L257" s="16"/>
      <c r="M257" s="14"/>
    </row>
    <row r="258">
      <c r="A258" s="16" t="str">
        <f>IFERROR(__xludf.DUMMYFUNCTION("""COMPUTED_VALUE"""),"Rabi Boubacar Younoussa")</f>
        <v>Rabi Boubacar Younoussa</v>
      </c>
      <c r="B258" s="16"/>
      <c r="C258" s="14"/>
      <c r="F258" s="16" t="str">
        <f>IFERROR(__xludf.DUMMYFUNCTION("""COMPUTED_VALUE"""),"Kirékafada")</f>
        <v>Kirékafada</v>
      </c>
      <c r="G258" s="16"/>
      <c r="H258" s="14"/>
      <c r="K258" s="16">
        <f>IFERROR(__xludf.DUMMYFUNCTION("""COMPUTED_VALUE"""),3336.0)</f>
        <v>3336</v>
      </c>
      <c r="L258" s="16"/>
      <c r="M258" s="14"/>
    </row>
    <row r="259">
      <c r="A259" s="16" t="str">
        <f>IFERROR(__xludf.DUMMYFUNCTION("""COMPUTED_VALUE"""),"Rabi Boubacar Younoussa")</f>
        <v>Rabi Boubacar Younoussa</v>
      </c>
      <c r="B259" s="16"/>
      <c r="C259" s="14"/>
      <c r="F259" s="16" t="str">
        <f>IFERROR(__xludf.DUMMYFUNCTION("""COMPUTED_VALUE"""),"Kirékafada")</f>
        <v>Kirékafada</v>
      </c>
      <c r="G259" s="16"/>
      <c r="H259" s="14"/>
      <c r="K259" s="16">
        <f>IFERROR(__xludf.DUMMYFUNCTION("""COMPUTED_VALUE"""),1574.0)</f>
        <v>1574</v>
      </c>
      <c r="L259" s="16"/>
      <c r="M259" s="14"/>
    </row>
    <row r="260">
      <c r="A260" s="16" t="str">
        <f>IFERROR(__xludf.DUMMYFUNCTION("""COMPUTED_VALUE"""),"Rabi Boubacar Younoussa")</f>
        <v>Rabi Boubacar Younoussa</v>
      </c>
      <c r="B260" s="16"/>
      <c r="C260" s="14"/>
      <c r="F260" s="16" t="str">
        <f>IFERROR(__xludf.DUMMYFUNCTION("""COMPUTED_VALUE"""),"Kirékafada")</f>
        <v>Kirékafada</v>
      </c>
      <c r="G260" s="16"/>
      <c r="H260" s="14"/>
      <c r="K260" s="16">
        <f>IFERROR(__xludf.DUMMYFUNCTION("""COMPUTED_VALUE"""),2697.0)</f>
        <v>2697</v>
      </c>
      <c r="L260" s="16"/>
      <c r="M260" s="14"/>
    </row>
    <row r="261">
      <c r="A261" s="16" t="str">
        <f>IFERROR(__xludf.DUMMYFUNCTION("""COMPUTED_VALUE"""),"Mohamed Cherif")</f>
        <v>Mohamed Cherif</v>
      </c>
      <c r="B261" s="16"/>
      <c r="C261" s="14"/>
      <c r="F261" s="16" t="str">
        <f>IFERROR(__xludf.DUMMYFUNCTION("""COMPUTED_VALUE"""),"Kirékafada")</f>
        <v>Kirékafada</v>
      </c>
      <c r="G261" s="16"/>
      <c r="H261" s="14"/>
      <c r="K261" s="16">
        <f>IFERROR(__xludf.DUMMYFUNCTION("""COMPUTED_VALUE"""),997.0)</f>
        <v>997</v>
      </c>
      <c r="L261" s="16"/>
      <c r="M261" s="14"/>
    </row>
    <row r="262">
      <c r="A262" s="16" t="str">
        <f>IFERROR(__xludf.DUMMYFUNCTION("""COMPUTED_VALUE"""),"Mohamed Cherif")</f>
        <v>Mohamed Cherif</v>
      </c>
      <c r="B262" s="16"/>
      <c r="C262" s="14"/>
      <c r="F262" s="16" t="str">
        <f>IFERROR(__xludf.DUMMYFUNCTION("""COMPUTED_VALUE"""),"Kirékafada")</f>
        <v>Kirékafada</v>
      </c>
      <c r="G262" s="16"/>
      <c r="H262" s="14"/>
      <c r="K262" s="16">
        <f>IFERROR(__xludf.DUMMYFUNCTION("""COMPUTED_VALUE"""),1733.0)</f>
        <v>1733</v>
      </c>
      <c r="L262" s="16"/>
      <c r="M262" s="14"/>
    </row>
    <row r="263">
      <c r="A263" s="16" t="str">
        <f>IFERROR(__xludf.DUMMYFUNCTION("""COMPUTED_VALUE"""),"Mohamed Cherif")</f>
        <v>Mohamed Cherif</v>
      </c>
      <c r="B263" s="16"/>
      <c r="C263" s="14"/>
      <c r="F263" s="16" t="str">
        <f>IFERROR(__xludf.DUMMYFUNCTION("""COMPUTED_VALUE"""),"Roumbouki")</f>
        <v>Roumbouki</v>
      </c>
      <c r="G263" s="16"/>
      <c r="H263" s="14"/>
      <c r="K263" s="16">
        <f>IFERROR(__xludf.DUMMYFUNCTION("""COMPUTED_VALUE"""),929.0)</f>
        <v>929</v>
      </c>
      <c r="L263" s="16"/>
      <c r="M263" s="14"/>
    </row>
    <row r="264">
      <c r="A264" s="16" t="str">
        <f>IFERROR(__xludf.DUMMYFUNCTION("""COMPUTED_VALUE"""),"Mohamadou Amadou")</f>
        <v>Mohamadou Amadou</v>
      </c>
      <c r="B264" s="16"/>
      <c r="C264" s="14"/>
      <c r="F264" s="16" t="str">
        <f>IFERROR(__xludf.DUMMYFUNCTION("""COMPUTED_VALUE"""),"Farabani")</f>
        <v>Farabani</v>
      </c>
      <c r="G264" s="16"/>
      <c r="H264" s="14"/>
      <c r="K264" s="16">
        <f>IFERROR(__xludf.DUMMYFUNCTION("""COMPUTED_VALUE"""),2781.0)</f>
        <v>2781</v>
      </c>
      <c r="L264" s="16"/>
      <c r="M264" s="14"/>
    </row>
    <row r="265">
      <c r="A265" s="16" t="str">
        <f>IFERROR(__xludf.DUMMYFUNCTION("""COMPUTED_VALUE"""),"ALASSANE TAWEY AWALOU")</f>
        <v>ALASSANE TAWEY AWALOU</v>
      </c>
      <c r="B265" s="16"/>
      <c r="C265" s="14"/>
      <c r="F265" s="16" t="str">
        <f>IFERROR(__xludf.DUMMYFUNCTION("""COMPUTED_VALUE"""),"Farabani")</f>
        <v>Farabani</v>
      </c>
      <c r="G265" s="16"/>
      <c r="H265" s="14"/>
      <c r="K265" s="16">
        <f>IFERROR(__xludf.DUMMYFUNCTION("""COMPUTED_VALUE"""),1606.0)</f>
        <v>1606</v>
      </c>
      <c r="L265" s="16"/>
      <c r="M265" s="14"/>
    </row>
    <row r="266">
      <c r="A266" s="16" t="str">
        <f>IFERROR(__xludf.DUMMYFUNCTION("""COMPUTED_VALUE"""),"ALASSANE TAWEY AWALOU")</f>
        <v>ALASSANE TAWEY AWALOU</v>
      </c>
      <c r="B266" s="16"/>
      <c r="C266" s="14"/>
      <c r="F266" s="16" t="str">
        <f>IFERROR(__xludf.DUMMYFUNCTION("""COMPUTED_VALUE"""),"Farabani")</f>
        <v>Farabani</v>
      </c>
      <c r="G266" s="16"/>
      <c r="H266" s="14"/>
      <c r="K266" s="16">
        <f>IFERROR(__xludf.DUMMYFUNCTION("""COMPUTED_VALUE"""),642.0)</f>
        <v>642</v>
      </c>
      <c r="L266" s="16"/>
      <c r="M266" s="14"/>
    </row>
    <row r="267">
      <c r="A267" s="16" t="str">
        <f>IFERROR(__xludf.DUMMYFUNCTION("""COMPUTED_VALUE"""),"Fatimata Mohamed")</f>
        <v>Fatimata Mohamed</v>
      </c>
      <c r="B267" s="16"/>
      <c r="C267" s="14"/>
      <c r="F267" s="16" t="str">
        <f>IFERROR(__xludf.DUMMYFUNCTION("""COMPUTED_VALUE"""),"Fardatt")</f>
        <v>Fardatt</v>
      </c>
      <c r="G267" s="16"/>
      <c r="H267" s="14"/>
      <c r="K267" s="16">
        <f>IFERROR(__xludf.DUMMYFUNCTION("""COMPUTED_VALUE"""),2037.0)</f>
        <v>2037</v>
      </c>
      <c r="L267" s="16"/>
      <c r="M267" s="14"/>
    </row>
    <row r="268">
      <c r="A268" s="16" t="str">
        <f>IFERROR(__xludf.DUMMYFUNCTION("""COMPUTED_VALUE"""),"Achirou kane Abdoul Nasser")</f>
        <v>Achirou kane Abdoul Nasser</v>
      </c>
      <c r="B268" s="16"/>
      <c r="C268" s="14"/>
      <c r="F268" s="16" t="str">
        <f>IFERROR(__xludf.DUMMYFUNCTION("""COMPUTED_VALUE"""),"Fardatt")</f>
        <v>Fardatt</v>
      </c>
      <c r="G268" s="16"/>
      <c r="H268" s="14"/>
      <c r="K268" s="16">
        <f>IFERROR(__xludf.DUMMYFUNCTION("""COMPUTED_VALUE"""),2106.0)</f>
        <v>2106</v>
      </c>
      <c r="L268" s="16"/>
      <c r="M268" s="14"/>
    </row>
    <row r="269">
      <c r="A269" s="16" t="str">
        <f>IFERROR(__xludf.DUMMYFUNCTION("""COMPUTED_VALUE"""),"Moumouni Adamou Yahaya")</f>
        <v>Moumouni Adamou Yahaya</v>
      </c>
      <c r="B269" s="16"/>
      <c r="C269" s="14"/>
      <c r="F269" s="16" t="str">
        <f>IFERROR(__xludf.DUMMYFUNCTION("""COMPUTED_VALUE"""),"Fardatt")</f>
        <v>Fardatt</v>
      </c>
      <c r="G269" s="16"/>
      <c r="H269" s="14"/>
      <c r="K269" s="16">
        <f>IFERROR(__xludf.DUMMYFUNCTION("""COMPUTED_VALUE"""),2117.0)</f>
        <v>2117</v>
      </c>
      <c r="L269" s="16"/>
      <c r="M269" s="14"/>
    </row>
    <row r="270">
      <c r="A270" s="16" t="str">
        <f>IFERROR(__xludf.DUMMYFUNCTION("""COMPUTED_VALUE"""),"Mathieu Alphonse Rachida Juliette")</f>
        <v>Mathieu Alphonse Rachida Juliette</v>
      </c>
      <c r="B270" s="16"/>
      <c r="C270" s="14"/>
      <c r="F270" s="16" t="str">
        <f>IFERROR(__xludf.DUMMYFUNCTION("""COMPUTED_VALUE"""),"Badaguichiri 2")</f>
        <v>Badaguichiri 2</v>
      </c>
      <c r="G270" s="16"/>
      <c r="H270" s="14"/>
      <c r="K270" s="16">
        <f>IFERROR(__xludf.DUMMYFUNCTION("""COMPUTED_VALUE"""),564.0)</f>
        <v>564</v>
      </c>
      <c r="L270" s="16"/>
      <c r="M270" s="14"/>
    </row>
    <row r="271">
      <c r="A271" s="16" t="str">
        <f>IFERROR(__xludf.DUMMYFUNCTION("""COMPUTED_VALUE"""),"Abdoul Salami Ibrahim")</f>
        <v>Abdoul Salami Ibrahim</v>
      </c>
      <c r="B271" s="16"/>
      <c r="C271" s="14"/>
      <c r="F271" s="16" t="str">
        <f>IFERROR(__xludf.DUMMYFUNCTION("""COMPUTED_VALUE"""),"Badaguichiri 2")</f>
        <v>Badaguichiri 2</v>
      </c>
      <c r="G271" s="16"/>
      <c r="H271" s="14"/>
      <c r="K271" s="16">
        <f>IFERROR(__xludf.DUMMYFUNCTION("""COMPUTED_VALUE"""),2279.0)</f>
        <v>2279</v>
      </c>
      <c r="L271" s="16"/>
      <c r="M271" s="14"/>
    </row>
    <row r="272">
      <c r="A272" s="16" t="str">
        <f>IFERROR(__xludf.DUMMYFUNCTION("""COMPUTED_VALUE"""),"Abdoul Salami Ibrahim")</f>
        <v>Abdoul Salami Ibrahim</v>
      </c>
      <c r="B272" s="16"/>
      <c r="C272" s="14"/>
      <c r="F272" s="16" t="str">
        <f>IFERROR(__xludf.DUMMYFUNCTION("""COMPUTED_VALUE"""),"Badaguichiri 2")</f>
        <v>Badaguichiri 2</v>
      </c>
      <c r="G272" s="16"/>
      <c r="H272" s="14"/>
      <c r="K272" s="16">
        <f>IFERROR(__xludf.DUMMYFUNCTION("""COMPUTED_VALUE"""),1754.0)</f>
        <v>1754</v>
      </c>
      <c r="L272" s="16"/>
      <c r="M272" s="14"/>
    </row>
    <row r="273">
      <c r="A273" s="16" t="str">
        <f>IFERROR(__xludf.DUMMYFUNCTION("""COMPUTED_VALUE"""),"Inoussa Balkissou")</f>
        <v>Inoussa Balkissou</v>
      </c>
      <c r="B273" s="16"/>
      <c r="C273" s="14"/>
      <c r="F273" s="16" t="str">
        <f>IFERROR(__xludf.DUMMYFUNCTION("""COMPUTED_VALUE"""),"Badaguichiri 2")</f>
        <v>Badaguichiri 2</v>
      </c>
      <c r="G273" s="16"/>
      <c r="H273" s="14"/>
      <c r="K273" s="16">
        <f>IFERROR(__xludf.DUMMYFUNCTION("""COMPUTED_VALUE"""),2202.0)</f>
        <v>2202</v>
      </c>
      <c r="L273" s="16"/>
      <c r="M273" s="14"/>
    </row>
    <row r="274">
      <c r="A274" s="16" t="str">
        <f>IFERROR(__xludf.DUMMYFUNCTION("""COMPUTED_VALUE"""),"Inoussa Balkissou")</f>
        <v>Inoussa Balkissou</v>
      </c>
      <c r="B274" s="16"/>
      <c r="C274" s="14"/>
      <c r="F274" s="16" t="str">
        <f>IFERROR(__xludf.DUMMYFUNCTION("""COMPUTED_VALUE"""),"Badaguichiri 2")</f>
        <v>Badaguichiri 2</v>
      </c>
      <c r="G274" s="16"/>
      <c r="H274" s="14"/>
      <c r="K274" s="16">
        <f>IFERROR(__xludf.DUMMYFUNCTION("""COMPUTED_VALUE"""),1716.0)</f>
        <v>1716</v>
      </c>
      <c r="L274" s="16"/>
      <c r="M274" s="14"/>
    </row>
    <row r="275">
      <c r="A275" s="16" t="str">
        <f>IFERROR(__xludf.DUMMYFUNCTION("""COMPUTED_VALUE"""),"Amadou Hamidou Abdoul Karim")</f>
        <v>Amadou Hamidou Abdoul Karim</v>
      </c>
      <c r="B275" s="16"/>
      <c r="C275" s="14"/>
      <c r="F275" s="16" t="str">
        <f>IFERROR(__xludf.DUMMYFUNCTION("""COMPUTED_VALUE"""),"Badaguichiri 2")</f>
        <v>Badaguichiri 2</v>
      </c>
      <c r="G275" s="16"/>
      <c r="H275" s="14"/>
      <c r="K275" s="16">
        <f>IFERROR(__xludf.DUMMYFUNCTION("""COMPUTED_VALUE"""),1011.0)</f>
        <v>1011</v>
      </c>
      <c r="L275" s="16"/>
      <c r="M275" s="14"/>
    </row>
    <row r="276">
      <c r="A276" s="16" t="str">
        <f>IFERROR(__xludf.DUMMYFUNCTION("""COMPUTED_VALUE"""),"Amadou Hamidou Abdoul Karim")</f>
        <v>Amadou Hamidou Abdoul Karim</v>
      </c>
      <c r="B276" s="16"/>
      <c r="C276" s="14"/>
      <c r="F276" s="16" t="str">
        <f>IFERROR(__xludf.DUMMYFUNCTION("""COMPUTED_VALUE"""),"Badaguichiri 2")</f>
        <v>Badaguichiri 2</v>
      </c>
      <c r="G276" s="16"/>
      <c r="H276" s="14"/>
      <c r="K276" s="16">
        <f>IFERROR(__xludf.DUMMYFUNCTION("""COMPUTED_VALUE"""),3469.0)</f>
        <v>3469</v>
      </c>
      <c r="L276" s="16"/>
      <c r="M276" s="14"/>
    </row>
    <row r="277">
      <c r="A277" s="16" t="str">
        <f>IFERROR(__xludf.DUMMYFUNCTION("""COMPUTED_VALUE"""),"Rabi Boubacar Younoussa")</f>
        <v>Rabi Boubacar Younoussa</v>
      </c>
      <c r="B277" s="16"/>
      <c r="C277" s="14"/>
      <c r="F277" s="16" t="str">
        <f>IFERROR(__xludf.DUMMYFUNCTION("""COMPUTED_VALUE"""),"Badaguichiri 2")</f>
        <v>Badaguichiri 2</v>
      </c>
      <c r="G277" s="16"/>
      <c r="H277" s="14"/>
      <c r="K277" s="16">
        <f>IFERROR(__xludf.DUMMYFUNCTION("""COMPUTED_VALUE"""),3926.0)</f>
        <v>3926</v>
      </c>
      <c r="L277" s="16"/>
      <c r="M277" s="14"/>
    </row>
    <row r="278">
      <c r="A278" s="16" t="str">
        <f>IFERROR(__xludf.DUMMYFUNCTION("""COMPUTED_VALUE"""),"Rabi Boubacar Younoussa")</f>
        <v>Rabi Boubacar Younoussa</v>
      </c>
      <c r="B278" s="16"/>
      <c r="C278" s="14"/>
      <c r="F278" s="16" t="str">
        <f>IFERROR(__xludf.DUMMYFUNCTION("""COMPUTED_VALUE"""),"Badaguichiri 2")</f>
        <v>Badaguichiri 2</v>
      </c>
      <c r="G278" s="16"/>
      <c r="H278" s="14"/>
      <c r="K278" s="16">
        <f>IFERROR(__xludf.DUMMYFUNCTION("""COMPUTED_VALUE"""),1280.0)</f>
        <v>1280</v>
      </c>
      <c r="L278" s="16"/>
      <c r="M278" s="14"/>
    </row>
    <row r="279">
      <c r="A279" s="16" t="str">
        <f>IFERROR(__xludf.DUMMYFUNCTION("""COMPUTED_VALUE"""),"Rabi Boubacar Younoussa")</f>
        <v>Rabi Boubacar Younoussa</v>
      </c>
      <c r="B279" s="16"/>
      <c r="C279" s="14"/>
      <c r="F279" s="16" t="str">
        <f>IFERROR(__xludf.DUMMYFUNCTION("""COMPUTED_VALUE"""),"Badaguichiri 2")</f>
        <v>Badaguichiri 2</v>
      </c>
      <c r="G279" s="16"/>
      <c r="H279" s="14"/>
      <c r="K279" s="16">
        <f>IFERROR(__xludf.DUMMYFUNCTION("""COMPUTED_VALUE"""),675.0)</f>
        <v>675</v>
      </c>
      <c r="L279" s="16"/>
      <c r="M279" s="14"/>
    </row>
    <row r="280">
      <c r="A280" s="16" t="str">
        <f>IFERROR(__xludf.DUMMYFUNCTION("""COMPUTED_VALUE"""),"Binta Maman")</f>
        <v>Binta Maman</v>
      </c>
      <c r="B280" s="16"/>
      <c r="C280" s="14"/>
      <c r="F280" s="16" t="str">
        <f>IFERROR(__xludf.DUMMYFUNCTION("""COMPUTED_VALUE"""),"Tchigili")</f>
        <v>Tchigili</v>
      </c>
      <c r="G280" s="16"/>
      <c r="H280" s="14"/>
      <c r="K280" s="16">
        <f>IFERROR(__xludf.DUMMYFUNCTION("""COMPUTED_VALUE"""),1242.0)</f>
        <v>1242</v>
      </c>
      <c r="L280" s="16"/>
      <c r="M280" s="14"/>
    </row>
    <row r="281">
      <c r="A281" s="16" t="str">
        <f>IFERROR(__xludf.DUMMYFUNCTION("""COMPUTED_VALUE"""),"Haladou Boukar")</f>
        <v>Haladou Boukar</v>
      </c>
      <c r="B281" s="16"/>
      <c r="C281" s="14"/>
      <c r="F281" s="16" t="str">
        <f>IFERROR(__xludf.DUMMYFUNCTION("""COMPUTED_VALUE"""),"Badaguichiri 2")</f>
        <v>Badaguichiri 2</v>
      </c>
      <c r="G281" s="16"/>
      <c r="H281" s="14"/>
      <c r="K281" s="16">
        <f>IFERROR(__xludf.DUMMYFUNCTION("""COMPUTED_VALUE"""),3516.0)</f>
        <v>3516</v>
      </c>
      <c r="L281" s="16"/>
      <c r="M281" s="14"/>
    </row>
    <row r="282">
      <c r="A282" s="16" t="str">
        <f>IFERROR(__xludf.DUMMYFUNCTION("""COMPUTED_VALUE"""),"Haladou Boukar")</f>
        <v>Haladou Boukar</v>
      </c>
      <c r="B282" s="16"/>
      <c r="C282" s="14"/>
      <c r="F282" s="16" t="str">
        <f>IFERROR(__xludf.DUMMYFUNCTION("""COMPUTED_VALUE"""),"Badaguichiri 2")</f>
        <v>Badaguichiri 2</v>
      </c>
      <c r="G282" s="16"/>
      <c r="H282" s="14"/>
      <c r="K282" s="16">
        <f>IFERROR(__xludf.DUMMYFUNCTION("""COMPUTED_VALUE"""),1678.0)</f>
        <v>1678</v>
      </c>
      <c r="L282" s="16"/>
      <c r="M282" s="14"/>
    </row>
    <row r="283">
      <c r="A283" s="16" t="str">
        <f>IFERROR(__xludf.DUMMYFUNCTION("""COMPUTED_VALUE"""),"Haladou Boukar")</f>
        <v>Haladou Boukar</v>
      </c>
      <c r="B283" s="16"/>
      <c r="C283" s="14"/>
      <c r="F283" s="16" t="str">
        <f>IFERROR(__xludf.DUMMYFUNCTION("""COMPUTED_VALUE"""),"Badaguichiri 2")</f>
        <v>Badaguichiri 2</v>
      </c>
      <c r="G283" s="16"/>
      <c r="H283" s="14"/>
      <c r="K283" s="16">
        <f>IFERROR(__xludf.DUMMYFUNCTION("""COMPUTED_VALUE"""),3555.0)</f>
        <v>3555</v>
      </c>
      <c r="L283" s="16"/>
      <c r="M283" s="14"/>
    </row>
    <row r="284">
      <c r="A284" s="16" t="str">
        <f>IFERROR(__xludf.DUMMYFUNCTION("""COMPUTED_VALUE"""),"Haladou Boukar")</f>
        <v>Haladou Boukar</v>
      </c>
      <c r="B284" s="16"/>
      <c r="C284" s="14"/>
      <c r="F284" s="16" t="str">
        <f>IFERROR(__xludf.DUMMYFUNCTION("""COMPUTED_VALUE"""),"Badaguichiri 2")</f>
        <v>Badaguichiri 2</v>
      </c>
      <c r="G284" s="16"/>
      <c r="H284" s="14"/>
      <c r="K284" s="16">
        <f>IFERROR(__xludf.DUMMYFUNCTION("""COMPUTED_VALUE"""),703.0)</f>
        <v>703</v>
      </c>
      <c r="L284" s="16"/>
      <c r="M284" s="14"/>
    </row>
    <row r="285">
      <c r="A285" s="16" t="str">
        <f>IFERROR(__xludf.DUMMYFUNCTION("""COMPUTED_VALUE"""),"Kaltoume Kimba")</f>
        <v>Kaltoume Kimba</v>
      </c>
      <c r="B285" s="16"/>
      <c r="C285" s="14"/>
      <c r="F285" s="16" t="str">
        <f>IFERROR(__xludf.DUMMYFUNCTION("""COMPUTED_VALUE"""),"Farabani")</f>
        <v>Farabani</v>
      </c>
      <c r="G285" s="16"/>
      <c r="H285" s="14"/>
      <c r="K285" s="16">
        <f>IFERROR(__xludf.DUMMYFUNCTION("""COMPUTED_VALUE"""),803.0)</f>
        <v>803</v>
      </c>
      <c r="L285" s="16"/>
      <c r="M285" s="14"/>
    </row>
    <row r="286">
      <c r="A286" s="16" t="str">
        <f>IFERROR(__xludf.DUMMYFUNCTION("""COMPUTED_VALUE"""),"Kaltoume Kimba")</f>
        <v>Kaltoume Kimba</v>
      </c>
      <c r="B286" s="16"/>
      <c r="C286" s="14"/>
      <c r="F286" s="16" t="str">
        <f>IFERROR(__xludf.DUMMYFUNCTION("""COMPUTED_VALUE"""),"Farabani")</f>
        <v>Farabani</v>
      </c>
      <c r="G286" s="16"/>
      <c r="H286" s="14"/>
      <c r="K286" s="16">
        <f>IFERROR(__xludf.DUMMYFUNCTION("""COMPUTED_VALUE"""),3054.0)</f>
        <v>3054</v>
      </c>
      <c r="L286" s="16"/>
      <c r="M286" s="14"/>
    </row>
    <row r="287">
      <c r="A287" s="16" t="str">
        <f>IFERROR(__xludf.DUMMYFUNCTION("""COMPUTED_VALUE"""),"Kaltoume Kimba")</f>
        <v>Kaltoume Kimba</v>
      </c>
      <c r="B287" s="16"/>
      <c r="C287" s="14"/>
      <c r="F287" s="16" t="str">
        <f>IFERROR(__xludf.DUMMYFUNCTION("""COMPUTED_VALUE"""),"Farabani")</f>
        <v>Farabani</v>
      </c>
      <c r="G287" s="16"/>
      <c r="H287" s="14"/>
      <c r="K287" s="16">
        <f>IFERROR(__xludf.DUMMYFUNCTION("""COMPUTED_VALUE"""),659.0)</f>
        <v>659</v>
      </c>
      <c r="L287" s="16"/>
      <c r="M287" s="14"/>
    </row>
    <row r="288">
      <c r="A288" s="16" t="str">
        <f>IFERROR(__xludf.DUMMYFUNCTION("""COMPUTED_VALUE"""),"Amadou Tidjani Ousmane")</f>
        <v>Amadou Tidjani Ousmane</v>
      </c>
      <c r="B288" s="16"/>
      <c r="C288" s="14"/>
      <c r="F288" s="16" t="str">
        <f>IFERROR(__xludf.DUMMYFUNCTION("""COMPUTED_VALUE"""),"Farabani")</f>
        <v>Farabani</v>
      </c>
      <c r="G288" s="16"/>
      <c r="H288" s="14"/>
      <c r="K288" s="16">
        <f>IFERROR(__xludf.DUMMYFUNCTION("""COMPUTED_VALUE"""),556.0)</f>
        <v>556</v>
      </c>
      <c r="L288" s="16"/>
      <c r="M288" s="14"/>
    </row>
    <row r="289">
      <c r="A289" s="16" t="str">
        <f>IFERROR(__xludf.DUMMYFUNCTION("""COMPUTED_VALUE"""),"Amadou Tidjani Ousmane")</f>
        <v>Amadou Tidjani Ousmane</v>
      </c>
      <c r="B289" s="16"/>
      <c r="C289" s="14"/>
      <c r="F289" s="16" t="str">
        <f>IFERROR(__xludf.DUMMYFUNCTION("""COMPUTED_VALUE"""),"Badaguichiri 2")</f>
        <v>Badaguichiri 2</v>
      </c>
      <c r="G289" s="16"/>
      <c r="H289" s="14"/>
      <c r="K289" s="16">
        <f>IFERROR(__xludf.DUMMYFUNCTION("""COMPUTED_VALUE"""),1785.0)</f>
        <v>1785</v>
      </c>
      <c r="L289" s="16"/>
      <c r="M289" s="14"/>
    </row>
    <row r="290">
      <c r="A290" s="16" t="str">
        <f>IFERROR(__xludf.DUMMYFUNCTION("""COMPUTED_VALUE"""),"Achirou kane Abdoul Nasser")</f>
        <v>Achirou kane Abdoul Nasser</v>
      </c>
      <c r="B290" s="16"/>
      <c r="C290" s="14"/>
      <c r="F290" s="16" t="str">
        <f>IFERROR(__xludf.DUMMYFUNCTION("""COMPUTED_VALUE"""),"Kirékafada")</f>
        <v>Kirékafada</v>
      </c>
      <c r="G290" s="16"/>
      <c r="H290" s="14"/>
      <c r="K290" s="16">
        <f>IFERROR(__xludf.DUMMYFUNCTION("""COMPUTED_VALUE"""),723.0)</f>
        <v>723</v>
      </c>
      <c r="L290" s="16"/>
      <c r="M290" s="14"/>
    </row>
    <row r="291">
      <c r="A291" s="16" t="str">
        <f>IFERROR(__xludf.DUMMYFUNCTION("""COMPUTED_VALUE"""),"Rakia moussa")</f>
        <v>Rakia moussa</v>
      </c>
      <c r="B291" s="16"/>
      <c r="C291" s="14"/>
      <c r="F291" s="16" t="str">
        <f>IFERROR(__xludf.DUMMYFUNCTION("""COMPUTED_VALUE"""),"Kirékafada")</f>
        <v>Kirékafada</v>
      </c>
      <c r="G291" s="16"/>
      <c r="H291" s="14"/>
      <c r="K291" s="16">
        <f>IFERROR(__xludf.DUMMYFUNCTION("""COMPUTED_VALUE"""),3059.0)</f>
        <v>3059</v>
      </c>
      <c r="L291" s="16"/>
      <c r="M291" s="14"/>
    </row>
    <row r="292">
      <c r="A292" s="16" t="str">
        <f>IFERROR(__xludf.DUMMYFUNCTION("""COMPUTED_VALUE"""),"Rakia moussa")</f>
        <v>Rakia moussa</v>
      </c>
      <c r="B292" s="16"/>
      <c r="C292" s="14"/>
      <c r="F292" s="16" t="str">
        <f>IFERROR(__xludf.DUMMYFUNCTION("""COMPUTED_VALUE"""),"Kirékafada")</f>
        <v>Kirékafada</v>
      </c>
      <c r="G292" s="16"/>
      <c r="H292" s="14"/>
      <c r="K292" s="16">
        <f>IFERROR(__xludf.DUMMYFUNCTION("""COMPUTED_VALUE"""),1044.0)</f>
        <v>1044</v>
      </c>
      <c r="L292" s="16"/>
      <c r="M292" s="14"/>
    </row>
    <row r="293">
      <c r="A293" s="16" t="str">
        <f>IFERROR(__xludf.DUMMYFUNCTION("""COMPUTED_VALUE"""),"Rakia moussa")</f>
        <v>Rakia moussa</v>
      </c>
      <c r="B293" s="16"/>
      <c r="C293" s="14"/>
      <c r="F293" s="16" t="str">
        <f>IFERROR(__xludf.DUMMYFUNCTION("""COMPUTED_VALUE"""),"Kirékafada")</f>
        <v>Kirékafada</v>
      </c>
      <c r="G293" s="16"/>
      <c r="H293" s="14"/>
      <c r="K293" s="16">
        <f>IFERROR(__xludf.DUMMYFUNCTION("""COMPUTED_VALUE"""),819.0)</f>
        <v>819</v>
      </c>
      <c r="L293" s="16"/>
      <c r="M293" s="14"/>
    </row>
    <row r="294">
      <c r="A294" s="16" t="str">
        <f>IFERROR(__xludf.DUMMYFUNCTION("""COMPUTED_VALUE"""),"Sani Moussa Aboubacar")</f>
        <v>Sani Moussa Aboubacar</v>
      </c>
      <c r="B294" s="16"/>
      <c r="C294" s="14"/>
      <c r="F294" s="16" t="str">
        <f>IFERROR(__xludf.DUMMYFUNCTION("""COMPUTED_VALUE"""),"Kirékafada")</f>
        <v>Kirékafada</v>
      </c>
      <c r="G294" s="16"/>
      <c r="H294" s="14"/>
      <c r="K294" s="16">
        <f>IFERROR(__xludf.DUMMYFUNCTION("""COMPUTED_VALUE"""),455.0)</f>
        <v>455</v>
      </c>
      <c r="L294" s="16"/>
      <c r="M294" s="14"/>
    </row>
    <row r="295">
      <c r="A295" s="16" t="str">
        <f>IFERROR(__xludf.DUMMYFUNCTION("""COMPUTED_VALUE"""),"Sani Moussa Aboubacar")</f>
        <v>Sani Moussa Aboubacar</v>
      </c>
      <c r="B295" s="16"/>
      <c r="C295" s="14"/>
      <c r="F295" s="16" t="str">
        <f>IFERROR(__xludf.DUMMYFUNCTION("""COMPUTED_VALUE"""),"Intouramé")</f>
        <v>Intouramé</v>
      </c>
      <c r="G295" s="16"/>
      <c r="H295" s="14"/>
      <c r="K295" s="16">
        <f>IFERROR(__xludf.DUMMYFUNCTION("""COMPUTED_VALUE"""),2752.0)</f>
        <v>2752</v>
      </c>
      <c r="L295" s="16"/>
      <c r="M295" s="14"/>
    </row>
    <row r="296">
      <c r="A296" s="16" t="str">
        <f>IFERROR(__xludf.DUMMYFUNCTION("""COMPUTED_VALUE"""),"Issoufou Amadou Aichatou")</f>
        <v>Issoufou Amadou Aichatou</v>
      </c>
      <c r="B296" s="16"/>
      <c r="C296" s="14"/>
      <c r="F296" s="16" t="str">
        <f>IFERROR(__xludf.DUMMYFUNCTION("""COMPUTED_VALUE"""),"Intouramé")</f>
        <v>Intouramé</v>
      </c>
      <c r="G296" s="16"/>
      <c r="H296" s="14"/>
      <c r="K296" s="16">
        <f>IFERROR(__xludf.DUMMYFUNCTION("""COMPUTED_VALUE"""),1140.0)</f>
        <v>1140</v>
      </c>
      <c r="L296" s="16"/>
      <c r="M296" s="14"/>
    </row>
    <row r="297">
      <c r="A297" s="16" t="str">
        <f>IFERROR(__xludf.DUMMYFUNCTION("""COMPUTED_VALUE"""),"Issoufou Amadou Aichatou")</f>
        <v>Issoufou Amadou Aichatou</v>
      </c>
      <c r="B297" s="16"/>
      <c r="C297" s="14"/>
      <c r="F297" s="16" t="str">
        <f>IFERROR(__xludf.DUMMYFUNCTION("""COMPUTED_VALUE"""),"Intouramé")</f>
        <v>Intouramé</v>
      </c>
      <c r="G297" s="16"/>
      <c r="H297" s="14"/>
      <c r="K297" s="16">
        <f>IFERROR(__xludf.DUMMYFUNCTION("""COMPUTED_VALUE"""),1846.0)</f>
        <v>1846</v>
      </c>
      <c r="L297" s="16"/>
      <c r="M297" s="14"/>
    </row>
    <row r="298">
      <c r="A298" s="16" t="str">
        <f>IFERROR(__xludf.DUMMYFUNCTION("""COMPUTED_VALUE"""),"Zakari Aboubacar")</f>
        <v>Zakari Aboubacar</v>
      </c>
      <c r="B298" s="16"/>
      <c r="C298" s="14"/>
      <c r="F298" s="16" t="str">
        <f>IFERROR(__xludf.DUMMYFUNCTION("""COMPUTED_VALUE"""),"Intouramé")</f>
        <v>Intouramé</v>
      </c>
      <c r="G298" s="16"/>
      <c r="H298" s="14"/>
      <c r="K298" s="16">
        <f>IFERROR(__xludf.DUMMYFUNCTION("""COMPUTED_VALUE"""),1757.0)</f>
        <v>1757</v>
      </c>
      <c r="L298" s="16"/>
      <c r="M298" s="14"/>
    </row>
    <row r="299">
      <c r="A299" s="16" t="str">
        <f>IFERROR(__xludf.DUMMYFUNCTION("""COMPUTED_VALUE"""),"Zakari Aboubacar")</f>
        <v>Zakari Aboubacar</v>
      </c>
      <c r="B299" s="16"/>
      <c r="C299" s="14"/>
      <c r="F299" s="16" t="str">
        <f>IFERROR(__xludf.DUMMYFUNCTION("""COMPUTED_VALUE"""),"Fardatt")</f>
        <v>Fardatt</v>
      </c>
      <c r="G299" s="16"/>
      <c r="H299" s="14"/>
      <c r="K299" s="16">
        <f>IFERROR(__xludf.DUMMYFUNCTION("""COMPUTED_VALUE"""),1491.0)</f>
        <v>1491</v>
      </c>
      <c r="L299" s="16"/>
      <c r="M299" s="14"/>
    </row>
    <row r="300">
      <c r="A300" s="16" t="str">
        <f>IFERROR(__xludf.DUMMYFUNCTION("""COMPUTED_VALUE"""),"Zakari Aboubacar")</f>
        <v>Zakari Aboubacar</v>
      </c>
      <c r="B300" s="16"/>
      <c r="C300" s="14"/>
      <c r="F300" s="16" t="str">
        <f>IFERROR(__xludf.DUMMYFUNCTION("""COMPUTED_VALUE"""),"Fardatt")</f>
        <v>Fardatt</v>
      </c>
      <c r="G300" s="16"/>
      <c r="H300" s="14"/>
      <c r="K300" s="16">
        <f>IFERROR(__xludf.DUMMYFUNCTION("""COMPUTED_VALUE"""),858.0)</f>
        <v>858</v>
      </c>
      <c r="L300" s="16"/>
      <c r="M300" s="14"/>
    </row>
    <row r="301">
      <c r="A301" s="16" t="str">
        <f>IFERROR(__xludf.DUMMYFUNCTION("""COMPUTED_VALUE"""),"Kadidja Issaka Hamidou")</f>
        <v>Kadidja Issaka Hamidou</v>
      </c>
      <c r="B301" s="16"/>
      <c r="C301" s="14"/>
      <c r="F301" s="16" t="str">
        <f>IFERROR(__xludf.DUMMYFUNCTION("""COMPUTED_VALUE"""),"Farabani")</f>
        <v>Farabani</v>
      </c>
      <c r="G301" s="16"/>
      <c r="H301" s="14"/>
      <c r="K301" s="16">
        <f>IFERROR(__xludf.DUMMYFUNCTION("""COMPUTED_VALUE"""),2892.0)</f>
        <v>2892</v>
      </c>
      <c r="L301" s="16"/>
      <c r="M301" s="14"/>
    </row>
    <row r="302">
      <c r="A302" s="16" t="str">
        <f>IFERROR(__xludf.DUMMYFUNCTION("""COMPUTED_VALUE"""),"Kadidja Issaka Hamidou")</f>
        <v>Kadidja Issaka Hamidou</v>
      </c>
      <c r="B302" s="16"/>
      <c r="C302" s="14"/>
      <c r="F302" s="16" t="str">
        <f>IFERROR(__xludf.DUMMYFUNCTION("""COMPUTED_VALUE"""),"Guidan Karo II")</f>
        <v>Guidan Karo II</v>
      </c>
      <c r="G302" s="16"/>
      <c r="H302" s="14"/>
      <c r="K302" s="16">
        <f>IFERROR(__xludf.DUMMYFUNCTION("""COMPUTED_VALUE"""),2027.0)</f>
        <v>2027</v>
      </c>
      <c r="L302" s="16"/>
      <c r="M302" s="14"/>
    </row>
    <row r="303">
      <c r="A303" s="16" t="str">
        <f>IFERROR(__xludf.DUMMYFUNCTION("""COMPUTED_VALUE"""),"Kadidja Issaka Hamidou")</f>
        <v>Kadidja Issaka Hamidou</v>
      </c>
      <c r="B303" s="16"/>
      <c r="C303" s="14"/>
      <c r="F303" s="16" t="str">
        <f>IFERROR(__xludf.DUMMYFUNCTION("""COMPUTED_VALUE"""),"Farabani")</f>
        <v>Farabani</v>
      </c>
      <c r="G303" s="16"/>
      <c r="H303" s="14"/>
      <c r="K303" s="16">
        <f>IFERROR(__xludf.DUMMYFUNCTION("""COMPUTED_VALUE"""),1054.0)</f>
        <v>1054</v>
      </c>
      <c r="L303" s="16"/>
      <c r="M303" s="14"/>
    </row>
    <row r="304">
      <c r="A304" s="16" t="str">
        <f>IFERROR(__xludf.DUMMYFUNCTION("""COMPUTED_VALUE"""),"Zakari Aboubacar")</f>
        <v>Zakari Aboubacar</v>
      </c>
      <c r="B304" s="16"/>
      <c r="C304" s="14"/>
      <c r="F304" s="16" t="str">
        <f>IFERROR(__xludf.DUMMYFUNCTION("""COMPUTED_VALUE"""),"Farabani")</f>
        <v>Farabani</v>
      </c>
      <c r="G304" s="16"/>
      <c r="H304" s="14"/>
      <c r="K304" s="16">
        <f>IFERROR(__xludf.DUMMYFUNCTION("""COMPUTED_VALUE"""),525.0)</f>
        <v>525</v>
      </c>
      <c r="L304" s="16"/>
      <c r="M304" s="14"/>
    </row>
    <row r="305">
      <c r="A305" s="16" t="str">
        <f>IFERROR(__xludf.DUMMYFUNCTION("""COMPUTED_VALUE"""),"Binta Maikano Mahamane")</f>
        <v>Binta Maikano Mahamane</v>
      </c>
      <c r="B305" s="16"/>
      <c r="C305" s="14"/>
      <c r="F305" s="16" t="str">
        <f>IFERROR(__xludf.DUMMYFUNCTION("""COMPUTED_VALUE"""),"Guidan Karo II")</f>
        <v>Guidan Karo II</v>
      </c>
      <c r="G305" s="16"/>
      <c r="H305" s="14"/>
      <c r="K305" s="16">
        <f>IFERROR(__xludf.DUMMYFUNCTION("""COMPUTED_VALUE"""),818.0)</f>
        <v>818</v>
      </c>
      <c r="L305" s="16"/>
      <c r="M305" s="14"/>
    </row>
    <row r="306">
      <c r="A306" s="16" t="str">
        <f>IFERROR(__xludf.DUMMYFUNCTION("""COMPUTED_VALUE"""),"Larabou Chamsoudine")</f>
        <v>Larabou Chamsoudine</v>
      </c>
      <c r="B306" s="16"/>
      <c r="C306" s="14"/>
      <c r="F306" s="16" t="str">
        <f>IFERROR(__xludf.DUMMYFUNCTION("""COMPUTED_VALUE"""),"Guidan Karo I")</f>
        <v>Guidan Karo I</v>
      </c>
      <c r="G306" s="16"/>
      <c r="H306" s="14"/>
      <c r="K306" s="16">
        <f>IFERROR(__xludf.DUMMYFUNCTION("""COMPUTED_VALUE"""),752.0)</f>
        <v>752</v>
      </c>
      <c r="L306" s="16"/>
      <c r="M306" s="14"/>
    </row>
    <row r="307">
      <c r="A307" s="16" t="str">
        <f>IFERROR(__xludf.DUMMYFUNCTION("""COMPUTED_VALUE"""),"Larabou Chamsoudine")</f>
        <v>Larabou Chamsoudine</v>
      </c>
      <c r="B307" s="16"/>
      <c r="C307" s="14"/>
      <c r="F307" s="16" t="str">
        <f>IFERROR(__xludf.DUMMYFUNCTION("""COMPUTED_VALUE"""),"Guidan Karo I")</f>
        <v>Guidan Karo I</v>
      </c>
      <c r="G307" s="16"/>
      <c r="H307" s="14"/>
      <c r="K307" s="16">
        <f>IFERROR(__xludf.DUMMYFUNCTION("""COMPUTED_VALUE"""),1053.0)</f>
        <v>1053</v>
      </c>
      <c r="L307" s="16"/>
      <c r="M307" s="14"/>
    </row>
    <row r="308">
      <c r="A308" s="16" t="str">
        <f>IFERROR(__xludf.DUMMYFUNCTION("""COMPUTED_VALUE"""),"Larabou Chamsoudine")</f>
        <v>Larabou Chamsoudine</v>
      </c>
      <c r="B308" s="16"/>
      <c r="C308" s="14"/>
      <c r="F308" s="16" t="str">
        <f>IFERROR(__xludf.DUMMYFUNCTION("""COMPUTED_VALUE"""),"Guidan Karo I")</f>
        <v>Guidan Karo I</v>
      </c>
      <c r="G308" s="16"/>
      <c r="H308" s="14"/>
      <c r="K308" s="16">
        <f>IFERROR(__xludf.DUMMYFUNCTION("""COMPUTED_VALUE"""),1290.0)</f>
        <v>1290</v>
      </c>
      <c r="L308" s="16"/>
      <c r="M308" s="14"/>
    </row>
    <row r="309">
      <c r="A309" s="16" t="str">
        <f>IFERROR(__xludf.DUMMYFUNCTION("""COMPUTED_VALUE"""),"Larabou Chamsoudine")</f>
        <v>Larabou Chamsoudine</v>
      </c>
      <c r="B309" s="16"/>
      <c r="C309" s="14"/>
      <c r="F309" s="16" t="str">
        <f>IFERROR(__xludf.DUMMYFUNCTION("""COMPUTED_VALUE"""),"Guidan Karo I")</f>
        <v>Guidan Karo I</v>
      </c>
      <c r="G309" s="16"/>
      <c r="H309" s="14"/>
      <c r="K309" s="16">
        <f>IFERROR(__xludf.DUMMYFUNCTION("""COMPUTED_VALUE"""),1017.0)</f>
        <v>1017</v>
      </c>
      <c r="L309" s="16"/>
      <c r="M309" s="14"/>
    </row>
    <row r="310">
      <c r="A310" s="16" t="str">
        <f>IFERROR(__xludf.DUMMYFUNCTION("""COMPUTED_VALUE"""),"Larabou Chamsoudine")</f>
        <v>Larabou Chamsoudine</v>
      </c>
      <c r="B310" s="16"/>
      <c r="C310" s="14"/>
      <c r="F310" s="16" t="str">
        <f>IFERROR(__xludf.DUMMYFUNCTION("""COMPUTED_VALUE"""),"Guidan Karo I")</f>
        <v>Guidan Karo I</v>
      </c>
      <c r="G310" s="16"/>
      <c r="H310" s="14"/>
      <c r="K310" s="16">
        <f>IFERROR(__xludf.DUMMYFUNCTION("""COMPUTED_VALUE"""),1452.0)</f>
        <v>1452</v>
      </c>
      <c r="L310" s="16"/>
      <c r="M310" s="14"/>
    </row>
    <row r="311">
      <c r="A311" s="16" t="str">
        <f>IFERROR(__xludf.DUMMYFUNCTION("""COMPUTED_VALUE"""),"Saddy Youssouf")</f>
        <v>Saddy Youssouf</v>
      </c>
      <c r="B311" s="16"/>
      <c r="C311" s="14"/>
      <c r="F311" s="16" t="str">
        <f>IFERROR(__xludf.DUMMYFUNCTION("""COMPUTED_VALUE"""),"Guidan Karo I")</f>
        <v>Guidan Karo I</v>
      </c>
      <c r="G311" s="16"/>
      <c r="H311" s="14"/>
      <c r="K311" s="16">
        <f>IFERROR(__xludf.DUMMYFUNCTION("""COMPUTED_VALUE"""),1312.0)</f>
        <v>1312</v>
      </c>
      <c r="L311" s="16"/>
      <c r="M311" s="14"/>
    </row>
    <row r="312">
      <c r="A312" s="16" t="str">
        <f>IFERROR(__xludf.DUMMYFUNCTION("""COMPUTED_VALUE"""),"Saddy Youssouf")</f>
        <v>Saddy Youssouf</v>
      </c>
      <c r="B312" s="16"/>
      <c r="C312" s="14"/>
      <c r="F312" s="16" t="str">
        <f>IFERROR(__xludf.DUMMYFUNCTION("""COMPUTED_VALUE"""),"Fardatt")</f>
        <v>Fardatt</v>
      </c>
      <c r="G312" s="16"/>
      <c r="H312" s="14"/>
      <c r="K312" s="16">
        <f>IFERROR(__xludf.DUMMYFUNCTION("""COMPUTED_VALUE"""),372.0)</f>
        <v>372</v>
      </c>
      <c r="L312" s="16"/>
      <c r="M312" s="14"/>
    </row>
    <row r="313">
      <c r="A313" s="16" t="str">
        <f>IFERROR(__xludf.DUMMYFUNCTION("""COMPUTED_VALUE"""),"Saddy Youssouf")</f>
        <v>Saddy Youssouf</v>
      </c>
      <c r="B313" s="16"/>
      <c r="C313" s="14"/>
      <c r="F313" s="16" t="str">
        <f>IFERROR(__xludf.DUMMYFUNCTION("""COMPUTED_VALUE"""),"Fardatt")</f>
        <v>Fardatt</v>
      </c>
      <c r="G313" s="16"/>
      <c r="H313" s="14"/>
      <c r="K313" s="16">
        <f>IFERROR(__xludf.DUMMYFUNCTION("""COMPUTED_VALUE"""),664.0)</f>
        <v>664</v>
      </c>
      <c r="L313" s="16"/>
      <c r="M313" s="14"/>
    </row>
    <row r="314">
      <c r="A314" s="16" t="str">
        <f>IFERROR(__xludf.DUMMYFUNCTION("""COMPUTED_VALUE"""),"Saddy Youssouf")</f>
        <v>Saddy Youssouf</v>
      </c>
      <c r="B314" s="16"/>
      <c r="C314" s="14"/>
      <c r="F314" s="16" t="str">
        <f>IFERROR(__xludf.DUMMYFUNCTION("""COMPUTED_VALUE"""),"Gidan Illa")</f>
        <v>Gidan Illa</v>
      </c>
      <c r="G314" s="16"/>
      <c r="H314" s="14"/>
      <c r="K314" s="16">
        <f>IFERROR(__xludf.DUMMYFUNCTION("""COMPUTED_VALUE"""),3058.0)</f>
        <v>3058</v>
      </c>
      <c r="L314" s="16"/>
      <c r="M314" s="14"/>
    </row>
    <row r="315">
      <c r="A315" s="16" t="str">
        <f>IFERROR(__xludf.DUMMYFUNCTION("""COMPUTED_VALUE"""),"Hajara Maliki")</f>
        <v>Hajara Maliki</v>
      </c>
      <c r="B315" s="16"/>
      <c r="C315" s="14"/>
      <c r="F315" s="16" t="str">
        <f>IFERROR(__xludf.DUMMYFUNCTION("""COMPUTED_VALUE"""),"Gidan Illa")</f>
        <v>Gidan Illa</v>
      </c>
      <c r="G315" s="16"/>
      <c r="H315" s="14"/>
      <c r="K315" s="16">
        <f>IFERROR(__xludf.DUMMYFUNCTION("""COMPUTED_VALUE"""),3161.0)</f>
        <v>3161</v>
      </c>
      <c r="L315" s="16"/>
      <c r="M315" s="14"/>
    </row>
    <row r="316">
      <c r="A316" s="16" t="str">
        <f>IFERROR(__xludf.DUMMYFUNCTION("""COMPUTED_VALUE"""),"Hajara Maliki")</f>
        <v>Hajara Maliki</v>
      </c>
      <c r="B316" s="16"/>
      <c r="C316" s="14"/>
      <c r="F316" s="16" t="str">
        <f>IFERROR(__xludf.DUMMYFUNCTION("""COMPUTED_VALUE"""),"Gidan Illa")</f>
        <v>Gidan Illa</v>
      </c>
      <c r="G316" s="16"/>
      <c r="H316" s="14"/>
      <c r="K316" s="16">
        <f>IFERROR(__xludf.DUMMYFUNCTION("""COMPUTED_VALUE"""),1282.0)</f>
        <v>1282</v>
      </c>
      <c r="L316" s="16"/>
      <c r="M316" s="14"/>
    </row>
    <row r="317">
      <c r="A317" s="16" t="str">
        <f>IFERROR(__xludf.DUMMYFUNCTION("""COMPUTED_VALUE"""),"Maman Zayanou Harouna")</f>
        <v>Maman Zayanou Harouna</v>
      </c>
      <c r="B317" s="16"/>
      <c r="C317" s="14"/>
      <c r="F317" s="16" t="str">
        <f>IFERROR(__xludf.DUMMYFUNCTION("""COMPUTED_VALUE"""),"Gidan Illa")</f>
        <v>Gidan Illa</v>
      </c>
      <c r="G317" s="16"/>
      <c r="H317" s="14"/>
      <c r="K317" s="16">
        <f>IFERROR(__xludf.DUMMYFUNCTION("""COMPUTED_VALUE"""),1075.0)</f>
        <v>1075</v>
      </c>
      <c r="L317" s="16"/>
      <c r="M317" s="14"/>
    </row>
    <row r="318">
      <c r="A318" s="16" t="str">
        <f>IFERROR(__xludf.DUMMYFUNCTION("""COMPUTED_VALUE"""),"Asmaou Tanko Issa")</f>
        <v>Asmaou Tanko Issa</v>
      </c>
      <c r="B318" s="16"/>
      <c r="C318" s="14"/>
      <c r="F318" s="16" t="str">
        <f>IFERROR(__xludf.DUMMYFUNCTION("""COMPUTED_VALUE"""),"Gidan Illa")</f>
        <v>Gidan Illa</v>
      </c>
      <c r="G318" s="16"/>
      <c r="H318" s="14"/>
      <c r="K318" s="16">
        <f>IFERROR(__xludf.DUMMYFUNCTION("""COMPUTED_VALUE"""),925.0)</f>
        <v>925</v>
      </c>
      <c r="L318" s="16"/>
      <c r="M318" s="14"/>
    </row>
    <row r="319">
      <c r="A319" s="16" t="str">
        <f>IFERROR(__xludf.DUMMYFUNCTION("""COMPUTED_VALUE"""),"Gaoh Maazou")</f>
        <v>Gaoh Maazou</v>
      </c>
      <c r="B319" s="16"/>
      <c r="C319" s="14"/>
      <c r="F319" s="16" t="str">
        <f>IFERROR(__xludf.DUMMYFUNCTION("""COMPUTED_VALUE"""),"Guidan Karo I")</f>
        <v>Guidan Karo I</v>
      </c>
      <c r="G319" s="16"/>
      <c r="H319" s="14"/>
      <c r="K319" s="16">
        <f>IFERROR(__xludf.DUMMYFUNCTION("""COMPUTED_VALUE"""),940.0)</f>
        <v>940</v>
      </c>
      <c r="L319" s="16"/>
      <c r="M319" s="14"/>
    </row>
    <row r="320">
      <c r="A320" s="16" t="str">
        <f>IFERROR(__xludf.DUMMYFUNCTION("""COMPUTED_VALUE"""),"Gaoh Maazou")</f>
        <v>Gaoh Maazou</v>
      </c>
      <c r="B320" s="16"/>
      <c r="C320" s="14"/>
      <c r="F320" s="16" t="str">
        <f>IFERROR(__xludf.DUMMYFUNCTION("""COMPUTED_VALUE"""),"Guidan Karo I")</f>
        <v>Guidan Karo I</v>
      </c>
      <c r="G320" s="16"/>
      <c r="H320" s="14"/>
      <c r="K320" s="16">
        <f>IFERROR(__xludf.DUMMYFUNCTION("""COMPUTED_VALUE"""),2972.0)</f>
        <v>2972</v>
      </c>
      <c r="L320" s="16"/>
      <c r="M320" s="14"/>
    </row>
    <row r="321">
      <c r="A321" s="16" t="str">
        <f>IFERROR(__xludf.DUMMYFUNCTION("""COMPUTED_VALUE"""),"Asmaou Tanko Issa")</f>
        <v>Asmaou Tanko Issa</v>
      </c>
      <c r="B321" s="16"/>
      <c r="C321" s="14"/>
      <c r="F321" s="16" t="str">
        <f>IFERROR(__xludf.DUMMYFUNCTION("""COMPUTED_VALUE"""),"Guidan Karo I")</f>
        <v>Guidan Karo I</v>
      </c>
      <c r="G321" s="16"/>
      <c r="H321" s="14"/>
      <c r="K321" s="16">
        <f>IFERROR(__xludf.DUMMYFUNCTION("""COMPUTED_VALUE"""),575.0)</f>
        <v>575</v>
      </c>
      <c r="L321" s="16"/>
      <c r="M321" s="14"/>
    </row>
    <row r="322">
      <c r="A322" s="16" t="str">
        <f>IFERROR(__xludf.DUMMYFUNCTION("""COMPUTED_VALUE"""),"Maman Zayanou Harouna")</f>
        <v>Maman Zayanou Harouna</v>
      </c>
      <c r="B322" s="16"/>
      <c r="C322" s="14"/>
      <c r="F322" s="16" t="str">
        <f>IFERROR(__xludf.DUMMYFUNCTION("""COMPUTED_VALUE"""),"Fardatt")</f>
        <v>Fardatt</v>
      </c>
      <c r="G322" s="16"/>
      <c r="H322" s="14"/>
      <c r="K322" s="16">
        <f>IFERROR(__xludf.DUMMYFUNCTION("""COMPUTED_VALUE"""),3178.0)</f>
        <v>3178</v>
      </c>
      <c r="L322" s="16"/>
      <c r="M322" s="14"/>
    </row>
    <row r="323">
      <c r="A323" s="16" t="str">
        <f>IFERROR(__xludf.DUMMYFUNCTION("""COMPUTED_VALUE"""),"Mohamadou Amadou")</f>
        <v>Mohamadou Amadou</v>
      </c>
      <c r="B323" s="16"/>
      <c r="C323" s="14"/>
      <c r="F323" s="16" t="str">
        <f>IFERROR(__xludf.DUMMYFUNCTION("""COMPUTED_VALUE"""),"Kirékafada")</f>
        <v>Kirékafada</v>
      </c>
      <c r="G323" s="16"/>
      <c r="H323" s="14"/>
      <c r="K323" s="16">
        <f>IFERROR(__xludf.DUMMYFUNCTION("""COMPUTED_VALUE"""),1882.0)</f>
        <v>1882</v>
      </c>
      <c r="L323" s="16"/>
      <c r="M323" s="14"/>
    </row>
    <row r="324">
      <c r="A324" s="16" t="str">
        <f>IFERROR(__xludf.DUMMYFUNCTION("""COMPUTED_VALUE"""),"Mohamadou Amadou")</f>
        <v>Mohamadou Amadou</v>
      </c>
      <c r="B324" s="16"/>
      <c r="C324" s="14"/>
      <c r="F324" s="16" t="str">
        <f>IFERROR(__xludf.DUMMYFUNCTION("""COMPUTED_VALUE"""),"Kirékafada")</f>
        <v>Kirékafada</v>
      </c>
      <c r="G324" s="16"/>
      <c r="H324" s="14"/>
      <c r="K324" s="16">
        <f>IFERROR(__xludf.DUMMYFUNCTION("""COMPUTED_VALUE"""),520.0)</f>
        <v>520</v>
      </c>
      <c r="L324" s="16"/>
      <c r="M324" s="14"/>
    </row>
    <row r="325">
      <c r="A325" s="16" t="str">
        <f>IFERROR(__xludf.DUMMYFUNCTION("""COMPUTED_VALUE"""),"Younoussi Bilan Djamila")</f>
        <v>Younoussi Bilan Djamila</v>
      </c>
      <c r="B325" s="16"/>
      <c r="C325" s="14"/>
      <c r="F325" s="16" t="str">
        <f>IFERROR(__xludf.DUMMYFUNCTION("""COMPUTED_VALUE"""),"Kirékafada")</f>
        <v>Kirékafada</v>
      </c>
      <c r="G325" s="16"/>
      <c r="H325" s="14"/>
      <c r="K325" s="16">
        <f>IFERROR(__xludf.DUMMYFUNCTION("""COMPUTED_VALUE"""),1882.0)</f>
        <v>1882</v>
      </c>
      <c r="L325" s="16"/>
      <c r="M325" s="14"/>
    </row>
    <row r="326">
      <c r="A326" s="16" t="str">
        <f>IFERROR(__xludf.DUMMYFUNCTION("""COMPUTED_VALUE"""),"Maman Zayanou Harouna")</f>
        <v>Maman Zayanou Harouna</v>
      </c>
      <c r="B326" s="16"/>
      <c r="C326" s="14"/>
      <c r="F326" s="16" t="str">
        <f>IFERROR(__xludf.DUMMYFUNCTION("""COMPUTED_VALUE"""),"Zangon Moujia")</f>
        <v>Zangon Moujia</v>
      </c>
      <c r="G326" s="16"/>
      <c r="H326" s="14"/>
      <c r="K326" s="16">
        <f>IFERROR(__xludf.DUMMYFUNCTION("""COMPUTED_VALUE"""),1535.0)</f>
        <v>1535</v>
      </c>
      <c r="L326" s="16"/>
      <c r="M326" s="14"/>
    </row>
    <row r="327">
      <c r="A327" s="16" t="str">
        <f>IFERROR(__xludf.DUMMYFUNCTION("""COMPUTED_VALUE"""),"Maman Zayanou Harouna")</f>
        <v>Maman Zayanou Harouna</v>
      </c>
      <c r="B327" s="16"/>
      <c r="C327" s="14"/>
      <c r="F327" s="16" t="str">
        <f>IFERROR(__xludf.DUMMYFUNCTION("""COMPUTED_VALUE"""),"kaoura Abdou")</f>
        <v>kaoura Abdou</v>
      </c>
      <c r="G327" s="16"/>
      <c r="H327" s="14"/>
      <c r="K327" s="16">
        <f>IFERROR(__xludf.DUMMYFUNCTION("""COMPUTED_VALUE"""),1969.0)</f>
        <v>1969</v>
      </c>
      <c r="L327" s="16"/>
      <c r="M327" s="14"/>
    </row>
    <row r="328">
      <c r="A328" s="16" t="str">
        <f>IFERROR(__xludf.DUMMYFUNCTION("""COMPUTED_VALUE"""),"Yacouba Idé dit Lumana")</f>
        <v>Yacouba Idé dit Lumana</v>
      </c>
      <c r="B328" s="16"/>
      <c r="C328" s="14"/>
      <c r="F328" s="16" t="str">
        <f>IFERROR(__xludf.DUMMYFUNCTION("""COMPUTED_VALUE"""),"Kirékafada")</f>
        <v>Kirékafada</v>
      </c>
      <c r="G328" s="16"/>
      <c r="H328" s="14"/>
      <c r="K328" s="16">
        <f>IFERROR(__xludf.DUMMYFUNCTION("""COMPUTED_VALUE"""),1830.0)</f>
        <v>1830</v>
      </c>
      <c r="L328" s="16"/>
      <c r="M328" s="14"/>
    </row>
    <row r="329">
      <c r="A329" s="16" t="str">
        <f>IFERROR(__xludf.DUMMYFUNCTION("""COMPUTED_VALUE"""),"Yacouba Idé dit Lumana")</f>
        <v>Yacouba Idé dit Lumana</v>
      </c>
      <c r="B329" s="16"/>
      <c r="C329" s="14"/>
      <c r="F329" s="16" t="str">
        <f>IFERROR(__xludf.DUMMYFUNCTION("""COMPUTED_VALUE"""),"Zangon Moujia")</f>
        <v>Zangon Moujia</v>
      </c>
      <c r="G329" s="16"/>
      <c r="H329" s="14"/>
      <c r="K329" s="16">
        <f>IFERROR(__xludf.DUMMYFUNCTION("""COMPUTED_VALUE"""),2333.0)</f>
        <v>2333</v>
      </c>
      <c r="L329" s="16"/>
      <c r="M329" s="14"/>
    </row>
    <row r="330">
      <c r="A330" s="16" t="str">
        <f>IFERROR(__xludf.DUMMYFUNCTION("""COMPUTED_VALUE"""),"Yacouba Idé dit Lumana")</f>
        <v>Yacouba Idé dit Lumana</v>
      </c>
      <c r="B330" s="16"/>
      <c r="C330" s="14"/>
      <c r="F330" s="16" t="str">
        <f>IFERROR(__xludf.DUMMYFUNCTION("""COMPUTED_VALUE"""),"Tchigili")</f>
        <v>Tchigili</v>
      </c>
      <c r="G330" s="16"/>
      <c r="H330" s="14"/>
      <c r="K330" s="16">
        <f>IFERROR(__xludf.DUMMYFUNCTION("""COMPUTED_VALUE"""),952.0)</f>
        <v>952</v>
      </c>
      <c r="L330" s="16"/>
      <c r="M330" s="14"/>
    </row>
    <row r="331">
      <c r="A331" s="16" t="str">
        <f>IFERROR(__xludf.DUMMYFUNCTION("""COMPUTED_VALUE"""),"Gaoh Maazou")</f>
        <v>Gaoh Maazou</v>
      </c>
      <c r="B331" s="16"/>
      <c r="C331" s="14"/>
      <c r="F331" s="16" t="str">
        <f>IFERROR(__xludf.DUMMYFUNCTION("""COMPUTED_VALUE"""),"kaoura Abdou")</f>
        <v>kaoura Abdou</v>
      </c>
      <c r="G331" s="16"/>
      <c r="H331" s="14"/>
      <c r="K331" s="16">
        <f>IFERROR(__xludf.DUMMYFUNCTION("""COMPUTED_VALUE"""),1287.0)</f>
        <v>1287</v>
      </c>
      <c r="L331" s="16"/>
      <c r="M331" s="14"/>
    </row>
    <row r="332">
      <c r="A332" s="16" t="str">
        <f>IFERROR(__xludf.DUMMYFUNCTION("""COMPUTED_VALUE"""),"Razinatou Salissou")</f>
        <v>Razinatou Salissou</v>
      </c>
      <c r="B332" s="16"/>
      <c r="C332" s="14"/>
      <c r="F332" s="16" t="str">
        <f>IFERROR(__xludf.DUMMYFUNCTION("""COMPUTED_VALUE"""),"Tchigili")</f>
        <v>Tchigili</v>
      </c>
      <c r="G332" s="16"/>
      <c r="H332" s="14"/>
      <c r="K332" s="16">
        <f>IFERROR(__xludf.DUMMYFUNCTION("""COMPUTED_VALUE"""),828.0)</f>
        <v>828</v>
      </c>
      <c r="L332" s="16"/>
      <c r="M332" s="14"/>
    </row>
    <row r="333">
      <c r="A333" s="16" t="str">
        <f>IFERROR(__xludf.DUMMYFUNCTION("""COMPUTED_VALUE"""),"Ouhoumoudou Djannou Ibrahim")</f>
        <v>Ouhoumoudou Djannou Ibrahim</v>
      </c>
      <c r="B333" s="16"/>
      <c r="C333" s="14"/>
      <c r="F333" s="16" t="str">
        <f>IFERROR(__xludf.DUMMYFUNCTION("""COMPUTED_VALUE"""),"Kirékafada")</f>
        <v>Kirékafada</v>
      </c>
      <c r="G333" s="16"/>
      <c r="H333" s="14"/>
      <c r="K333" s="16">
        <f>IFERROR(__xludf.DUMMYFUNCTION("""COMPUTED_VALUE"""),518.0)</f>
        <v>518</v>
      </c>
      <c r="L333" s="16"/>
      <c r="M333" s="14"/>
    </row>
    <row r="334">
      <c r="A334" s="16" t="str">
        <f>IFERROR(__xludf.DUMMYFUNCTION("""COMPUTED_VALUE"""),"Ouhoumoudou Djannou Ibrahim")</f>
        <v>Ouhoumoudou Djannou Ibrahim</v>
      </c>
      <c r="B334" s="16"/>
      <c r="C334" s="14"/>
      <c r="F334" s="16" t="str">
        <f>IFERROR(__xludf.DUMMYFUNCTION("""COMPUTED_VALUE"""),"Zangon Moujia")</f>
        <v>Zangon Moujia</v>
      </c>
      <c r="G334" s="16"/>
      <c r="H334" s="14"/>
      <c r="K334" s="16">
        <f>IFERROR(__xludf.DUMMYFUNCTION("""COMPUTED_VALUE"""),640.0)</f>
        <v>640</v>
      </c>
      <c r="L334" s="16"/>
      <c r="M334" s="14"/>
    </row>
    <row r="335">
      <c r="A335" s="16" t="str">
        <f>IFERROR(__xludf.DUMMYFUNCTION("""COMPUTED_VALUE"""),"Ouhoumoudou Djannou Ibrahim")</f>
        <v>Ouhoumoudou Djannou Ibrahim</v>
      </c>
      <c r="B335" s="16"/>
      <c r="C335" s="14"/>
      <c r="F335" s="16" t="str">
        <f>IFERROR(__xludf.DUMMYFUNCTION("""COMPUTED_VALUE"""),"Zangon Moujia")</f>
        <v>Zangon Moujia</v>
      </c>
      <c r="G335" s="16"/>
      <c r="H335" s="14"/>
      <c r="K335" s="16">
        <f>IFERROR(__xludf.DUMMYFUNCTION("""COMPUTED_VALUE"""),2701.0)</f>
        <v>2701</v>
      </c>
      <c r="L335" s="16"/>
      <c r="M335" s="14"/>
    </row>
    <row r="336">
      <c r="A336" s="16" t="str">
        <f>IFERROR(__xludf.DUMMYFUNCTION("""COMPUTED_VALUE"""),"Ouhoumoudou Djannou Ibrahim")</f>
        <v>Ouhoumoudou Djannou Ibrahim</v>
      </c>
      <c r="B336" s="16"/>
      <c r="C336" s="14"/>
      <c r="F336" s="16" t="str">
        <f>IFERROR(__xludf.DUMMYFUNCTION("""COMPUTED_VALUE"""),"kaoura Abdou")</f>
        <v>kaoura Abdou</v>
      </c>
      <c r="G336" s="16"/>
      <c r="H336" s="14"/>
      <c r="K336" s="16">
        <f>IFERROR(__xludf.DUMMYFUNCTION("""COMPUTED_VALUE"""),767.0)</f>
        <v>767</v>
      </c>
      <c r="L336" s="16"/>
      <c r="M336" s="14"/>
    </row>
    <row r="337">
      <c r="A337" s="16" t="str">
        <f>IFERROR(__xludf.DUMMYFUNCTION("""COMPUTED_VALUE"""),"Ouhoumoudou Djannou Ibrahim")</f>
        <v>Ouhoumoudou Djannou Ibrahim</v>
      </c>
      <c r="B337" s="16"/>
      <c r="C337" s="14"/>
      <c r="F337" s="16" t="str">
        <f>IFERROR(__xludf.DUMMYFUNCTION("""COMPUTED_VALUE"""),"Kirékafada")</f>
        <v>Kirékafada</v>
      </c>
      <c r="G337" s="16"/>
      <c r="H337" s="14"/>
      <c r="K337" s="16">
        <f>IFERROR(__xludf.DUMMYFUNCTION("""COMPUTED_VALUE"""),643.0)</f>
        <v>643</v>
      </c>
      <c r="L337" s="16"/>
      <c r="M337" s="14"/>
    </row>
    <row r="338">
      <c r="A338" s="16" t="str">
        <f>IFERROR(__xludf.DUMMYFUNCTION("""COMPUTED_VALUE"""),"Adamou Halidou Daouda")</f>
        <v>Adamou Halidou Daouda</v>
      </c>
      <c r="B338" s="16"/>
      <c r="C338" s="14"/>
      <c r="F338" s="16" t="str">
        <f>IFERROR(__xludf.DUMMYFUNCTION("""COMPUTED_VALUE"""),"Zangon Moujia")</f>
        <v>Zangon Moujia</v>
      </c>
      <c r="G338" s="16"/>
      <c r="H338" s="14"/>
      <c r="K338" s="16">
        <f>IFERROR(__xludf.DUMMYFUNCTION("""COMPUTED_VALUE"""),986.0)</f>
        <v>986</v>
      </c>
      <c r="L338" s="16"/>
      <c r="M338" s="14"/>
    </row>
    <row r="339">
      <c r="A339" s="16" t="str">
        <f>IFERROR(__xludf.DUMMYFUNCTION("""COMPUTED_VALUE"""),"Kimba Issa Mamoudou")</f>
        <v>Kimba Issa Mamoudou</v>
      </c>
      <c r="B339" s="16"/>
      <c r="C339" s="14"/>
      <c r="F339" s="16" t="str">
        <f>IFERROR(__xludf.DUMMYFUNCTION("""COMPUTED_VALUE"""),"kaoura Abdou")</f>
        <v>kaoura Abdou</v>
      </c>
      <c r="G339" s="16"/>
      <c r="H339" s="14"/>
      <c r="K339" s="16">
        <f>IFERROR(__xludf.DUMMYFUNCTION("""COMPUTED_VALUE"""),849.0)</f>
        <v>849</v>
      </c>
      <c r="L339" s="16"/>
      <c r="M339" s="14"/>
    </row>
    <row r="340">
      <c r="A340" s="16" t="str">
        <f>IFERROR(__xludf.DUMMYFUNCTION("""COMPUTED_VALUE"""),"Kimba Issa Mamoudou")</f>
        <v>Kimba Issa Mamoudou</v>
      </c>
      <c r="B340" s="16"/>
      <c r="C340" s="14"/>
      <c r="F340" s="16" t="str">
        <f>IFERROR(__xludf.DUMMYFUNCTION("""COMPUTED_VALUE"""),"Kirékafada")</f>
        <v>Kirékafada</v>
      </c>
      <c r="G340" s="16"/>
      <c r="H340" s="14"/>
      <c r="K340" s="16">
        <f>IFERROR(__xludf.DUMMYFUNCTION("""COMPUTED_VALUE"""),2503.0)</f>
        <v>2503</v>
      </c>
      <c r="L340" s="16"/>
      <c r="M340" s="14"/>
    </row>
    <row r="341">
      <c r="A341" s="16" t="str">
        <f>IFERROR(__xludf.DUMMYFUNCTION("""COMPUTED_VALUE"""),"Kimba Issa Mamoudou")</f>
        <v>Kimba Issa Mamoudou</v>
      </c>
      <c r="B341" s="16"/>
      <c r="C341" s="14"/>
      <c r="F341" s="16" t="str">
        <f>IFERROR(__xludf.DUMMYFUNCTION("""COMPUTED_VALUE"""),"Zangon Moujia")</f>
        <v>Zangon Moujia</v>
      </c>
      <c r="G341" s="16"/>
      <c r="H341" s="14"/>
      <c r="K341" s="16">
        <f>IFERROR(__xludf.DUMMYFUNCTION("""COMPUTED_VALUE"""),820.0)</f>
        <v>820</v>
      </c>
      <c r="L341" s="16"/>
      <c r="M341" s="14"/>
    </row>
    <row r="342">
      <c r="A342" s="16" t="str">
        <f>IFERROR(__xludf.DUMMYFUNCTION("""COMPUTED_VALUE"""),"Kimba Issa Mamoudou")</f>
        <v>Kimba Issa Mamoudou</v>
      </c>
      <c r="B342" s="16"/>
      <c r="C342" s="14"/>
      <c r="F342" s="16" t="str">
        <f>IFERROR(__xludf.DUMMYFUNCTION("""COMPUTED_VALUE"""),"kaoura Abdou")</f>
        <v>kaoura Abdou</v>
      </c>
      <c r="G342" s="16"/>
      <c r="H342" s="14"/>
      <c r="K342" s="16">
        <f>IFERROR(__xludf.DUMMYFUNCTION("""COMPUTED_VALUE"""),628.0)</f>
        <v>628</v>
      </c>
      <c r="L342" s="16"/>
      <c r="M342" s="14"/>
    </row>
    <row r="343">
      <c r="A343" s="16" t="str">
        <f>IFERROR(__xludf.DUMMYFUNCTION("""COMPUTED_VALUE"""),"Kimba Issa Mamoudou")</f>
        <v>Kimba Issa Mamoudou</v>
      </c>
      <c r="B343" s="16"/>
      <c r="C343" s="14"/>
      <c r="F343" s="16" t="str">
        <f>IFERROR(__xludf.DUMMYFUNCTION("""COMPUTED_VALUE"""),"Zangon Moujia")</f>
        <v>Zangon Moujia</v>
      </c>
      <c r="G343" s="16"/>
      <c r="H343" s="14"/>
      <c r="K343" s="16">
        <f>IFERROR(__xludf.DUMMYFUNCTION("""COMPUTED_VALUE"""),3094.0)</f>
        <v>3094</v>
      </c>
      <c r="L343" s="16"/>
      <c r="M343" s="14"/>
    </row>
    <row r="344">
      <c r="A344" s="16" t="str">
        <f>IFERROR(__xludf.DUMMYFUNCTION("""COMPUTED_VALUE"""),"Kimba Issa Mamoudou")</f>
        <v>Kimba Issa Mamoudou</v>
      </c>
      <c r="B344" s="16"/>
      <c r="C344" s="14"/>
      <c r="F344" s="16" t="str">
        <f>IFERROR(__xludf.DUMMYFUNCTION("""COMPUTED_VALUE"""),"Tchigili")</f>
        <v>Tchigili</v>
      </c>
      <c r="G344" s="16"/>
      <c r="H344" s="14"/>
      <c r="K344" s="16">
        <f>IFERROR(__xludf.DUMMYFUNCTION("""COMPUTED_VALUE"""),1242.0)</f>
        <v>1242</v>
      </c>
      <c r="L344" s="16"/>
      <c r="M344" s="14"/>
    </row>
    <row r="345">
      <c r="A345" s="16" t="str">
        <f>IFERROR(__xludf.DUMMYFUNCTION("""COMPUTED_VALUE"""),"Amadou Mariama")</f>
        <v>Amadou Mariama</v>
      </c>
      <c r="B345" s="16"/>
      <c r="C345" s="14"/>
      <c r="F345" s="16" t="str">
        <f>IFERROR(__xludf.DUMMYFUNCTION("""COMPUTED_VALUE"""),"Badaguichiri 2")</f>
        <v>Badaguichiri 2</v>
      </c>
      <c r="G345" s="16"/>
      <c r="H345" s="14"/>
      <c r="K345" s="16">
        <f>IFERROR(__xludf.DUMMYFUNCTION("""COMPUTED_VALUE"""),775.0)</f>
        <v>775</v>
      </c>
      <c r="L345" s="16"/>
      <c r="M345" s="14"/>
    </row>
    <row r="346">
      <c r="A346" s="16" t="str">
        <f>IFERROR(__xludf.DUMMYFUNCTION("""COMPUTED_VALUE"""),"Amadou Mariama")</f>
        <v>Amadou Mariama</v>
      </c>
      <c r="B346" s="16"/>
      <c r="C346" s="14"/>
      <c r="F346" s="16" t="str">
        <f>IFERROR(__xludf.DUMMYFUNCTION("""COMPUTED_VALUE"""),"Tchigili")</f>
        <v>Tchigili</v>
      </c>
      <c r="G346" s="16"/>
      <c r="H346" s="14"/>
      <c r="K346" s="16">
        <f>IFERROR(__xludf.DUMMYFUNCTION("""COMPUTED_VALUE"""),2633.0)</f>
        <v>2633</v>
      </c>
      <c r="L346" s="16"/>
      <c r="M346" s="14"/>
    </row>
    <row r="347">
      <c r="A347" s="16" t="str">
        <f>IFERROR(__xludf.DUMMYFUNCTION("""COMPUTED_VALUE"""),"Halimatou Adamou Marafa")</f>
        <v>Halimatou Adamou Marafa</v>
      </c>
      <c r="B347" s="16"/>
      <c r="C347" s="14"/>
      <c r="F347" s="16" t="str">
        <f>IFERROR(__xludf.DUMMYFUNCTION("""COMPUTED_VALUE"""),"Farabani")</f>
        <v>Farabani</v>
      </c>
      <c r="G347" s="16"/>
      <c r="H347" s="14"/>
      <c r="K347" s="16">
        <f>IFERROR(__xludf.DUMMYFUNCTION("""COMPUTED_VALUE"""),2334.0)</f>
        <v>2334</v>
      </c>
      <c r="L347" s="16"/>
      <c r="M347" s="14"/>
    </row>
    <row r="348">
      <c r="A348" s="16" t="str">
        <f>IFERROR(__xludf.DUMMYFUNCTION("""COMPUTED_VALUE"""),"Moussa Ide Ibrahim")</f>
        <v>Moussa Ide Ibrahim</v>
      </c>
      <c r="B348" s="16"/>
      <c r="C348" s="14"/>
      <c r="F348" s="16" t="str">
        <f>IFERROR(__xludf.DUMMYFUNCTION("""COMPUTED_VALUE"""),"Farabani")</f>
        <v>Farabani</v>
      </c>
      <c r="G348" s="16"/>
      <c r="H348" s="14"/>
      <c r="K348" s="16">
        <f>IFERROR(__xludf.DUMMYFUNCTION("""COMPUTED_VALUE"""),2107.0)</f>
        <v>2107</v>
      </c>
      <c r="L348" s="16"/>
      <c r="M348" s="14"/>
    </row>
    <row r="349">
      <c r="A349" s="16" t="str">
        <f>IFERROR(__xludf.DUMMYFUNCTION("""COMPUTED_VALUE"""),"Moussa Ide Ibrahim")</f>
        <v>Moussa Ide Ibrahim</v>
      </c>
      <c r="B349" s="16"/>
      <c r="C349" s="14"/>
      <c r="F349" s="16" t="str">
        <f>IFERROR(__xludf.DUMMYFUNCTION("""COMPUTED_VALUE"""),"Tchigili")</f>
        <v>Tchigili</v>
      </c>
      <c r="G349" s="16"/>
      <c r="H349" s="14"/>
      <c r="K349" s="16">
        <f>IFERROR(__xludf.DUMMYFUNCTION("""COMPUTED_VALUE"""),500.0)</f>
        <v>500</v>
      </c>
      <c r="L349" s="16"/>
      <c r="M349" s="14"/>
    </row>
    <row r="350">
      <c r="A350" s="16" t="str">
        <f>IFERROR(__xludf.DUMMYFUNCTION("""COMPUTED_VALUE"""),"Moussa Ide Ibrahim")</f>
        <v>Moussa Ide Ibrahim</v>
      </c>
      <c r="B350" s="16"/>
      <c r="C350" s="14"/>
      <c r="F350" s="16" t="str">
        <f>IFERROR(__xludf.DUMMYFUNCTION("""COMPUTED_VALUE"""),"Badaguichiri 2")</f>
        <v>Badaguichiri 2</v>
      </c>
      <c r="G350" s="16"/>
      <c r="H350" s="14"/>
      <c r="K350" s="16">
        <f>IFERROR(__xludf.DUMMYFUNCTION("""COMPUTED_VALUE"""),1047.0)</f>
        <v>1047</v>
      </c>
      <c r="L350" s="16"/>
      <c r="M350" s="14"/>
    </row>
    <row r="351">
      <c r="A351" s="16" t="str">
        <f>IFERROR(__xludf.DUMMYFUNCTION("""COMPUTED_VALUE"""),"Moussa Ide Ibrahim")</f>
        <v>Moussa Ide Ibrahim</v>
      </c>
      <c r="B351" s="16"/>
      <c r="C351" s="14"/>
      <c r="F351" s="16" t="str">
        <f>IFERROR(__xludf.DUMMYFUNCTION("""COMPUTED_VALUE"""),"Zangon Moujia")</f>
        <v>Zangon Moujia</v>
      </c>
      <c r="G351" s="16"/>
      <c r="H351" s="14"/>
      <c r="K351" s="16">
        <f>IFERROR(__xludf.DUMMYFUNCTION("""COMPUTED_VALUE"""),2415.0)</f>
        <v>2415</v>
      </c>
      <c r="L351" s="16"/>
      <c r="M351" s="14"/>
    </row>
    <row r="352">
      <c r="A352" s="16" t="str">
        <f>IFERROR(__xludf.DUMMYFUNCTION("""COMPUTED_VALUE"""),"Moussa Ide Ibrahim")</f>
        <v>Moussa Ide Ibrahim</v>
      </c>
      <c r="B352" s="16"/>
      <c r="C352" s="14"/>
      <c r="F352" s="16" t="str">
        <f>IFERROR(__xludf.DUMMYFUNCTION("""COMPUTED_VALUE"""),"Kirékafada")</f>
        <v>Kirékafada</v>
      </c>
      <c r="G352" s="16"/>
      <c r="H352" s="14"/>
      <c r="K352" s="16">
        <f>IFERROR(__xludf.DUMMYFUNCTION("""COMPUTED_VALUE"""),612.0)</f>
        <v>612</v>
      </c>
      <c r="L352" s="16"/>
      <c r="M352" s="14"/>
    </row>
    <row r="353">
      <c r="A353" s="16" t="str">
        <f>IFERROR(__xludf.DUMMYFUNCTION("""COMPUTED_VALUE"""),"Moussa Ide Ibrahim")</f>
        <v>Moussa Ide Ibrahim</v>
      </c>
      <c r="B353" s="16"/>
      <c r="C353" s="14"/>
      <c r="F353" s="16" t="str">
        <f>IFERROR(__xludf.DUMMYFUNCTION("""COMPUTED_VALUE"""),"Kirékafada")</f>
        <v>Kirékafada</v>
      </c>
      <c r="G353" s="16"/>
      <c r="H353" s="14"/>
      <c r="K353" s="16">
        <f>IFERROR(__xludf.DUMMYFUNCTION("""COMPUTED_VALUE"""),1748.0)</f>
        <v>1748</v>
      </c>
      <c r="L353" s="16"/>
      <c r="M353" s="14"/>
    </row>
    <row r="354">
      <c r="A354" s="16" t="str">
        <f>IFERROR(__xludf.DUMMYFUNCTION("""COMPUTED_VALUE"""),"Halimatou Adamou Marafa")</f>
        <v>Halimatou Adamou Marafa</v>
      </c>
      <c r="B354" s="16"/>
      <c r="C354" s="14"/>
      <c r="F354" s="16" t="str">
        <f>IFERROR(__xludf.DUMMYFUNCTION("""COMPUTED_VALUE"""),"Gidan Illa")</f>
        <v>Gidan Illa</v>
      </c>
      <c r="G354" s="16"/>
      <c r="H354" s="14"/>
      <c r="K354" s="16">
        <f>IFERROR(__xludf.DUMMYFUNCTION("""COMPUTED_VALUE"""),2583.0)</f>
        <v>2583</v>
      </c>
      <c r="L354" s="16"/>
      <c r="M354" s="14"/>
    </row>
    <row r="355">
      <c r="A355" s="16" t="str">
        <f>IFERROR(__xludf.DUMMYFUNCTION("""COMPUTED_VALUE"""),"Ibrahim Dan Habou Larwana")</f>
        <v>Ibrahim Dan Habou Larwana</v>
      </c>
      <c r="B355" s="16"/>
      <c r="C355" s="14"/>
      <c r="F355" s="16" t="str">
        <f>IFERROR(__xludf.DUMMYFUNCTION("""COMPUTED_VALUE"""),"Gidan Illa")</f>
        <v>Gidan Illa</v>
      </c>
      <c r="G355" s="16"/>
      <c r="H355" s="14"/>
      <c r="K355" s="16">
        <f>IFERROR(__xludf.DUMMYFUNCTION("""COMPUTED_VALUE"""),2329.0)</f>
        <v>2329</v>
      </c>
      <c r="L355" s="16"/>
      <c r="M355" s="14"/>
    </row>
    <row r="356">
      <c r="A356" s="16" t="str">
        <f>IFERROR(__xludf.DUMMYFUNCTION("""COMPUTED_VALUE"""),"Halidou Tagaza Balkissa")</f>
        <v>Halidou Tagaza Balkissa</v>
      </c>
      <c r="B356" s="16"/>
      <c r="C356" s="14"/>
      <c r="F356" s="16" t="str">
        <f>IFERROR(__xludf.DUMMYFUNCTION("""COMPUTED_VALUE"""),"Gidan Illa")</f>
        <v>Gidan Illa</v>
      </c>
      <c r="G356" s="16"/>
      <c r="H356" s="14"/>
      <c r="K356" s="16">
        <f>IFERROR(__xludf.DUMMYFUNCTION("""COMPUTED_VALUE"""),2247.0)</f>
        <v>2247</v>
      </c>
      <c r="L356" s="16"/>
      <c r="M356" s="14"/>
    </row>
    <row r="357">
      <c r="A357" s="16" t="str">
        <f>IFERROR(__xludf.DUMMYFUNCTION("""COMPUTED_VALUE"""),"Halidou Tagaza Balkissa")</f>
        <v>Halidou Tagaza Balkissa</v>
      </c>
      <c r="B357" s="16"/>
      <c r="C357" s="14"/>
      <c r="F357" s="16" t="str">
        <f>IFERROR(__xludf.DUMMYFUNCTION("""COMPUTED_VALUE"""),"Gidan Illa")</f>
        <v>Gidan Illa</v>
      </c>
      <c r="G357" s="16"/>
      <c r="H357" s="14"/>
      <c r="K357" s="16">
        <f>IFERROR(__xludf.DUMMYFUNCTION("""COMPUTED_VALUE"""),3057.0)</f>
        <v>3057</v>
      </c>
      <c r="L357" s="16"/>
      <c r="M357" s="14"/>
    </row>
    <row r="358">
      <c r="A358" s="16" t="str">
        <f>IFERROR(__xludf.DUMMYFUNCTION("""COMPUTED_VALUE"""),"ALASSANE TAWEY AWALOU")</f>
        <v>ALASSANE TAWEY AWALOU</v>
      </c>
      <c r="B358" s="16"/>
      <c r="C358" s="14"/>
      <c r="F358" s="16" t="str">
        <f>IFERROR(__xludf.DUMMYFUNCTION("""COMPUTED_VALUE"""),"Gidan Illa")</f>
        <v>Gidan Illa</v>
      </c>
      <c r="G358" s="16"/>
      <c r="H358" s="14"/>
      <c r="K358" s="16">
        <f>IFERROR(__xludf.DUMMYFUNCTION("""COMPUTED_VALUE"""),1835.0)</f>
        <v>1835</v>
      </c>
      <c r="L358" s="16"/>
      <c r="M358" s="14"/>
    </row>
    <row r="359">
      <c r="A359" s="16" t="str">
        <f>IFERROR(__xludf.DUMMYFUNCTION("""COMPUTED_VALUE"""),"Achirou Malam Dan Maradi Nassirou")</f>
        <v>Achirou Malam Dan Maradi Nassirou</v>
      </c>
      <c r="B359" s="16"/>
      <c r="C359" s="14"/>
      <c r="F359" s="16" t="str">
        <f>IFERROR(__xludf.DUMMYFUNCTION("""COMPUTED_VALUE"""),"Gidan Illa")</f>
        <v>Gidan Illa</v>
      </c>
      <c r="G359" s="16"/>
      <c r="H359" s="14"/>
      <c r="K359" s="16">
        <f>IFERROR(__xludf.DUMMYFUNCTION("""COMPUTED_VALUE"""),2878.0)</f>
        <v>2878</v>
      </c>
      <c r="L359" s="16"/>
      <c r="M359" s="14"/>
    </row>
    <row r="360">
      <c r="A360" s="16" t="str">
        <f>IFERROR(__xludf.DUMMYFUNCTION("""COMPUTED_VALUE"""),"Achirou Malam Dan Maradi Nassirou")</f>
        <v>Achirou Malam Dan Maradi Nassirou</v>
      </c>
      <c r="B360" s="16"/>
      <c r="C360" s="14"/>
      <c r="F360" s="16" t="str">
        <f>IFERROR(__xludf.DUMMYFUNCTION("""COMPUTED_VALUE"""),"Kirékafada")</f>
        <v>Kirékafada</v>
      </c>
      <c r="G360" s="16"/>
      <c r="H360" s="14"/>
      <c r="K360" s="16">
        <f>IFERROR(__xludf.DUMMYFUNCTION("""COMPUTED_VALUE"""),2962.0)</f>
        <v>2962</v>
      </c>
      <c r="L360" s="16"/>
      <c r="M360" s="14"/>
    </row>
    <row r="361">
      <c r="A361" s="16" t="str">
        <f>IFERROR(__xludf.DUMMYFUNCTION("""COMPUTED_VALUE"""),"Achirou Malam Dan Maradi Nassirou")</f>
        <v>Achirou Malam Dan Maradi Nassirou</v>
      </c>
      <c r="B361" s="16"/>
      <c r="C361" s="14"/>
      <c r="F361" s="16" t="str">
        <f>IFERROR(__xludf.DUMMYFUNCTION("""COMPUTED_VALUE"""),"Zangon Moujia")</f>
        <v>Zangon Moujia</v>
      </c>
      <c r="G361" s="16"/>
      <c r="H361" s="14"/>
      <c r="K361" s="16">
        <f>IFERROR(__xludf.DUMMYFUNCTION("""COMPUTED_VALUE"""),2694.0)</f>
        <v>2694</v>
      </c>
      <c r="L361" s="16"/>
      <c r="M361" s="14"/>
    </row>
    <row r="362">
      <c r="A362" s="16" t="str">
        <f>IFERROR(__xludf.DUMMYFUNCTION("""COMPUTED_VALUE"""),"Achirou Malam Dan Maradi Nassirou")</f>
        <v>Achirou Malam Dan Maradi Nassirou</v>
      </c>
      <c r="B362" s="16"/>
      <c r="C362" s="14"/>
      <c r="F362" s="16" t="str">
        <f>IFERROR(__xludf.DUMMYFUNCTION("""COMPUTED_VALUE"""),"Kirékafada")</f>
        <v>Kirékafada</v>
      </c>
      <c r="G362" s="16"/>
      <c r="H362" s="14"/>
      <c r="K362" s="16">
        <f>IFERROR(__xludf.DUMMYFUNCTION("""COMPUTED_VALUE"""),1229.0)</f>
        <v>1229</v>
      </c>
      <c r="L362" s="16"/>
      <c r="M362" s="14"/>
    </row>
    <row r="363">
      <c r="A363" s="16" t="str">
        <f>IFERROR(__xludf.DUMMYFUNCTION("""COMPUTED_VALUE"""),"Mohamed Cherif")</f>
        <v>Mohamed Cherif</v>
      </c>
      <c r="B363" s="16"/>
      <c r="C363" s="14"/>
      <c r="F363" s="16" t="str">
        <f>IFERROR(__xludf.DUMMYFUNCTION("""COMPUTED_VALUE"""),"Farabani")</f>
        <v>Farabani</v>
      </c>
      <c r="G363" s="16"/>
      <c r="H363" s="14"/>
      <c r="K363" s="16">
        <f>IFERROR(__xludf.DUMMYFUNCTION("""COMPUTED_VALUE"""),528.0)</f>
        <v>528</v>
      </c>
      <c r="L363" s="16"/>
      <c r="M363" s="14"/>
    </row>
    <row r="364">
      <c r="A364" s="16" t="str">
        <f>IFERROR(__xludf.DUMMYFUNCTION("""COMPUTED_VALUE"""),"Mohamed Cherif")</f>
        <v>Mohamed Cherif</v>
      </c>
      <c r="B364" s="16"/>
      <c r="C364" s="14"/>
      <c r="F364" s="16" t="str">
        <f>IFERROR(__xludf.DUMMYFUNCTION("""COMPUTED_VALUE"""),"Farabani")</f>
        <v>Farabani</v>
      </c>
      <c r="G364" s="16"/>
      <c r="H364" s="14"/>
      <c r="K364" s="16">
        <f>IFERROR(__xludf.DUMMYFUNCTION("""COMPUTED_VALUE"""),2016.0)</f>
        <v>2016</v>
      </c>
      <c r="L364" s="16"/>
      <c r="M364" s="14"/>
    </row>
    <row r="365">
      <c r="A365" s="16" t="str">
        <f>IFERROR(__xludf.DUMMYFUNCTION("""COMPUTED_VALUE"""),"Mohamed Cherif")</f>
        <v>Mohamed Cherif</v>
      </c>
      <c r="B365" s="16"/>
      <c r="C365" s="14"/>
      <c r="F365" s="16" t="str">
        <f>IFERROR(__xludf.DUMMYFUNCTION("""COMPUTED_VALUE"""),"Gidan Illa")</f>
        <v>Gidan Illa</v>
      </c>
      <c r="G365" s="16"/>
      <c r="H365" s="14"/>
      <c r="K365" s="16">
        <f>IFERROR(__xludf.DUMMYFUNCTION("""COMPUTED_VALUE"""),1185.0)</f>
        <v>1185</v>
      </c>
      <c r="L365" s="16"/>
      <c r="M365" s="14"/>
    </row>
    <row r="366">
      <c r="A366" s="16" t="str">
        <f>IFERROR(__xludf.DUMMYFUNCTION("""COMPUTED_VALUE"""),"Mohamed Cherif")</f>
        <v>Mohamed Cherif</v>
      </c>
      <c r="B366" s="16"/>
      <c r="C366" s="14"/>
      <c r="F366" s="16" t="str">
        <f>IFERROR(__xludf.DUMMYFUNCTION("""COMPUTED_VALUE"""),"Gidan Illa")</f>
        <v>Gidan Illa</v>
      </c>
      <c r="G366" s="16"/>
      <c r="H366" s="14"/>
      <c r="K366" s="16">
        <f>IFERROR(__xludf.DUMMYFUNCTION("""COMPUTED_VALUE"""),508.0)</f>
        <v>508</v>
      </c>
      <c r="L366" s="16"/>
      <c r="M366" s="14"/>
    </row>
    <row r="367">
      <c r="A367" s="16" t="str">
        <f>IFERROR(__xludf.DUMMYFUNCTION("""COMPUTED_VALUE"""),"Adamou Halidou Daouda")</f>
        <v>Adamou Halidou Daouda</v>
      </c>
      <c r="B367" s="16"/>
      <c r="C367" s="14"/>
      <c r="F367" s="16" t="str">
        <f>IFERROR(__xludf.DUMMYFUNCTION("""COMPUTED_VALUE"""),"Guidan Karo II")</f>
        <v>Guidan Karo II</v>
      </c>
      <c r="G367" s="16"/>
      <c r="H367" s="14"/>
      <c r="K367" s="16">
        <f>IFERROR(__xludf.DUMMYFUNCTION("""COMPUTED_VALUE"""),3075.0)</f>
        <v>3075</v>
      </c>
      <c r="L367" s="16"/>
      <c r="M367" s="14"/>
    </row>
    <row r="368">
      <c r="A368" s="16" t="str">
        <f>IFERROR(__xludf.DUMMYFUNCTION("""COMPUTED_VALUE"""),"Adamou Halidou Daouda")</f>
        <v>Adamou Halidou Daouda</v>
      </c>
      <c r="B368" s="16"/>
      <c r="C368" s="14"/>
      <c r="F368" s="16" t="str">
        <f>IFERROR(__xludf.DUMMYFUNCTION("""COMPUTED_VALUE"""),"Guidan Karo II")</f>
        <v>Guidan Karo II</v>
      </c>
      <c r="G368" s="16"/>
      <c r="H368" s="14"/>
      <c r="K368" s="16">
        <f>IFERROR(__xludf.DUMMYFUNCTION("""COMPUTED_VALUE"""),1229.0)</f>
        <v>1229</v>
      </c>
      <c r="L368" s="16"/>
      <c r="M368" s="14"/>
    </row>
    <row r="369">
      <c r="A369" s="16" t="str">
        <f>IFERROR(__xludf.DUMMYFUNCTION("""COMPUTED_VALUE"""),"Adamou Halidou Daouda")</f>
        <v>Adamou Halidou Daouda</v>
      </c>
      <c r="B369" s="16"/>
      <c r="C369" s="14"/>
      <c r="F369" s="16" t="str">
        <f>IFERROR(__xludf.DUMMYFUNCTION("""COMPUTED_VALUE"""),"Guidan Karo II")</f>
        <v>Guidan Karo II</v>
      </c>
      <c r="G369" s="16"/>
      <c r="H369" s="14"/>
      <c r="K369" s="16">
        <f>IFERROR(__xludf.DUMMYFUNCTION("""COMPUTED_VALUE"""),424.0)</f>
        <v>424</v>
      </c>
      <c r="L369" s="16"/>
      <c r="M369" s="14"/>
    </row>
    <row r="370">
      <c r="A370" s="16" t="str">
        <f>IFERROR(__xludf.DUMMYFUNCTION("""COMPUTED_VALUE"""),"Elhaji Abdou Leilata")</f>
        <v>Elhaji Abdou Leilata</v>
      </c>
      <c r="B370" s="16"/>
      <c r="C370" s="14"/>
      <c r="F370" s="16" t="str">
        <f>IFERROR(__xludf.DUMMYFUNCTION("""COMPUTED_VALUE"""),"Guidan Karo II")</f>
        <v>Guidan Karo II</v>
      </c>
      <c r="G370" s="16"/>
      <c r="H370" s="14"/>
      <c r="K370" s="16">
        <f>IFERROR(__xludf.DUMMYFUNCTION("""COMPUTED_VALUE"""),897.0)</f>
        <v>897</v>
      </c>
      <c r="L370" s="16"/>
      <c r="M370" s="14"/>
    </row>
    <row r="371">
      <c r="A371" s="16" t="str">
        <f>IFERROR(__xludf.DUMMYFUNCTION("""COMPUTED_VALUE"""),"Elhaji Abdou Leilata")</f>
        <v>Elhaji Abdou Leilata</v>
      </c>
      <c r="B371" s="16"/>
      <c r="C371" s="14"/>
      <c r="F371" s="16" t="str">
        <f>IFERROR(__xludf.DUMMYFUNCTION("""COMPUTED_VALUE"""),"Guidan Karo II")</f>
        <v>Guidan Karo II</v>
      </c>
      <c r="G371" s="16"/>
      <c r="H371" s="14"/>
      <c r="K371" s="16">
        <f>IFERROR(__xludf.DUMMYFUNCTION("""COMPUTED_VALUE"""),1624.0)</f>
        <v>1624</v>
      </c>
      <c r="L371" s="16"/>
      <c r="M371" s="14"/>
    </row>
    <row r="372">
      <c r="A372" s="16" t="str">
        <f>IFERROR(__xludf.DUMMYFUNCTION("""COMPUTED_VALUE"""),"Elhaji Abdou Leilata")</f>
        <v>Elhaji Abdou Leilata</v>
      </c>
      <c r="B372" s="16"/>
      <c r="C372" s="14"/>
      <c r="F372" s="16" t="str">
        <f>IFERROR(__xludf.DUMMYFUNCTION("""COMPUTED_VALUE"""),"Guidan Karo II")</f>
        <v>Guidan Karo II</v>
      </c>
      <c r="G372" s="16"/>
      <c r="H372" s="14"/>
      <c r="K372" s="16">
        <f>IFERROR(__xludf.DUMMYFUNCTION("""COMPUTED_VALUE"""),1460.0)</f>
        <v>1460</v>
      </c>
      <c r="L372" s="16"/>
      <c r="M372" s="14"/>
    </row>
    <row r="373">
      <c r="A373" s="16" t="str">
        <f>IFERROR(__xludf.DUMMYFUNCTION("""COMPUTED_VALUE"""),"Maman Ado Abdourahamane")</f>
        <v>Maman Ado Abdourahamane</v>
      </c>
      <c r="B373" s="16"/>
      <c r="C373" s="14"/>
      <c r="F373" s="16" t="str">
        <f>IFERROR(__xludf.DUMMYFUNCTION("""COMPUTED_VALUE"""),"Guidan Karo II")</f>
        <v>Guidan Karo II</v>
      </c>
      <c r="G373" s="16"/>
      <c r="H373" s="14"/>
      <c r="K373" s="16">
        <f>IFERROR(__xludf.DUMMYFUNCTION("""COMPUTED_VALUE"""),3293.0)</f>
        <v>3293</v>
      </c>
      <c r="L373" s="16"/>
      <c r="M373" s="14"/>
    </row>
    <row r="374">
      <c r="A374" s="16" t="str">
        <f>IFERROR(__xludf.DUMMYFUNCTION("""COMPUTED_VALUE"""),"Maman Ado Abdourahamane")</f>
        <v>Maman Ado Abdourahamane</v>
      </c>
      <c r="B374" s="16"/>
      <c r="C374" s="14"/>
      <c r="F374" s="16" t="str">
        <f>IFERROR(__xludf.DUMMYFUNCTION("""COMPUTED_VALUE"""),"Guidan Karo I")</f>
        <v>Guidan Karo I</v>
      </c>
      <c r="G374" s="16"/>
      <c r="H374" s="14"/>
      <c r="K374" s="16">
        <f>IFERROR(__xludf.DUMMYFUNCTION("""COMPUTED_VALUE"""),761.0)</f>
        <v>761</v>
      </c>
      <c r="L374" s="16"/>
      <c r="M374" s="14"/>
    </row>
    <row r="375">
      <c r="A375" s="16" t="str">
        <f>IFERROR(__xludf.DUMMYFUNCTION("""COMPUTED_VALUE"""),"Hadiza Harouna")</f>
        <v>Hadiza Harouna</v>
      </c>
      <c r="B375" s="16"/>
      <c r="C375" s="14"/>
      <c r="F375" s="16" t="str">
        <f>IFERROR(__xludf.DUMMYFUNCTION("""COMPUTED_VALUE"""),"Guidan Karo I")</f>
        <v>Guidan Karo I</v>
      </c>
      <c r="G375" s="16"/>
      <c r="H375" s="14"/>
      <c r="K375" s="16">
        <f>IFERROR(__xludf.DUMMYFUNCTION("""COMPUTED_VALUE"""),1649.0)</f>
        <v>1649</v>
      </c>
      <c r="L375" s="16"/>
      <c r="M375" s="14"/>
    </row>
    <row r="376">
      <c r="A376" s="16" t="str">
        <f>IFERROR(__xludf.DUMMYFUNCTION("""COMPUTED_VALUE"""),"Hadiza Harouna")</f>
        <v>Hadiza Harouna</v>
      </c>
      <c r="B376" s="16"/>
      <c r="C376" s="14"/>
      <c r="F376" s="16" t="str">
        <f>IFERROR(__xludf.DUMMYFUNCTION("""COMPUTED_VALUE"""),"Guidan Karo I")</f>
        <v>Guidan Karo I</v>
      </c>
      <c r="G376" s="16"/>
      <c r="H376" s="14"/>
      <c r="K376" s="16">
        <f>IFERROR(__xludf.DUMMYFUNCTION("""COMPUTED_VALUE"""),982.0)</f>
        <v>982</v>
      </c>
      <c r="L376" s="16"/>
      <c r="M376" s="14"/>
    </row>
    <row r="377">
      <c r="A377" s="16" t="str">
        <f>IFERROR(__xludf.DUMMYFUNCTION("""COMPUTED_VALUE"""),"Abdoul Razak Mahamane Boukari")</f>
        <v>Abdoul Razak Mahamane Boukari</v>
      </c>
      <c r="B377" s="16"/>
      <c r="C377" s="14"/>
      <c r="F377" s="16" t="str">
        <f>IFERROR(__xludf.DUMMYFUNCTION("""COMPUTED_VALUE"""),"Guidan Karo I")</f>
        <v>Guidan Karo I</v>
      </c>
      <c r="G377" s="16"/>
      <c r="H377" s="14"/>
      <c r="K377" s="16">
        <f>IFERROR(__xludf.DUMMYFUNCTION("""COMPUTED_VALUE"""),4144.0)</f>
        <v>4144</v>
      </c>
      <c r="L377" s="16"/>
      <c r="M377" s="14"/>
    </row>
    <row r="378">
      <c r="A378" s="16" t="str">
        <f>IFERROR(__xludf.DUMMYFUNCTION("""COMPUTED_VALUE"""),"Maman Ado Abdourahamane")</f>
        <v>Maman Ado Abdourahamane</v>
      </c>
      <c r="B378" s="16"/>
      <c r="C378" s="14"/>
      <c r="F378" s="16" t="str">
        <f>IFERROR(__xludf.DUMMYFUNCTION("""COMPUTED_VALUE"""),"Guidan Karo I")</f>
        <v>Guidan Karo I</v>
      </c>
      <c r="G378" s="16"/>
      <c r="H378" s="14"/>
      <c r="K378" s="16">
        <f>IFERROR(__xludf.DUMMYFUNCTION("""COMPUTED_VALUE"""),1955.0)</f>
        <v>1955</v>
      </c>
      <c r="L378" s="16"/>
      <c r="M378" s="14"/>
    </row>
    <row r="379">
      <c r="A379" s="16" t="str">
        <f>IFERROR(__xludf.DUMMYFUNCTION("""COMPUTED_VALUE"""),"Maman Ado Abdourahamane")</f>
        <v>Maman Ado Abdourahamane</v>
      </c>
      <c r="B379" s="16"/>
      <c r="C379" s="14"/>
      <c r="F379" s="16" t="str">
        <f>IFERROR(__xludf.DUMMYFUNCTION("""COMPUTED_VALUE"""),"Guidan Karo I")</f>
        <v>Guidan Karo I</v>
      </c>
      <c r="G379" s="16"/>
      <c r="H379" s="14"/>
      <c r="K379" s="16">
        <f>IFERROR(__xludf.DUMMYFUNCTION("""COMPUTED_VALUE"""),2700.0)</f>
        <v>2700</v>
      </c>
      <c r="L379" s="16"/>
      <c r="M379" s="14"/>
    </row>
    <row r="380">
      <c r="A380" s="16" t="str">
        <f>IFERROR(__xludf.DUMMYFUNCTION("""COMPUTED_VALUE"""),"Maman Ado Abdourahamane")</f>
        <v>Maman Ado Abdourahamane</v>
      </c>
      <c r="B380" s="16"/>
      <c r="C380" s="14"/>
      <c r="F380" s="16" t="str">
        <f>IFERROR(__xludf.DUMMYFUNCTION("""COMPUTED_VALUE"""),"Gidan Illa")</f>
        <v>Gidan Illa</v>
      </c>
      <c r="G380" s="16"/>
      <c r="H380" s="14"/>
      <c r="K380" s="16">
        <f>IFERROR(__xludf.DUMMYFUNCTION("""COMPUTED_VALUE"""),510.0)</f>
        <v>510</v>
      </c>
      <c r="L380" s="16"/>
      <c r="M380" s="14"/>
    </row>
    <row r="381">
      <c r="A381" s="16" t="str">
        <f>IFERROR(__xludf.DUMMYFUNCTION("""COMPUTED_VALUE"""),"Abdoul Razak Mahamane Boukari")</f>
        <v>Abdoul Razak Mahamane Boukari</v>
      </c>
      <c r="B381" s="16"/>
      <c r="C381" s="14"/>
      <c r="F381" s="16" t="str">
        <f>IFERROR(__xludf.DUMMYFUNCTION("""COMPUTED_VALUE"""),"Gidan Illa")</f>
        <v>Gidan Illa</v>
      </c>
      <c r="G381" s="16"/>
      <c r="H381" s="14"/>
      <c r="K381" s="16">
        <f>IFERROR(__xludf.DUMMYFUNCTION("""COMPUTED_VALUE"""),2923.0)</f>
        <v>2923</v>
      </c>
      <c r="L381" s="16"/>
      <c r="M381" s="14"/>
    </row>
    <row r="382">
      <c r="A382" s="16" t="str">
        <f>IFERROR(__xludf.DUMMYFUNCTION("""COMPUTED_VALUE"""),"Ibrahim Dan Habou Larwana")</f>
        <v>Ibrahim Dan Habou Larwana</v>
      </c>
      <c r="B382" s="16"/>
      <c r="C382" s="14"/>
      <c r="F382" s="16" t="str">
        <f>IFERROR(__xludf.DUMMYFUNCTION("""COMPUTED_VALUE"""),"Gidan Illa")</f>
        <v>Gidan Illa</v>
      </c>
      <c r="G382" s="16"/>
      <c r="H382" s="14"/>
      <c r="K382" s="16">
        <f>IFERROR(__xludf.DUMMYFUNCTION("""COMPUTED_VALUE"""),627.0)</f>
        <v>627</v>
      </c>
      <c r="L382" s="16"/>
      <c r="M382" s="14"/>
    </row>
    <row r="383">
      <c r="A383" s="16" t="str">
        <f>IFERROR(__xludf.DUMMYFUNCTION("""COMPUTED_VALUE"""),"Ibrahim Dan Habou Larwana")</f>
        <v>Ibrahim Dan Habou Larwana</v>
      </c>
      <c r="B383" s="16"/>
      <c r="C383" s="14"/>
      <c r="F383" s="16" t="str">
        <f>IFERROR(__xludf.DUMMYFUNCTION("""COMPUTED_VALUE"""),"Zangon Moujia")</f>
        <v>Zangon Moujia</v>
      </c>
      <c r="G383" s="16"/>
      <c r="H383" s="14"/>
      <c r="K383" s="16">
        <f>IFERROR(__xludf.DUMMYFUNCTION("""COMPUTED_VALUE"""),1829.0)</f>
        <v>1829</v>
      </c>
      <c r="L383" s="16"/>
      <c r="M383" s="14"/>
    </row>
    <row r="384">
      <c r="A384" s="16" t="str">
        <f>IFERROR(__xludf.DUMMYFUNCTION("""COMPUTED_VALUE"""),"Ibrahim Dan Habou Larwana")</f>
        <v>Ibrahim Dan Habou Larwana</v>
      </c>
      <c r="B384" s="16"/>
      <c r="C384" s="14"/>
      <c r="F384" s="16" t="str">
        <f>IFERROR(__xludf.DUMMYFUNCTION("""COMPUTED_VALUE"""),"Gidan Illa")</f>
        <v>Gidan Illa</v>
      </c>
      <c r="G384" s="16"/>
      <c r="H384" s="14"/>
      <c r="K384" s="16">
        <f>IFERROR(__xludf.DUMMYFUNCTION("""COMPUTED_VALUE"""),363.0)</f>
        <v>363</v>
      </c>
      <c r="L384" s="16"/>
      <c r="M384" s="14"/>
    </row>
    <row r="385">
      <c r="A385" s="16" t="str">
        <f>IFERROR(__xludf.DUMMYFUNCTION("""COMPUTED_VALUE"""),"Kimba Issa Mamoudou")</f>
        <v>Kimba Issa Mamoudou</v>
      </c>
      <c r="B385" s="16"/>
      <c r="C385" s="14"/>
      <c r="F385" s="16" t="str">
        <f>IFERROR(__xludf.DUMMYFUNCTION("""COMPUTED_VALUE"""),"Guidan Karo I")</f>
        <v>Guidan Karo I</v>
      </c>
      <c r="G385" s="16"/>
      <c r="H385" s="14"/>
      <c r="K385" s="16">
        <f>IFERROR(__xludf.DUMMYFUNCTION("""COMPUTED_VALUE"""),1351.0)</f>
        <v>1351</v>
      </c>
      <c r="L385" s="16"/>
      <c r="M385" s="14"/>
    </row>
    <row r="386">
      <c r="A386" s="16" t="str">
        <f>IFERROR(__xludf.DUMMYFUNCTION("""COMPUTED_VALUE"""),"Kimba Issa Mamoudou")</f>
        <v>Kimba Issa Mamoudou</v>
      </c>
      <c r="B386" s="16"/>
      <c r="C386" s="14"/>
      <c r="F386" s="16" t="str">
        <f>IFERROR(__xludf.DUMMYFUNCTION("""COMPUTED_VALUE"""),"Guidan Karo I")</f>
        <v>Guidan Karo I</v>
      </c>
      <c r="G386" s="16"/>
      <c r="H386" s="14"/>
      <c r="K386" s="16">
        <f>IFERROR(__xludf.DUMMYFUNCTION("""COMPUTED_VALUE"""),196.0)</f>
        <v>196</v>
      </c>
      <c r="L386" s="16"/>
      <c r="M386" s="14"/>
    </row>
    <row r="387">
      <c r="A387" s="16" t="str">
        <f>IFERROR(__xludf.DUMMYFUNCTION("""COMPUTED_VALUE"""),"Kimba Issa Mamoudou")</f>
        <v>Kimba Issa Mamoudou</v>
      </c>
      <c r="B387" s="16"/>
      <c r="C387" s="14"/>
      <c r="F387" s="16" t="str">
        <f>IFERROR(__xludf.DUMMYFUNCTION("""COMPUTED_VALUE"""),"Guidan Karo I")</f>
        <v>Guidan Karo I</v>
      </c>
      <c r="G387" s="16"/>
      <c r="H387" s="14"/>
      <c r="K387" s="16">
        <f>IFERROR(__xludf.DUMMYFUNCTION("""COMPUTED_VALUE"""),4184.0)</f>
        <v>4184</v>
      </c>
      <c r="L387" s="16"/>
      <c r="M387" s="14"/>
    </row>
    <row r="388">
      <c r="A388" s="16" t="str">
        <f>IFERROR(__xludf.DUMMYFUNCTION("""COMPUTED_VALUE"""),"ALASSANE TAWEY AWALOU")</f>
        <v>ALASSANE TAWEY AWALOU</v>
      </c>
      <c r="B388" s="16"/>
      <c r="C388" s="14"/>
      <c r="F388" s="16" t="str">
        <f>IFERROR(__xludf.DUMMYFUNCTION("""COMPUTED_VALUE"""),"Guidan Karo I")</f>
        <v>Guidan Karo I</v>
      </c>
      <c r="G388" s="16"/>
      <c r="H388" s="14"/>
      <c r="K388" s="16">
        <f>IFERROR(__xludf.DUMMYFUNCTION("""COMPUTED_VALUE"""),3922.0)</f>
        <v>3922</v>
      </c>
      <c r="L388" s="16"/>
      <c r="M388" s="14"/>
    </row>
    <row r="389">
      <c r="A389" s="16" t="str">
        <f>IFERROR(__xludf.DUMMYFUNCTION("""COMPUTED_VALUE"""),"ALASSANE TAWEY AWALOU")</f>
        <v>ALASSANE TAWEY AWALOU</v>
      </c>
      <c r="B389" s="16"/>
      <c r="C389" s="14"/>
      <c r="F389" s="16" t="str">
        <f>IFERROR(__xludf.DUMMYFUNCTION("""COMPUTED_VALUE"""),"Zangon Moujia")</f>
        <v>Zangon Moujia</v>
      </c>
      <c r="G389" s="16"/>
      <c r="H389" s="14"/>
      <c r="K389" s="16">
        <f>IFERROR(__xludf.DUMMYFUNCTION("""COMPUTED_VALUE"""),746.0)</f>
        <v>746</v>
      </c>
      <c r="L389" s="16"/>
      <c r="M389" s="14"/>
    </row>
    <row r="390">
      <c r="A390" s="16" t="str">
        <f>IFERROR(__xludf.DUMMYFUNCTION("""COMPUTED_VALUE"""),"ALASSANE TAWEY AWALOU")</f>
        <v>ALASSANE TAWEY AWALOU</v>
      </c>
      <c r="B390" s="16"/>
      <c r="C390" s="14"/>
      <c r="F390" s="16" t="str">
        <f>IFERROR(__xludf.DUMMYFUNCTION("""COMPUTED_VALUE"""),"Zangon Moujia")</f>
        <v>Zangon Moujia</v>
      </c>
      <c r="G390" s="16"/>
      <c r="H390" s="14"/>
      <c r="K390" s="16">
        <f>IFERROR(__xludf.DUMMYFUNCTION("""COMPUTED_VALUE"""),1817.0)</f>
        <v>1817</v>
      </c>
      <c r="L390" s="16"/>
      <c r="M390" s="14"/>
    </row>
    <row r="391">
      <c r="A391" s="16" t="str">
        <f>IFERROR(__xludf.DUMMYFUNCTION("""COMPUTED_VALUE"""),"ALASSANE TAWEY AWALOU")</f>
        <v>ALASSANE TAWEY AWALOU</v>
      </c>
      <c r="B391" s="16"/>
      <c r="C391" s="14"/>
      <c r="F391" s="16" t="str">
        <f>IFERROR(__xludf.DUMMYFUNCTION("""COMPUTED_VALUE"""),"Zangon Moujia")</f>
        <v>Zangon Moujia</v>
      </c>
      <c r="G391" s="16"/>
      <c r="H391" s="14"/>
      <c r="K391" s="16">
        <f>IFERROR(__xludf.DUMMYFUNCTION("""COMPUTED_VALUE"""),3363.0)</f>
        <v>3363</v>
      </c>
      <c r="L391" s="16"/>
      <c r="M391" s="14"/>
    </row>
    <row r="392">
      <c r="A392" s="16" t="str">
        <f>IFERROR(__xludf.DUMMYFUNCTION("""COMPUTED_VALUE"""),"Mohamed Cherif")</f>
        <v>Mohamed Cherif</v>
      </c>
      <c r="B392" s="16"/>
      <c r="C392" s="14"/>
      <c r="F392" s="16" t="str">
        <f>IFERROR(__xludf.DUMMYFUNCTION("""COMPUTED_VALUE"""),"Zangon Moujia")</f>
        <v>Zangon Moujia</v>
      </c>
      <c r="G392" s="16"/>
      <c r="H392" s="14"/>
      <c r="K392" s="16">
        <f>IFERROR(__xludf.DUMMYFUNCTION("""COMPUTED_VALUE"""),3333.0)</f>
        <v>3333</v>
      </c>
      <c r="L392" s="16"/>
      <c r="M392" s="14"/>
    </row>
    <row r="393">
      <c r="A393" s="16" t="str">
        <f>IFERROR(__xludf.DUMMYFUNCTION("""COMPUTED_VALUE"""),"Mohamed Cherif")</f>
        <v>Mohamed Cherif</v>
      </c>
      <c r="B393" s="16"/>
      <c r="C393" s="14"/>
      <c r="F393" s="16" t="str">
        <f>IFERROR(__xludf.DUMMYFUNCTION("""COMPUTED_VALUE"""),"Zangon Moujia")</f>
        <v>Zangon Moujia</v>
      </c>
      <c r="G393" s="16"/>
      <c r="H393" s="14"/>
      <c r="K393" s="16">
        <f>IFERROR(__xludf.DUMMYFUNCTION("""COMPUTED_VALUE"""),834.0)</f>
        <v>834</v>
      </c>
      <c r="L393" s="16"/>
      <c r="M393" s="14"/>
    </row>
    <row r="394">
      <c r="A394" s="16" t="str">
        <f>IFERROR(__xludf.DUMMYFUNCTION("""COMPUTED_VALUE"""),"Mohamed Cherif")</f>
        <v>Mohamed Cherif</v>
      </c>
      <c r="B394" s="16"/>
      <c r="C394" s="14"/>
      <c r="F394" s="16" t="str">
        <f>IFERROR(__xludf.DUMMYFUNCTION("""COMPUTED_VALUE"""),"Zangon Moujia")</f>
        <v>Zangon Moujia</v>
      </c>
      <c r="G394" s="16"/>
      <c r="H394" s="14"/>
      <c r="K394" s="16">
        <f>IFERROR(__xludf.DUMMYFUNCTION("""COMPUTED_VALUE"""),3223.0)</f>
        <v>3223</v>
      </c>
      <c r="L394" s="16"/>
      <c r="M394" s="14"/>
    </row>
    <row r="395">
      <c r="A395" s="16" t="str">
        <f>IFERROR(__xludf.DUMMYFUNCTION("""COMPUTED_VALUE"""),"Mohamed Cherif")</f>
        <v>Mohamed Cherif</v>
      </c>
      <c r="B395" s="16"/>
      <c r="C395" s="14"/>
      <c r="F395" s="16" t="str">
        <f>IFERROR(__xludf.DUMMYFUNCTION("""COMPUTED_VALUE"""),"Zangon Moujia")</f>
        <v>Zangon Moujia</v>
      </c>
      <c r="G395" s="16"/>
      <c r="H395" s="14"/>
      <c r="K395" s="16">
        <f>IFERROR(__xludf.DUMMYFUNCTION("""COMPUTED_VALUE"""),703.0)</f>
        <v>703</v>
      </c>
      <c r="L395" s="16"/>
      <c r="M395" s="14"/>
    </row>
    <row r="396">
      <c r="A396" s="16" t="str">
        <f>IFERROR(__xludf.DUMMYFUNCTION("""COMPUTED_VALUE"""),"Achirou Malam Dan Maradi Nassirou")</f>
        <v>Achirou Malam Dan Maradi Nassirou</v>
      </c>
      <c r="B396" s="16"/>
      <c r="C396" s="14"/>
      <c r="F396" s="16" t="str">
        <f>IFERROR(__xludf.DUMMYFUNCTION("""COMPUTED_VALUE"""),"Zangon Moujia")</f>
        <v>Zangon Moujia</v>
      </c>
      <c r="G396" s="16"/>
      <c r="H396" s="14"/>
      <c r="K396" s="16">
        <f>IFERROR(__xludf.DUMMYFUNCTION("""COMPUTED_VALUE"""),1142.0)</f>
        <v>1142</v>
      </c>
      <c r="L396" s="16"/>
      <c r="M396" s="14"/>
    </row>
    <row r="397">
      <c r="A397" s="16" t="str">
        <f>IFERROR(__xludf.DUMMYFUNCTION("""COMPUTED_VALUE"""),"Rabi Boubacar Younoussa")</f>
        <v>Rabi Boubacar Younoussa</v>
      </c>
      <c r="B397" s="16"/>
      <c r="C397" s="14"/>
      <c r="F397" s="16" t="str">
        <f>IFERROR(__xludf.DUMMYFUNCTION("""COMPUTED_VALUE"""),"Zangon Moujia")</f>
        <v>Zangon Moujia</v>
      </c>
      <c r="G397" s="16"/>
      <c r="H397" s="14"/>
      <c r="K397" s="16">
        <f>IFERROR(__xludf.DUMMYFUNCTION("""COMPUTED_VALUE"""),725.0)</f>
        <v>725</v>
      </c>
      <c r="L397" s="16"/>
      <c r="M397" s="14"/>
    </row>
    <row r="398">
      <c r="A398" s="16" t="str">
        <f>IFERROR(__xludf.DUMMYFUNCTION("""COMPUTED_VALUE"""),"Rabi Boubacar Younoussa")</f>
        <v>Rabi Boubacar Younoussa</v>
      </c>
      <c r="B398" s="16"/>
      <c r="C398" s="14"/>
      <c r="F398" s="16" t="str">
        <f>IFERROR(__xludf.DUMMYFUNCTION("""COMPUTED_VALUE"""),"Zangon Moujia")</f>
        <v>Zangon Moujia</v>
      </c>
      <c r="G398" s="16"/>
      <c r="H398" s="14"/>
      <c r="K398" s="16">
        <f>IFERROR(__xludf.DUMMYFUNCTION("""COMPUTED_VALUE"""),2353.0)</f>
        <v>2353</v>
      </c>
      <c r="L398" s="16"/>
      <c r="M398" s="14"/>
    </row>
    <row r="399">
      <c r="A399" s="16" t="str">
        <f>IFERROR(__xludf.DUMMYFUNCTION("""COMPUTED_VALUE"""),"Rabi Boubacar Younoussa")</f>
        <v>Rabi Boubacar Younoussa</v>
      </c>
      <c r="B399" s="16"/>
      <c r="C399" s="14"/>
      <c r="F399" s="16" t="str">
        <f>IFERROR(__xludf.DUMMYFUNCTION("""COMPUTED_VALUE"""),"Zangon Moujia")</f>
        <v>Zangon Moujia</v>
      </c>
      <c r="G399" s="16"/>
      <c r="H399" s="14"/>
      <c r="K399" s="16">
        <f>IFERROR(__xludf.DUMMYFUNCTION("""COMPUTED_VALUE"""),385.0)</f>
        <v>385</v>
      </c>
      <c r="L399" s="16"/>
      <c r="M399" s="14"/>
    </row>
    <row r="400">
      <c r="A400" s="16" t="str">
        <f>IFERROR(__xludf.DUMMYFUNCTION("""COMPUTED_VALUE"""),"Rabi Boubacar Younoussa")</f>
        <v>Rabi Boubacar Younoussa</v>
      </c>
      <c r="B400" s="16"/>
      <c r="C400" s="14"/>
      <c r="F400" s="16" t="str">
        <f>IFERROR(__xludf.DUMMYFUNCTION("""COMPUTED_VALUE"""),"Zangon Moujia")</f>
        <v>Zangon Moujia</v>
      </c>
      <c r="G400" s="16"/>
      <c r="H400" s="14"/>
      <c r="K400" s="16">
        <f>IFERROR(__xludf.DUMMYFUNCTION("""COMPUTED_VALUE"""),568.0)</f>
        <v>568</v>
      </c>
      <c r="L400" s="16"/>
      <c r="M400" s="14"/>
    </row>
    <row r="401">
      <c r="A401" s="16" t="str">
        <f>IFERROR(__xludf.DUMMYFUNCTION("""COMPUTED_VALUE"""),"Saddy Youssouf")</f>
        <v>Saddy Youssouf</v>
      </c>
      <c r="B401" s="16"/>
      <c r="C401" s="14"/>
      <c r="F401" s="16" t="str">
        <f>IFERROR(__xludf.DUMMYFUNCTION("""COMPUTED_VALUE"""),"Zangon Moujia")</f>
        <v>Zangon Moujia</v>
      </c>
      <c r="G401" s="16"/>
      <c r="H401" s="14"/>
      <c r="K401" s="16">
        <f>IFERROR(__xludf.DUMMYFUNCTION("""COMPUTED_VALUE"""),2382.0)</f>
        <v>2382</v>
      </c>
      <c r="L401" s="16"/>
      <c r="M401" s="14"/>
    </row>
    <row r="402">
      <c r="A402" s="16" t="str">
        <f>IFERROR(__xludf.DUMMYFUNCTION("""COMPUTED_VALUE"""),"Saddy Youssouf")</f>
        <v>Saddy Youssouf</v>
      </c>
      <c r="B402" s="16"/>
      <c r="C402" s="14"/>
      <c r="F402" s="16" t="str">
        <f>IFERROR(__xludf.DUMMYFUNCTION("""COMPUTED_VALUE"""),"Zangon Moujia")</f>
        <v>Zangon Moujia</v>
      </c>
      <c r="G402" s="16"/>
      <c r="H402" s="14"/>
      <c r="K402" s="16">
        <f>IFERROR(__xludf.DUMMYFUNCTION("""COMPUTED_VALUE"""),4339.0)</f>
        <v>4339</v>
      </c>
      <c r="L402" s="16"/>
      <c r="M402" s="14"/>
    </row>
    <row r="403">
      <c r="A403" s="16" t="str">
        <f>IFERROR(__xludf.DUMMYFUNCTION("""COMPUTED_VALUE"""),"Saddy Youssouf")</f>
        <v>Saddy Youssouf</v>
      </c>
      <c r="B403" s="16"/>
      <c r="C403" s="14"/>
      <c r="F403" s="16" t="str">
        <f>IFERROR(__xludf.DUMMYFUNCTION("""COMPUTED_VALUE"""),"Zangon Moujia")</f>
        <v>Zangon Moujia</v>
      </c>
      <c r="G403" s="16"/>
      <c r="H403" s="14"/>
      <c r="K403" s="16">
        <f>IFERROR(__xludf.DUMMYFUNCTION("""COMPUTED_VALUE"""),621.0)</f>
        <v>621</v>
      </c>
      <c r="L403" s="16"/>
      <c r="M403" s="14"/>
    </row>
    <row r="404">
      <c r="A404" s="16" t="str">
        <f>IFERROR(__xludf.DUMMYFUNCTION("""COMPUTED_VALUE"""),"Inoussa Balkissou")</f>
        <v>Inoussa Balkissou</v>
      </c>
      <c r="B404" s="16"/>
      <c r="C404" s="14"/>
      <c r="F404" s="16" t="str">
        <f>IFERROR(__xludf.DUMMYFUNCTION("""COMPUTED_VALUE"""),"Zangon Moujia")</f>
        <v>Zangon Moujia</v>
      </c>
      <c r="G404" s="16"/>
      <c r="H404" s="14"/>
      <c r="K404" s="16">
        <f>IFERROR(__xludf.DUMMYFUNCTION("""COMPUTED_VALUE"""),2512.0)</f>
        <v>2512</v>
      </c>
      <c r="L404" s="16"/>
      <c r="M404" s="14"/>
    </row>
    <row r="405">
      <c r="A405" s="16" t="str">
        <f>IFERROR(__xludf.DUMMYFUNCTION("""COMPUTED_VALUE"""),"Hachimou Rabiou Mamoudou")</f>
        <v>Hachimou Rabiou Mamoudou</v>
      </c>
      <c r="B405" s="16"/>
      <c r="C405" s="14"/>
      <c r="F405" s="16" t="str">
        <f>IFERROR(__xludf.DUMMYFUNCTION("""COMPUTED_VALUE"""),"Zangon Moujia")</f>
        <v>Zangon Moujia</v>
      </c>
      <c r="G405" s="16"/>
      <c r="H405" s="14"/>
      <c r="K405" s="16">
        <f>IFERROR(__xludf.DUMMYFUNCTION("""COMPUTED_VALUE"""),1408.0)</f>
        <v>1408</v>
      </c>
      <c r="L405" s="16"/>
      <c r="M405" s="14"/>
    </row>
    <row r="406">
      <c r="A406" s="16" t="str">
        <f>IFERROR(__xludf.DUMMYFUNCTION("""COMPUTED_VALUE"""),"Hachimou Rabiou Mamoudou")</f>
        <v>Hachimou Rabiou Mamoudou</v>
      </c>
      <c r="B406" s="16"/>
      <c r="C406" s="14"/>
      <c r="F406" s="16" t="str">
        <f>IFERROR(__xludf.DUMMYFUNCTION("""COMPUTED_VALUE"""),"Gidan Illa")</f>
        <v>Gidan Illa</v>
      </c>
      <c r="G406" s="16"/>
      <c r="H406" s="14"/>
      <c r="K406" s="16">
        <f>IFERROR(__xludf.DUMMYFUNCTION("""COMPUTED_VALUE"""),2216.0)</f>
        <v>2216</v>
      </c>
      <c r="L406" s="16"/>
      <c r="M406" s="14"/>
    </row>
    <row r="407">
      <c r="A407" s="16" t="str">
        <f>IFERROR(__xludf.DUMMYFUNCTION("""COMPUTED_VALUE"""),"Hachimou Rabiou Mamoudou")</f>
        <v>Hachimou Rabiou Mamoudou</v>
      </c>
      <c r="B407" s="16"/>
      <c r="C407" s="14"/>
      <c r="F407" s="16" t="str">
        <f>IFERROR(__xludf.DUMMYFUNCTION("""COMPUTED_VALUE"""),"Gidan Illa")</f>
        <v>Gidan Illa</v>
      </c>
      <c r="G407" s="16"/>
      <c r="H407" s="14"/>
      <c r="K407" s="16">
        <f>IFERROR(__xludf.DUMMYFUNCTION("""COMPUTED_VALUE"""),2283.0)</f>
        <v>2283</v>
      </c>
      <c r="L407" s="16"/>
      <c r="M407" s="14"/>
    </row>
    <row r="408">
      <c r="A408" s="16" t="str">
        <f>IFERROR(__xludf.DUMMYFUNCTION("""COMPUTED_VALUE"""),"Hachimou Rabiou Mamoudou")</f>
        <v>Hachimou Rabiou Mamoudou</v>
      </c>
      <c r="B408" s="16"/>
      <c r="C408" s="14"/>
      <c r="F408" s="16" t="str">
        <f>IFERROR(__xludf.DUMMYFUNCTION("""COMPUTED_VALUE"""),"Gidan Illa")</f>
        <v>Gidan Illa</v>
      </c>
      <c r="G408" s="16"/>
      <c r="H408" s="14"/>
      <c r="K408" s="16">
        <f>IFERROR(__xludf.DUMMYFUNCTION("""COMPUTED_VALUE"""),645.0)</f>
        <v>645</v>
      </c>
      <c r="L408" s="16"/>
      <c r="M408" s="14"/>
    </row>
    <row r="409">
      <c r="A409" s="16" t="str">
        <f>IFERROR(__xludf.DUMMYFUNCTION("""COMPUTED_VALUE"""),"Hachimou Rabiou Mamoudou")</f>
        <v>Hachimou Rabiou Mamoudou</v>
      </c>
      <c r="B409" s="16"/>
      <c r="C409" s="14"/>
      <c r="F409" s="16" t="str">
        <f>IFERROR(__xludf.DUMMYFUNCTION("""COMPUTED_VALUE"""),"Gidan Illa")</f>
        <v>Gidan Illa</v>
      </c>
      <c r="G409" s="16"/>
      <c r="H409" s="14"/>
      <c r="K409" s="16">
        <f>IFERROR(__xludf.DUMMYFUNCTION("""COMPUTED_VALUE"""),657.0)</f>
        <v>657</v>
      </c>
      <c r="L409" s="16"/>
      <c r="M409" s="14"/>
    </row>
    <row r="410">
      <c r="A410" s="16" t="str">
        <f>IFERROR(__xludf.DUMMYFUNCTION("""COMPUTED_VALUE"""),"Hachimou Rabiou Mamoudou")</f>
        <v>Hachimou Rabiou Mamoudou</v>
      </c>
      <c r="B410" s="16"/>
      <c r="C410" s="14"/>
      <c r="F410" s="16" t="str">
        <f>IFERROR(__xludf.DUMMYFUNCTION("""COMPUTED_VALUE"""),"Guidan Karo I")</f>
        <v>Guidan Karo I</v>
      </c>
      <c r="G410" s="16"/>
      <c r="H410" s="14"/>
      <c r="K410" s="16">
        <f>IFERROR(__xludf.DUMMYFUNCTION("""COMPUTED_VALUE"""),2541.0)</f>
        <v>2541</v>
      </c>
      <c r="L410" s="16"/>
      <c r="M410" s="14"/>
    </row>
    <row r="411">
      <c r="A411" s="16" t="str">
        <f>IFERROR(__xludf.DUMMYFUNCTION("""COMPUTED_VALUE"""),"Hachimou Rabiou Mamoudou")</f>
        <v>Hachimou Rabiou Mamoudou</v>
      </c>
      <c r="B411" s="16"/>
      <c r="C411" s="14"/>
      <c r="F411" s="16" t="str">
        <f>IFERROR(__xludf.DUMMYFUNCTION("""COMPUTED_VALUE"""),"Guidan Karo I")</f>
        <v>Guidan Karo I</v>
      </c>
      <c r="G411" s="16"/>
      <c r="H411" s="14"/>
      <c r="K411" s="16">
        <f>IFERROR(__xludf.DUMMYFUNCTION("""COMPUTED_VALUE"""),1098.0)</f>
        <v>1098</v>
      </c>
      <c r="L411" s="16"/>
      <c r="M411" s="14"/>
    </row>
    <row r="412">
      <c r="A412" s="16" t="str">
        <f>IFERROR(__xludf.DUMMYFUNCTION("""COMPUTED_VALUE"""),"Hachimou Rabiou Mamoudou")</f>
        <v>Hachimou Rabiou Mamoudou</v>
      </c>
      <c r="B412" s="16"/>
      <c r="C412" s="14"/>
      <c r="F412" s="16" t="str">
        <f>IFERROR(__xludf.DUMMYFUNCTION("""COMPUTED_VALUE"""),"Guidan Karo I")</f>
        <v>Guidan Karo I</v>
      </c>
      <c r="G412" s="16"/>
      <c r="H412" s="14"/>
      <c r="K412" s="16">
        <f>IFERROR(__xludf.DUMMYFUNCTION("""COMPUTED_VALUE"""),3407.0)</f>
        <v>3407</v>
      </c>
      <c r="L412" s="16"/>
      <c r="M412" s="14"/>
    </row>
    <row r="413">
      <c r="A413" s="16" t="str">
        <f>IFERROR(__xludf.DUMMYFUNCTION("""COMPUTED_VALUE"""),"Hachimou Rabiou Mamoudou")</f>
        <v>Hachimou Rabiou Mamoudou</v>
      </c>
      <c r="B413" s="16"/>
      <c r="C413" s="14"/>
      <c r="F413" s="16" t="str">
        <f>IFERROR(__xludf.DUMMYFUNCTION("""COMPUTED_VALUE"""),"Guidan Karo I")</f>
        <v>Guidan Karo I</v>
      </c>
      <c r="G413" s="16"/>
      <c r="H413" s="14"/>
      <c r="K413" s="16">
        <f>IFERROR(__xludf.DUMMYFUNCTION("""COMPUTED_VALUE"""),2102.0)</f>
        <v>2102</v>
      </c>
      <c r="L413" s="16"/>
      <c r="M413" s="14"/>
    </row>
    <row r="414">
      <c r="A414" s="16" t="str">
        <f>IFERROR(__xludf.DUMMYFUNCTION("""COMPUTED_VALUE"""),"Ouhoumoudou Djannou Ibrahim")</f>
        <v>Ouhoumoudou Djannou Ibrahim</v>
      </c>
      <c r="B414" s="16"/>
      <c r="C414" s="14"/>
      <c r="F414" s="16" t="str">
        <f>IFERROR(__xludf.DUMMYFUNCTION("""COMPUTED_VALUE"""),"Guidan Karo I")</f>
        <v>Guidan Karo I</v>
      </c>
      <c r="G414" s="16"/>
      <c r="H414" s="14"/>
      <c r="K414" s="16">
        <f>IFERROR(__xludf.DUMMYFUNCTION("""COMPUTED_VALUE"""),389.0)</f>
        <v>389</v>
      </c>
      <c r="L414" s="16"/>
      <c r="M414" s="14"/>
    </row>
    <row r="415">
      <c r="A415" s="16" t="str">
        <f>IFERROR(__xludf.DUMMYFUNCTION("""COMPUTED_VALUE"""),"Ouhoumoudou Djannou Ibrahim")</f>
        <v>Ouhoumoudou Djannou Ibrahim</v>
      </c>
      <c r="B415" s="16"/>
      <c r="C415" s="14"/>
      <c r="F415" s="16" t="str">
        <f>IFERROR(__xludf.DUMMYFUNCTION("""COMPUTED_VALUE"""),"Guidan Karo I")</f>
        <v>Guidan Karo I</v>
      </c>
      <c r="G415" s="16"/>
      <c r="H415" s="14"/>
      <c r="K415" s="16">
        <f>IFERROR(__xludf.DUMMYFUNCTION("""COMPUTED_VALUE"""),2416.0)</f>
        <v>2416</v>
      </c>
      <c r="L415" s="16"/>
      <c r="M415" s="14"/>
    </row>
    <row r="416">
      <c r="A416" s="16" t="str">
        <f>IFERROR(__xludf.DUMMYFUNCTION("""COMPUTED_VALUE"""),"Ouhoumoudou Djannou Ibrahim")</f>
        <v>Ouhoumoudou Djannou Ibrahim</v>
      </c>
      <c r="B416" s="16"/>
      <c r="C416" s="14"/>
      <c r="F416" s="16" t="str">
        <f>IFERROR(__xludf.DUMMYFUNCTION("""COMPUTED_VALUE"""),"Guidan Karo I")</f>
        <v>Guidan Karo I</v>
      </c>
      <c r="G416" s="16"/>
      <c r="H416" s="14"/>
      <c r="K416" s="16">
        <f>IFERROR(__xludf.DUMMYFUNCTION("""COMPUTED_VALUE"""),1251.0)</f>
        <v>1251</v>
      </c>
      <c r="L416" s="16"/>
      <c r="M416" s="14"/>
    </row>
    <row r="417">
      <c r="A417" s="16" t="str">
        <f>IFERROR(__xludf.DUMMYFUNCTION("""COMPUTED_VALUE"""),"Ouhoumoudou Djannou Ibrahim")</f>
        <v>Ouhoumoudou Djannou Ibrahim</v>
      </c>
      <c r="B417" s="16"/>
      <c r="C417" s="14"/>
      <c r="F417" s="16" t="str">
        <f>IFERROR(__xludf.DUMMYFUNCTION("""COMPUTED_VALUE"""),"Guidan Karo I")</f>
        <v>Guidan Karo I</v>
      </c>
      <c r="G417" s="16"/>
      <c r="H417" s="14"/>
      <c r="K417" s="16">
        <f>IFERROR(__xludf.DUMMYFUNCTION("""COMPUTED_VALUE"""),654.0)</f>
        <v>654</v>
      </c>
      <c r="L417" s="16"/>
      <c r="M417" s="14"/>
    </row>
    <row r="418">
      <c r="A418" s="16" t="str">
        <f>IFERROR(__xludf.DUMMYFUNCTION("""COMPUTED_VALUE"""),"Ouhoumoudou Djannou Ibrahim")</f>
        <v>Ouhoumoudou Djannou Ibrahim</v>
      </c>
      <c r="B418" s="16"/>
      <c r="C418" s="14"/>
      <c r="F418" s="16" t="str">
        <f>IFERROR(__xludf.DUMMYFUNCTION("""COMPUTED_VALUE"""),"Guidan Karo I")</f>
        <v>Guidan Karo I</v>
      </c>
      <c r="G418" s="16"/>
      <c r="H418" s="14"/>
      <c r="K418" s="16">
        <f>IFERROR(__xludf.DUMMYFUNCTION("""COMPUTED_VALUE"""),1460.0)</f>
        <v>1460</v>
      </c>
      <c r="L418" s="16"/>
      <c r="M418" s="14"/>
    </row>
    <row r="419">
      <c r="A419" s="16" t="str">
        <f>IFERROR(__xludf.DUMMYFUNCTION("""COMPUTED_VALUE"""),"Kadidja Issaka Hamidou")</f>
        <v>Kadidja Issaka Hamidou</v>
      </c>
      <c r="B419" s="16"/>
      <c r="C419" s="14"/>
      <c r="F419" s="16" t="str">
        <f>IFERROR(__xludf.DUMMYFUNCTION("""COMPUTED_VALUE"""),"Tchigili")</f>
        <v>Tchigili</v>
      </c>
      <c r="G419" s="16"/>
      <c r="H419" s="14"/>
      <c r="K419" s="16">
        <f>IFERROR(__xludf.DUMMYFUNCTION("""COMPUTED_VALUE"""),556.0)</f>
        <v>556</v>
      </c>
      <c r="L419" s="16"/>
      <c r="M419" s="14"/>
    </row>
    <row r="420">
      <c r="A420" s="16" t="str">
        <f>IFERROR(__xludf.DUMMYFUNCTION("""COMPUTED_VALUE"""),"Binta Maman")</f>
        <v>Binta Maman</v>
      </c>
      <c r="B420" s="16"/>
      <c r="C420" s="14"/>
      <c r="F420" s="16" t="str">
        <f>IFERROR(__xludf.DUMMYFUNCTION("""COMPUTED_VALUE"""),"kaoura Abdou")</f>
        <v>kaoura Abdou</v>
      </c>
      <c r="G420" s="16"/>
      <c r="H420" s="14"/>
      <c r="K420" s="16">
        <f>IFERROR(__xludf.DUMMYFUNCTION("""COMPUTED_VALUE"""),1931.0)</f>
        <v>1931</v>
      </c>
      <c r="L420" s="16"/>
      <c r="M420" s="14"/>
    </row>
    <row r="421">
      <c r="A421" s="16" t="str">
        <f>IFERROR(__xludf.DUMMYFUNCTION("""COMPUTED_VALUE"""),"Binta Maman")</f>
        <v>Binta Maman</v>
      </c>
      <c r="B421" s="16"/>
      <c r="C421" s="14"/>
      <c r="F421" s="16" t="str">
        <f>IFERROR(__xludf.DUMMYFUNCTION("""COMPUTED_VALUE"""),"Guidan Karo II")</f>
        <v>Guidan Karo II</v>
      </c>
      <c r="G421" s="16"/>
      <c r="H421" s="14"/>
      <c r="K421" s="16">
        <f>IFERROR(__xludf.DUMMYFUNCTION("""COMPUTED_VALUE"""),688.0)</f>
        <v>688</v>
      </c>
      <c r="L421" s="16"/>
      <c r="M421" s="14"/>
    </row>
    <row r="422">
      <c r="A422" s="16" t="str">
        <f>IFERROR(__xludf.DUMMYFUNCTION("""COMPUTED_VALUE"""),"Binta Maman")</f>
        <v>Binta Maman</v>
      </c>
      <c r="B422" s="16"/>
      <c r="C422" s="14"/>
      <c r="F422" s="16" t="str">
        <f>IFERROR(__xludf.DUMMYFUNCTION("""COMPUTED_VALUE"""),"Guidan Karo II")</f>
        <v>Guidan Karo II</v>
      </c>
      <c r="G422" s="16"/>
      <c r="H422" s="14"/>
      <c r="K422" s="16">
        <f>IFERROR(__xludf.DUMMYFUNCTION("""COMPUTED_VALUE"""),2744.0)</f>
        <v>2744</v>
      </c>
      <c r="L422" s="16"/>
      <c r="M422" s="14"/>
    </row>
    <row r="423">
      <c r="A423" s="16" t="str">
        <f>IFERROR(__xludf.DUMMYFUNCTION("""COMPUTED_VALUE"""),"Binta Maman")</f>
        <v>Binta Maman</v>
      </c>
      <c r="B423" s="16"/>
      <c r="C423" s="14"/>
      <c r="F423" s="16" t="str">
        <f>IFERROR(__xludf.DUMMYFUNCTION("""COMPUTED_VALUE"""),"Guidan Karo II")</f>
        <v>Guidan Karo II</v>
      </c>
      <c r="G423" s="16"/>
      <c r="H423" s="14"/>
      <c r="K423" s="16">
        <f>IFERROR(__xludf.DUMMYFUNCTION("""COMPUTED_VALUE"""),597.0)</f>
        <v>597</v>
      </c>
      <c r="L423" s="16"/>
      <c r="M423" s="14"/>
    </row>
    <row r="424">
      <c r="A424" s="16" t="str">
        <f>IFERROR(__xludf.DUMMYFUNCTION("""COMPUTED_VALUE"""),"Maman Ado Abdourahamane")</f>
        <v>Maman Ado Abdourahamane</v>
      </c>
      <c r="B424" s="16"/>
      <c r="C424" s="14"/>
      <c r="F424" s="16" t="str">
        <f>IFERROR(__xludf.DUMMYFUNCTION("""COMPUTED_VALUE"""),"Guidan Karo II")</f>
        <v>Guidan Karo II</v>
      </c>
      <c r="G424" s="16"/>
      <c r="H424" s="14"/>
      <c r="K424" s="16">
        <f>IFERROR(__xludf.DUMMYFUNCTION("""COMPUTED_VALUE"""),2524.0)</f>
        <v>2524</v>
      </c>
      <c r="L424" s="16"/>
      <c r="M424" s="14"/>
    </row>
    <row r="425">
      <c r="A425" s="16" t="str">
        <f>IFERROR(__xludf.DUMMYFUNCTION("""COMPUTED_VALUE"""),"Amadou Hamidou Abdoul Karim")</f>
        <v>Amadou Hamidou Abdoul Karim</v>
      </c>
      <c r="B425" s="16"/>
      <c r="C425" s="14"/>
      <c r="F425" s="16" t="str">
        <f>IFERROR(__xludf.DUMMYFUNCTION("""COMPUTED_VALUE"""),"Ambaroura")</f>
        <v>Ambaroura</v>
      </c>
      <c r="G425" s="16"/>
      <c r="H425" s="14"/>
      <c r="K425" s="16">
        <f>IFERROR(__xludf.DUMMYFUNCTION("""COMPUTED_VALUE"""),2668.0)</f>
        <v>2668</v>
      </c>
      <c r="L425" s="16"/>
      <c r="M425" s="14"/>
    </row>
    <row r="426">
      <c r="A426" s="16" t="str">
        <f>IFERROR(__xludf.DUMMYFUNCTION("""COMPUTED_VALUE"""),"Amadou Hamidou Abdoul Karim")</f>
        <v>Amadou Hamidou Abdoul Karim</v>
      </c>
      <c r="B426" s="16"/>
      <c r="C426" s="14"/>
      <c r="F426" s="16" t="str">
        <f>IFERROR(__xludf.DUMMYFUNCTION("""COMPUTED_VALUE"""),"Guidan Karo II")</f>
        <v>Guidan Karo II</v>
      </c>
      <c r="G426" s="16"/>
      <c r="H426" s="14"/>
      <c r="K426" s="16">
        <f>IFERROR(__xludf.DUMMYFUNCTION("""COMPUTED_VALUE"""),538.0)</f>
        <v>538</v>
      </c>
      <c r="L426" s="16"/>
      <c r="M426" s="14"/>
    </row>
    <row r="427">
      <c r="A427" s="16" t="str">
        <f>IFERROR(__xludf.DUMMYFUNCTION("""COMPUTED_VALUE"""),"Amadou Hamidou Abdoul Karim")</f>
        <v>Amadou Hamidou Abdoul Karim</v>
      </c>
      <c r="B427" s="16"/>
      <c r="C427" s="14"/>
      <c r="F427" s="16" t="str">
        <f>IFERROR(__xludf.DUMMYFUNCTION("""COMPUTED_VALUE"""),"Guidan Karo II")</f>
        <v>Guidan Karo II</v>
      </c>
      <c r="G427" s="16"/>
      <c r="H427" s="14"/>
      <c r="K427" s="16">
        <f>IFERROR(__xludf.DUMMYFUNCTION("""COMPUTED_VALUE"""),386.0)</f>
        <v>386</v>
      </c>
      <c r="L427" s="16"/>
      <c r="M427" s="14"/>
    </row>
    <row r="428">
      <c r="A428" s="16" t="str">
        <f>IFERROR(__xludf.DUMMYFUNCTION("""COMPUTED_VALUE"""),"Larabou Chamsoudine")</f>
        <v>Larabou Chamsoudine</v>
      </c>
      <c r="B428" s="16"/>
      <c r="C428" s="14"/>
      <c r="F428" s="16" t="str">
        <f>IFERROR(__xludf.DUMMYFUNCTION("""COMPUTED_VALUE"""),"Guidan Karo II")</f>
        <v>Guidan Karo II</v>
      </c>
      <c r="G428" s="16"/>
      <c r="H428" s="14"/>
      <c r="K428" s="16">
        <f>IFERROR(__xludf.DUMMYFUNCTION("""COMPUTED_VALUE"""),1088.0)</f>
        <v>1088</v>
      </c>
      <c r="L428" s="16"/>
      <c r="M428" s="14"/>
    </row>
    <row r="429">
      <c r="A429" s="16" t="str">
        <f>IFERROR(__xludf.DUMMYFUNCTION("""COMPUTED_VALUE"""),"Larabou Chamsoudine")</f>
        <v>Larabou Chamsoudine</v>
      </c>
      <c r="B429" s="16"/>
      <c r="C429" s="14"/>
      <c r="F429" s="16" t="str">
        <f>IFERROR(__xludf.DUMMYFUNCTION("""COMPUTED_VALUE"""),"Guidan Karo II")</f>
        <v>Guidan Karo II</v>
      </c>
      <c r="G429" s="16"/>
      <c r="H429" s="14"/>
      <c r="K429" s="16">
        <f>IFERROR(__xludf.DUMMYFUNCTION("""COMPUTED_VALUE"""),3573.0)</f>
        <v>3573</v>
      </c>
      <c r="L429" s="16"/>
      <c r="M429" s="14"/>
    </row>
    <row r="430">
      <c r="A430" s="16" t="str">
        <f>IFERROR(__xludf.DUMMYFUNCTION("""COMPUTED_VALUE"""),"Larabou Chamsoudine")</f>
        <v>Larabou Chamsoudine</v>
      </c>
      <c r="B430" s="16"/>
      <c r="C430" s="14"/>
      <c r="F430" s="16" t="str">
        <f>IFERROR(__xludf.DUMMYFUNCTION("""COMPUTED_VALUE"""),"Tchigili")</f>
        <v>Tchigili</v>
      </c>
      <c r="G430" s="16"/>
      <c r="H430" s="14"/>
      <c r="K430" s="16">
        <f>IFERROR(__xludf.DUMMYFUNCTION("""COMPUTED_VALUE"""),3660.0)</f>
        <v>3660</v>
      </c>
      <c r="L430" s="16"/>
      <c r="M430" s="14"/>
    </row>
    <row r="431">
      <c r="A431" s="16" t="str">
        <f>IFERROR(__xludf.DUMMYFUNCTION("""COMPUTED_VALUE"""),"Larabou Chamsoudine")</f>
        <v>Larabou Chamsoudine</v>
      </c>
      <c r="B431" s="16"/>
      <c r="C431" s="14"/>
      <c r="F431" s="16" t="str">
        <f>IFERROR(__xludf.DUMMYFUNCTION("""COMPUTED_VALUE"""),"Tchigili")</f>
        <v>Tchigili</v>
      </c>
      <c r="G431" s="16"/>
      <c r="H431" s="14"/>
      <c r="K431" s="16">
        <f>IFERROR(__xludf.DUMMYFUNCTION("""COMPUTED_VALUE"""),1638.0)</f>
        <v>1638</v>
      </c>
      <c r="L431" s="16"/>
      <c r="M431" s="14"/>
    </row>
    <row r="432">
      <c r="A432" s="16" t="str">
        <f>IFERROR(__xludf.DUMMYFUNCTION("""COMPUTED_VALUE"""),"Larabou Chamsoudine")</f>
        <v>Larabou Chamsoudine</v>
      </c>
      <c r="B432" s="16"/>
      <c r="C432" s="14"/>
      <c r="F432" s="16" t="str">
        <f>IFERROR(__xludf.DUMMYFUNCTION("""COMPUTED_VALUE"""),"Tchigili")</f>
        <v>Tchigili</v>
      </c>
      <c r="G432" s="16"/>
      <c r="H432" s="14"/>
      <c r="K432" s="16">
        <f>IFERROR(__xludf.DUMMYFUNCTION("""COMPUTED_VALUE"""),1291.0)</f>
        <v>1291</v>
      </c>
      <c r="L432" s="16"/>
      <c r="M432" s="14"/>
    </row>
    <row r="433">
      <c r="A433" s="16" t="str">
        <f>IFERROR(__xludf.DUMMYFUNCTION("""COMPUTED_VALUE"""),"Kadidja Issaka Hamidou")</f>
        <v>Kadidja Issaka Hamidou</v>
      </c>
      <c r="B433" s="16"/>
      <c r="C433" s="14"/>
      <c r="F433" s="16" t="str">
        <f>IFERROR(__xludf.DUMMYFUNCTION("""COMPUTED_VALUE"""),"Gidan Illa")</f>
        <v>Gidan Illa</v>
      </c>
      <c r="G433" s="16"/>
      <c r="H433" s="14"/>
      <c r="K433" s="16">
        <f>IFERROR(__xludf.DUMMYFUNCTION("""COMPUTED_VALUE"""),403.0)</f>
        <v>403</v>
      </c>
      <c r="L433" s="16"/>
      <c r="M433" s="14"/>
    </row>
    <row r="434">
      <c r="A434" s="16" t="str">
        <f>IFERROR(__xludf.DUMMYFUNCTION("""COMPUTED_VALUE"""),"Kadidja Issaka Hamidou")</f>
        <v>Kadidja Issaka Hamidou</v>
      </c>
      <c r="B434" s="16"/>
      <c r="C434" s="14"/>
      <c r="F434" s="16" t="str">
        <f>IFERROR(__xludf.DUMMYFUNCTION("""COMPUTED_VALUE"""),"Gidan Illa")</f>
        <v>Gidan Illa</v>
      </c>
      <c r="G434" s="16"/>
      <c r="H434" s="14"/>
      <c r="K434" s="16">
        <f>IFERROR(__xludf.DUMMYFUNCTION("""COMPUTED_VALUE"""),944.0)</f>
        <v>944</v>
      </c>
      <c r="L434" s="16"/>
      <c r="M434" s="14"/>
    </row>
    <row r="435">
      <c r="A435" s="16" t="str">
        <f>IFERROR(__xludf.DUMMYFUNCTION("""COMPUTED_VALUE"""),"Mohamadou Amadou")</f>
        <v>Mohamadou Amadou</v>
      </c>
      <c r="B435" s="16"/>
      <c r="C435" s="14"/>
      <c r="F435" s="16" t="str">
        <f>IFERROR(__xludf.DUMMYFUNCTION("""COMPUTED_VALUE"""),"Gidan Illa")</f>
        <v>Gidan Illa</v>
      </c>
      <c r="G435" s="16"/>
      <c r="H435" s="14"/>
      <c r="K435" s="16">
        <f>IFERROR(__xludf.DUMMYFUNCTION("""COMPUTED_VALUE"""),661.0)</f>
        <v>661</v>
      </c>
      <c r="L435" s="16"/>
      <c r="M435" s="14"/>
    </row>
    <row r="436">
      <c r="A436" s="16" t="str">
        <f>IFERROR(__xludf.DUMMYFUNCTION("""COMPUTED_VALUE"""),"Abdoul Salami Ibrahim")</f>
        <v>Abdoul Salami Ibrahim</v>
      </c>
      <c r="B436" s="16"/>
      <c r="C436" s="14"/>
      <c r="F436" s="16" t="str">
        <f>IFERROR(__xludf.DUMMYFUNCTION("""COMPUTED_VALUE"""),"kaoura Abdou")</f>
        <v>kaoura Abdou</v>
      </c>
      <c r="G436" s="16"/>
      <c r="H436" s="14"/>
      <c r="K436" s="16">
        <f>IFERROR(__xludf.DUMMYFUNCTION("""COMPUTED_VALUE"""),760.0)</f>
        <v>760</v>
      </c>
      <c r="L436" s="16"/>
      <c r="M436" s="14"/>
    </row>
    <row r="437">
      <c r="A437" s="16" t="str">
        <f>IFERROR(__xludf.DUMMYFUNCTION("""COMPUTED_VALUE"""),"Abdoul Salami Ibrahim")</f>
        <v>Abdoul Salami Ibrahim</v>
      </c>
      <c r="B437" s="16"/>
      <c r="C437" s="14"/>
      <c r="F437" s="16" t="str">
        <f>IFERROR(__xludf.DUMMYFUNCTION("""COMPUTED_VALUE"""),"Gidan Illa")</f>
        <v>Gidan Illa</v>
      </c>
      <c r="G437" s="16"/>
      <c r="H437" s="14"/>
      <c r="K437" s="16">
        <f>IFERROR(__xludf.DUMMYFUNCTION("""COMPUTED_VALUE"""),618.0)</f>
        <v>618</v>
      </c>
      <c r="L437" s="16"/>
      <c r="M437" s="14"/>
    </row>
    <row r="438">
      <c r="A438" s="16" t="str">
        <f>IFERROR(__xludf.DUMMYFUNCTION("""COMPUTED_VALUE"""),"Abdoul Salami Ibrahim")</f>
        <v>Abdoul Salami Ibrahim</v>
      </c>
      <c r="B438" s="16"/>
      <c r="C438" s="14"/>
      <c r="F438" s="16" t="str">
        <f>IFERROR(__xludf.DUMMYFUNCTION("""COMPUTED_VALUE"""),"Ambaroura")</f>
        <v>Ambaroura</v>
      </c>
      <c r="G438" s="16"/>
      <c r="H438" s="14"/>
      <c r="K438" s="16">
        <f>IFERROR(__xludf.DUMMYFUNCTION("""COMPUTED_VALUE"""),458.0)</f>
        <v>458</v>
      </c>
      <c r="L438" s="16"/>
      <c r="M438" s="14"/>
    </row>
    <row r="439">
      <c r="A439" s="16" t="str">
        <f>IFERROR(__xludf.DUMMYFUNCTION("""COMPUTED_VALUE"""),"Abdoul Salami Ibrahim")</f>
        <v>Abdoul Salami Ibrahim</v>
      </c>
      <c r="B439" s="16"/>
      <c r="C439" s="14"/>
      <c r="F439" s="16" t="str">
        <f>IFERROR(__xludf.DUMMYFUNCTION("""COMPUTED_VALUE"""),"Gidan Illa")</f>
        <v>Gidan Illa</v>
      </c>
      <c r="G439" s="16"/>
      <c r="H439" s="14"/>
      <c r="K439" s="16">
        <f>IFERROR(__xludf.DUMMYFUNCTION("""COMPUTED_VALUE"""),414.0)</f>
        <v>414</v>
      </c>
      <c r="L439" s="16"/>
      <c r="M439" s="14"/>
    </row>
    <row r="440">
      <c r="A440" s="16" t="str">
        <f>IFERROR(__xludf.DUMMYFUNCTION("""COMPUTED_VALUE"""),"Abdoul Salami Ibrahim")</f>
        <v>Abdoul Salami Ibrahim</v>
      </c>
      <c r="B440" s="16"/>
      <c r="C440" s="14"/>
      <c r="F440" s="16" t="str">
        <f>IFERROR(__xludf.DUMMYFUNCTION("""COMPUTED_VALUE"""),"Ambaroura")</f>
        <v>Ambaroura</v>
      </c>
      <c r="G440" s="16"/>
      <c r="H440" s="14"/>
      <c r="K440" s="16">
        <f>IFERROR(__xludf.DUMMYFUNCTION("""COMPUTED_VALUE"""),493.0)</f>
        <v>493</v>
      </c>
      <c r="L440" s="16"/>
      <c r="M440" s="14"/>
    </row>
    <row r="441">
      <c r="A441" s="16" t="str">
        <f>IFERROR(__xludf.DUMMYFUNCTION("""COMPUTED_VALUE"""),"Aicha Noma")</f>
        <v>Aicha Noma</v>
      </c>
      <c r="B441" s="16"/>
      <c r="C441" s="14"/>
      <c r="F441" s="16" t="str">
        <f>IFERROR(__xludf.DUMMYFUNCTION("""COMPUTED_VALUE"""),"Tchigili")</f>
        <v>Tchigili</v>
      </c>
      <c r="G441" s="16"/>
      <c r="H441" s="14"/>
      <c r="K441" s="16">
        <f>IFERROR(__xludf.DUMMYFUNCTION("""COMPUTED_VALUE"""),464.0)</f>
        <v>464</v>
      </c>
      <c r="L441" s="16"/>
      <c r="M441" s="14"/>
    </row>
    <row r="442">
      <c r="A442" s="16" t="str">
        <f>IFERROR(__xludf.DUMMYFUNCTION("""COMPUTED_VALUE"""),"Adamou Halidou Daouda")</f>
        <v>Adamou Halidou Daouda</v>
      </c>
      <c r="B442" s="16"/>
      <c r="C442" s="14"/>
      <c r="F442" s="16" t="str">
        <f>IFERROR(__xludf.DUMMYFUNCTION("""COMPUTED_VALUE"""),"Tchigili")</f>
        <v>Tchigili</v>
      </c>
      <c r="G442" s="16"/>
      <c r="H442" s="14"/>
      <c r="K442" s="16">
        <f>IFERROR(__xludf.DUMMYFUNCTION("""COMPUTED_VALUE"""),1334.0)</f>
        <v>1334</v>
      </c>
      <c r="L442" s="16"/>
      <c r="M442" s="14"/>
    </row>
    <row r="443">
      <c r="A443" s="16" t="str">
        <f>IFERROR(__xludf.DUMMYFUNCTION("""COMPUTED_VALUE"""),"Adamou Halidou Daouda")</f>
        <v>Adamou Halidou Daouda</v>
      </c>
      <c r="B443" s="16"/>
      <c r="C443" s="14"/>
      <c r="F443" s="16" t="str">
        <f>IFERROR(__xludf.DUMMYFUNCTION("""COMPUTED_VALUE"""),"Ambaroura")</f>
        <v>Ambaroura</v>
      </c>
      <c r="G443" s="16"/>
      <c r="H443" s="14"/>
      <c r="K443" s="16">
        <f>IFERROR(__xludf.DUMMYFUNCTION("""COMPUTED_VALUE"""),2932.0)</f>
        <v>2932</v>
      </c>
      <c r="L443" s="16"/>
      <c r="M443" s="14"/>
    </row>
    <row r="444">
      <c r="A444" s="16" t="str">
        <f>IFERROR(__xludf.DUMMYFUNCTION("""COMPUTED_VALUE"""),"Elhaji Abdou Leilata")</f>
        <v>Elhaji Abdou Leilata</v>
      </c>
      <c r="B444" s="16"/>
      <c r="C444" s="14"/>
      <c r="F444" s="16" t="str">
        <f>IFERROR(__xludf.DUMMYFUNCTION("""COMPUTED_VALUE"""),"Moujia")</f>
        <v>Moujia</v>
      </c>
      <c r="G444" s="16"/>
      <c r="H444" s="14"/>
      <c r="K444" s="16">
        <f>IFERROR(__xludf.DUMMYFUNCTION("""COMPUTED_VALUE"""),1305.0)</f>
        <v>1305</v>
      </c>
      <c r="L444" s="16"/>
      <c r="M444" s="14"/>
    </row>
    <row r="445">
      <c r="A445" s="16" t="str">
        <f>IFERROR(__xludf.DUMMYFUNCTION("""COMPUTED_VALUE"""),"Aboubacar Hamadou Manga")</f>
        <v>Aboubacar Hamadou Manga</v>
      </c>
      <c r="B445" s="16"/>
      <c r="C445" s="14"/>
      <c r="F445" s="16" t="str">
        <f>IFERROR(__xludf.DUMMYFUNCTION("""COMPUTED_VALUE"""),"Zangon Moujia")</f>
        <v>Zangon Moujia</v>
      </c>
      <c r="G445" s="16"/>
      <c r="H445" s="14"/>
      <c r="K445" s="16">
        <f>IFERROR(__xludf.DUMMYFUNCTION("""COMPUTED_VALUE"""),1555.0)</f>
        <v>1555</v>
      </c>
      <c r="L445" s="16"/>
      <c r="M445" s="14"/>
    </row>
    <row r="446">
      <c r="A446" s="16" t="str">
        <f>IFERROR(__xludf.DUMMYFUNCTION("""COMPUTED_VALUE"""),"Aboubacar Hamadou Manga")</f>
        <v>Aboubacar Hamadou Manga</v>
      </c>
      <c r="B446" s="16"/>
      <c r="C446" s="14"/>
      <c r="F446" s="16" t="str">
        <f>IFERROR(__xludf.DUMMYFUNCTION("""COMPUTED_VALUE"""),"Zangon Moujia")</f>
        <v>Zangon Moujia</v>
      </c>
      <c r="G446" s="16"/>
      <c r="H446" s="14"/>
      <c r="K446" s="16">
        <f>IFERROR(__xludf.DUMMYFUNCTION("""COMPUTED_VALUE"""),1763.0)</f>
        <v>1763</v>
      </c>
      <c r="L446" s="16"/>
      <c r="M446" s="14"/>
    </row>
    <row r="447">
      <c r="A447" s="16" t="str">
        <f>IFERROR(__xludf.DUMMYFUNCTION("""COMPUTED_VALUE"""),"Zakari Aboubacar")</f>
        <v>Zakari Aboubacar</v>
      </c>
      <c r="B447" s="16"/>
      <c r="C447" s="14"/>
      <c r="F447" s="16" t="str">
        <f>IFERROR(__xludf.DUMMYFUNCTION("""COMPUTED_VALUE"""),"Tchigili")</f>
        <v>Tchigili</v>
      </c>
      <c r="G447" s="16"/>
      <c r="H447" s="14"/>
      <c r="K447" s="16">
        <f>IFERROR(__xludf.DUMMYFUNCTION("""COMPUTED_VALUE"""),1790.0)</f>
        <v>1790</v>
      </c>
      <c r="L447" s="16"/>
      <c r="M447" s="14"/>
    </row>
    <row r="448">
      <c r="A448" s="16" t="str">
        <f>IFERROR(__xludf.DUMMYFUNCTION("""COMPUTED_VALUE"""),"Binta Maikano Mahamane")</f>
        <v>Binta Maikano Mahamane</v>
      </c>
      <c r="B448" s="16"/>
      <c r="C448" s="14"/>
      <c r="F448" s="16" t="str">
        <f>IFERROR(__xludf.DUMMYFUNCTION("""COMPUTED_VALUE"""),"Ambaroura")</f>
        <v>Ambaroura</v>
      </c>
      <c r="G448" s="16"/>
      <c r="H448" s="14"/>
      <c r="K448" s="16">
        <f>IFERROR(__xludf.DUMMYFUNCTION("""COMPUTED_VALUE"""),641.0)</f>
        <v>641</v>
      </c>
      <c r="L448" s="16"/>
      <c r="M448" s="14"/>
    </row>
    <row r="449">
      <c r="A449" s="16" t="str">
        <f>IFERROR(__xludf.DUMMYFUNCTION("""COMPUTED_VALUE"""),"Amadou Tidjani Ousmane")</f>
        <v>Amadou Tidjani Ousmane</v>
      </c>
      <c r="B449" s="16"/>
      <c r="C449" s="14"/>
      <c r="F449" s="16" t="str">
        <f>IFERROR(__xludf.DUMMYFUNCTION("""COMPUTED_VALUE"""),"Tchigili")</f>
        <v>Tchigili</v>
      </c>
      <c r="G449" s="16"/>
      <c r="H449" s="14"/>
      <c r="K449" s="16">
        <f>IFERROR(__xludf.DUMMYFUNCTION("""COMPUTED_VALUE"""),1716.0)</f>
        <v>1716</v>
      </c>
      <c r="L449" s="16"/>
      <c r="M449" s="14"/>
    </row>
    <row r="450">
      <c r="A450" s="16" t="str">
        <f>IFERROR(__xludf.DUMMYFUNCTION("""COMPUTED_VALUE"""),"Amadou Tidjani Ousmane")</f>
        <v>Amadou Tidjani Ousmane</v>
      </c>
      <c r="B450" s="16"/>
      <c r="C450" s="14"/>
      <c r="F450" s="16" t="str">
        <f>IFERROR(__xludf.DUMMYFUNCTION("""COMPUTED_VALUE"""),"Ambaroura")</f>
        <v>Ambaroura</v>
      </c>
      <c r="G450" s="16"/>
      <c r="H450" s="14"/>
      <c r="K450" s="16">
        <f>IFERROR(__xludf.DUMMYFUNCTION("""COMPUTED_VALUE"""),2334.0)</f>
        <v>2334</v>
      </c>
      <c r="L450" s="16"/>
      <c r="M450" s="14"/>
    </row>
    <row r="451">
      <c r="A451" s="16" t="str">
        <f>IFERROR(__xludf.DUMMYFUNCTION("""COMPUTED_VALUE"""),"Kaltoume Kimba")</f>
        <v>Kaltoume Kimba</v>
      </c>
      <c r="B451" s="16"/>
      <c r="C451" s="14"/>
      <c r="F451" s="16" t="str">
        <f>IFERROR(__xludf.DUMMYFUNCTION("""COMPUTED_VALUE"""),"Ambaroura")</f>
        <v>Ambaroura</v>
      </c>
      <c r="G451" s="16"/>
      <c r="H451" s="14"/>
      <c r="K451" s="16">
        <f>IFERROR(__xludf.DUMMYFUNCTION("""COMPUTED_VALUE"""),604.0)</f>
        <v>604</v>
      </c>
      <c r="L451" s="16"/>
      <c r="M451" s="14"/>
    </row>
    <row r="452">
      <c r="A452" s="16" t="str">
        <f>IFERROR(__xludf.DUMMYFUNCTION("""COMPUTED_VALUE"""),"Kaltoume Kimba")</f>
        <v>Kaltoume Kimba</v>
      </c>
      <c r="B452" s="16"/>
      <c r="C452" s="14"/>
      <c r="F452" s="16" t="str">
        <f>IFERROR(__xludf.DUMMYFUNCTION("""COMPUTED_VALUE"""),"Gidan Illa")</f>
        <v>Gidan Illa</v>
      </c>
      <c r="G452" s="16"/>
      <c r="H452" s="14"/>
      <c r="K452" s="16">
        <f>IFERROR(__xludf.DUMMYFUNCTION("""COMPUTED_VALUE"""),952.0)</f>
        <v>952</v>
      </c>
      <c r="L452" s="16"/>
      <c r="M452" s="14"/>
    </row>
    <row r="453">
      <c r="A453" s="16" t="str">
        <f>IFERROR(__xludf.DUMMYFUNCTION("""COMPUTED_VALUE"""),"Hadjara Abdourahamane Tambari")</f>
        <v>Hadjara Abdourahamane Tambari</v>
      </c>
      <c r="B453" s="16"/>
      <c r="C453" s="14"/>
      <c r="F453" s="16" t="str">
        <f>IFERROR(__xludf.DUMMYFUNCTION("""COMPUTED_VALUE"""),"Gidan Illa")</f>
        <v>Gidan Illa</v>
      </c>
      <c r="G453" s="16"/>
      <c r="H453" s="14"/>
      <c r="K453" s="16">
        <f>IFERROR(__xludf.DUMMYFUNCTION("""COMPUTED_VALUE"""),3230.0)</f>
        <v>3230</v>
      </c>
      <c r="L453" s="16"/>
      <c r="M453" s="14"/>
    </row>
    <row r="454">
      <c r="A454" s="16" t="str">
        <f>IFERROR(__xludf.DUMMYFUNCTION("""COMPUTED_VALUE"""),"Sani Moussa Aboubacar")</f>
        <v>Sani Moussa Aboubacar</v>
      </c>
      <c r="B454" s="16"/>
      <c r="C454" s="14"/>
      <c r="F454" s="16" t="str">
        <f>IFERROR(__xludf.DUMMYFUNCTION("""COMPUTED_VALUE"""),"Gidan Illa")</f>
        <v>Gidan Illa</v>
      </c>
      <c r="G454" s="16"/>
      <c r="H454" s="14"/>
      <c r="K454" s="16">
        <f>IFERROR(__xludf.DUMMYFUNCTION("""COMPUTED_VALUE"""),410.0)</f>
        <v>410</v>
      </c>
      <c r="L454" s="16"/>
      <c r="M454" s="14"/>
    </row>
    <row r="455">
      <c r="A455" s="16" t="str">
        <f>IFERROR(__xludf.DUMMYFUNCTION("""COMPUTED_VALUE"""),"Sani Moussa Aboubacar")</f>
        <v>Sani Moussa Aboubacar</v>
      </c>
      <c r="B455" s="16"/>
      <c r="C455" s="14"/>
      <c r="F455" s="16" t="str">
        <f>IFERROR(__xludf.DUMMYFUNCTION("""COMPUTED_VALUE"""),"Gidan Illa")</f>
        <v>Gidan Illa</v>
      </c>
      <c r="G455" s="16"/>
      <c r="H455" s="14"/>
      <c r="K455" s="16">
        <f>IFERROR(__xludf.DUMMYFUNCTION("""COMPUTED_VALUE"""),1100.0)</f>
        <v>1100</v>
      </c>
      <c r="L455" s="16"/>
      <c r="M455" s="14"/>
    </row>
    <row r="456">
      <c r="A456" s="16" t="str">
        <f>IFERROR(__xludf.DUMMYFUNCTION("""COMPUTED_VALUE"""),"Issoufou Amadou Aichatou")</f>
        <v>Issoufou Amadou Aichatou</v>
      </c>
      <c r="B456" s="16"/>
      <c r="C456" s="14"/>
      <c r="F456" s="16" t="str">
        <f>IFERROR(__xludf.DUMMYFUNCTION("""COMPUTED_VALUE"""),"Gidan Illa")</f>
        <v>Gidan Illa</v>
      </c>
      <c r="G456" s="16"/>
      <c r="H456" s="14"/>
      <c r="K456" s="16">
        <f>IFERROR(__xludf.DUMMYFUNCTION("""COMPUTED_VALUE"""),382.0)</f>
        <v>382</v>
      </c>
      <c r="L456" s="16"/>
      <c r="M456" s="14"/>
    </row>
    <row r="457">
      <c r="A457" s="16" t="str">
        <f>IFERROR(__xludf.DUMMYFUNCTION("""COMPUTED_VALUE"""),"Issoufou Amadou Aichatou")</f>
        <v>Issoufou Amadou Aichatou</v>
      </c>
      <c r="B457" s="16"/>
      <c r="C457" s="14"/>
      <c r="F457" s="16" t="str">
        <f>IFERROR(__xludf.DUMMYFUNCTION("""COMPUTED_VALUE"""),"Quartier: Toudou")</f>
        <v>Quartier: Toudou</v>
      </c>
      <c r="G457" s="16"/>
      <c r="H457" s="14"/>
      <c r="K457" s="16">
        <f>IFERROR(__xludf.DUMMYFUNCTION("""COMPUTED_VALUE"""),453.0)</f>
        <v>453</v>
      </c>
      <c r="L457" s="16"/>
      <c r="M457" s="14"/>
    </row>
    <row r="458">
      <c r="A458" s="16" t="str">
        <f>IFERROR(__xludf.DUMMYFUNCTION("""COMPUTED_VALUE"""),"Younoussi Bilan Djamila")</f>
        <v>Younoussi Bilan Djamila</v>
      </c>
      <c r="B458" s="16"/>
      <c r="C458" s="14"/>
      <c r="F458" s="16" t="str">
        <f>IFERROR(__xludf.DUMMYFUNCTION("""COMPUTED_VALUE"""),"Tchigili")</f>
        <v>Tchigili</v>
      </c>
      <c r="G458" s="16"/>
      <c r="H458" s="14"/>
      <c r="K458" s="16">
        <f>IFERROR(__xludf.DUMMYFUNCTION("""COMPUTED_VALUE"""),1898.0)</f>
        <v>1898</v>
      </c>
      <c r="L458" s="16"/>
      <c r="M458" s="14"/>
    </row>
    <row r="459">
      <c r="A459" s="16" t="str">
        <f>IFERROR(__xludf.DUMMYFUNCTION("""COMPUTED_VALUE"""),"Maman Zayanou Harouna")</f>
        <v>Maman Zayanou Harouna</v>
      </c>
      <c r="B459" s="16"/>
      <c r="C459" s="14"/>
      <c r="F459" s="16" t="str">
        <f>IFERROR(__xludf.DUMMYFUNCTION("""COMPUTED_VALUE"""),"Adingirou")</f>
        <v>Adingirou</v>
      </c>
      <c r="G459" s="16"/>
      <c r="H459" s="14"/>
      <c r="K459" s="16">
        <f>IFERROR(__xludf.DUMMYFUNCTION("""COMPUTED_VALUE"""),300.0)</f>
        <v>300</v>
      </c>
      <c r="L459" s="16"/>
      <c r="M459" s="14"/>
    </row>
    <row r="460">
      <c r="A460" s="16" t="str">
        <f>IFERROR(__xludf.DUMMYFUNCTION("""COMPUTED_VALUE"""),"Maman Zayanou Harouna")</f>
        <v>Maman Zayanou Harouna</v>
      </c>
      <c r="B460" s="16"/>
      <c r="C460" s="14"/>
      <c r="F460" s="16" t="str">
        <f>IFERROR(__xludf.DUMMYFUNCTION("""COMPUTED_VALUE"""),"Adingirou")</f>
        <v>Adingirou</v>
      </c>
      <c r="G460" s="16"/>
      <c r="H460" s="14"/>
      <c r="K460" s="16">
        <f>IFERROR(__xludf.DUMMYFUNCTION("""COMPUTED_VALUE"""),2065.0)</f>
        <v>2065</v>
      </c>
      <c r="L460" s="16"/>
      <c r="M460" s="14"/>
    </row>
    <row r="461">
      <c r="A461" s="16" t="str">
        <f>IFERROR(__xludf.DUMMYFUNCTION("""COMPUTED_VALUE"""),"Younoussi Bilan Djamila")</f>
        <v>Younoussi Bilan Djamila</v>
      </c>
      <c r="B461" s="16"/>
      <c r="C461" s="14"/>
      <c r="F461" s="16" t="str">
        <f>IFERROR(__xludf.DUMMYFUNCTION("""COMPUTED_VALUE"""),"Adingirou")</f>
        <v>Adingirou</v>
      </c>
      <c r="G461" s="16"/>
      <c r="H461" s="14"/>
      <c r="K461" s="16">
        <f>IFERROR(__xludf.DUMMYFUNCTION("""COMPUTED_VALUE"""),639.0)</f>
        <v>639</v>
      </c>
      <c r="L461" s="16"/>
      <c r="M461" s="14"/>
    </row>
    <row r="462">
      <c r="A462" s="16" t="str">
        <f>IFERROR(__xludf.DUMMYFUNCTION("""COMPUTED_VALUE"""),"Haladou Boukar")</f>
        <v>Haladou Boukar</v>
      </c>
      <c r="B462" s="16"/>
      <c r="C462" s="14"/>
      <c r="F462" s="16" t="str">
        <f>IFERROR(__xludf.DUMMYFUNCTION("""COMPUTED_VALUE"""),"Adingirou")</f>
        <v>Adingirou</v>
      </c>
      <c r="G462" s="16"/>
      <c r="H462" s="14"/>
      <c r="K462" s="16">
        <f>IFERROR(__xludf.DUMMYFUNCTION("""COMPUTED_VALUE"""),431.0)</f>
        <v>431</v>
      </c>
      <c r="L462" s="16"/>
      <c r="M462" s="14"/>
    </row>
    <row r="463">
      <c r="A463" s="16" t="str">
        <f>IFERROR(__xludf.DUMMYFUNCTION("""COMPUTED_VALUE"""),"Haladou Boukar")</f>
        <v>Haladou Boukar</v>
      </c>
      <c r="B463" s="16"/>
      <c r="C463" s="14"/>
      <c r="F463" s="16" t="str">
        <f>IFERROR(__xludf.DUMMYFUNCTION("""COMPUTED_VALUE"""),"Adingirou")</f>
        <v>Adingirou</v>
      </c>
      <c r="G463" s="16"/>
      <c r="H463" s="14"/>
      <c r="K463" s="16">
        <f>IFERROR(__xludf.DUMMYFUNCTION("""COMPUTED_VALUE"""),3009.0)</f>
        <v>3009</v>
      </c>
      <c r="L463" s="16"/>
      <c r="M463" s="14"/>
    </row>
    <row r="464">
      <c r="A464" s="16" t="str">
        <f>IFERROR(__xludf.DUMMYFUNCTION("""COMPUTED_VALUE"""),"Haladou Boukar")</f>
        <v>Haladou Boukar</v>
      </c>
      <c r="B464" s="16"/>
      <c r="C464" s="14"/>
      <c r="F464" s="16" t="str">
        <f>IFERROR(__xludf.DUMMYFUNCTION("""COMPUTED_VALUE"""),"Adingirou")</f>
        <v>Adingirou</v>
      </c>
      <c r="G464" s="16"/>
      <c r="H464" s="14"/>
      <c r="K464" s="16">
        <f>IFERROR(__xludf.DUMMYFUNCTION("""COMPUTED_VALUE"""),369.0)</f>
        <v>369</v>
      </c>
      <c r="L464" s="16"/>
      <c r="M464" s="14"/>
    </row>
    <row r="465">
      <c r="A465" s="16" t="str">
        <f>IFERROR(__xludf.DUMMYFUNCTION("""COMPUTED_VALUE"""),"Haladou Boukar")</f>
        <v>Haladou Boukar</v>
      </c>
      <c r="B465" s="16"/>
      <c r="C465" s="14"/>
      <c r="F465" s="16" t="str">
        <f>IFERROR(__xludf.DUMMYFUNCTION("""COMPUTED_VALUE"""),"Adingirou")</f>
        <v>Adingirou</v>
      </c>
      <c r="G465" s="16"/>
      <c r="H465" s="14"/>
      <c r="K465" s="16">
        <f>IFERROR(__xludf.DUMMYFUNCTION("""COMPUTED_VALUE"""),332.0)</f>
        <v>332</v>
      </c>
      <c r="L465" s="16"/>
      <c r="M465" s="14"/>
    </row>
    <row r="466">
      <c r="A466" s="16" t="str">
        <f>IFERROR(__xludf.DUMMYFUNCTION("""COMPUTED_VALUE"""),"Abdoul Razak Mahamane Boukari")</f>
        <v>Abdoul Razak Mahamane Boukari</v>
      </c>
      <c r="B466" s="16"/>
      <c r="C466" s="14"/>
      <c r="F466" s="16" t="str">
        <f>IFERROR(__xludf.DUMMYFUNCTION("""COMPUTED_VALUE"""),"Adingirou")</f>
        <v>Adingirou</v>
      </c>
      <c r="G466" s="16"/>
      <c r="H466" s="14"/>
      <c r="K466" s="16">
        <f>IFERROR(__xludf.DUMMYFUNCTION("""COMPUTED_VALUE"""),342.0)</f>
        <v>342</v>
      </c>
      <c r="L466" s="16"/>
      <c r="M466" s="14"/>
    </row>
    <row r="467">
      <c r="A467" s="16" t="str">
        <f>IFERROR(__xludf.DUMMYFUNCTION("""COMPUTED_VALUE"""),"Abdoul Razak Mahamane Boukari")</f>
        <v>Abdoul Razak Mahamane Boukari</v>
      </c>
      <c r="B467" s="16"/>
      <c r="C467" s="14"/>
      <c r="F467" s="16" t="str">
        <f>IFERROR(__xludf.DUMMYFUNCTION("""COMPUTED_VALUE"""),"Adingirou")</f>
        <v>Adingirou</v>
      </c>
      <c r="G467" s="16"/>
      <c r="H467" s="14"/>
      <c r="K467" s="16">
        <f>IFERROR(__xludf.DUMMYFUNCTION("""COMPUTED_VALUE"""),2912.0)</f>
        <v>2912</v>
      </c>
      <c r="L467" s="16"/>
      <c r="M467" s="14"/>
    </row>
    <row r="468">
      <c r="A468" s="16" t="str">
        <f>IFERROR(__xludf.DUMMYFUNCTION("""COMPUTED_VALUE"""),"Hadiza Harouna")</f>
        <v>Hadiza Harouna</v>
      </c>
      <c r="B468" s="16"/>
      <c r="C468" s="14"/>
      <c r="F468" s="16" t="str">
        <f>IFERROR(__xludf.DUMMYFUNCTION("""COMPUTED_VALUE"""),"Moujia")</f>
        <v>Moujia</v>
      </c>
      <c r="G468" s="16"/>
      <c r="H468" s="14"/>
      <c r="K468" s="16">
        <f>IFERROR(__xludf.DUMMYFUNCTION("""COMPUTED_VALUE"""),658.0)</f>
        <v>658</v>
      </c>
      <c r="L468" s="16"/>
      <c r="M468" s="14"/>
    </row>
    <row r="469">
      <c r="A469" s="16" t="str">
        <f>IFERROR(__xludf.DUMMYFUNCTION("""COMPUTED_VALUE"""),"Rakia moussa")</f>
        <v>Rakia moussa</v>
      </c>
      <c r="B469" s="16"/>
      <c r="C469" s="14"/>
      <c r="F469" s="16" t="str">
        <f>IFERROR(__xludf.DUMMYFUNCTION("""COMPUTED_VALUE"""),"Moujia")</f>
        <v>Moujia</v>
      </c>
      <c r="G469" s="16"/>
      <c r="H469" s="14"/>
      <c r="K469" s="16">
        <f>IFERROR(__xludf.DUMMYFUNCTION("""COMPUTED_VALUE"""),622.0)</f>
        <v>622</v>
      </c>
      <c r="L469" s="16"/>
      <c r="M469" s="14"/>
    </row>
    <row r="470">
      <c r="A470" s="16" t="str">
        <f>IFERROR(__xludf.DUMMYFUNCTION("""COMPUTED_VALUE"""),"Rakia moussa")</f>
        <v>Rakia moussa</v>
      </c>
      <c r="B470" s="16"/>
      <c r="C470" s="14"/>
      <c r="F470" s="16" t="str">
        <f>IFERROR(__xludf.DUMMYFUNCTION("""COMPUTED_VALUE"""),"Moujia")</f>
        <v>Moujia</v>
      </c>
      <c r="G470" s="16"/>
      <c r="H470" s="14"/>
      <c r="K470" s="16">
        <f>IFERROR(__xludf.DUMMYFUNCTION("""COMPUTED_VALUE"""),2028.0)</f>
        <v>2028</v>
      </c>
      <c r="L470" s="16"/>
      <c r="M470" s="14"/>
    </row>
    <row r="471">
      <c r="A471" s="16" t="str">
        <f>IFERROR(__xludf.DUMMYFUNCTION("""COMPUTED_VALUE"""),"Rakia moussa")</f>
        <v>Rakia moussa</v>
      </c>
      <c r="B471" s="16"/>
      <c r="C471" s="14"/>
      <c r="F471" s="16" t="str">
        <f>IFERROR(__xludf.DUMMYFUNCTION("""COMPUTED_VALUE"""),"Moujia")</f>
        <v>Moujia</v>
      </c>
      <c r="G471" s="16"/>
      <c r="H471" s="14"/>
      <c r="K471" s="16">
        <f>IFERROR(__xludf.DUMMYFUNCTION("""COMPUTED_VALUE"""),2045.0)</f>
        <v>2045</v>
      </c>
      <c r="L471" s="16"/>
      <c r="M471" s="14"/>
    </row>
    <row r="472">
      <c r="A472" s="16" t="str">
        <f>IFERROR(__xludf.DUMMYFUNCTION("""COMPUTED_VALUE"""),"Moumouni Adamou Yahaya")</f>
        <v>Moumouni Adamou Yahaya</v>
      </c>
      <c r="B472" s="16"/>
      <c r="C472" s="14"/>
      <c r="F472" s="16" t="str">
        <f>IFERROR(__xludf.DUMMYFUNCTION("""COMPUTED_VALUE"""),"Moujia")</f>
        <v>Moujia</v>
      </c>
      <c r="G472" s="16"/>
      <c r="H472" s="14"/>
      <c r="K472" s="16">
        <f>IFERROR(__xludf.DUMMYFUNCTION("""COMPUTED_VALUE"""),603.0)</f>
        <v>603</v>
      </c>
      <c r="L472" s="16"/>
      <c r="M472" s="14"/>
    </row>
    <row r="473">
      <c r="A473" s="16" t="str">
        <f>IFERROR(__xludf.DUMMYFUNCTION("""COMPUTED_VALUE"""),"Moumouni Adamou Yahaya")</f>
        <v>Moumouni Adamou Yahaya</v>
      </c>
      <c r="B473" s="16"/>
      <c r="C473" s="14"/>
      <c r="F473" s="16" t="str">
        <f>IFERROR(__xludf.DUMMYFUNCTION("""COMPUTED_VALUE"""),"Moujia")</f>
        <v>Moujia</v>
      </c>
      <c r="G473" s="16"/>
      <c r="H473" s="14"/>
      <c r="K473" s="16">
        <f>IFERROR(__xludf.DUMMYFUNCTION("""COMPUTED_VALUE"""),587.0)</f>
        <v>587</v>
      </c>
      <c r="L473" s="16"/>
      <c r="M473" s="14"/>
    </row>
    <row r="474">
      <c r="A474" s="16" t="str">
        <f>IFERROR(__xludf.DUMMYFUNCTION("""COMPUTED_VALUE"""),"Gaoh Maazou")</f>
        <v>Gaoh Maazou</v>
      </c>
      <c r="B474" s="16"/>
      <c r="C474" s="14"/>
      <c r="F474" s="16" t="str">
        <f>IFERROR(__xludf.DUMMYFUNCTION("""COMPUTED_VALUE"""),"Moujia")</f>
        <v>Moujia</v>
      </c>
      <c r="G474" s="16"/>
      <c r="H474" s="14"/>
      <c r="K474" s="16">
        <f>IFERROR(__xludf.DUMMYFUNCTION("""COMPUTED_VALUE"""),1440.0)</f>
        <v>1440</v>
      </c>
      <c r="L474" s="16"/>
      <c r="M474" s="14"/>
    </row>
    <row r="475">
      <c r="A475" s="16" t="str">
        <f>IFERROR(__xludf.DUMMYFUNCTION("""COMPUTED_VALUE"""),"Gaoh Maazou")</f>
        <v>Gaoh Maazou</v>
      </c>
      <c r="B475" s="16"/>
      <c r="C475" s="14"/>
      <c r="F475" s="16" t="str">
        <f>IFERROR(__xludf.DUMMYFUNCTION("""COMPUTED_VALUE"""),"Warao")</f>
        <v>Warao</v>
      </c>
      <c r="G475" s="16"/>
      <c r="H475" s="14"/>
      <c r="K475" s="16">
        <f>IFERROR(__xludf.DUMMYFUNCTION("""COMPUTED_VALUE"""),403.0)</f>
        <v>403</v>
      </c>
      <c r="L475" s="16"/>
      <c r="M475" s="14"/>
    </row>
    <row r="476">
      <c r="A476" s="16" t="str">
        <f>IFERROR(__xludf.DUMMYFUNCTION("""COMPUTED_VALUE"""),"Gaoh Maazou")</f>
        <v>Gaoh Maazou</v>
      </c>
      <c r="B476" s="16"/>
      <c r="C476" s="14"/>
      <c r="F476" s="16" t="str">
        <f>IFERROR(__xludf.DUMMYFUNCTION("""COMPUTED_VALUE"""),"Warao")</f>
        <v>Warao</v>
      </c>
      <c r="G476" s="16"/>
      <c r="H476" s="14"/>
      <c r="K476" s="16">
        <f>IFERROR(__xludf.DUMMYFUNCTION("""COMPUTED_VALUE"""),177.0)</f>
        <v>177</v>
      </c>
      <c r="L476" s="16"/>
      <c r="M476" s="14"/>
    </row>
    <row r="477">
      <c r="A477" s="16" t="str">
        <f>IFERROR(__xludf.DUMMYFUNCTION("""COMPUTED_VALUE"""),"Gaoh Maazou")</f>
        <v>Gaoh Maazou</v>
      </c>
      <c r="B477" s="16"/>
      <c r="C477" s="14"/>
      <c r="F477" s="16" t="str">
        <f>IFERROR(__xludf.DUMMYFUNCTION("""COMPUTED_VALUE"""),"Warao")</f>
        <v>Warao</v>
      </c>
      <c r="G477" s="16"/>
      <c r="H477" s="14"/>
      <c r="K477" s="16">
        <f>IFERROR(__xludf.DUMMYFUNCTION("""COMPUTED_VALUE"""),3239.0)</f>
        <v>3239</v>
      </c>
      <c r="L477" s="16"/>
      <c r="M477" s="14"/>
    </row>
    <row r="478">
      <c r="A478" s="16" t="str">
        <f>IFERROR(__xludf.DUMMYFUNCTION("""COMPUTED_VALUE"""),"Gaoh Maazou")</f>
        <v>Gaoh Maazou</v>
      </c>
      <c r="B478" s="16"/>
      <c r="C478" s="14"/>
      <c r="F478" s="16" t="str">
        <f>IFERROR(__xludf.DUMMYFUNCTION("""COMPUTED_VALUE"""),"Warao")</f>
        <v>Warao</v>
      </c>
      <c r="G478" s="16"/>
      <c r="H478" s="14"/>
      <c r="K478" s="16">
        <f>IFERROR(__xludf.DUMMYFUNCTION("""COMPUTED_VALUE"""),878.0)</f>
        <v>878</v>
      </c>
      <c r="L478" s="16"/>
      <c r="M478" s="14"/>
    </row>
    <row r="479">
      <c r="A479" s="16" t="str">
        <f>IFERROR(__xludf.DUMMYFUNCTION("""COMPUTED_VALUE"""),"Razinatou Salissou")</f>
        <v>Razinatou Salissou</v>
      </c>
      <c r="B479" s="16"/>
      <c r="C479" s="14"/>
      <c r="F479" s="16" t="str">
        <f>IFERROR(__xludf.DUMMYFUNCTION("""COMPUTED_VALUE"""),"Warao")</f>
        <v>Warao</v>
      </c>
      <c r="G479" s="16"/>
      <c r="H479" s="14"/>
      <c r="K479" s="16">
        <f>IFERROR(__xludf.DUMMYFUNCTION("""COMPUTED_VALUE"""),860.0)</f>
        <v>860</v>
      </c>
      <c r="L479" s="16"/>
      <c r="M479" s="14"/>
    </row>
    <row r="480">
      <c r="A480" s="16" t="str">
        <f>IFERROR(__xludf.DUMMYFUNCTION("""COMPUTED_VALUE"""),"Razinatou Salissou")</f>
        <v>Razinatou Salissou</v>
      </c>
      <c r="B480" s="16"/>
      <c r="C480" s="14"/>
      <c r="F480" s="16" t="str">
        <f>IFERROR(__xludf.DUMMYFUNCTION("""COMPUTED_VALUE"""),"Warao")</f>
        <v>Warao</v>
      </c>
      <c r="G480" s="16"/>
      <c r="H480" s="14"/>
      <c r="K480" s="16">
        <f>IFERROR(__xludf.DUMMYFUNCTION("""COMPUTED_VALUE"""),1060.0)</f>
        <v>1060</v>
      </c>
      <c r="L480" s="16"/>
      <c r="M480" s="14"/>
    </row>
    <row r="481">
      <c r="A481" s="16" t="str">
        <f>IFERROR(__xludf.DUMMYFUNCTION("""COMPUTED_VALUE"""),"Asmaou Tanko Issa")</f>
        <v>Asmaou Tanko Issa</v>
      </c>
      <c r="B481" s="16"/>
      <c r="C481" s="14"/>
      <c r="F481" s="16" t="str">
        <f>IFERROR(__xludf.DUMMYFUNCTION("""COMPUTED_VALUE"""),"Warao")</f>
        <v>Warao</v>
      </c>
      <c r="G481" s="16"/>
      <c r="H481" s="14"/>
      <c r="K481" s="16">
        <f>IFERROR(__xludf.DUMMYFUNCTION("""COMPUTED_VALUE"""),2159.0)</f>
        <v>2159</v>
      </c>
      <c r="L481" s="16"/>
      <c r="M481" s="14"/>
    </row>
    <row r="482">
      <c r="A482" s="16" t="str">
        <f>IFERROR(__xludf.DUMMYFUNCTION("""COMPUTED_VALUE"""),"Asmaou Tanko Issa")</f>
        <v>Asmaou Tanko Issa</v>
      </c>
      <c r="B482" s="16"/>
      <c r="C482" s="14"/>
      <c r="F482" s="16" t="str">
        <f>IFERROR(__xludf.DUMMYFUNCTION("""COMPUTED_VALUE"""),"Warao")</f>
        <v>Warao</v>
      </c>
      <c r="G482" s="16"/>
      <c r="H482" s="14"/>
      <c r="K482" s="16">
        <f>IFERROR(__xludf.DUMMYFUNCTION("""COMPUTED_VALUE"""),1709.0)</f>
        <v>1709</v>
      </c>
      <c r="L482" s="16"/>
      <c r="M482" s="14"/>
    </row>
    <row r="483">
      <c r="A483" s="16" t="str">
        <f>IFERROR(__xludf.DUMMYFUNCTION("""COMPUTED_VALUE"""),"Yacouba Idé dit Lumana")</f>
        <v>Yacouba Idé dit Lumana</v>
      </c>
      <c r="B483" s="16"/>
      <c r="C483" s="14"/>
      <c r="F483" s="16" t="str">
        <f>IFERROR(__xludf.DUMMYFUNCTION("""COMPUTED_VALUE"""),"Moujia")</f>
        <v>Moujia</v>
      </c>
      <c r="G483" s="16"/>
      <c r="H483" s="14"/>
      <c r="K483" s="16">
        <f>IFERROR(__xludf.DUMMYFUNCTION("""COMPUTED_VALUE"""),1104.0)</f>
        <v>1104</v>
      </c>
      <c r="L483" s="16"/>
      <c r="M483" s="14"/>
    </row>
    <row r="484">
      <c r="A484" s="16" t="str">
        <f>IFERROR(__xludf.DUMMYFUNCTION("""COMPUTED_VALUE"""),"Yacouba Idé dit Lumana")</f>
        <v>Yacouba Idé dit Lumana</v>
      </c>
      <c r="B484" s="16"/>
      <c r="C484" s="14"/>
      <c r="F484" s="16" t="str">
        <f>IFERROR(__xludf.DUMMYFUNCTION("""COMPUTED_VALUE"""),"Moujia")</f>
        <v>Moujia</v>
      </c>
      <c r="G484" s="16"/>
      <c r="H484" s="14"/>
      <c r="K484" s="16">
        <f>IFERROR(__xludf.DUMMYFUNCTION("""COMPUTED_VALUE"""),3272.0)</f>
        <v>3272</v>
      </c>
      <c r="L484" s="16"/>
      <c r="M484" s="14"/>
    </row>
    <row r="485">
      <c r="A485" s="16" t="str">
        <f>IFERROR(__xludf.DUMMYFUNCTION("""COMPUTED_VALUE"""),"Moussa Ide Ibrahim")</f>
        <v>Moussa Ide Ibrahim</v>
      </c>
      <c r="B485" s="16"/>
      <c r="C485" s="14"/>
      <c r="F485" s="16" t="str">
        <f>IFERROR(__xludf.DUMMYFUNCTION("""COMPUTED_VALUE"""),"Moujia")</f>
        <v>Moujia</v>
      </c>
      <c r="G485" s="16"/>
      <c r="H485" s="14"/>
      <c r="K485" s="16">
        <f>IFERROR(__xludf.DUMMYFUNCTION("""COMPUTED_VALUE"""),2156.0)</f>
        <v>2156</v>
      </c>
      <c r="L485" s="16"/>
      <c r="M485" s="14"/>
    </row>
    <row r="486">
      <c r="A486" s="16" t="str">
        <f>IFERROR(__xludf.DUMMYFUNCTION("""COMPUTED_VALUE"""),"Moussa Ide Ibrahim")</f>
        <v>Moussa Ide Ibrahim</v>
      </c>
      <c r="B486" s="16"/>
      <c r="C486" s="14"/>
      <c r="F486" s="16" t="str">
        <f>IFERROR(__xludf.DUMMYFUNCTION("""COMPUTED_VALUE"""),"Badaguichiri 2")</f>
        <v>Badaguichiri 2</v>
      </c>
      <c r="G486" s="16"/>
      <c r="H486" s="14"/>
      <c r="K486" s="16">
        <f>IFERROR(__xludf.DUMMYFUNCTION("""COMPUTED_VALUE"""),630.0)</f>
        <v>630</v>
      </c>
      <c r="L486" s="16"/>
      <c r="M486" s="14"/>
    </row>
    <row r="487">
      <c r="A487" s="16" t="str">
        <f>IFERROR(__xludf.DUMMYFUNCTION("""COMPUTED_VALUE"""),"Moussa Ide Ibrahim")</f>
        <v>Moussa Ide Ibrahim</v>
      </c>
      <c r="B487" s="16"/>
      <c r="C487" s="14"/>
      <c r="F487" s="16" t="str">
        <f>IFERROR(__xludf.DUMMYFUNCTION("""COMPUTED_VALUE"""),"Moujia")</f>
        <v>Moujia</v>
      </c>
      <c r="G487" s="16"/>
      <c r="H487" s="14"/>
      <c r="K487" s="16">
        <f>IFERROR(__xludf.DUMMYFUNCTION("""COMPUTED_VALUE"""),2427.0)</f>
        <v>2427</v>
      </c>
      <c r="L487" s="16"/>
      <c r="M487" s="14"/>
    </row>
    <row r="488">
      <c r="A488" s="16" t="str">
        <f>IFERROR(__xludf.DUMMYFUNCTION("""COMPUTED_VALUE"""),"Moussa Ide Ibrahim")</f>
        <v>Moussa Ide Ibrahim</v>
      </c>
      <c r="B488" s="16"/>
      <c r="C488" s="14"/>
      <c r="F488" s="16" t="str">
        <f>IFERROR(__xludf.DUMMYFUNCTION("""COMPUTED_VALUE"""),"Tchigili")</f>
        <v>Tchigili</v>
      </c>
      <c r="G488" s="16"/>
      <c r="H488" s="14"/>
      <c r="K488" s="16">
        <f>IFERROR(__xludf.DUMMYFUNCTION("""COMPUTED_VALUE"""),1389.0)</f>
        <v>1389</v>
      </c>
      <c r="L488" s="16"/>
      <c r="M488" s="14"/>
    </row>
    <row r="489">
      <c r="A489" s="16" t="str">
        <f>IFERROR(__xludf.DUMMYFUNCTION("""COMPUTED_VALUE"""),"Moussa Ide Ibrahim")</f>
        <v>Moussa Ide Ibrahim</v>
      </c>
      <c r="B489" s="16"/>
      <c r="C489" s="14"/>
      <c r="F489" s="16" t="str">
        <f>IFERROR(__xludf.DUMMYFUNCTION("""COMPUTED_VALUE"""),"Tchigili")</f>
        <v>Tchigili</v>
      </c>
      <c r="G489" s="16"/>
      <c r="H489" s="14"/>
      <c r="K489" s="16">
        <f>IFERROR(__xludf.DUMMYFUNCTION("""COMPUTED_VALUE"""),695.0)</f>
        <v>695</v>
      </c>
      <c r="L489" s="16"/>
      <c r="M489" s="14"/>
    </row>
    <row r="490">
      <c r="A490" s="16" t="str">
        <f>IFERROR(__xludf.DUMMYFUNCTION("""COMPUTED_VALUE"""),"Achirou Malam Dan Maradi Nassirou")</f>
        <v>Achirou Malam Dan Maradi Nassirou</v>
      </c>
      <c r="B490" s="16"/>
      <c r="C490" s="14"/>
      <c r="F490" s="16" t="str">
        <f>IFERROR(__xludf.DUMMYFUNCTION("""COMPUTED_VALUE"""),"Tchigili")</f>
        <v>Tchigili</v>
      </c>
      <c r="G490" s="16"/>
      <c r="H490" s="14"/>
      <c r="K490" s="16">
        <f>IFERROR(__xludf.DUMMYFUNCTION("""COMPUTED_VALUE"""),544.0)</f>
        <v>544</v>
      </c>
      <c r="L490" s="16"/>
      <c r="M490" s="14"/>
    </row>
    <row r="491">
      <c r="A491" s="16" t="str">
        <f>IFERROR(__xludf.DUMMYFUNCTION("""COMPUTED_VALUE"""),"Achirou Malam Dan Maradi Nassirou")</f>
        <v>Achirou Malam Dan Maradi Nassirou</v>
      </c>
      <c r="B491" s="16"/>
      <c r="C491" s="14"/>
      <c r="F491" s="16" t="str">
        <f>IFERROR(__xludf.DUMMYFUNCTION("""COMPUTED_VALUE"""),"Tchigili")</f>
        <v>Tchigili</v>
      </c>
      <c r="G491" s="16"/>
      <c r="H491" s="14"/>
      <c r="K491" s="16">
        <f>IFERROR(__xludf.DUMMYFUNCTION("""COMPUTED_VALUE"""),2665.0)</f>
        <v>2665</v>
      </c>
      <c r="L491" s="16"/>
      <c r="M491" s="14"/>
    </row>
    <row r="492">
      <c r="A492" s="16" t="str">
        <f>IFERROR(__xludf.DUMMYFUNCTION("""COMPUTED_VALUE"""),"ALASSANE TAWEY AWALOU")</f>
        <v>ALASSANE TAWEY AWALOU</v>
      </c>
      <c r="B492" s="16"/>
      <c r="C492" s="14"/>
      <c r="F492" s="16" t="str">
        <f>IFERROR(__xludf.DUMMYFUNCTION("""COMPUTED_VALUE"""),"Tchigili")</f>
        <v>Tchigili</v>
      </c>
      <c r="G492" s="16"/>
      <c r="H492" s="14"/>
      <c r="K492" s="16">
        <f>IFERROR(__xludf.DUMMYFUNCTION("""COMPUTED_VALUE"""),617.0)</f>
        <v>617</v>
      </c>
      <c r="L492" s="16"/>
      <c r="M492" s="14"/>
    </row>
    <row r="493">
      <c r="A493" s="16" t="str">
        <f>IFERROR(__xludf.DUMMYFUNCTION("""COMPUTED_VALUE"""),"ALASSANE TAWEY AWALOU")</f>
        <v>ALASSANE TAWEY AWALOU</v>
      </c>
      <c r="B493" s="16"/>
      <c r="C493" s="14"/>
      <c r="F493" s="16" t="str">
        <f>IFERROR(__xludf.DUMMYFUNCTION("""COMPUTED_VALUE"""),"Moujia")</f>
        <v>Moujia</v>
      </c>
      <c r="G493" s="16"/>
      <c r="H493" s="14"/>
      <c r="K493" s="16">
        <f>IFERROR(__xludf.DUMMYFUNCTION("""COMPUTED_VALUE"""),687.0)</f>
        <v>687</v>
      </c>
      <c r="L493" s="16"/>
      <c r="M493" s="14"/>
    </row>
    <row r="494">
      <c r="A494" s="16" t="str">
        <f>IFERROR(__xludf.DUMMYFUNCTION("""COMPUTED_VALUE"""),"Halidou Tagaza Balkissa")</f>
        <v>Halidou Tagaza Balkissa</v>
      </c>
      <c r="B494" s="16"/>
      <c r="C494" s="14"/>
      <c r="F494" s="16" t="str">
        <f>IFERROR(__xludf.DUMMYFUNCTION("""COMPUTED_VALUE"""),"Tchigili")</f>
        <v>Tchigili</v>
      </c>
      <c r="G494" s="16"/>
      <c r="H494" s="14"/>
      <c r="K494" s="16">
        <f>IFERROR(__xludf.DUMMYFUNCTION("""COMPUTED_VALUE"""),1407.0)</f>
        <v>1407</v>
      </c>
      <c r="L494" s="16"/>
      <c r="M494" s="14"/>
    </row>
    <row r="495">
      <c r="A495" s="16" t="str">
        <f>IFERROR(__xludf.DUMMYFUNCTION("""COMPUTED_VALUE"""),"Ibrahim Dan Habou Larwana")</f>
        <v>Ibrahim Dan Habou Larwana</v>
      </c>
      <c r="B495" s="16"/>
      <c r="C495" s="14"/>
      <c r="F495" s="16" t="str">
        <f>IFERROR(__xludf.DUMMYFUNCTION("""COMPUTED_VALUE"""),"Tchigili")</f>
        <v>Tchigili</v>
      </c>
      <c r="G495" s="16"/>
      <c r="H495" s="14"/>
      <c r="K495" s="16">
        <f>IFERROR(__xludf.DUMMYFUNCTION("""COMPUTED_VALUE"""),1703.0)</f>
        <v>1703</v>
      </c>
      <c r="L495" s="16"/>
      <c r="M495" s="14"/>
    </row>
    <row r="496">
      <c r="A496" s="16" t="str">
        <f>IFERROR(__xludf.DUMMYFUNCTION("""COMPUTED_VALUE"""),"Ibrahim Dan Habou Larwana")</f>
        <v>Ibrahim Dan Habou Larwana</v>
      </c>
      <c r="B496" s="16"/>
      <c r="C496" s="14"/>
      <c r="F496" s="16" t="str">
        <f>IFERROR(__xludf.DUMMYFUNCTION("""COMPUTED_VALUE"""),"Moujia")</f>
        <v>Moujia</v>
      </c>
      <c r="G496" s="16"/>
      <c r="H496" s="14"/>
      <c r="K496" s="16">
        <f>IFERROR(__xludf.DUMMYFUNCTION("""COMPUTED_VALUE"""),770.0)</f>
        <v>770</v>
      </c>
      <c r="L496" s="16"/>
      <c r="M496" s="14"/>
    </row>
    <row r="497">
      <c r="A497" s="16" t="str">
        <f>IFERROR(__xludf.DUMMYFUNCTION("""COMPUTED_VALUE"""),"Hachimou Rabiou Mamoudou")</f>
        <v>Hachimou Rabiou Mamoudou</v>
      </c>
      <c r="B497" s="16"/>
      <c r="C497" s="14"/>
      <c r="F497" s="16" t="str">
        <f>IFERROR(__xludf.DUMMYFUNCTION("""COMPUTED_VALUE"""),"Tchigili")</f>
        <v>Tchigili</v>
      </c>
      <c r="G497" s="16"/>
      <c r="H497" s="14"/>
      <c r="K497" s="16">
        <f>IFERROR(__xludf.DUMMYFUNCTION("""COMPUTED_VALUE"""),616.0)</f>
        <v>616</v>
      </c>
      <c r="L497" s="16"/>
      <c r="M497" s="14"/>
    </row>
    <row r="498">
      <c r="A498" s="16" t="str">
        <f>IFERROR(__xludf.DUMMYFUNCTION("""COMPUTED_VALUE"""),"Hachimou Rabiou Mamoudou")</f>
        <v>Hachimou Rabiou Mamoudou</v>
      </c>
      <c r="B498" s="16"/>
      <c r="C498" s="14"/>
      <c r="F498" s="16" t="str">
        <f>IFERROR(__xludf.DUMMYFUNCTION("""COMPUTED_VALUE"""),"Tchigili")</f>
        <v>Tchigili</v>
      </c>
      <c r="G498" s="16"/>
      <c r="H498" s="14"/>
      <c r="K498" s="16">
        <f>IFERROR(__xludf.DUMMYFUNCTION("""COMPUTED_VALUE"""),711.0)</f>
        <v>711</v>
      </c>
      <c r="L498" s="16"/>
      <c r="M498" s="14"/>
    </row>
    <row r="499">
      <c r="A499" s="16" t="str">
        <f>IFERROR(__xludf.DUMMYFUNCTION("""COMPUTED_VALUE"""),"Hachimou Rabiou Mamoudou")</f>
        <v>Hachimou Rabiou Mamoudou</v>
      </c>
      <c r="B499" s="16"/>
      <c r="C499" s="14"/>
      <c r="F499" s="16" t="str">
        <f>IFERROR(__xludf.DUMMYFUNCTION("""COMPUTED_VALUE"""),"Tchigili")</f>
        <v>Tchigili</v>
      </c>
      <c r="G499" s="16"/>
      <c r="H499" s="14"/>
      <c r="K499" s="16">
        <f>IFERROR(__xludf.DUMMYFUNCTION("""COMPUTED_VALUE"""),775.0)</f>
        <v>775</v>
      </c>
      <c r="L499" s="16"/>
      <c r="M499" s="14"/>
    </row>
    <row r="500">
      <c r="A500" s="16" t="str">
        <f>IFERROR(__xludf.DUMMYFUNCTION("""COMPUTED_VALUE"""),"Ouhoumoudou Djannou Ibrahim")</f>
        <v>Ouhoumoudou Djannou Ibrahim</v>
      </c>
      <c r="B500" s="16"/>
      <c r="C500" s="14"/>
      <c r="F500" s="16" t="str">
        <f>IFERROR(__xludf.DUMMYFUNCTION("""COMPUTED_VALUE"""),"Tchigili")</f>
        <v>Tchigili</v>
      </c>
      <c r="G500" s="16"/>
      <c r="H500" s="14"/>
      <c r="K500" s="16">
        <f>IFERROR(__xludf.DUMMYFUNCTION("""COMPUTED_VALUE"""),1346.0)</f>
        <v>1346</v>
      </c>
      <c r="L500" s="16"/>
      <c r="M500" s="14"/>
    </row>
    <row r="501">
      <c r="A501" s="16" t="str">
        <f>IFERROR(__xludf.DUMMYFUNCTION("""COMPUTED_VALUE"""),"Ouhoumoudou Djannou Ibrahim")</f>
        <v>Ouhoumoudou Djannou Ibrahim</v>
      </c>
      <c r="B501" s="16"/>
      <c r="C501" s="14"/>
      <c r="F501" s="16" t="str">
        <f>IFERROR(__xludf.DUMMYFUNCTION("""COMPUTED_VALUE"""),"Moujia")</f>
        <v>Moujia</v>
      </c>
      <c r="G501" s="16"/>
      <c r="H501" s="14"/>
      <c r="K501" s="16">
        <f>IFERROR(__xludf.DUMMYFUNCTION("""COMPUTED_VALUE"""),1319.0)</f>
        <v>1319</v>
      </c>
      <c r="L501" s="16"/>
      <c r="M501" s="14"/>
    </row>
    <row r="502">
      <c r="A502" s="16" t="str">
        <f>IFERROR(__xludf.DUMMYFUNCTION("""COMPUTED_VALUE"""),"Ouhoumoudou Djannou Ibrahim")</f>
        <v>Ouhoumoudou Djannou Ibrahim</v>
      </c>
      <c r="B502" s="16"/>
      <c r="C502" s="14"/>
      <c r="F502" s="16" t="str">
        <f>IFERROR(__xludf.DUMMYFUNCTION("""COMPUTED_VALUE"""),"Tchigili")</f>
        <v>Tchigili</v>
      </c>
      <c r="G502" s="16"/>
      <c r="H502" s="14"/>
      <c r="K502" s="16">
        <f>IFERROR(__xludf.DUMMYFUNCTION("""COMPUTED_VALUE"""),2245.0)</f>
        <v>2245</v>
      </c>
      <c r="L502" s="16"/>
      <c r="M502" s="14"/>
    </row>
    <row r="503">
      <c r="A503" s="16" t="str">
        <f>IFERROR(__xludf.DUMMYFUNCTION("""COMPUTED_VALUE"""),"Hamissou Moussa Nana Mariama")</f>
        <v>Hamissou Moussa Nana Mariama</v>
      </c>
      <c r="B503" s="16"/>
      <c r="C503" s="14"/>
      <c r="F503" s="16" t="str">
        <f>IFERROR(__xludf.DUMMYFUNCTION("""COMPUTED_VALUE"""),"Moujia")</f>
        <v>Moujia</v>
      </c>
      <c r="G503" s="16"/>
      <c r="H503" s="14"/>
      <c r="K503" s="16">
        <f>IFERROR(__xludf.DUMMYFUNCTION("""COMPUTED_VALUE"""),848.0)</f>
        <v>848</v>
      </c>
      <c r="L503" s="16"/>
      <c r="M503" s="14"/>
    </row>
    <row r="504">
      <c r="A504" s="16" t="str">
        <f>IFERROR(__xludf.DUMMYFUNCTION("""COMPUTED_VALUE"""),"Hamissou Moussa Nana Mariama")</f>
        <v>Hamissou Moussa Nana Mariama</v>
      </c>
      <c r="B504" s="16"/>
      <c r="C504" s="14"/>
      <c r="F504" s="16" t="str">
        <f>IFERROR(__xludf.DUMMYFUNCTION("""COMPUTED_VALUE"""),"Tchigili")</f>
        <v>Tchigili</v>
      </c>
      <c r="G504" s="16"/>
      <c r="H504" s="14"/>
      <c r="K504" s="16">
        <f>IFERROR(__xludf.DUMMYFUNCTION("""COMPUTED_VALUE"""),2854.0)</f>
        <v>2854</v>
      </c>
      <c r="L504" s="16"/>
      <c r="M504" s="14"/>
    </row>
    <row r="505">
      <c r="A505" s="16" t="str">
        <f>IFERROR(__xludf.DUMMYFUNCTION("""COMPUTED_VALUE"""),"Mohamed Cherif")</f>
        <v>Mohamed Cherif</v>
      </c>
      <c r="B505" s="16"/>
      <c r="C505" s="14"/>
      <c r="F505" s="16" t="str">
        <f>IFERROR(__xludf.DUMMYFUNCTION("""COMPUTED_VALUE"""),"Tchigili")</f>
        <v>Tchigili</v>
      </c>
      <c r="G505" s="16"/>
      <c r="H505" s="14"/>
      <c r="K505" s="16">
        <f>IFERROR(__xludf.DUMMYFUNCTION("""COMPUTED_VALUE"""),3504.0)</f>
        <v>3504</v>
      </c>
      <c r="L505" s="16"/>
      <c r="M505" s="14"/>
    </row>
    <row r="506">
      <c r="A506" s="16" t="str">
        <f>IFERROR(__xludf.DUMMYFUNCTION("""COMPUTED_VALUE"""),"Mohamed Cherif")</f>
        <v>Mohamed Cherif</v>
      </c>
      <c r="B506" s="16"/>
      <c r="C506" s="14"/>
      <c r="F506" s="16" t="str">
        <f>IFERROR(__xludf.DUMMYFUNCTION("""COMPUTED_VALUE"""),"Warao")</f>
        <v>Warao</v>
      </c>
      <c r="G506" s="16"/>
      <c r="H506" s="14"/>
      <c r="K506" s="16">
        <f>IFERROR(__xludf.DUMMYFUNCTION("""COMPUTED_VALUE"""),1898.0)</f>
        <v>1898</v>
      </c>
      <c r="L506" s="16"/>
      <c r="M506" s="14"/>
    </row>
    <row r="507">
      <c r="A507" s="16" t="str">
        <f>IFERROR(__xludf.DUMMYFUNCTION("""COMPUTED_VALUE"""),"Mohamed Cherif")</f>
        <v>Mohamed Cherif</v>
      </c>
      <c r="B507" s="16"/>
      <c r="C507" s="14"/>
      <c r="F507" s="16" t="str">
        <f>IFERROR(__xludf.DUMMYFUNCTION("""COMPUTED_VALUE"""),"Warao")</f>
        <v>Warao</v>
      </c>
      <c r="G507" s="16"/>
      <c r="H507" s="14"/>
      <c r="K507" s="16">
        <f>IFERROR(__xludf.DUMMYFUNCTION("""COMPUTED_VALUE"""),1849.0)</f>
        <v>1849</v>
      </c>
      <c r="L507" s="16"/>
      <c r="M507" s="14"/>
    </row>
    <row r="508">
      <c r="A508" s="16" t="str">
        <f>IFERROR(__xludf.DUMMYFUNCTION("""COMPUTED_VALUE"""),"Achirou Malam Dan Maradi Nassirou")</f>
        <v>Achirou Malam Dan Maradi Nassirou</v>
      </c>
      <c r="B508" s="16"/>
      <c r="C508" s="14"/>
      <c r="F508" s="16" t="str">
        <f>IFERROR(__xludf.DUMMYFUNCTION("""COMPUTED_VALUE"""),"Tchigili")</f>
        <v>Tchigili</v>
      </c>
      <c r="G508" s="16"/>
      <c r="H508" s="14"/>
      <c r="K508" s="16">
        <f>IFERROR(__xludf.DUMMYFUNCTION("""COMPUTED_VALUE"""),701.0)</f>
        <v>701</v>
      </c>
      <c r="L508" s="16"/>
      <c r="M508" s="14"/>
    </row>
    <row r="509">
      <c r="A509" s="16" t="str">
        <f>IFERROR(__xludf.DUMMYFUNCTION("""COMPUTED_VALUE"""),"Achirou Malam Dan Maradi Nassirou")</f>
        <v>Achirou Malam Dan Maradi Nassirou</v>
      </c>
      <c r="B509" s="16"/>
      <c r="C509" s="14"/>
      <c r="F509" s="16" t="str">
        <f>IFERROR(__xludf.DUMMYFUNCTION("""COMPUTED_VALUE"""),"Warao")</f>
        <v>Warao</v>
      </c>
      <c r="G509" s="16"/>
      <c r="H509" s="14"/>
      <c r="K509" s="16">
        <f>IFERROR(__xludf.DUMMYFUNCTION("""COMPUTED_VALUE"""),2032.0)</f>
        <v>2032</v>
      </c>
      <c r="L509" s="16"/>
      <c r="M509" s="14"/>
    </row>
    <row r="510">
      <c r="A510" s="16" t="str">
        <f>IFERROR(__xludf.DUMMYFUNCTION("""COMPUTED_VALUE"""),"Achirou Malam Dan Maradi Nassirou")</f>
        <v>Achirou Malam Dan Maradi Nassirou</v>
      </c>
      <c r="B510" s="16"/>
      <c r="C510" s="14"/>
      <c r="F510" s="16" t="str">
        <f>IFERROR(__xludf.DUMMYFUNCTION("""COMPUTED_VALUE"""),"Warao")</f>
        <v>Warao</v>
      </c>
      <c r="G510" s="16"/>
      <c r="H510" s="14"/>
      <c r="K510" s="16">
        <f>IFERROR(__xludf.DUMMYFUNCTION("""COMPUTED_VALUE"""),1177.0)</f>
        <v>1177</v>
      </c>
      <c r="L510" s="16"/>
      <c r="M510" s="14"/>
    </row>
    <row r="511">
      <c r="A511" s="16" t="str">
        <f>IFERROR(__xludf.DUMMYFUNCTION("""COMPUTED_VALUE"""),"Maman Ado Abdourahamane")</f>
        <v>Maman Ado Abdourahamane</v>
      </c>
      <c r="B511" s="16"/>
      <c r="C511" s="14"/>
      <c r="F511" s="16" t="str">
        <f>IFERROR(__xludf.DUMMYFUNCTION("""COMPUTED_VALUE"""),"Guidan Karo II")</f>
        <v>Guidan Karo II</v>
      </c>
      <c r="G511" s="16"/>
      <c r="H511" s="14"/>
      <c r="K511" s="16">
        <f>IFERROR(__xludf.DUMMYFUNCTION("""COMPUTED_VALUE"""),458.0)</f>
        <v>458</v>
      </c>
      <c r="L511" s="16"/>
      <c r="M511" s="14"/>
    </row>
    <row r="512">
      <c r="A512" s="16" t="str">
        <f>IFERROR(__xludf.DUMMYFUNCTION("""COMPUTED_VALUE"""),"Maman Ado Abdourahamane")</f>
        <v>Maman Ado Abdourahamane</v>
      </c>
      <c r="B512" s="16"/>
      <c r="C512" s="14"/>
      <c r="F512" s="16" t="str">
        <f>IFERROR(__xludf.DUMMYFUNCTION("""COMPUTED_VALUE"""),"Guidan Karo II")</f>
        <v>Guidan Karo II</v>
      </c>
      <c r="G512" s="16"/>
      <c r="H512" s="14"/>
      <c r="K512" s="16">
        <f>IFERROR(__xludf.DUMMYFUNCTION("""COMPUTED_VALUE"""),1847.0)</f>
        <v>1847</v>
      </c>
      <c r="L512" s="16"/>
      <c r="M512" s="14"/>
    </row>
    <row r="513">
      <c r="A513" s="16" t="str">
        <f>IFERROR(__xludf.DUMMYFUNCTION("""COMPUTED_VALUE"""),"Maman Ado Abdourahamane")</f>
        <v>Maman Ado Abdourahamane</v>
      </c>
      <c r="B513" s="16"/>
      <c r="C513" s="14"/>
      <c r="F513" s="16" t="str">
        <f>IFERROR(__xludf.DUMMYFUNCTION("""COMPUTED_VALUE"""),"Guidan Karo II")</f>
        <v>Guidan Karo II</v>
      </c>
      <c r="G513" s="16"/>
      <c r="H513" s="14"/>
      <c r="K513" s="16">
        <f>IFERROR(__xludf.DUMMYFUNCTION("""COMPUTED_VALUE"""),1968.0)</f>
        <v>1968</v>
      </c>
      <c r="L513" s="16"/>
      <c r="M513" s="14"/>
    </row>
    <row r="514">
      <c r="A514" s="16" t="str">
        <f>IFERROR(__xludf.DUMMYFUNCTION("""COMPUTED_VALUE"""),"Maman Ado Abdourahamane")</f>
        <v>Maman Ado Abdourahamane</v>
      </c>
      <c r="B514" s="16"/>
      <c r="C514" s="14"/>
      <c r="F514" s="16" t="str">
        <f>IFERROR(__xludf.DUMMYFUNCTION("""COMPUTED_VALUE"""),"Guidan Karo II")</f>
        <v>Guidan Karo II</v>
      </c>
      <c r="G514" s="16"/>
      <c r="H514" s="14"/>
      <c r="K514" s="16">
        <f>IFERROR(__xludf.DUMMYFUNCTION("""COMPUTED_VALUE"""),455.0)</f>
        <v>455</v>
      </c>
      <c r="L514" s="16"/>
      <c r="M514" s="14"/>
    </row>
    <row r="515">
      <c r="A515" s="16" t="str">
        <f>IFERROR(__xludf.DUMMYFUNCTION("""COMPUTED_VALUE"""),"Aicha Noma")</f>
        <v>Aicha Noma</v>
      </c>
      <c r="B515" s="16"/>
      <c r="C515" s="14"/>
      <c r="F515" s="16" t="str">
        <f>IFERROR(__xludf.DUMMYFUNCTION("""COMPUTED_VALUE"""),"Guidan Karo II")</f>
        <v>Guidan Karo II</v>
      </c>
      <c r="G515" s="16"/>
      <c r="H515" s="14"/>
      <c r="K515" s="16">
        <f>IFERROR(__xludf.DUMMYFUNCTION("""COMPUTED_VALUE"""),687.0)</f>
        <v>687</v>
      </c>
      <c r="L515" s="16"/>
      <c r="M515" s="14"/>
    </row>
    <row r="516">
      <c r="A516" s="16" t="str">
        <f>IFERROR(__xludf.DUMMYFUNCTION("""COMPUTED_VALUE"""),"Aicha Noma")</f>
        <v>Aicha Noma</v>
      </c>
      <c r="B516" s="16"/>
      <c r="C516" s="14"/>
      <c r="F516" s="16" t="str">
        <f>IFERROR(__xludf.DUMMYFUNCTION("""COMPUTED_VALUE"""),"Gatchikey")</f>
        <v>Gatchikey</v>
      </c>
      <c r="G516" s="16"/>
      <c r="H516" s="14"/>
      <c r="K516" s="16">
        <f>IFERROR(__xludf.DUMMYFUNCTION("""COMPUTED_VALUE"""),589.0)</f>
        <v>589</v>
      </c>
      <c r="L516" s="16"/>
      <c r="M516" s="14"/>
    </row>
    <row r="517">
      <c r="A517" s="16" t="str">
        <f>IFERROR(__xludf.DUMMYFUNCTION("""COMPUTED_VALUE"""),"Elhaji Abdou Leilata")</f>
        <v>Elhaji Abdou Leilata</v>
      </c>
      <c r="B517" s="16"/>
      <c r="C517" s="14"/>
      <c r="F517" s="16" t="str">
        <f>IFERROR(__xludf.DUMMYFUNCTION("""COMPUTED_VALUE"""),"Gatchikey")</f>
        <v>Gatchikey</v>
      </c>
      <c r="G517" s="16"/>
      <c r="H517" s="14"/>
      <c r="K517" s="16">
        <f>IFERROR(__xludf.DUMMYFUNCTION("""COMPUTED_VALUE"""),827.0)</f>
        <v>827</v>
      </c>
      <c r="L517" s="16"/>
      <c r="M517" s="14"/>
    </row>
    <row r="518">
      <c r="A518" s="16" t="str">
        <f>IFERROR(__xludf.DUMMYFUNCTION("""COMPUTED_VALUE"""),"Aboubacar Hamadou Manga")</f>
        <v>Aboubacar Hamadou Manga</v>
      </c>
      <c r="B518" s="16"/>
      <c r="C518" s="14"/>
      <c r="F518" s="16" t="str">
        <f>IFERROR(__xludf.DUMMYFUNCTION("""COMPUTED_VALUE"""),"Gatchikey")</f>
        <v>Gatchikey</v>
      </c>
      <c r="G518" s="16"/>
      <c r="H518" s="14"/>
      <c r="K518" s="16">
        <f>IFERROR(__xludf.DUMMYFUNCTION("""COMPUTED_VALUE"""),2822.0)</f>
        <v>2822</v>
      </c>
      <c r="L518" s="16"/>
      <c r="M518" s="14"/>
    </row>
    <row r="519">
      <c r="A519" s="16" t="str">
        <f>IFERROR(__xludf.DUMMYFUNCTION("""COMPUTED_VALUE"""),"Yacouba Idé dit Lumana")</f>
        <v>Yacouba Idé dit Lumana</v>
      </c>
      <c r="B519" s="16"/>
      <c r="C519" s="14"/>
      <c r="F519" s="16" t="str">
        <f>IFERROR(__xludf.DUMMYFUNCTION("""COMPUTED_VALUE"""),"Gatchikey")</f>
        <v>Gatchikey</v>
      </c>
      <c r="G519" s="16"/>
      <c r="H519" s="14"/>
      <c r="K519" s="16">
        <f>IFERROR(__xludf.DUMMYFUNCTION("""COMPUTED_VALUE"""),1519.0)</f>
        <v>1519</v>
      </c>
      <c r="L519" s="16"/>
      <c r="M519" s="14"/>
    </row>
    <row r="520">
      <c r="A520" s="16" t="str">
        <f>IFERROR(__xludf.DUMMYFUNCTION("""COMPUTED_VALUE"""),"Yacouba Idé dit Lumana")</f>
        <v>Yacouba Idé dit Lumana</v>
      </c>
      <c r="B520" s="16"/>
      <c r="C520" s="14"/>
      <c r="F520" s="16" t="str">
        <f>IFERROR(__xludf.DUMMYFUNCTION("""COMPUTED_VALUE"""),"Guidan Karo II")</f>
        <v>Guidan Karo II</v>
      </c>
      <c r="G520" s="16"/>
      <c r="H520" s="14"/>
      <c r="K520" s="16">
        <f>IFERROR(__xludf.DUMMYFUNCTION("""COMPUTED_VALUE"""),726.0)</f>
        <v>726</v>
      </c>
      <c r="L520" s="16"/>
      <c r="M520" s="14"/>
    </row>
    <row r="521">
      <c r="A521" s="16" t="str">
        <f>IFERROR(__xludf.DUMMYFUNCTION("""COMPUTED_VALUE"""),"Razinatou Salissou")</f>
        <v>Razinatou Salissou</v>
      </c>
      <c r="B521" s="16"/>
      <c r="C521" s="14"/>
      <c r="F521" s="16" t="str">
        <f>IFERROR(__xludf.DUMMYFUNCTION("""COMPUTED_VALUE"""),"Guidan Karo II")</f>
        <v>Guidan Karo II</v>
      </c>
      <c r="G521" s="16"/>
      <c r="H521" s="14"/>
      <c r="K521" s="16">
        <f>IFERROR(__xludf.DUMMYFUNCTION("""COMPUTED_VALUE"""),743.0)</f>
        <v>743</v>
      </c>
      <c r="L521" s="16"/>
      <c r="M521" s="14"/>
    </row>
    <row r="522">
      <c r="A522" s="16" t="str">
        <f>IFERROR(__xludf.DUMMYFUNCTION("""COMPUTED_VALUE"""),"Razinatou Salissou")</f>
        <v>Razinatou Salissou</v>
      </c>
      <c r="B522" s="16"/>
      <c r="C522" s="14"/>
      <c r="F522" s="16" t="str">
        <f>IFERROR(__xludf.DUMMYFUNCTION("""COMPUTED_VALUE"""),"Guidan Karo II")</f>
        <v>Guidan Karo II</v>
      </c>
      <c r="G522" s="16"/>
      <c r="H522" s="14"/>
      <c r="K522" s="16">
        <f>IFERROR(__xludf.DUMMYFUNCTION("""COMPUTED_VALUE"""),486.0)</f>
        <v>486</v>
      </c>
      <c r="L522" s="16"/>
      <c r="M522" s="14"/>
    </row>
    <row r="523">
      <c r="A523" s="16" t="str">
        <f>IFERROR(__xludf.DUMMYFUNCTION("""COMPUTED_VALUE"""),"Mohamadou Amadou")</f>
        <v>Mohamadou Amadou</v>
      </c>
      <c r="B523" s="16"/>
      <c r="C523" s="14"/>
      <c r="F523" s="16" t="str">
        <f>IFERROR(__xludf.DUMMYFUNCTION("""COMPUTED_VALUE"""),"Gatchikey")</f>
        <v>Gatchikey</v>
      </c>
      <c r="G523" s="16"/>
      <c r="H523" s="14"/>
      <c r="K523" s="16">
        <f>IFERROR(__xludf.DUMMYFUNCTION("""COMPUTED_VALUE"""),518.0)</f>
        <v>518</v>
      </c>
      <c r="L523" s="16"/>
      <c r="M523" s="14"/>
    </row>
    <row r="524">
      <c r="A524" s="16" t="str">
        <f>IFERROR(__xludf.DUMMYFUNCTION("""COMPUTED_VALUE"""),"Mohamadou Amadou")</f>
        <v>Mohamadou Amadou</v>
      </c>
      <c r="B524" s="16"/>
      <c r="C524" s="14"/>
      <c r="F524" s="16" t="str">
        <f>IFERROR(__xludf.DUMMYFUNCTION("""COMPUTED_VALUE"""),"Gatchikey")</f>
        <v>Gatchikey</v>
      </c>
      <c r="G524" s="16"/>
      <c r="H524" s="14"/>
      <c r="K524" s="16">
        <f>IFERROR(__xludf.DUMMYFUNCTION("""COMPUTED_VALUE"""),1692.0)</f>
        <v>1692</v>
      </c>
      <c r="L524" s="16"/>
      <c r="M524" s="14"/>
    </row>
    <row r="525">
      <c r="A525" s="16" t="str">
        <f>IFERROR(__xludf.DUMMYFUNCTION("""COMPUTED_VALUE"""),"Amadou Tidjani Ousmane")</f>
        <v>Amadou Tidjani Ousmane</v>
      </c>
      <c r="B525" s="16"/>
      <c r="C525" s="14"/>
      <c r="F525" s="16" t="str">
        <f>IFERROR(__xludf.DUMMYFUNCTION("""COMPUTED_VALUE"""),"Guidan Karo II")</f>
        <v>Guidan Karo II</v>
      </c>
      <c r="G525" s="16"/>
      <c r="H525" s="14"/>
      <c r="K525" s="16">
        <f>IFERROR(__xludf.DUMMYFUNCTION("""COMPUTED_VALUE"""),1087.0)</f>
        <v>1087</v>
      </c>
      <c r="L525" s="16"/>
      <c r="M525" s="14"/>
    </row>
    <row r="526">
      <c r="A526" s="16" t="str">
        <f>IFERROR(__xludf.DUMMYFUNCTION("""COMPUTED_VALUE"""),"Rabi Boubacar Younoussa")</f>
        <v>Rabi Boubacar Younoussa</v>
      </c>
      <c r="B526" s="16"/>
      <c r="C526" s="14"/>
      <c r="F526" s="16" t="str">
        <f>IFERROR(__xludf.DUMMYFUNCTION("""COMPUTED_VALUE"""),"Guidan Karo II")</f>
        <v>Guidan Karo II</v>
      </c>
      <c r="G526" s="16"/>
      <c r="H526" s="14"/>
      <c r="K526" s="16">
        <f>IFERROR(__xludf.DUMMYFUNCTION("""COMPUTED_VALUE"""),2131.0)</f>
        <v>2131</v>
      </c>
      <c r="L526" s="16"/>
      <c r="M526" s="14"/>
    </row>
    <row r="527">
      <c r="A527" s="16" t="str">
        <f>IFERROR(__xludf.DUMMYFUNCTION("""COMPUTED_VALUE"""),"Kaltoume Kimba")</f>
        <v>Kaltoume Kimba</v>
      </c>
      <c r="B527" s="16"/>
      <c r="C527" s="14"/>
      <c r="F527" s="16" t="str">
        <f>IFERROR(__xludf.DUMMYFUNCTION("""COMPUTED_VALUE"""),"Guidan Karo II")</f>
        <v>Guidan Karo II</v>
      </c>
      <c r="G527" s="16"/>
      <c r="H527" s="14"/>
      <c r="K527" s="16">
        <f>IFERROR(__xludf.DUMMYFUNCTION("""COMPUTED_VALUE"""),1214.0)</f>
        <v>1214</v>
      </c>
      <c r="L527" s="16"/>
      <c r="M527" s="14"/>
    </row>
    <row r="528">
      <c r="A528" s="16" t="str">
        <f>IFERROR(__xludf.DUMMYFUNCTION("""COMPUTED_VALUE"""),"Maman Zayanou Harouna")</f>
        <v>Maman Zayanou Harouna</v>
      </c>
      <c r="B528" s="16"/>
      <c r="C528" s="14"/>
      <c r="F528" s="16" t="str">
        <f>IFERROR(__xludf.DUMMYFUNCTION("""COMPUTED_VALUE"""),"Gatchikey")</f>
        <v>Gatchikey</v>
      </c>
      <c r="G528" s="16"/>
      <c r="H528" s="14"/>
      <c r="K528" s="16">
        <f>IFERROR(__xludf.DUMMYFUNCTION("""COMPUTED_VALUE"""),2446.0)</f>
        <v>2446</v>
      </c>
      <c r="L528" s="16"/>
      <c r="M528" s="14"/>
    </row>
    <row r="529">
      <c r="A529" s="16" t="str">
        <f>IFERROR(__xludf.DUMMYFUNCTION("""COMPUTED_VALUE"""),"Asmaou Tanko Issa")</f>
        <v>Asmaou Tanko Issa</v>
      </c>
      <c r="B529" s="16"/>
      <c r="C529" s="14"/>
      <c r="F529" s="16" t="str">
        <f>IFERROR(__xludf.DUMMYFUNCTION("""COMPUTED_VALUE"""),"Gatchikey")</f>
        <v>Gatchikey</v>
      </c>
      <c r="G529" s="16"/>
      <c r="H529" s="14"/>
      <c r="K529" s="16">
        <f>IFERROR(__xludf.DUMMYFUNCTION("""COMPUTED_VALUE"""),2495.0)</f>
        <v>2495</v>
      </c>
      <c r="L529" s="16"/>
      <c r="M529" s="14"/>
    </row>
    <row r="530">
      <c r="A530" s="16" t="str">
        <f>IFERROR(__xludf.DUMMYFUNCTION("""COMPUTED_VALUE"""),"Younoussi Bilan Djamila")</f>
        <v>Younoussi Bilan Djamila</v>
      </c>
      <c r="B530" s="16"/>
      <c r="C530" s="14"/>
      <c r="F530" s="16" t="str">
        <f>IFERROR(__xludf.DUMMYFUNCTION("""COMPUTED_VALUE"""),"Gatchikey")</f>
        <v>Gatchikey</v>
      </c>
      <c r="G530" s="16"/>
      <c r="H530" s="14"/>
      <c r="K530" s="16">
        <f>IFERROR(__xludf.DUMMYFUNCTION("""COMPUTED_VALUE"""),2492.0)</f>
        <v>2492</v>
      </c>
      <c r="L530" s="16"/>
      <c r="M530" s="14"/>
    </row>
    <row r="531">
      <c r="A531" s="16" t="str">
        <f>IFERROR(__xludf.DUMMYFUNCTION("""COMPUTED_VALUE"""),"Asmaou Tanko Issa")</f>
        <v>Asmaou Tanko Issa</v>
      </c>
      <c r="B531" s="16"/>
      <c r="C531" s="14"/>
      <c r="F531" s="16" t="str">
        <f>IFERROR(__xludf.DUMMYFUNCTION("""COMPUTED_VALUE"""),"Gatchikey")</f>
        <v>Gatchikey</v>
      </c>
      <c r="G531" s="16"/>
      <c r="H531" s="14"/>
      <c r="K531" s="16">
        <f>IFERROR(__xludf.DUMMYFUNCTION("""COMPUTED_VALUE"""),292.0)</f>
        <v>292</v>
      </c>
      <c r="L531" s="16"/>
      <c r="M531" s="14"/>
    </row>
    <row r="532">
      <c r="A532" s="16" t="str">
        <f>IFERROR(__xludf.DUMMYFUNCTION("""COMPUTED_VALUE"""),"Achirou kane Abdoul Nasser")</f>
        <v>Achirou kane Abdoul Nasser</v>
      </c>
      <c r="B532" s="16"/>
      <c r="C532" s="14"/>
      <c r="F532" s="16" t="str">
        <f>IFERROR(__xludf.DUMMYFUNCTION("""COMPUTED_VALUE"""),"Gatchikey")</f>
        <v>Gatchikey</v>
      </c>
      <c r="G532" s="16"/>
      <c r="H532" s="14"/>
      <c r="K532" s="16">
        <f>IFERROR(__xludf.DUMMYFUNCTION("""COMPUTED_VALUE"""),686.0)</f>
        <v>686</v>
      </c>
      <c r="L532" s="16"/>
      <c r="M532" s="14"/>
    </row>
    <row r="533">
      <c r="A533" s="16" t="str">
        <f>IFERROR(__xludf.DUMMYFUNCTION("""COMPUTED_VALUE"""),"Rakia moussa")</f>
        <v>Rakia moussa</v>
      </c>
      <c r="B533" s="16"/>
      <c r="C533" s="14"/>
      <c r="F533" s="16" t="str">
        <f>IFERROR(__xludf.DUMMYFUNCTION("""COMPUTED_VALUE"""),"Gatchikey")</f>
        <v>Gatchikey</v>
      </c>
      <c r="G533" s="16"/>
      <c r="H533" s="14"/>
      <c r="K533" s="16">
        <f>IFERROR(__xludf.DUMMYFUNCTION("""COMPUTED_VALUE"""),648.0)</f>
        <v>648</v>
      </c>
      <c r="L533" s="16"/>
      <c r="M533" s="14"/>
    </row>
    <row r="534">
      <c r="A534" s="16" t="str">
        <f>IFERROR(__xludf.DUMMYFUNCTION("""COMPUTED_VALUE"""),"Gaoh Maazou")</f>
        <v>Gaoh Maazou</v>
      </c>
      <c r="B534" s="16"/>
      <c r="C534" s="14"/>
      <c r="F534" s="16" t="str">
        <f>IFERROR(__xludf.DUMMYFUNCTION("""COMPUTED_VALUE"""),"Gatchikey")</f>
        <v>Gatchikey</v>
      </c>
      <c r="G534" s="16"/>
      <c r="H534" s="14"/>
      <c r="K534" s="16">
        <f>IFERROR(__xludf.DUMMYFUNCTION("""COMPUTED_VALUE"""),2934.0)</f>
        <v>2934</v>
      </c>
      <c r="L534" s="16"/>
      <c r="M534" s="14"/>
    </row>
    <row r="535">
      <c r="A535" s="16" t="str">
        <f>IFERROR(__xludf.DUMMYFUNCTION("""COMPUTED_VALUE"""),"Gaoh Maazou")</f>
        <v>Gaoh Maazou</v>
      </c>
      <c r="B535" s="16"/>
      <c r="C535" s="14"/>
      <c r="F535" s="16" t="str">
        <f>IFERROR(__xludf.DUMMYFUNCTION("""COMPUTED_VALUE"""),"Gatchikey")</f>
        <v>Gatchikey</v>
      </c>
      <c r="G535" s="16"/>
      <c r="H535" s="14"/>
      <c r="K535" s="16">
        <f>IFERROR(__xludf.DUMMYFUNCTION("""COMPUTED_VALUE"""),2431.0)</f>
        <v>2431</v>
      </c>
      <c r="L535" s="16"/>
      <c r="M535" s="14"/>
    </row>
    <row r="536">
      <c r="A536" s="16" t="str">
        <f>IFERROR(__xludf.DUMMYFUNCTION("""COMPUTED_VALUE"""),"Gaoh Maazou")</f>
        <v>Gaoh Maazou</v>
      </c>
      <c r="B536" s="16"/>
      <c r="C536" s="14"/>
      <c r="F536" s="16" t="str">
        <f>IFERROR(__xludf.DUMMYFUNCTION("""COMPUTED_VALUE"""),"Warao")</f>
        <v>Warao</v>
      </c>
      <c r="G536" s="16"/>
      <c r="H536" s="14"/>
      <c r="K536" s="16">
        <f>IFERROR(__xludf.DUMMYFUNCTION("""COMPUTED_VALUE"""),1676.0)</f>
        <v>1676</v>
      </c>
      <c r="L536" s="16"/>
      <c r="M536" s="14"/>
    </row>
    <row r="537">
      <c r="A537" s="16" t="str">
        <f>IFERROR(__xludf.DUMMYFUNCTION("""COMPUTED_VALUE"""),"Rabi Boubacar Younoussa")</f>
        <v>Rabi Boubacar Younoussa</v>
      </c>
      <c r="B537" s="16"/>
      <c r="C537" s="14"/>
      <c r="F537" s="16" t="str">
        <f>IFERROR(__xludf.DUMMYFUNCTION("""COMPUTED_VALUE"""),"Warao")</f>
        <v>Warao</v>
      </c>
      <c r="G537" s="16"/>
      <c r="H537" s="14"/>
      <c r="K537" s="16">
        <f>IFERROR(__xludf.DUMMYFUNCTION("""COMPUTED_VALUE"""),811.0)</f>
        <v>811</v>
      </c>
      <c r="L537" s="16"/>
      <c r="M537" s="14"/>
    </row>
    <row r="538">
      <c r="A538" s="16" t="str">
        <f>IFERROR(__xludf.DUMMYFUNCTION("""COMPUTED_VALUE"""),"Rabi Boubacar Younoussa")</f>
        <v>Rabi Boubacar Younoussa</v>
      </c>
      <c r="B538" s="16"/>
      <c r="C538" s="14"/>
      <c r="F538" s="16" t="str">
        <f>IFERROR(__xludf.DUMMYFUNCTION("""COMPUTED_VALUE"""),"Warao")</f>
        <v>Warao</v>
      </c>
      <c r="G538" s="16"/>
      <c r="H538" s="14"/>
      <c r="K538" s="16">
        <f>IFERROR(__xludf.DUMMYFUNCTION("""COMPUTED_VALUE"""),1866.0)</f>
        <v>1866</v>
      </c>
      <c r="L538" s="16"/>
      <c r="M538" s="14"/>
    </row>
    <row r="539">
      <c r="A539" s="16" t="str">
        <f>IFERROR(__xludf.DUMMYFUNCTION("""COMPUTED_VALUE"""),"Achirou kane Abdoul Nasser")</f>
        <v>Achirou kane Abdoul Nasser</v>
      </c>
      <c r="B539" s="16"/>
      <c r="C539" s="14"/>
      <c r="F539" s="16" t="str">
        <f>IFERROR(__xludf.DUMMYFUNCTION("""COMPUTED_VALUE"""),"Warao")</f>
        <v>Warao</v>
      </c>
      <c r="G539" s="16"/>
      <c r="H539" s="14"/>
      <c r="K539" s="16">
        <f>IFERROR(__xludf.DUMMYFUNCTION("""COMPUTED_VALUE"""),1645.0)</f>
        <v>1645</v>
      </c>
      <c r="L539" s="16"/>
      <c r="M539" s="14"/>
    </row>
    <row r="540">
      <c r="A540" s="16" t="str">
        <f>IFERROR(__xludf.DUMMYFUNCTION("""COMPUTED_VALUE"""),"Saddy Youssouf")</f>
        <v>Saddy Youssouf</v>
      </c>
      <c r="B540" s="16"/>
      <c r="C540" s="14"/>
      <c r="F540" s="16" t="str">
        <f>IFERROR(__xludf.DUMMYFUNCTION("""COMPUTED_VALUE"""),"Adingirou")</f>
        <v>Adingirou</v>
      </c>
      <c r="G540" s="16"/>
      <c r="H540" s="14"/>
      <c r="K540" s="16">
        <f>IFERROR(__xludf.DUMMYFUNCTION("""COMPUTED_VALUE"""),2325.0)</f>
        <v>2325</v>
      </c>
      <c r="L540" s="16"/>
      <c r="M540" s="14"/>
    </row>
    <row r="541">
      <c r="A541" s="16" t="str">
        <f>IFERROR(__xludf.DUMMYFUNCTION("""COMPUTED_VALUE"""),"Saddy Youssouf")</f>
        <v>Saddy Youssouf</v>
      </c>
      <c r="B541" s="16"/>
      <c r="C541" s="14"/>
      <c r="F541" s="16" t="str">
        <f>IFERROR(__xludf.DUMMYFUNCTION("""COMPUTED_VALUE"""),"Adingirou")</f>
        <v>Adingirou</v>
      </c>
      <c r="G541" s="16"/>
      <c r="H541" s="14"/>
      <c r="K541" s="16">
        <f>IFERROR(__xludf.DUMMYFUNCTION("""COMPUTED_VALUE"""),1866.0)</f>
        <v>1866</v>
      </c>
      <c r="L541" s="16"/>
      <c r="M541" s="14"/>
    </row>
    <row r="542">
      <c r="A542" s="16" t="str">
        <f>IFERROR(__xludf.DUMMYFUNCTION("""COMPUTED_VALUE"""),"Zakari Aboubacar")</f>
        <v>Zakari Aboubacar</v>
      </c>
      <c r="B542" s="16"/>
      <c r="C542" s="14"/>
      <c r="F542" s="16" t="str">
        <f>IFERROR(__xludf.DUMMYFUNCTION("""COMPUTED_VALUE"""),"Adingirou")</f>
        <v>Adingirou</v>
      </c>
      <c r="G542" s="16"/>
      <c r="H542" s="14"/>
      <c r="K542" s="16">
        <f>IFERROR(__xludf.DUMMYFUNCTION("""COMPUTED_VALUE"""),723.0)</f>
        <v>723</v>
      </c>
      <c r="L542" s="16"/>
      <c r="M542" s="14"/>
    </row>
    <row r="543">
      <c r="A543" s="16" t="str">
        <f>IFERROR(__xludf.DUMMYFUNCTION("""COMPUTED_VALUE"""),"Binta Maikano Mahamane")</f>
        <v>Binta Maikano Mahamane</v>
      </c>
      <c r="B543" s="16"/>
      <c r="C543" s="14"/>
      <c r="F543" s="16" t="str">
        <f>IFERROR(__xludf.DUMMYFUNCTION("""COMPUTED_VALUE"""),"Zangon Moujia")</f>
        <v>Zangon Moujia</v>
      </c>
      <c r="G543" s="16"/>
      <c r="H543" s="14"/>
      <c r="K543" s="16">
        <f>IFERROR(__xludf.DUMMYFUNCTION("""COMPUTED_VALUE"""),675.0)</f>
        <v>675</v>
      </c>
      <c r="L543" s="16"/>
      <c r="M543" s="14"/>
    </row>
    <row r="544">
      <c r="A544" s="16" t="str">
        <f>IFERROR(__xludf.DUMMYFUNCTION("""COMPUTED_VALUE"""),"Saddy Youssouf")</f>
        <v>Saddy Youssouf</v>
      </c>
      <c r="B544" s="16"/>
      <c r="C544" s="14"/>
      <c r="F544" s="16" t="str">
        <f>IFERROR(__xludf.DUMMYFUNCTION("""COMPUTED_VALUE"""),"Zangon Moujia")</f>
        <v>Zangon Moujia</v>
      </c>
      <c r="G544" s="16"/>
      <c r="H544" s="14"/>
      <c r="K544" s="16">
        <f>IFERROR(__xludf.DUMMYFUNCTION("""COMPUTED_VALUE"""),929.0)</f>
        <v>929</v>
      </c>
      <c r="L544" s="16"/>
      <c r="M544" s="14"/>
    </row>
    <row r="545">
      <c r="A545" s="16" t="str">
        <f>IFERROR(__xludf.DUMMYFUNCTION("""COMPUTED_VALUE"""),"Saddy Youssouf")</f>
        <v>Saddy Youssouf</v>
      </c>
      <c r="B545" s="16"/>
      <c r="C545" s="14"/>
      <c r="F545" s="16" t="str">
        <f>IFERROR(__xludf.DUMMYFUNCTION("""COMPUTED_VALUE"""),"Tchigili")</f>
        <v>Tchigili</v>
      </c>
      <c r="G545" s="16"/>
      <c r="H545" s="14"/>
      <c r="K545" s="16">
        <f>IFERROR(__xludf.DUMMYFUNCTION("""COMPUTED_VALUE"""),471.0)</f>
        <v>471</v>
      </c>
      <c r="L545" s="16"/>
      <c r="M545" s="14"/>
    </row>
    <row r="546">
      <c r="A546" s="16" t="str">
        <f>IFERROR(__xludf.DUMMYFUNCTION("""COMPUTED_VALUE"""),"Saddy Youssouf")</f>
        <v>Saddy Youssouf</v>
      </c>
      <c r="B546" s="16"/>
      <c r="C546" s="14"/>
      <c r="F546" s="16" t="str">
        <f>IFERROR(__xludf.DUMMYFUNCTION("""COMPUTED_VALUE"""),"Gatchikey")</f>
        <v>Gatchikey</v>
      </c>
      <c r="G546" s="16"/>
      <c r="H546" s="14"/>
      <c r="K546" s="16">
        <f>IFERROR(__xludf.DUMMYFUNCTION("""COMPUTED_VALUE"""),528.0)</f>
        <v>528</v>
      </c>
      <c r="L546" s="16"/>
      <c r="M546" s="14"/>
    </row>
    <row r="547">
      <c r="A547" s="16" t="str">
        <f>IFERROR(__xludf.DUMMYFUNCTION("""COMPUTED_VALUE"""),"Saddy Youssouf")</f>
        <v>Saddy Youssouf</v>
      </c>
      <c r="B547" s="16"/>
      <c r="C547" s="14"/>
      <c r="F547" s="16" t="str">
        <f>IFERROR(__xludf.DUMMYFUNCTION("""COMPUTED_VALUE"""),"Gatchikey")</f>
        <v>Gatchikey</v>
      </c>
      <c r="G547" s="16"/>
      <c r="H547" s="14"/>
      <c r="K547" s="16">
        <f>IFERROR(__xludf.DUMMYFUNCTION("""COMPUTED_VALUE"""),1934.0)</f>
        <v>1934</v>
      </c>
      <c r="L547" s="16"/>
      <c r="M547" s="14"/>
    </row>
    <row r="548">
      <c r="A548" s="16" t="str">
        <f>IFERROR(__xludf.DUMMYFUNCTION("""COMPUTED_VALUE"""),"Issoufou Amadou Aichatou")</f>
        <v>Issoufou Amadou Aichatou</v>
      </c>
      <c r="B548" s="16"/>
      <c r="C548" s="14"/>
      <c r="F548" s="16" t="str">
        <f>IFERROR(__xludf.DUMMYFUNCTION("""COMPUTED_VALUE"""),"Guidan Karo II")</f>
        <v>Guidan Karo II</v>
      </c>
      <c r="G548" s="16"/>
      <c r="H548" s="14"/>
      <c r="K548" s="16">
        <f>IFERROR(__xludf.DUMMYFUNCTION("""COMPUTED_VALUE"""),2336.0)</f>
        <v>2336</v>
      </c>
      <c r="L548" s="16"/>
      <c r="M548" s="14"/>
    </row>
    <row r="549">
      <c r="A549" s="16" t="str">
        <f>IFERROR(__xludf.DUMMYFUNCTION("""COMPUTED_VALUE"""),"Issoufou Amadou Aichatou")</f>
        <v>Issoufou Amadou Aichatou</v>
      </c>
      <c r="B549" s="16"/>
      <c r="C549" s="14"/>
      <c r="F549" s="16" t="str">
        <f>IFERROR(__xludf.DUMMYFUNCTION("""COMPUTED_VALUE"""),"Guidan Karo II")</f>
        <v>Guidan Karo II</v>
      </c>
      <c r="G549" s="16"/>
      <c r="H549" s="14"/>
      <c r="K549" s="16">
        <f>IFERROR(__xludf.DUMMYFUNCTION("""COMPUTED_VALUE"""),2143.0)</f>
        <v>2143</v>
      </c>
      <c r="L549" s="16"/>
      <c r="M549" s="14"/>
    </row>
    <row r="550">
      <c r="A550" s="16" t="str">
        <f>IFERROR(__xludf.DUMMYFUNCTION("""COMPUTED_VALUE"""),"Issoufou Amadou Aichatou")</f>
        <v>Issoufou Amadou Aichatou</v>
      </c>
      <c r="B550" s="16"/>
      <c r="C550" s="14"/>
      <c r="F550" s="16" t="str">
        <f>IFERROR(__xludf.DUMMYFUNCTION("""COMPUTED_VALUE"""),"Guidan Daouda")</f>
        <v>Guidan Daouda</v>
      </c>
      <c r="G550" s="16"/>
      <c r="H550" s="14"/>
      <c r="K550" s="16">
        <f>IFERROR(__xludf.DUMMYFUNCTION("""COMPUTED_VALUE"""),425.0)</f>
        <v>425</v>
      </c>
      <c r="L550" s="16"/>
      <c r="M550" s="14"/>
    </row>
    <row r="551">
      <c r="A551" s="16" t="str">
        <f>IFERROR(__xludf.DUMMYFUNCTION("""COMPUTED_VALUE"""),"Issoufou Amadou Aichatou")</f>
        <v>Issoufou Amadou Aichatou</v>
      </c>
      <c r="B551" s="16"/>
      <c r="C551" s="14"/>
      <c r="F551" s="16" t="str">
        <f>IFERROR(__xludf.DUMMYFUNCTION("""COMPUTED_VALUE"""),"Guidan Daouda")</f>
        <v>Guidan Daouda</v>
      </c>
      <c r="G551" s="16"/>
      <c r="H551" s="14"/>
      <c r="K551" s="16">
        <f>IFERROR(__xludf.DUMMYFUNCTION("""COMPUTED_VALUE"""),2034.0)</f>
        <v>2034</v>
      </c>
      <c r="L551" s="16"/>
      <c r="M551" s="14"/>
    </row>
    <row r="552">
      <c r="A552" s="16" t="str">
        <f>IFERROR(__xludf.DUMMYFUNCTION("""COMPUTED_VALUE"""),"Issoufou Amadou Aichatou")</f>
        <v>Issoufou Amadou Aichatou</v>
      </c>
      <c r="B552" s="16"/>
      <c r="C552" s="14"/>
      <c r="F552" s="16" t="str">
        <f>IFERROR(__xludf.DUMMYFUNCTION("""COMPUTED_VALUE"""),"Guidan Daouda")</f>
        <v>Guidan Daouda</v>
      </c>
      <c r="G552" s="16"/>
      <c r="H552" s="14"/>
      <c r="K552" s="16">
        <f>IFERROR(__xludf.DUMMYFUNCTION("""COMPUTED_VALUE"""),2437.0)</f>
        <v>2437</v>
      </c>
      <c r="L552" s="16"/>
      <c r="M552" s="14"/>
    </row>
    <row r="553">
      <c r="A553" s="16" t="str">
        <f>IFERROR(__xludf.DUMMYFUNCTION("""COMPUTED_VALUE"""),"Abdoul Salami Ibrahim")</f>
        <v>Abdoul Salami Ibrahim</v>
      </c>
      <c r="B553" s="16"/>
      <c r="C553" s="14"/>
      <c r="F553" s="16" t="str">
        <f>IFERROR(__xludf.DUMMYFUNCTION("""COMPUTED_VALUE"""),"Guidan Daouda")</f>
        <v>Guidan Daouda</v>
      </c>
      <c r="G553" s="16"/>
      <c r="H553" s="14"/>
      <c r="K553" s="16">
        <f>IFERROR(__xludf.DUMMYFUNCTION("""COMPUTED_VALUE"""),533.0)</f>
        <v>533</v>
      </c>
      <c r="L553" s="16"/>
      <c r="M553" s="14"/>
    </row>
    <row r="554">
      <c r="A554" s="16" t="str">
        <f>IFERROR(__xludf.DUMMYFUNCTION("""COMPUTED_VALUE"""),"Abdoul Salami Ibrahim")</f>
        <v>Abdoul Salami Ibrahim</v>
      </c>
      <c r="B554" s="16"/>
      <c r="C554" s="14"/>
      <c r="F554" s="16" t="str">
        <f>IFERROR(__xludf.DUMMYFUNCTION("""COMPUTED_VALUE"""),"Guidan Daouda")</f>
        <v>Guidan Daouda</v>
      </c>
      <c r="G554" s="16"/>
      <c r="H554" s="14"/>
      <c r="K554" s="16">
        <f>IFERROR(__xludf.DUMMYFUNCTION("""COMPUTED_VALUE"""),1222.0)</f>
        <v>1222</v>
      </c>
      <c r="L554" s="16"/>
      <c r="M554" s="14"/>
    </row>
    <row r="555">
      <c r="A555" s="16" t="str">
        <f>IFERROR(__xludf.DUMMYFUNCTION("""COMPUTED_VALUE"""),"Abdoul Salami Ibrahim")</f>
        <v>Abdoul Salami Ibrahim</v>
      </c>
      <c r="B555" s="16"/>
      <c r="C555" s="14"/>
      <c r="F555" s="16" t="str">
        <f>IFERROR(__xludf.DUMMYFUNCTION("""COMPUTED_VALUE"""),"Guidan Daouda")</f>
        <v>Guidan Daouda</v>
      </c>
      <c r="G555" s="16"/>
      <c r="H555" s="14"/>
      <c r="K555" s="16">
        <f>IFERROR(__xludf.DUMMYFUNCTION("""COMPUTED_VALUE"""),1482.0)</f>
        <v>1482</v>
      </c>
      <c r="L555" s="16"/>
      <c r="M555" s="14"/>
    </row>
    <row r="556">
      <c r="A556" s="16" t="str">
        <f>IFERROR(__xludf.DUMMYFUNCTION("""COMPUTED_VALUE"""),"Sani Moussa Aboubacar")</f>
        <v>Sani Moussa Aboubacar</v>
      </c>
      <c r="B556" s="16"/>
      <c r="C556" s="14"/>
      <c r="F556" s="16" t="str">
        <f>IFERROR(__xludf.DUMMYFUNCTION("""COMPUTED_VALUE"""),"Guidan Daouda")</f>
        <v>Guidan Daouda</v>
      </c>
      <c r="G556" s="16"/>
      <c r="H556" s="14"/>
      <c r="K556" s="16">
        <f>IFERROR(__xludf.DUMMYFUNCTION("""COMPUTED_VALUE"""),1462.0)</f>
        <v>1462</v>
      </c>
      <c r="L556" s="16"/>
      <c r="M556" s="14"/>
    </row>
    <row r="557">
      <c r="A557" s="16" t="str">
        <f>IFERROR(__xludf.DUMMYFUNCTION("""COMPUTED_VALUE"""),"Abdoul Salami Ibrahim")</f>
        <v>Abdoul Salami Ibrahim</v>
      </c>
      <c r="B557" s="16"/>
      <c r="C557" s="14"/>
      <c r="F557" s="16" t="str">
        <f>IFERROR(__xludf.DUMMYFUNCTION("""COMPUTED_VALUE"""),"Guidan Daouda")</f>
        <v>Guidan Daouda</v>
      </c>
      <c r="G557" s="16"/>
      <c r="H557" s="14"/>
      <c r="K557" s="16">
        <f>IFERROR(__xludf.DUMMYFUNCTION("""COMPUTED_VALUE"""),777.0)</f>
        <v>777</v>
      </c>
      <c r="L557" s="16"/>
      <c r="M557" s="14"/>
    </row>
    <row r="558">
      <c r="A558" s="16" t="str">
        <f>IFERROR(__xludf.DUMMYFUNCTION("""COMPUTED_VALUE"""),"Abdoul Salami Ibrahim")</f>
        <v>Abdoul Salami Ibrahim</v>
      </c>
      <c r="B558" s="16"/>
      <c r="C558" s="14"/>
      <c r="F558" s="16" t="str">
        <f>IFERROR(__xludf.DUMMYFUNCTION("""COMPUTED_VALUE"""),"Warao")</f>
        <v>Warao</v>
      </c>
      <c r="G558" s="16"/>
      <c r="H558" s="14"/>
      <c r="K558" s="16">
        <f>IFERROR(__xludf.DUMMYFUNCTION("""COMPUTED_VALUE"""),1781.0)</f>
        <v>1781</v>
      </c>
      <c r="L558" s="16"/>
      <c r="M558" s="14"/>
    </row>
    <row r="559">
      <c r="A559" s="16" t="str">
        <f>IFERROR(__xludf.DUMMYFUNCTION("""COMPUTED_VALUE"""),"Abdoul Salami Ibrahim")</f>
        <v>Abdoul Salami Ibrahim</v>
      </c>
      <c r="B559" s="16"/>
      <c r="C559" s="14"/>
      <c r="F559" s="16" t="str">
        <f>IFERROR(__xludf.DUMMYFUNCTION("""COMPUTED_VALUE"""),"Warao")</f>
        <v>Warao</v>
      </c>
      <c r="G559" s="16"/>
      <c r="H559" s="14"/>
      <c r="K559" s="16">
        <f>IFERROR(__xludf.DUMMYFUNCTION("""COMPUTED_VALUE"""),632.0)</f>
        <v>632</v>
      </c>
      <c r="L559" s="16"/>
      <c r="M559" s="14"/>
    </row>
    <row r="560">
      <c r="A560" s="16" t="str">
        <f>IFERROR(__xludf.DUMMYFUNCTION("""COMPUTED_VALUE"""),"Sani Moussa Aboubacar")</f>
        <v>Sani Moussa Aboubacar</v>
      </c>
      <c r="B560" s="16"/>
      <c r="C560" s="14"/>
      <c r="F560" s="16" t="str">
        <f>IFERROR(__xludf.DUMMYFUNCTION("""COMPUTED_VALUE"""),"Warao")</f>
        <v>Warao</v>
      </c>
      <c r="G560" s="16"/>
      <c r="H560" s="14"/>
      <c r="K560" s="16">
        <f>IFERROR(__xludf.DUMMYFUNCTION("""COMPUTED_VALUE"""),1805.0)</f>
        <v>1805</v>
      </c>
      <c r="L560" s="16"/>
      <c r="M560" s="14"/>
    </row>
    <row r="561">
      <c r="A561" s="16" t="str">
        <f>IFERROR(__xludf.DUMMYFUNCTION("""COMPUTED_VALUE"""),"Haladou Boukar")</f>
        <v>Haladou Boukar</v>
      </c>
      <c r="B561" s="16"/>
      <c r="C561" s="14"/>
      <c r="F561" s="16" t="str">
        <f>IFERROR(__xludf.DUMMYFUNCTION("""COMPUTED_VALUE"""),"Warao")</f>
        <v>Warao</v>
      </c>
      <c r="G561" s="16"/>
      <c r="H561" s="14"/>
      <c r="K561" s="16">
        <f>IFERROR(__xludf.DUMMYFUNCTION("""COMPUTED_VALUE"""),908.0)</f>
        <v>908</v>
      </c>
      <c r="L561" s="16"/>
      <c r="M561" s="14"/>
    </row>
    <row r="562">
      <c r="A562" s="16" t="str">
        <f>IFERROR(__xludf.DUMMYFUNCTION("""COMPUTED_VALUE"""),"Haladou Boukar")</f>
        <v>Haladou Boukar</v>
      </c>
      <c r="B562" s="16"/>
      <c r="C562" s="14"/>
      <c r="F562" s="16" t="str">
        <f>IFERROR(__xludf.DUMMYFUNCTION("""COMPUTED_VALUE"""),"Gatchikey")</f>
        <v>Gatchikey</v>
      </c>
      <c r="G562" s="16"/>
      <c r="H562" s="14"/>
      <c r="K562" s="16">
        <f>IFERROR(__xludf.DUMMYFUNCTION("""COMPUTED_VALUE"""),1070.0)</f>
        <v>1070</v>
      </c>
      <c r="L562" s="16"/>
      <c r="M562" s="14"/>
    </row>
    <row r="563">
      <c r="A563" s="16" t="str">
        <f>IFERROR(__xludf.DUMMYFUNCTION("""COMPUTED_VALUE"""),"Haladou Boukar")</f>
        <v>Haladou Boukar</v>
      </c>
      <c r="B563" s="16"/>
      <c r="C563" s="14"/>
      <c r="F563" s="16" t="str">
        <f>IFERROR(__xludf.DUMMYFUNCTION("""COMPUTED_VALUE"""),"Gatchikey")</f>
        <v>Gatchikey</v>
      </c>
      <c r="G563" s="16"/>
      <c r="H563" s="14"/>
      <c r="K563" s="16">
        <f>IFERROR(__xludf.DUMMYFUNCTION("""COMPUTED_VALUE"""),833.0)</f>
        <v>833</v>
      </c>
      <c r="L563" s="16"/>
      <c r="M563" s="14"/>
    </row>
    <row r="564">
      <c r="A564" s="16" t="str">
        <f>IFERROR(__xludf.DUMMYFUNCTION("""COMPUTED_VALUE"""),"Haladou Boukar")</f>
        <v>Haladou Boukar</v>
      </c>
      <c r="B564" s="16"/>
      <c r="C564" s="14"/>
      <c r="F564" s="16" t="str">
        <f>IFERROR(__xludf.DUMMYFUNCTION("""COMPUTED_VALUE"""),"Gatchikey")</f>
        <v>Gatchikey</v>
      </c>
      <c r="G564" s="16"/>
      <c r="H564" s="14"/>
      <c r="K564" s="16">
        <f>IFERROR(__xludf.DUMMYFUNCTION("""COMPUTED_VALUE"""),733.0)</f>
        <v>733</v>
      </c>
      <c r="L564" s="16"/>
      <c r="M564" s="14"/>
    </row>
    <row r="565">
      <c r="A565" s="16" t="str">
        <f>IFERROR(__xludf.DUMMYFUNCTION("""COMPUTED_VALUE"""),"Adamou Halidou Daouda")</f>
        <v>Adamou Halidou Daouda</v>
      </c>
      <c r="B565" s="16"/>
      <c r="C565" s="14"/>
      <c r="F565" s="16" t="str">
        <f>IFERROR(__xludf.DUMMYFUNCTION("""COMPUTED_VALUE"""),"Gatchikey")</f>
        <v>Gatchikey</v>
      </c>
      <c r="G565" s="16"/>
      <c r="H565" s="14"/>
      <c r="K565" s="16">
        <f>IFERROR(__xludf.DUMMYFUNCTION("""COMPUTED_VALUE"""),688.0)</f>
        <v>688</v>
      </c>
      <c r="L565" s="16"/>
      <c r="M565" s="14"/>
    </row>
    <row r="566">
      <c r="A566" s="16" t="str">
        <f>IFERROR(__xludf.DUMMYFUNCTION("""COMPUTED_VALUE"""),"Adamou Halidou Daouda")</f>
        <v>Adamou Halidou Daouda</v>
      </c>
      <c r="B566" s="16"/>
      <c r="C566" s="14"/>
      <c r="F566" s="16" t="str">
        <f>IFERROR(__xludf.DUMMYFUNCTION("""COMPUTED_VALUE"""),"Gatchikey")</f>
        <v>Gatchikey</v>
      </c>
      <c r="G566" s="16"/>
      <c r="H566" s="14"/>
      <c r="K566" s="16">
        <f>IFERROR(__xludf.DUMMYFUNCTION("""COMPUTED_VALUE"""),563.0)</f>
        <v>563</v>
      </c>
      <c r="L566" s="16"/>
      <c r="M566" s="14"/>
    </row>
    <row r="567">
      <c r="A567" s="16" t="str">
        <f>IFERROR(__xludf.DUMMYFUNCTION("""COMPUTED_VALUE"""),"Adamou Halidou Daouda")</f>
        <v>Adamou Halidou Daouda</v>
      </c>
      <c r="B567" s="16"/>
      <c r="C567" s="14"/>
      <c r="F567" s="16" t="str">
        <f>IFERROR(__xludf.DUMMYFUNCTION("""COMPUTED_VALUE"""),"Gatchikey")</f>
        <v>Gatchikey</v>
      </c>
      <c r="G567" s="16"/>
      <c r="H567" s="14"/>
      <c r="K567" s="16">
        <f>IFERROR(__xludf.DUMMYFUNCTION("""COMPUTED_VALUE"""),497.0)</f>
        <v>497</v>
      </c>
      <c r="L567" s="16"/>
      <c r="M567" s="14"/>
    </row>
    <row r="568">
      <c r="A568" s="16" t="str">
        <f>IFERROR(__xludf.DUMMYFUNCTION("""COMPUTED_VALUE"""),"Mathieu Alphonse Rachida Juliette")</f>
        <v>Mathieu Alphonse Rachida Juliette</v>
      </c>
      <c r="B568" s="16"/>
      <c r="C568" s="14"/>
      <c r="F568" s="16" t="str">
        <f>IFERROR(__xludf.DUMMYFUNCTION("""COMPUTED_VALUE"""),"Gatchikey")</f>
        <v>Gatchikey</v>
      </c>
      <c r="G568" s="16"/>
      <c r="H568" s="14"/>
      <c r="K568" s="16">
        <f>IFERROR(__xludf.DUMMYFUNCTION("""COMPUTED_VALUE"""),1593.0)</f>
        <v>1593</v>
      </c>
      <c r="L568" s="16"/>
      <c r="M568" s="14"/>
    </row>
    <row r="569">
      <c r="A569" s="16" t="str">
        <f>IFERROR(__xludf.DUMMYFUNCTION("""COMPUTED_VALUE"""),"Mathieu Alphonse Rachida Juliette")</f>
        <v>Mathieu Alphonse Rachida Juliette</v>
      </c>
      <c r="B569" s="16"/>
      <c r="C569" s="14"/>
      <c r="F569" s="16" t="str">
        <f>IFERROR(__xludf.DUMMYFUNCTION("""COMPUTED_VALUE"""),"Gatchikey")</f>
        <v>Gatchikey</v>
      </c>
      <c r="G569" s="16"/>
      <c r="H569" s="14"/>
      <c r="K569" s="16">
        <f>IFERROR(__xludf.DUMMYFUNCTION("""COMPUTED_VALUE"""),1412.0)</f>
        <v>1412</v>
      </c>
      <c r="L569" s="16"/>
      <c r="M569" s="14"/>
    </row>
    <row r="570">
      <c r="A570" s="16" t="str">
        <f>IFERROR(__xludf.DUMMYFUNCTION("""COMPUTED_VALUE"""),"Moumouni Adamou Yahaya")</f>
        <v>Moumouni Adamou Yahaya</v>
      </c>
      <c r="B570" s="16"/>
      <c r="C570" s="14"/>
      <c r="F570" s="16" t="str">
        <f>IFERROR(__xludf.DUMMYFUNCTION("""COMPUTED_VALUE"""),"Warao")</f>
        <v>Warao</v>
      </c>
      <c r="G570" s="16"/>
      <c r="H570" s="14"/>
      <c r="K570" s="16">
        <f>IFERROR(__xludf.DUMMYFUNCTION("""COMPUTED_VALUE"""),1350.0)</f>
        <v>1350</v>
      </c>
      <c r="L570" s="16"/>
      <c r="M570" s="14"/>
    </row>
    <row r="571">
      <c r="A571" s="16" t="str">
        <f>IFERROR(__xludf.DUMMYFUNCTION("""COMPUTED_VALUE"""),"Larabou Chamsoudine")</f>
        <v>Larabou Chamsoudine</v>
      </c>
      <c r="B571" s="16"/>
      <c r="C571" s="14"/>
      <c r="F571" s="16" t="str">
        <f>IFERROR(__xludf.DUMMYFUNCTION("""COMPUTED_VALUE"""),"Warao")</f>
        <v>Warao</v>
      </c>
      <c r="G571" s="16"/>
      <c r="H571" s="14"/>
      <c r="K571" s="16">
        <f>IFERROR(__xludf.DUMMYFUNCTION("""COMPUTED_VALUE"""),1432.0)</f>
        <v>1432</v>
      </c>
      <c r="L571" s="16"/>
      <c r="M571" s="14"/>
    </row>
    <row r="572">
      <c r="A572" s="16" t="str">
        <f>IFERROR(__xludf.DUMMYFUNCTION("""COMPUTED_VALUE"""),"Kadidja Issaka Hamidou")</f>
        <v>Kadidja Issaka Hamidou</v>
      </c>
      <c r="B572" s="16"/>
      <c r="C572" s="14"/>
      <c r="F572" s="16" t="str">
        <f>IFERROR(__xludf.DUMMYFUNCTION("""COMPUTED_VALUE"""),"Warao")</f>
        <v>Warao</v>
      </c>
      <c r="G572" s="16"/>
      <c r="H572" s="14"/>
      <c r="K572" s="16">
        <f>IFERROR(__xludf.DUMMYFUNCTION("""COMPUTED_VALUE"""),348.0)</f>
        <v>348</v>
      </c>
      <c r="L572" s="16"/>
      <c r="M572" s="14"/>
    </row>
    <row r="573">
      <c r="A573" s="16" t="str">
        <f>IFERROR(__xludf.DUMMYFUNCTION("""COMPUTED_VALUE"""),"Larabou Chamsoudine")</f>
        <v>Larabou Chamsoudine</v>
      </c>
      <c r="B573" s="16"/>
      <c r="C573" s="14"/>
      <c r="F573" s="16" t="str">
        <f>IFERROR(__xludf.DUMMYFUNCTION("""COMPUTED_VALUE"""),"Warao")</f>
        <v>Warao</v>
      </c>
      <c r="G573" s="16"/>
      <c r="H573" s="14"/>
      <c r="K573" s="16">
        <f>IFERROR(__xludf.DUMMYFUNCTION("""COMPUTED_VALUE"""),751.0)</f>
        <v>751</v>
      </c>
      <c r="L573" s="16"/>
      <c r="M573" s="14"/>
    </row>
    <row r="574">
      <c r="A574" s="16" t="str">
        <f>IFERROR(__xludf.DUMMYFUNCTION("""COMPUTED_VALUE"""),"Larabou Chamsoudine")</f>
        <v>Larabou Chamsoudine</v>
      </c>
      <c r="B574" s="16"/>
      <c r="C574" s="14"/>
      <c r="F574" s="16" t="str">
        <f>IFERROR(__xludf.DUMMYFUNCTION("""COMPUTED_VALUE"""),"Guidan Daouda")</f>
        <v>Guidan Daouda</v>
      </c>
      <c r="G574" s="16"/>
      <c r="H574" s="14"/>
      <c r="K574" s="16">
        <f>IFERROR(__xludf.DUMMYFUNCTION("""COMPUTED_VALUE"""),555.0)</f>
        <v>555</v>
      </c>
      <c r="L574" s="16"/>
      <c r="M574" s="14"/>
    </row>
    <row r="575">
      <c r="A575" s="16" t="str">
        <f>IFERROR(__xludf.DUMMYFUNCTION("""COMPUTED_VALUE"""),"Larabou Chamsoudine")</f>
        <v>Larabou Chamsoudine</v>
      </c>
      <c r="B575" s="16"/>
      <c r="C575" s="14"/>
      <c r="F575" s="16" t="str">
        <f>IFERROR(__xludf.DUMMYFUNCTION("""COMPUTED_VALUE"""),"Kousa (Beidi)")</f>
        <v>Kousa (Beidi)</v>
      </c>
      <c r="G575" s="16"/>
      <c r="H575" s="14"/>
      <c r="K575" s="16">
        <f>IFERROR(__xludf.DUMMYFUNCTION("""COMPUTED_VALUE"""),935.0)</f>
        <v>935</v>
      </c>
      <c r="L575" s="16"/>
      <c r="M575" s="14"/>
    </row>
    <row r="576">
      <c r="A576" s="16" t="str">
        <f>IFERROR(__xludf.DUMMYFUNCTION("""COMPUTED_VALUE"""),"Larabou Chamsoudine")</f>
        <v>Larabou Chamsoudine</v>
      </c>
      <c r="B576" s="16"/>
      <c r="C576" s="14"/>
      <c r="F576" s="16" t="str">
        <f>IFERROR(__xludf.DUMMYFUNCTION("""COMPUTED_VALUE"""),"Warao")</f>
        <v>Warao</v>
      </c>
      <c r="G576" s="16"/>
      <c r="H576" s="14"/>
      <c r="K576" s="16">
        <f>IFERROR(__xludf.DUMMYFUNCTION("""COMPUTED_VALUE"""),481.0)</f>
        <v>481</v>
      </c>
      <c r="L576" s="16"/>
      <c r="M576" s="14"/>
    </row>
    <row r="577">
      <c r="A577" s="16" t="str">
        <f>IFERROR(__xludf.DUMMYFUNCTION("""COMPUTED_VALUE"""),"Moussa Ide Ibrahim")</f>
        <v>Moussa Ide Ibrahim</v>
      </c>
      <c r="B577" s="16"/>
      <c r="C577" s="14"/>
      <c r="F577" s="16" t="str">
        <f>IFERROR(__xludf.DUMMYFUNCTION("""COMPUTED_VALUE"""),"Warao")</f>
        <v>Warao</v>
      </c>
      <c r="G577" s="16"/>
      <c r="H577" s="14"/>
      <c r="K577" s="16">
        <f>IFERROR(__xludf.DUMMYFUNCTION("""COMPUTED_VALUE"""),1326.0)</f>
        <v>1326</v>
      </c>
      <c r="L577" s="16"/>
      <c r="M577" s="14"/>
    </row>
    <row r="578">
      <c r="A578" s="16" t="str">
        <f>IFERROR(__xludf.DUMMYFUNCTION("""COMPUTED_VALUE"""),"Moussa Ide Ibrahim")</f>
        <v>Moussa Ide Ibrahim</v>
      </c>
      <c r="B578" s="16"/>
      <c r="C578" s="14"/>
      <c r="F578" s="16" t="str">
        <f>IFERROR(__xludf.DUMMYFUNCTION("""COMPUTED_VALUE"""),"Warao")</f>
        <v>Warao</v>
      </c>
      <c r="G578" s="16"/>
      <c r="H578" s="14"/>
      <c r="K578" s="16">
        <f>IFERROR(__xludf.DUMMYFUNCTION("""COMPUTED_VALUE"""),784.0)</f>
        <v>784</v>
      </c>
      <c r="L578" s="16"/>
      <c r="M578" s="14"/>
    </row>
    <row r="579">
      <c r="A579" s="16" t="str">
        <f>IFERROR(__xludf.DUMMYFUNCTION("""COMPUTED_VALUE"""),"Amadou Mariama")</f>
        <v>Amadou Mariama</v>
      </c>
      <c r="B579" s="16"/>
      <c r="C579" s="14"/>
      <c r="F579" s="16" t="str">
        <f>IFERROR(__xludf.DUMMYFUNCTION("""COMPUTED_VALUE"""),"Kousa (Beidi)")</f>
        <v>Kousa (Beidi)</v>
      </c>
      <c r="G579" s="16"/>
      <c r="H579" s="14"/>
      <c r="K579" s="16">
        <f>IFERROR(__xludf.DUMMYFUNCTION("""COMPUTED_VALUE"""),624.0)</f>
        <v>624</v>
      </c>
      <c r="L579" s="16"/>
      <c r="M579" s="14"/>
    </row>
    <row r="580">
      <c r="A580" s="16" t="str">
        <f>IFERROR(__xludf.DUMMYFUNCTION("""COMPUTED_VALUE"""),"Kimba Issa Mamoudou")</f>
        <v>Kimba Issa Mamoudou</v>
      </c>
      <c r="B580" s="16"/>
      <c r="C580" s="14"/>
      <c r="F580" s="16" t="str">
        <f>IFERROR(__xludf.DUMMYFUNCTION("""COMPUTED_VALUE"""),"Warao")</f>
        <v>Warao</v>
      </c>
      <c r="G580" s="16"/>
      <c r="H580" s="14"/>
      <c r="K580" s="16">
        <f>IFERROR(__xludf.DUMMYFUNCTION("""COMPUTED_VALUE"""),747.0)</f>
        <v>747</v>
      </c>
      <c r="L580" s="16"/>
      <c r="M580" s="14"/>
    </row>
    <row r="581">
      <c r="A581" s="16" t="str">
        <f>IFERROR(__xludf.DUMMYFUNCTION("""COMPUTED_VALUE"""),"Kimba Issa Mamoudou")</f>
        <v>Kimba Issa Mamoudou</v>
      </c>
      <c r="B581" s="16"/>
      <c r="C581" s="14"/>
      <c r="F581" s="16" t="str">
        <f>IFERROR(__xludf.DUMMYFUNCTION("""COMPUTED_VALUE"""),"Warao")</f>
        <v>Warao</v>
      </c>
      <c r="G581" s="16"/>
      <c r="H581" s="14"/>
      <c r="K581" s="16">
        <f>IFERROR(__xludf.DUMMYFUNCTION("""COMPUTED_VALUE"""),601.0)</f>
        <v>601</v>
      </c>
      <c r="L581" s="16"/>
      <c r="M581" s="14"/>
    </row>
    <row r="582">
      <c r="A582" s="16" t="str">
        <f>IFERROR(__xludf.DUMMYFUNCTION("""COMPUTED_VALUE"""),"Kimba Issa Mamoudou")</f>
        <v>Kimba Issa Mamoudou</v>
      </c>
      <c r="B582" s="16"/>
      <c r="C582" s="14"/>
      <c r="F582" s="16" t="str">
        <f>IFERROR(__xludf.DUMMYFUNCTION("""COMPUTED_VALUE"""),"Warao")</f>
        <v>Warao</v>
      </c>
      <c r="G582" s="16"/>
      <c r="H582" s="14"/>
      <c r="K582" s="16">
        <f>IFERROR(__xludf.DUMMYFUNCTION("""COMPUTED_VALUE"""),611.0)</f>
        <v>611</v>
      </c>
      <c r="L582" s="16"/>
      <c r="M582" s="14"/>
    </row>
    <row r="583">
      <c r="A583" s="16" t="str">
        <f>IFERROR(__xludf.DUMMYFUNCTION("""COMPUTED_VALUE"""),"Moussa Ide Ibrahim")</f>
        <v>Moussa Ide Ibrahim</v>
      </c>
      <c r="B583" s="16"/>
      <c r="C583" s="14"/>
      <c r="F583" s="16" t="str">
        <f>IFERROR(__xludf.DUMMYFUNCTION("""COMPUTED_VALUE"""),"Warao")</f>
        <v>Warao</v>
      </c>
      <c r="G583" s="16"/>
      <c r="H583" s="14"/>
      <c r="K583" s="16">
        <f>IFERROR(__xludf.DUMMYFUNCTION("""COMPUTED_VALUE"""),3387.0)</f>
        <v>3387</v>
      </c>
      <c r="L583" s="16"/>
      <c r="M583" s="14"/>
    </row>
    <row r="584">
      <c r="A584" s="16" t="str">
        <f>IFERROR(__xludf.DUMMYFUNCTION("""COMPUTED_VALUE"""),"Moussa Ide Ibrahim")</f>
        <v>Moussa Ide Ibrahim</v>
      </c>
      <c r="B584" s="16"/>
      <c r="C584" s="14"/>
      <c r="F584" s="16" t="str">
        <f>IFERROR(__xludf.DUMMYFUNCTION("""COMPUTED_VALUE"""),"Gatchikey")</f>
        <v>Gatchikey</v>
      </c>
      <c r="G584" s="16"/>
      <c r="H584" s="14"/>
      <c r="K584" s="16">
        <f>IFERROR(__xludf.DUMMYFUNCTION("""COMPUTED_VALUE"""),803.0)</f>
        <v>803</v>
      </c>
      <c r="L584" s="16"/>
      <c r="M584" s="14"/>
    </row>
    <row r="585">
      <c r="A585" s="16" t="str">
        <f>IFERROR(__xludf.DUMMYFUNCTION("""COMPUTED_VALUE"""),"Amadou Hamidou Abdoul Karim")</f>
        <v>Amadou Hamidou Abdoul Karim</v>
      </c>
      <c r="B585" s="16"/>
      <c r="C585" s="14"/>
      <c r="F585" s="16" t="str">
        <f>IFERROR(__xludf.DUMMYFUNCTION("""COMPUTED_VALUE"""),"Gatchikey")</f>
        <v>Gatchikey</v>
      </c>
      <c r="G585" s="16"/>
      <c r="H585" s="14"/>
      <c r="K585" s="16">
        <f>IFERROR(__xludf.DUMMYFUNCTION("""COMPUTED_VALUE"""),2060.0)</f>
        <v>2060</v>
      </c>
      <c r="L585" s="16"/>
      <c r="M585" s="14"/>
    </row>
    <row r="586">
      <c r="A586" s="16" t="str">
        <f>IFERROR(__xludf.DUMMYFUNCTION("""COMPUTED_VALUE"""),"Amadou Hamidou Abdoul Karim")</f>
        <v>Amadou Hamidou Abdoul Karim</v>
      </c>
      <c r="B586" s="16"/>
      <c r="C586" s="14"/>
      <c r="F586" s="16" t="str">
        <f>IFERROR(__xludf.DUMMYFUNCTION("""COMPUTED_VALUE"""),"Gatchikey")</f>
        <v>Gatchikey</v>
      </c>
      <c r="G586" s="16"/>
      <c r="H586" s="14"/>
      <c r="K586" s="16">
        <f>IFERROR(__xludf.DUMMYFUNCTION("""COMPUTED_VALUE"""),1859.0)</f>
        <v>1859</v>
      </c>
      <c r="L586" s="16"/>
      <c r="M586" s="14"/>
    </row>
    <row r="587">
      <c r="A587" s="16" t="str">
        <f>IFERROR(__xludf.DUMMYFUNCTION("""COMPUTED_VALUE"""),"Halimatou Adamou Marafa")</f>
        <v>Halimatou Adamou Marafa</v>
      </c>
      <c r="B587" s="16"/>
      <c r="C587" s="14"/>
      <c r="F587" s="16" t="str">
        <f>IFERROR(__xludf.DUMMYFUNCTION("""COMPUTED_VALUE"""),"Gatchikey")</f>
        <v>Gatchikey</v>
      </c>
      <c r="G587" s="16"/>
      <c r="H587" s="14"/>
      <c r="K587" s="16">
        <f>IFERROR(__xludf.DUMMYFUNCTION("""COMPUTED_VALUE"""),2532.0)</f>
        <v>2532</v>
      </c>
      <c r="L587" s="16"/>
      <c r="M587" s="14"/>
    </row>
    <row r="588">
      <c r="A588" s="16" t="str">
        <f>IFERROR(__xludf.DUMMYFUNCTION("""COMPUTED_VALUE"""),"Abdoul Razak Mahamane Boukari")</f>
        <v>Abdoul Razak Mahamane Boukari</v>
      </c>
      <c r="B588" s="16"/>
      <c r="C588" s="14"/>
      <c r="F588" s="16" t="str">
        <f>IFERROR(__xludf.DUMMYFUNCTION("""COMPUTED_VALUE"""),"Gatchikey")</f>
        <v>Gatchikey</v>
      </c>
      <c r="G588" s="16"/>
      <c r="H588" s="14"/>
      <c r="K588" s="16">
        <f>IFERROR(__xludf.DUMMYFUNCTION("""COMPUTED_VALUE"""),1864.0)</f>
        <v>1864</v>
      </c>
      <c r="L588" s="16"/>
      <c r="M588" s="14"/>
    </row>
    <row r="589">
      <c r="A589" s="16" t="str">
        <f>IFERROR(__xludf.DUMMYFUNCTION("""COMPUTED_VALUE"""),"Abdoul Razak Mahamane Boukari")</f>
        <v>Abdoul Razak Mahamane Boukari</v>
      </c>
      <c r="B589" s="16"/>
      <c r="C589" s="14"/>
      <c r="F589" s="16" t="str">
        <f>IFERROR(__xludf.DUMMYFUNCTION("""COMPUTED_VALUE"""),"Guidan Karo I")</f>
        <v>Guidan Karo I</v>
      </c>
      <c r="G589" s="16"/>
      <c r="H589" s="14"/>
      <c r="K589" s="16">
        <f>IFERROR(__xludf.DUMMYFUNCTION("""COMPUTED_VALUE"""),533.0)</f>
        <v>533</v>
      </c>
      <c r="L589" s="16"/>
      <c r="M589" s="14"/>
    </row>
    <row r="590">
      <c r="A590" s="16" t="str">
        <f>IFERROR(__xludf.DUMMYFUNCTION("""COMPUTED_VALUE"""),"Abdoul Razak Mahamane Boukari")</f>
        <v>Abdoul Razak Mahamane Boukari</v>
      </c>
      <c r="B590" s="16"/>
      <c r="C590" s="14"/>
      <c r="F590" s="16" t="str">
        <f>IFERROR(__xludf.DUMMYFUNCTION("""COMPUTED_VALUE"""),"Gatchikey")</f>
        <v>Gatchikey</v>
      </c>
      <c r="G590" s="16"/>
      <c r="H590" s="14"/>
      <c r="K590" s="16">
        <f>IFERROR(__xludf.DUMMYFUNCTION("""COMPUTED_VALUE"""),2225.0)</f>
        <v>2225</v>
      </c>
      <c r="L590" s="16"/>
      <c r="M590" s="14"/>
    </row>
    <row r="591">
      <c r="A591" s="16" t="str">
        <f>IFERROR(__xludf.DUMMYFUNCTION("""COMPUTED_VALUE"""),"Abdoul Razak Mahamane Boukari")</f>
        <v>Abdoul Razak Mahamane Boukari</v>
      </c>
      <c r="B591" s="16"/>
      <c r="C591" s="14"/>
      <c r="F591" s="16" t="str">
        <f>IFERROR(__xludf.DUMMYFUNCTION("""COMPUTED_VALUE"""),"Gatchikey")</f>
        <v>Gatchikey</v>
      </c>
      <c r="G591" s="16"/>
      <c r="H591" s="14"/>
      <c r="K591" s="16">
        <f>IFERROR(__xludf.DUMMYFUNCTION("""COMPUTED_VALUE"""),1272.0)</f>
        <v>1272</v>
      </c>
      <c r="L591" s="16"/>
      <c r="M591" s="14"/>
    </row>
    <row r="592">
      <c r="A592" s="16" t="str">
        <f>IFERROR(__xludf.DUMMYFUNCTION("""COMPUTED_VALUE"""),"Abdoul Razak Mahamane Boukari")</f>
        <v>Abdoul Razak Mahamane Boukari</v>
      </c>
      <c r="B592" s="16"/>
      <c r="C592" s="14"/>
      <c r="F592" s="16" t="str">
        <f>IFERROR(__xludf.DUMMYFUNCTION("""COMPUTED_VALUE"""),"Gatchikey")</f>
        <v>Gatchikey</v>
      </c>
      <c r="G592" s="16"/>
      <c r="H592" s="14"/>
      <c r="K592" s="16">
        <f>IFERROR(__xludf.DUMMYFUNCTION("""COMPUTED_VALUE"""),634.0)</f>
        <v>634</v>
      </c>
      <c r="L592" s="16"/>
      <c r="M592" s="14"/>
    </row>
    <row r="593">
      <c r="A593" s="16" t="str">
        <f>IFERROR(__xludf.DUMMYFUNCTION("""COMPUTED_VALUE"""),"Binta Maman")</f>
        <v>Binta Maman</v>
      </c>
      <c r="B593" s="16"/>
      <c r="C593" s="14"/>
      <c r="F593" s="16" t="str">
        <f>IFERROR(__xludf.DUMMYFUNCTION("""COMPUTED_VALUE"""),"Guidan Daouda")</f>
        <v>Guidan Daouda</v>
      </c>
      <c r="G593" s="16"/>
      <c r="H593" s="14"/>
      <c r="K593" s="16">
        <f>IFERROR(__xludf.DUMMYFUNCTION("""COMPUTED_VALUE"""),344.0)</f>
        <v>344</v>
      </c>
      <c r="L593" s="16"/>
      <c r="M593" s="14"/>
    </row>
    <row r="594">
      <c r="A594" s="16" t="str">
        <f>IFERROR(__xludf.DUMMYFUNCTION("""COMPUTED_VALUE"""),"Binta Maman")</f>
        <v>Binta Maman</v>
      </c>
      <c r="B594" s="16"/>
      <c r="C594" s="14"/>
      <c r="F594" s="16" t="str">
        <f>IFERROR(__xludf.DUMMYFUNCTION("""COMPUTED_VALUE"""),"Guidan Daouda")</f>
        <v>Guidan Daouda</v>
      </c>
      <c r="G594" s="16"/>
      <c r="H594" s="14"/>
      <c r="K594" s="16">
        <f>IFERROR(__xludf.DUMMYFUNCTION("""COMPUTED_VALUE"""),2405.0)</f>
        <v>2405</v>
      </c>
      <c r="L594" s="16"/>
      <c r="M594" s="14"/>
    </row>
    <row r="595">
      <c r="A595" s="16" t="str">
        <f>IFERROR(__xludf.DUMMYFUNCTION("""COMPUTED_VALUE"""),"Hadjara Abdourahamane Tambari")</f>
        <v>Hadjara Abdourahamane Tambari</v>
      </c>
      <c r="B595" s="16"/>
      <c r="C595" s="14"/>
      <c r="F595" s="16" t="str">
        <f>IFERROR(__xludf.DUMMYFUNCTION("""COMPUTED_VALUE"""),"Guidan Daouda")</f>
        <v>Guidan Daouda</v>
      </c>
      <c r="G595" s="16"/>
      <c r="H595" s="14"/>
      <c r="K595" s="16">
        <f>IFERROR(__xludf.DUMMYFUNCTION("""COMPUTED_VALUE"""),2143.0)</f>
        <v>2143</v>
      </c>
      <c r="L595" s="16"/>
      <c r="M595" s="14"/>
    </row>
    <row r="596">
      <c r="A596" s="16" t="str">
        <f>IFERROR(__xludf.DUMMYFUNCTION("""COMPUTED_VALUE"""),"ALASSANE TAWEY AWALOU")</f>
        <v>ALASSANE TAWEY AWALOU</v>
      </c>
      <c r="B596" s="16"/>
      <c r="C596" s="14"/>
      <c r="F596" s="16" t="str">
        <f>IFERROR(__xludf.DUMMYFUNCTION("""COMPUTED_VALUE"""),"Guidan Daouda")</f>
        <v>Guidan Daouda</v>
      </c>
      <c r="G596" s="16"/>
      <c r="H596" s="14"/>
      <c r="K596" s="16">
        <f>IFERROR(__xludf.DUMMYFUNCTION("""COMPUTED_VALUE"""),1687.0)</f>
        <v>1687</v>
      </c>
      <c r="L596" s="16"/>
      <c r="M596" s="14"/>
    </row>
    <row r="597">
      <c r="A597" s="16" t="str">
        <f>IFERROR(__xludf.DUMMYFUNCTION("""COMPUTED_VALUE"""),"ALASSANE TAWEY AWALOU")</f>
        <v>ALASSANE TAWEY AWALOU</v>
      </c>
      <c r="B597" s="16"/>
      <c r="C597" s="14"/>
      <c r="F597" s="16" t="str">
        <f>IFERROR(__xludf.DUMMYFUNCTION("""COMPUTED_VALUE"""),"Guidan Daouda")</f>
        <v>Guidan Daouda</v>
      </c>
      <c r="G597" s="16"/>
      <c r="H597" s="14"/>
      <c r="K597" s="16">
        <f>IFERROR(__xludf.DUMMYFUNCTION("""COMPUTED_VALUE"""),460.0)</f>
        <v>460</v>
      </c>
      <c r="L597" s="16"/>
      <c r="M597" s="14"/>
    </row>
    <row r="598">
      <c r="A598" s="16" t="str">
        <f>IFERROR(__xludf.DUMMYFUNCTION("""COMPUTED_VALUE"""),"Ibrahim Dan Habou Larwana")</f>
        <v>Ibrahim Dan Habou Larwana</v>
      </c>
      <c r="B598" s="16"/>
      <c r="C598" s="14"/>
      <c r="F598" s="16" t="str">
        <f>IFERROR(__xludf.DUMMYFUNCTION("""COMPUTED_VALUE"""),"Guidan Daouda")</f>
        <v>Guidan Daouda</v>
      </c>
      <c r="G598" s="16"/>
      <c r="H598" s="14"/>
      <c r="K598" s="16">
        <f>IFERROR(__xludf.DUMMYFUNCTION("""COMPUTED_VALUE"""),501.0)</f>
        <v>501</v>
      </c>
      <c r="L598" s="16"/>
      <c r="M598" s="14"/>
    </row>
    <row r="599">
      <c r="A599" s="16" t="str">
        <f>IFERROR(__xludf.DUMMYFUNCTION("""COMPUTED_VALUE"""),"ALASSANE TAWEY AWALOU")</f>
        <v>ALASSANE TAWEY AWALOU</v>
      </c>
      <c r="B599" s="16"/>
      <c r="C599" s="14"/>
      <c r="F599" s="16" t="str">
        <f>IFERROR(__xludf.DUMMYFUNCTION("""COMPUTED_VALUE"""),"Guidan Daouda")</f>
        <v>Guidan Daouda</v>
      </c>
      <c r="G599" s="16"/>
      <c r="H599" s="14"/>
      <c r="K599" s="16">
        <f>IFERROR(__xludf.DUMMYFUNCTION("""COMPUTED_VALUE"""),2236.0)</f>
        <v>2236</v>
      </c>
      <c r="L599" s="16"/>
      <c r="M599" s="14"/>
    </row>
    <row r="600">
      <c r="A600" s="16" t="str">
        <f>IFERROR(__xludf.DUMMYFUNCTION("""COMPUTED_VALUE"""),"ALASSANE TAWEY AWALOU")</f>
        <v>ALASSANE TAWEY AWALOU</v>
      </c>
      <c r="B600" s="16"/>
      <c r="C600" s="14"/>
      <c r="F600" s="16" t="str">
        <f>IFERROR(__xludf.DUMMYFUNCTION("""COMPUTED_VALUE"""),"Moujia")</f>
        <v>Moujia</v>
      </c>
      <c r="G600" s="16"/>
      <c r="H600" s="14"/>
      <c r="K600" s="16">
        <f>IFERROR(__xludf.DUMMYFUNCTION("""COMPUTED_VALUE"""),591.0)</f>
        <v>591</v>
      </c>
      <c r="L600" s="16"/>
      <c r="M600" s="14"/>
    </row>
    <row r="601">
      <c r="A601" s="16" t="str">
        <f>IFERROR(__xludf.DUMMYFUNCTION("""COMPUTED_VALUE"""),"Ibrahim Dan Habou Larwana")</f>
        <v>Ibrahim Dan Habou Larwana</v>
      </c>
      <c r="B601" s="16"/>
      <c r="C601" s="14"/>
      <c r="F601" s="16" t="str">
        <f>IFERROR(__xludf.DUMMYFUNCTION("""COMPUTED_VALUE"""),"Moujia")</f>
        <v>Moujia</v>
      </c>
      <c r="G601" s="16"/>
      <c r="H601" s="14"/>
      <c r="K601" s="16">
        <f>IFERROR(__xludf.DUMMYFUNCTION("""COMPUTED_VALUE"""),3656.0)</f>
        <v>3656</v>
      </c>
      <c r="L601" s="16"/>
      <c r="M601" s="14"/>
    </row>
    <row r="602">
      <c r="A602" s="16" t="str">
        <f>IFERROR(__xludf.DUMMYFUNCTION("""COMPUTED_VALUE"""),"Ibrahim Dan Habou Larwana")</f>
        <v>Ibrahim Dan Habou Larwana</v>
      </c>
      <c r="B602" s="16"/>
      <c r="C602" s="14"/>
      <c r="F602" s="16" t="str">
        <f>IFERROR(__xludf.DUMMYFUNCTION("""COMPUTED_VALUE"""),"Moujia")</f>
        <v>Moujia</v>
      </c>
      <c r="G602" s="16"/>
      <c r="H602" s="14"/>
      <c r="K602" s="16">
        <f>IFERROR(__xludf.DUMMYFUNCTION("""COMPUTED_VALUE"""),3154.0)</f>
        <v>3154</v>
      </c>
      <c r="L602" s="16"/>
      <c r="M602" s="14"/>
    </row>
    <row r="603">
      <c r="A603" s="16" t="str">
        <f>IFERROR(__xludf.DUMMYFUNCTION("""COMPUTED_VALUE"""),"Halidou Tagaza Balkissa")</f>
        <v>Halidou Tagaza Balkissa</v>
      </c>
      <c r="B603" s="16"/>
      <c r="C603" s="14"/>
      <c r="F603" s="16" t="str">
        <f>IFERROR(__xludf.DUMMYFUNCTION("""COMPUTED_VALUE"""),"Moujia")</f>
        <v>Moujia</v>
      </c>
      <c r="G603" s="16"/>
      <c r="H603" s="14"/>
      <c r="K603" s="16">
        <f>IFERROR(__xludf.DUMMYFUNCTION("""COMPUTED_VALUE"""),1297.0)</f>
        <v>1297</v>
      </c>
      <c r="L603" s="16"/>
      <c r="M603" s="14"/>
    </row>
    <row r="604">
      <c r="A604" s="16" t="str">
        <f>IFERROR(__xludf.DUMMYFUNCTION("""COMPUTED_VALUE"""),"Elhaji Abdou Leilata")</f>
        <v>Elhaji Abdou Leilata</v>
      </c>
      <c r="B604" s="16"/>
      <c r="C604" s="14"/>
      <c r="F604" s="16" t="str">
        <f>IFERROR(__xludf.DUMMYFUNCTION("""COMPUTED_VALUE"""),"Moujia")</f>
        <v>Moujia</v>
      </c>
      <c r="G604" s="16"/>
      <c r="H604" s="14"/>
      <c r="K604" s="16">
        <f>IFERROR(__xludf.DUMMYFUNCTION("""COMPUTED_VALUE"""),1639.0)</f>
        <v>1639</v>
      </c>
      <c r="L604" s="16"/>
      <c r="M604" s="14"/>
    </row>
    <row r="605">
      <c r="A605" s="16" t="str">
        <f>IFERROR(__xludf.DUMMYFUNCTION("""COMPUTED_VALUE"""),"Elhaji Abdou Leilata")</f>
        <v>Elhaji Abdou Leilata</v>
      </c>
      <c r="B605" s="16"/>
      <c r="C605" s="14"/>
      <c r="F605" s="16" t="str">
        <f>IFERROR(__xludf.DUMMYFUNCTION("""COMPUTED_VALUE"""),"Moujia")</f>
        <v>Moujia</v>
      </c>
      <c r="G605" s="16"/>
      <c r="H605" s="14"/>
      <c r="K605" s="16">
        <f>IFERROR(__xludf.DUMMYFUNCTION("""COMPUTED_VALUE"""),227.0)</f>
        <v>227</v>
      </c>
      <c r="L605" s="16"/>
      <c r="M605" s="14"/>
    </row>
    <row r="606">
      <c r="A606" s="16" t="str">
        <f>IFERROR(__xludf.DUMMYFUNCTION("""COMPUTED_VALUE"""),"Hachimou Rabiou Mamoudou")</f>
        <v>Hachimou Rabiou Mamoudou</v>
      </c>
      <c r="B606" s="16"/>
      <c r="C606" s="14"/>
      <c r="F606" s="16" t="str">
        <f>IFERROR(__xludf.DUMMYFUNCTION("""COMPUTED_VALUE"""),"Moujia")</f>
        <v>Moujia</v>
      </c>
      <c r="G606" s="16"/>
      <c r="H606" s="14"/>
      <c r="K606" s="16">
        <f>IFERROR(__xludf.DUMMYFUNCTION("""COMPUTED_VALUE"""),2484.0)</f>
        <v>2484</v>
      </c>
      <c r="L606" s="16"/>
      <c r="M606" s="14"/>
    </row>
    <row r="607">
      <c r="A607" s="16" t="str">
        <f>IFERROR(__xludf.DUMMYFUNCTION("""COMPUTED_VALUE"""),"Hachimou Rabiou Mamoudou")</f>
        <v>Hachimou Rabiou Mamoudou</v>
      </c>
      <c r="B607" s="16"/>
      <c r="C607" s="14"/>
      <c r="F607" s="16" t="str">
        <f>IFERROR(__xludf.DUMMYFUNCTION("""COMPUTED_VALUE"""),"Moujia")</f>
        <v>Moujia</v>
      </c>
      <c r="G607" s="16"/>
      <c r="H607" s="14"/>
      <c r="K607" s="16">
        <f>IFERROR(__xludf.DUMMYFUNCTION("""COMPUTED_VALUE"""),2958.0)</f>
        <v>2958</v>
      </c>
      <c r="L607" s="16"/>
      <c r="M607" s="14"/>
    </row>
    <row r="608">
      <c r="A608" s="16" t="str">
        <f>IFERROR(__xludf.DUMMYFUNCTION("""COMPUTED_VALUE"""),"Hachimou Rabiou Mamoudou")</f>
        <v>Hachimou Rabiou Mamoudou</v>
      </c>
      <c r="B608" s="16"/>
      <c r="C608" s="14"/>
      <c r="F608" s="16" t="str">
        <f>IFERROR(__xludf.DUMMYFUNCTION("""COMPUTED_VALUE"""),"Moujia")</f>
        <v>Moujia</v>
      </c>
      <c r="G608" s="16"/>
      <c r="H608" s="14"/>
      <c r="K608" s="16">
        <f>IFERROR(__xludf.DUMMYFUNCTION("""COMPUTED_VALUE"""),1840.0)</f>
        <v>1840</v>
      </c>
      <c r="L608" s="16"/>
      <c r="M608" s="14"/>
    </row>
    <row r="609">
      <c r="A609" s="16" t="str">
        <f>IFERROR(__xludf.DUMMYFUNCTION("""COMPUTED_VALUE"""),"Hachimou Rabiou Mamoudou")</f>
        <v>Hachimou Rabiou Mamoudou</v>
      </c>
      <c r="B609" s="16"/>
      <c r="C609" s="14"/>
      <c r="F609" s="16" t="str">
        <f>IFERROR(__xludf.DUMMYFUNCTION("""COMPUTED_VALUE"""),"Moujia")</f>
        <v>Moujia</v>
      </c>
      <c r="G609" s="16"/>
      <c r="H609" s="14"/>
      <c r="K609" s="16">
        <f>IFERROR(__xludf.DUMMYFUNCTION("""COMPUTED_VALUE"""),2067.0)</f>
        <v>2067</v>
      </c>
      <c r="L609" s="16"/>
      <c r="M609" s="14"/>
    </row>
    <row r="610">
      <c r="A610" s="16" t="str">
        <f>IFERROR(__xludf.DUMMYFUNCTION("""COMPUTED_VALUE"""),"Rabeika Ide Mabeye")</f>
        <v>Rabeika Ide Mabeye</v>
      </c>
      <c r="B610" s="16"/>
      <c r="C610" s="14"/>
      <c r="F610" s="16" t="str">
        <f>IFERROR(__xludf.DUMMYFUNCTION("""COMPUTED_VALUE"""),"Moujia")</f>
        <v>Moujia</v>
      </c>
      <c r="G610" s="16"/>
      <c r="H610" s="14"/>
      <c r="K610" s="16">
        <f>IFERROR(__xludf.DUMMYFUNCTION("""COMPUTED_VALUE"""),459.0)</f>
        <v>459</v>
      </c>
      <c r="L610" s="16"/>
      <c r="M610" s="14"/>
    </row>
    <row r="611">
      <c r="A611" s="16" t="str">
        <f>IFERROR(__xludf.DUMMYFUNCTION("""COMPUTED_VALUE"""),"Moussa Ide Ibrahim")</f>
        <v>Moussa Ide Ibrahim</v>
      </c>
      <c r="B611" s="16"/>
      <c r="C611" s="14"/>
      <c r="F611" s="16" t="str">
        <f>IFERROR(__xludf.DUMMYFUNCTION("""COMPUTED_VALUE"""),"Moujia")</f>
        <v>Moujia</v>
      </c>
      <c r="G611" s="16"/>
      <c r="H611" s="14"/>
      <c r="K611" s="16">
        <f>IFERROR(__xludf.DUMMYFUNCTION("""COMPUTED_VALUE"""),1471.0)</f>
        <v>1471</v>
      </c>
      <c r="L611" s="16"/>
      <c r="M611" s="14"/>
    </row>
    <row r="612">
      <c r="A612" s="16" t="str">
        <f>IFERROR(__xludf.DUMMYFUNCTION("""COMPUTED_VALUE"""),"Yacouba Idé dit Lumana")</f>
        <v>Yacouba Idé dit Lumana</v>
      </c>
      <c r="B612" s="16"/>
      <c r="C612" s="14"/>
      <c r="F612" s="16" t="str">
        <f>IFERROR(__xludf.DUMMYFUNCTION("""COMPUTED_VALUE"""),"Kousa (Beidi)")</f>
        <v>Kousa (Beidi)</v>
      </c>
      <c r="G612" s="16"/>
      <c r="H612" s="14"/>
      <c r="K612" s="16">
        <f>IFERROR(__xludf.DUMMYFUNCTION("""COMPUTED_VALUE"""),867.0)</f>
        <v>867</v>
      </c>
      <c r="L612" s="16"/>
      <c r="M612" s="14"/>
    </row>
    <row r="613">
      <c r="A613" s="16" t="str">
        <f>IFERROR(__xludf.DUMMYFUNCTION("""COMPUTED_VALUE"""),"Yacouba Idé dit Lumana")</f>
        <v>Yacouba Idé dit Lumana</v>
      </c>
      <c r="B613" s="16"/>
      <c r="C613" s="14"/>
      <c r="F613" s="16" t="str">
        <f>IFERROR(__xludf.DUMMYFUNCTION("""COMPUTED_VALUE"""),"Kousa (Beidi)")</f>
        <v>Kousa (Beidi)</v>
      </c>
      <c r="G613" s="16"/>
      <c r="H613" s="14"/>
      <c r="K613" s="16">
        <f>IFERROR(__xludf.DUMMYFUNCTION("""COMPUTED_VALUE"""),1513.0)</f>
        <v>1513</v>
      </c>
      <c r="L613" s="16"/>
      <c r="M613" s="14"/>
    </row>
    <row r="614">
      <c r="A614" s="16" t="str">
        <f>IFERROR(__xludf.DUMMYFUNCTION("""COMPUTED_VALUE"""),"Moussa Ide Ibrahim")</f>
        <v>Moussa Ide Ibrahim</v>
      </c>
      <c r="B614" s="16"/>
      <c r="C614" s="14"/>
      <c r="F614" s="16" t="str">
        <f>IFERROR(__xludf.DUMMYFUNCTION("""COMPUTED_VALUE"""),"Kousa (Beidi)")</f>
        <v>Kousa (Beidi)</v>
      </c>
      <c r="G614" s="16"/>
      <c r="H614" s="14"/>
      <c r="K614" s="16">
        <f>IFERROR(__xludf.DUMMYFUNCTION("""COMPUTED_VALUE"""),1746.0)</f>
        <v>1746</v>
      </c>
      <c r="L614" s="16"/>
      <c r="M614" s="14"/>
    </row>
    <row r="615">
      <c r="A615" s="16" t="str">
        <f>IFERROR(__xludf.DUMMYFUNCTION("""COMPUTED_VALUE"""),"Moussa Ide Ibrahim")</f>
        <v>Moussa Ide Ibrahim</v>
      </c>
      <c r="B615" s="16"/>
      <c r="C615" s="14"/>
      <c r="F615" s="16" t="str">
        <f>IFERROR(__xludf.DUMMYFUNCTION("""COMPUTED_VALUE"""),"Kousa (Beidi)")</f>
        <v>Kousa (Beidi)</v>
      </c>
      <c r="G615" s="16"/>
      <c r="H615" s="14"/>
      <c r="K615" s="16">
        <f>IFERROR(__xludf.DUMMYFUNCTION("""COMPUTED_VALUE"""),690.0)</f>
        <v>690</v>
      </c>
      <c r="L615" s="16"/>
      <c r="M615" s="14"/>
    </row>
    <row r="616">
      <c r="A616" s="16" t="str">
        <f>IFERROR(__xludf.DUMMYFUNCTION("""COMPUTED_VALUE"""),"Moussa Ide Ibrahim")</f>
        <v>Moussa Ide Ibrahim</v>
      </c>
      <c r="B616" s="16"/>
      <c r="C616" s="14"/>
      <c r="F616" s="16" t="str">
        <f>IFERROR(__xludf.DUMMYFUNCTION("""COMPUTED_VALUE"""),"Kousa (Beidi)")</f>
        <v>Kousa (Beidi)</v>
      </c>
      <c r="G616" s="16"/>
      <c r="H616" s="14"/>
      <c r="K616" s="16">
        <f>IFERROR(__xludf.DUMMYFUNCTION("""COMPUTED_VALUE"""),1136.0)</f>
        <v>1136</v>
      </c>
      <c r="L616" s="16"/>
      <c r="M616" s="14"/>
    </row>
    <row r="617">
      <c r="A617" s="16" t="str">
        <f>IFERROR(__xludf.DUMMYFUNCTION("""COMPUTED_VALUE"""),"Hachimou Rabiou Mamoudou")</f>
        <v>Hachimou Rabiou Mamoudou</v>
      </c>
      <c r="B617" s="16"/>
      <c r="C617" s="14"/>
      <c r="F617" s="16" t="str">
        <f>IFERROR(__xludf.DUMMYFUNCTION("""COMPUTED_VALUE"""),"Kousa (Beidi)")</f>
        <v>Kousa (Beidi)</v>
      </c>
      <c r="G617" s="16"/>
      <c r="H617" s="14"/>
      <c r="K617" s="16">
        <f>IFERROR(__xludf.DUMMYFUNCTION("""COMPUTED_VALUE"""),1655.0)</f>
        <v>1655</v>
      </c>
      <c r="L617" s="16"/>
      <c r="M617" s="14"/>
    </row>
    <row r="618">
      <c r="A618" s="16" t="str">
        <f>IFERROR(__xludf.DUMMYFUNCTION("""COMPUTED_VALUE"""),"Ouhoumoudou Djannou Ibrahim")</f>
        <v>Ouhoumoudou Djannou Ibrahim</v>
      </c>
      <c r="B618" s="16"/>
      <c r="C618" s="14"/>
      <c r="F618" s="16" t="str">
        <f>IFERROR(__xludf.DUMMYFUNCTION("""COMPUTED_VALUE"""),"Kousa (Beidi)")</f>
        <v>Kousa (Beidi)</v>
      </c>
      <c r="G618" s="16"/>
      <c r="H618" s="14"/>
      <c r="K618" s="16">
        <f>IFERROR(__xludf.DUMMYFUNCTION("""COMPUTED_VALUE"""),885.0)</f>
        <v>885</v>
      </c>
      <c r="L618" s="16"/>
      <c r="M618" s="14"/>
    </row>
    <row r="619">
      <c r="A619" s="16" t="str">
        <f>IFERROR(__xludf.DUMMYFUNCTION("""COMPUTED_VALUE"""),"Ouhoumoudou Djannou Ibrahim")</f>
        <v>Ouhoumoudou Djannou Ibrahim</v>
      </c>
      <c r="B619" s="16"/>
      <c r="C619" s="14"/>
      <c r="F619" s="16" t="str">
        <f>IFERROR(__xludf.DUMMYFUNCTION("""COMPUTED_VALUE"""),"Kousa (Beidi)")</f>
        <v>Kousa (Beidi)</v>
      </c>
      <c r="G619" s="16"/>
      <c r="H619" s="14"/>
      <c r="K619" s="16">
        <f>IFERROR(__xludf.DUMMYFUNCTION("""COMPUTED_VALUE"""),703.0)</f>
        <v>703</v>
      </c>
      <c r="L619" s="16"/>
      <c r="M619" s="14"/>
    </row>
    <row r="620">
      <c r="A620" s="16" t="str">
        <f>IFERROR(__xludf.DUMMYFUNCTION("""COMPUTED_VALUE"""),"Ouhoumoudou Djannou Ibrahim")</f>
        <v>Ouhoumoudou Djannou Ibrahim</v>
      </c>
      <c r="B620" s="16"/>
      <c r="C620" s="14"/>
      <c r="F620" s="16" t="str">
        <f>IFERROR(__xludf.DUMMYFUNCTION("""COMPUTED_VALUE"""),"Kousa (Beidi)")</f>
        <v>Kousa (Beidi)</v>
      </c>
      <c r="G620" s="16"/>
      <c r="H620" s="14"/>
      <c r="K620" s="16">
        <f>IFERROR(__xludf.DUMMYFUNCTION("""COMPUTED_VALUE"""),1019.0)</f>
        <v>1019</v>
      </c>
      <c r="L620" s="16"/>
      <c r="M620" s="14"/>
    </row>
    <row r="621">
      <c r="A621" s="16" t="str">
        <f>IFERROR(__xludf.DUMMYFUNCTION("""COMPUTED_VALUE"""),"Ouhoumoudou Djannou Ibrahim")</f>
        <v>Ouhoumoudou Djannou Ibrahim</v>
      </c>
      <c r="B621" s="16"/>
      <c r="C621" s="14"/>
      <c r="F621" s="16" t="str">
        <f>IFERROR(__xludf.DUMMYFUNCTION("""COMPUTED_VALUE"""),"Kousa (Beidi)")</f>
        <v>Kousa (Beidi)</v>
      </c>
      <c r="G621" s="16"/>
      <c r="H621" s="14"/>
      <c r="K621" s="16">
        <f>IFERROR(__xludf.DUMMYFUNCTION("""COMPUTED_VALUE"""),657.0)</f>
        <v>657</v>
      </c>
      <c r="L621" s="16"/>
      <c r="M621" s="14"/>
    </row>
    <row r="622">
      <c r="A622" s="16" t="str">
        <f>IFERROR(__xludf.DUMMYFUNCTION("""COMPUTED_VALUE"""),"Ouhoumoudou Djannou Ibrahim")</f>
        <v>Ouhoumoudou Djannou Ibrahim</v>
      </c>
      <c r="B622" s="16"/>
      <c r="C622" s="14"/>
      <c r="F622" s="16" t="str">
        <f>IFERROR(__xludf.DUMMYFUNCTION("""COMPUTED_VALUE"""),"Kousa (Beidi)")</f>
        <v>Kousa (Beidi)</v>
      </c>
      <c r="G622" s="16"/>
      <c r="H622" s="14"/>
      <c r="K622" s="16">
        <f>IFERROR(__xludf.DUMMYFUNCTION("""COMPUTED_VALUE"""),910.0)</f>
        <v>910</v>
      </c>
      <c r="L622" s="16"/>
      <c r="M622" s="14"/>
    </row>
    <row r="623">
      <c r="A623" s="16" t="str">
        <f>IFERROR(__xludf.DUMMYFUNCTION("""COMPUTED_VALUE"""),"Ouhoumoudou Djannou Ibrahim")</f>
        <v>Ouhoumoudou Djannou Ibrahim</v>
      </c>
      <c r="B623" s="16"/>
      <c r="C623" s="14"/>
      <c r="F623" s="16" t="str">
        <f>IFERROR(__xludf.DUMMYFUNCTION("""COMPUTED_VALUE"""),"Kousa (Beidi)")</f>
        <v>Kousa (Beidi)</v>
      </c>
      <c r="G623" s="16"/>
      <c r="H623" s="14"/>
      <c r="K623" s="16">
        <f>IFERROR(__xludf.DUMMYFUNCTION("""COMPUTED_VALUE"""),1909.0)</f>
        <v>1909</v>
      </c>
      <c r="L623" s="16"/>
      <c r="M623" s="14"/>
    </row>
    <row r="624">
      <c r="A624" s="16" t="str">
        <f>IFERROR(__xludf.DUMMYFUNCTION("""COMPUTED_VALUE"""),"Saddy Youssouf")</f>
        <v>Saddy Youssouf</v>
      </c>
      <c r="B624" s="16"/>
      <c r="C624" s="14"/>
      <c r="F624" s="16" t="str">
        <f>IFERROR(__xludf.DUMMYFUNCTION("""COMPUTED_VALUE"""),"Kousa (Beidi)")</f>
        <v>Kousa (Beidi)</v>
      </c>
      <c r="G624" s="16"/>
      <c r="H624" s="14"/>
      <c r="K624" s="16">
        <f>IFERROR(__xludf.DUMMYFUNCTION("""COMPUTED_VALUE"""),2345.0)</f>
        <v>2345</v>
      </c>
      <c r="L624" s="16"/>
      <c r="M624" s="14"/>
    </row>
    <row r="625">
      <c r="A625" s="16" t="str">
        <f>IFERROR(__xludf.DUMMYFUNCTION("""COMPUTED_VALUE"""),"Saddy Youssouf")</f>
        <v>Saddy Youssouf</v>
      </c>
      <c r="B625" s="16"/>
      <c r="C625" s="14"/>
      <c r="F625" s="16" t="str">
        <f>IFERROR(__xludf.DUMMYFUNCTION("""COMPUTED_VALUE"""),"Kousa (Beidi)")</f>
        <v>Kousa (Beidi)</v>
      </c>
      <c r="G625" s="16"/>
      <c r="H625" s="14"/>
      <c r="K625" s="16">
        <f>IFERROR(__xludf.DUMMYFUNCTION("""COMPUTED_VALUE"""),2062.0)</f>
        <v>2062</v>
      </c>
      <c r="L625" s="16"/>
      <c r="M625" s="14"/>
    </row>
    <row r="626">
      <c r="A626" s="16" t="str">
        <f>IFERROR(__xludf.DUMMYFUNCTION("""COMPUTED_VALUE"""),"Saddy Youssouf")</f>
        <v>Saddy Youssouf</v>
      </c>
      <c r="B626" s="16"/>
      <c r="C626" s="14"/>
      <c r="F626" s="16" t="str">
        <f>IFERROR(__xludf.DUMMYFUNCTION("""COMPUTED_VALUE"""),"Kousa (Beidi)")</f>
        <v>Kousa (Beidi)</v>
      </c>
      <c r="G626" s="16"/>
      <c r="H626" s="14"/>
      <c r="K626" s="16">
        <f>IFERROR(__xludf.DUMMYFUNCTION("""COMPUTED_VALUE"""),2133.0)</f>
        <v>2133</v>
      </c>
      <c r="L626" s="16"/>
      <c r="M626" s="14"/>
    </row>
    <row r="627">
      <c r="A627" s="16" t="str">
        <f>IFERROR(__xludf.DUMMYFUNCTION("""COMPUTED_VALUE"""),"Saddy Youssouf")</f>
        <v>Saddy Youssouf</v>
      </c>
      <c r="B627" s="16"/>
      <c r="C627" s="14"/>
      <c r="F627" s="16" t="str">
        <f>IFERROR(__xludf.DUMMYFUNCTION("""COMPUTED_VALUE"""),"Kousa (Beidi)")</f>
        <v>Kousa (Beidi)</v>
      </c>
      <c r="G627" s="16"/>
      <c r="H627" s="14"/>
      <c r="K627" s="16">
        <f>IFERROR(__xludf.DUMMYFUNCTION("""COMPUTED_VALUE"""),1955.0)</f>
        <v>1955</v>
      </c>
      <c r="L627" s="16"/>
      <c r="M627" s="14"/>
    </row>
    <row r="628">
      <c r="A628" s="16" t="str">
        <f>IFERROR(__xludf.DUMMYFUNCTION("""COMPUTED_VALUE"""),"Rabi Boubacar Younoussa")</f>
        <v>Rabi Boubacar Younoussa</v>
      </c>
      <c r="B628" s="16"/>
      <c r="C628" s="14"/>
      <c r="F628" s="16" t="str">
        <f>IFERROR(__xludf.DUMMYFUNCTION("""COMPUTED_VALUE"""),"Kousa (Beidi)")</f>
        <v>Kousa (Beidi)</v>
      </c>
      <c r="G628" s="16"/>
      <c r="H628" s="14"/>
      <c r="K628" s="16">
        <f>IFERROR(__xludf.DUMMYFUNCTION("""COMPUTED_VALUE"""),1451.0)</f>
        <v>1451</v>
      </c>
      <c r="L628" s="16"/>
      <c r="M628" s="14"/>
    </row>
    <row r="629">
      <c r="A629" s="16" t="str">
        <f>IFERROR(__xludf.DUMMYFUNCTION("""COMPUTED_VALUE"""),"Razinatou Salissou")</f>
        <v>Razinatou Salissou</v>
      </c>
      <c r="B629" s="16"/>
      <c r="C629" s="14"/>
      <c r="F629" s="16" t="str">
        <f>IFERROR(__xludf.DUMMYFUNCTION("""COMPUTED_VALUE"""),"Kousa (Beidi)")</f>
        <v>Kousa (Beidi)</v>
      </c>
      <c r="G629" s="16"/>
      <c r="H629" s="14"/>
      <c r="K629" s="16">
        <f>IFERROR(__xludf.DUMMYFUNCTION("""COMPUTED_VALUE"""),2298.0)</f>
        <v>2298</v>
      </c>
      <c r="L629" s="16"/>
      <c r="M629" s="14"/>
    </row>
    <row r="630">
      <c r="A630" s="16" t="str">
        <f>IFERROR(__xludf.DUMMYFUNCTION("""COMPUTED_VALUE"""),"Razinatou Salissou")</f>
        <v>Razinatou Salissou</v>
      </c>
      <c r="B630" s="16"/>
      <c r="C630" s="14"/>
      <c r="F630" s="16" t="str">
        <f>IFERROR(__xludf.DUMMYFUNCTION("""COMPUTED_VALUE"""),"Kousa (Beidi)")</f>
        <v>Kousa (Beidi)</v>
      </c>
      <c r="G630" s="16"/>
      <c r="H630" s="14"/>
      <c r="K630" s="16">
        <f>IFERROR(__xludf.DUMMYFUNCTION("""COMPUTED_VALUE"""),1579.0)</f>
        <v>1579</v>
      </c>
      <c r="L630" s="16"/>
      <c r="M630" s="14"/>
    </row>
    <row r="631">
      <c r="A631" s="16" t="str">
        <f>IFERROR(__xludf.DUMMYFUNCTION("""COMPUTED_VALUE"""),"Abdoul Salami Ibrahim")</f>
        <v>Abdoul Salami Ibrahim</v>
      </c>
      <c r="B631" s="16"/>
      <c r="C631" s="14"/>
      <c r="F631" s="16" t="str">
        <f>IFERROR(__xludf.DUMMYFUNCTION("""COMPUTED_VALUE"""),"Guidan Daouda")</f>
        <v>Guidan Daouda</v>
      </c>
      <c r="G631" s="16"/>
      <c r="H631" s="14"/>
      <c r="K631" s="16">
        <f>IFERROR(__xludf.DUMMYFUNCTION("""COMPUTED_VALUE"""),2262.0)</f>
        <v>2262</v>
      </c>
      <c r="L631" s="16"/>
      <c r="M631" s="14"/>
    </row>
    <row r="632">
      <c r="A632" s="16" t="str">
        <f>IFERROR(__xludf.DUMMYFUNCTION("""COMPUTED_VALUE"""),"Abdoul Salami Ibrahim")</f>
        <v>Abdoul Salami Ibrahim</v>
      </c>
      <c r="B632" s="16"/>
      <c r="C632" s="14"/>
      <c r="F632" s="16" t="str">
        <f>IFERROR(__xludf.DUMMYFUNCTION("""COMPUTED_VALUE"""),"Guidan Daouda")</f>
        <v>Guidan Daouda</v>
      </c>
      <c r="G632" s="16"/>
      <c r="H632" s="14"/>
      <c r="K632" s="16">
        <f>IFERROR(__xludf.DUMMYFUNCTION("""COMPUTED_VALUE"""),1807.0)</f>
        <v>1807</v>
      </c>
      <c r="L632" s="16"/>
      <c r="M632" s="14"/>
    </row>
    <row r="633">
      <c r="A633" s="16" t="str">
        <f>IFERROR(__xludf.DUMMYFUNCTION("""COMPUTED_VALUE"""),"Abdoul Salami Ibrahim")</f>
        <v>Abdoul Salami Ibrahim</v>
      </c>
      <c r="B633" s="16"/>
      <c r="C633" s="14"/>
      <c r="F633" s="16" t="str">
        <f>IFERROR(__xludf.DUMMYFUNCTION("""COMPUTED_VALUE"""),"Guidan Daouda")</f>
        <v>Guidan Daouda</v>
      </c>
      <c r="G633" s="16"/>
      <c r="H633" s="14"/>
      <c r="K633" s="16">
        <f>IFERROR(__xludf.DUMMYFUNCTION("""COMPUTED_VALUE"""),842.0)</f>
        <v>842</v>
      </c>
      <c r="L633" s="16"/>
      <c r="M633" s="14"/>
    </row>
    <row r="634">
      <c r="A634" s="16" t="str">
        <f>IFERROR(__xludf.DUMMYFUNCTION("""COMPUTED_VALUE"""),"Amadou Hamidou Abdoul Karim")</f>
        <v>Amadou Hamidou Abdoul Karim</v>
      </c>
      <c r="B634" s="16"/>
      <c r="C634" s="14"/>
      <c r="F634" s="16" t="str">
        <f>IFERROR(__xludf.DUMMYFUNCTION("""COMPUTED_VALUE"""),"Guidan Daouda")</f>
        <v>Guidan Daouda</v>
      </c>
      <c r="G634" s="16"/>
      <c r="H634" s="14"/>
      <c r="K634" s="16">
        <f>IFERROR(__xludf.DUMMYFUNCTION("""COMPUTED_VALUE"""),1496.0)</f>
        <v>1496</v>
      </c>
      <c r="L634" s="16"/>
      <c r="M634" s="14"/>
    </row>
    <row r="635">
      <c r="A635" s="16" t="str">
        <f>IFERROR(__xludf.DUMMYFUNCTION("""COMPUTED_VALUE"""),"Amadou Hamidou Abdoul Karim")</f>
        <v>Amadou Hamidou Abdoul Karim</v>
      </c>
      <c r="B635" s="16"/>
      <c r="C635" s="14"/>
      <c r="F635" s="16" t="str">
        <f>IFERROR(__xludf.DUMMYFUNCTION("""COMPUTED_VALUE"""),"Guidan Daouda")</f>
        <v>Guidan Daouda</v>
      </c>
      <c r="G635" s="16"/>
      <c r="H635" s="14"/>
      <c r="K635" s="16">
        <f>IFERROR(__xludf.DUMMYFUNCTION("""COMPUTED_VALUE"""),389.0)</f>
        <v>389</v>
      </c>
      <c r="L635" s="16"/>
      <c r="M635" s="14"/>
    </row>
    <row r="636">
      <c r="A636" s="16" t="str">
        <f>IFERROR(__xludf.DUMMYFUNCTION("""COMPUTED_VALUE"""),"Amadou Hamidou Abdoul Karim")</f>
        <v>Amadou Hamidou Abdoul Karim</v>
      </c>
      <c r="B636" s="16"/>
      <c r="C636" s="14"/>
      <c r="F636" s="16" t="str">
        <f>IFERROR(__xludf.DUMMYFUNCTION("""COMPUTED_VALUE"""),"Guidan Daouda")</f>
        <v>Guidan Daouda</v>
      </c>
      <c r="G636" s="16"/>
      <c r="H636" s="14"/>
      <c r="K636" s="16">
        <f>IFERROR(__xludf.DUMMYFUNCTION("""COMPUTED_VALUE"""),2260.0)</f>
        <v>2260</v>
      </c>
      <c r="L636" s="16"/>
      <c r="M636" s="14"/>
    </row>
    <row r="637">
      <c r="A637" s="16" t="str">
        <f>IFERROR(__xludf.DUMMYFUNCTION("""COMPUTED_VALUE"""),"Amadou Hamidou Abdoul Karim")</f>
        <v>Amadou Hamidou Abdoul Karim</v>
      </c>
      <c r="B637" s="16"/>
      <c r="C637" s="14"/>
      <c r="F637" s="16" t="str">
        <f>IFERROR(__xludf.DUMMYFUNCTION("""COMPUTED_VALUE"""),"Guidan Daouda")</f>
        <v>Guidan Daouda</v>
      </c>
      <c r="G637" s="16"/>
      <c r="H637" s="14"/>
      <c r="K637" s="16">
        <f>IFERROR(__xludf.DUMMYFUNCTION("""COMPUTED_VALUE"""),2240.0)</f>
        <v>2240</v>
      </c>
      <c r="L637" s="16"/>
      <c r="M637" s="14"/>
    </row>
    <row r="638">
      <c r="A638" s="16" t="str">
        <f>IFERROR(__xludf.DUMMYFUNCTION("""COMPUTED_VALUE"""),"Larabou Chamsoudine")</f>
        <v>Larabou Chamsoudine</v>
      </c>
      <c r="B638" s="16"/>
      <c r="C638" s="14"/>
      <c r="F638" s="16" t="str">
        <f>IFERROR(__xludf.DUMMYFUNCTION("""COMPUTED_VALUE"""),"Guidan Daouda")</f>
        <v>Guidan Daouda</v>
      </c>
      <c r="G638" s="16"/>
      <c r="H638" s="14"/>
      <c r="K638" s="16">
        <f>IFERROR(__xludf.DUMMYFUNCTION("""COMPUTED_VALUE"""),543.0)</f>
        <v>543</v>
      </c>
      <c r="L638" s="16"/>
      <c r="M638" s="14"/>
    </row>
    <row r="639">
      <c r="A639" s="16" t="str">
        <f>IFERROR(__xludf.DUMMYFUNCTION("""COMPUTED_VALUE"""),"Larabou Chamsoudine")</f>
        <v>Larabou Chamsoudine</v>
      </c>
      <c r="B639" s="16"/>
      <c r="C639" s="14"/>
      <c r="F639" s="16" t="str">
        <f>IFERROR(__xludf.DUMMYFUNCTION("""COMPUTED_VALUE"""),"Guidan Daouda")</f>
        <v>Guidan Daouda</v>
      </c>
      <c r="G639" s="16"/>
      <c r="H639" s="14"/>
      <c r="K639" s="16">
        <f>IFERROR(__xludf.DUMMYFUNCTION("""COMPUTED_VALUE"""),700.0)</f>
        <v>700</v>
      </c>
      <c r="L639" s="16"/>
      <c r="M639" s="14"/>
    </row>
    <row r="640">
      <c r="A640" s="16" t="str">
        <f>IFERROR(__xludf.DUMMYFUNCTION("""COMPUTED_VALUE"""),"Larabou Chamsoudine")</f>
        <v>Larabou Chamsoudine</v>
      </c>
      <c r="B640" s="16"/>
      <c r="C640" s="14"/>
      <c r="F640" s="16" t="str">
        <f>IFERROR(__xludf.DUMMYFUNCTION("""COMPUTED_VALUE"""),"Guidan Daouda")</f>
        <v>Guidan Daouda</v>
      </c>
      <c r="G640" s="16"/>
      <c r="H640" s="14"/>
      <c r="K640" s="16">
        <f>IFERROR(__xludf.DUMMYFUNCTION("""COMPUTED_VALUE"""),683.0)</f>
        <v>683</v>
      </c>
      <c r="L640" s="16"/>
      <c r="M640" s="14"/>
    </row>
    <row r="641">
      <c r="A641" s="16" t="str">
        <f>IFERROR(__xludf.DUMMYFUNCTION("""COMPUTED_VALUE"""),"Kadidja Issaka Hamidou")</f>
        <v>Kadidja Issaka Hamidou</v>
      </c>
      <c r="B641" s="16"/>
      <c r="C641" s="14"/>
      <c r="F641" s="16" t="str">
        <f>IFERROR(__xludf.DUMMYFUNCTION("""COMPUTED_VALUE"""),"Guidan Daouda")</f>
        <v>Guidan Daouda</v>
      </c>
      <c r="G641" s="16"/>
      <c r="H641" s="14"/>
      <c r="K641" s="16">
        <f>IFERROR(__xludf.DUMMYFUNCTION("""COMPUTED_VALUE"""),593.0)</f>
        <v>593</v>
      </c>
      <c r="L641" s="16"/>
      <c r="M641" s="14"/>
    </row>
    <row r="642">
      <c r="A642" s="16" t="str">
        <f>IFERROR(__xludf.DUMMYFUNCTION("""COMPUTED_VALUE"""),"Binta Maman")</f>
        <v>Binta Maman</v>
      </c>
      <c r="B642" s="16"/>
      <c r="C642" s="14"/>
      <c r="F642" s="16" t="str">
        <f>IFERROR(__xludf.DUMMYFUNCTION("""COMPUTED_VALUE"""),"Kalfou Rafi")</f>
        <v>Kalfou Rafi</v>
      </c>
      <c r="G642" s="16"/>
      <c r="H642" s="14"/>
      <c r="K642" s="16">
        <f>IFERROR(__xludf.DUMMYFUNCTION("""COMPUTED_VALUE"""),510.0)</f>
        <v>510</v>
      </c>
      <c r="L642" s="16"/>
      <c r="M642" s="14"/>
    </row>
    <row r="643">
      <c r="A643" s="16" t="str">
        <f>IFERROR(__xludf.DUMMYFUNCTION("""COMPUTED_VALUE"""),"Binta Maman")</f>
        <v>Binta Maman</v>
      </c>
      <c r="B643" s="16"/>
      <c r="C643" s="14"/>
      <c r="F643" s="16" t="str">
        <f>IFERROR(__xludf.DUMMYFUNCTION("""COMPUTED_VALUE"""),"Guidan Daouda")</f>
        <v>Guidan Daouda</v>
      </c>
      <c r="G643" s="16"/>
      <c r="H643" s="14"/>
      <c r="K643" s="16">
        <f>IFERROR(__xludf.DUMMYFUNCTION("""COMPUTED_VALUE"""),442.0)</f>
        <v>442</v>
      </c>
      <c r="L643" s="16"/>
      <c r="M643" s="14"/>
    </row>
    <row r="644">
      <c r="A644" s="16" t="str">
        <f>IFERROR(__xludf.DUMMYFUNCTION("""COMPUTED_VALUE"""),"Gaoh Maazou")</f>
        <v>Gaoh Maazou</v>
      </c>
      <c r="B644" s="16"/>
      <c r="C644" s="14"/>
      <c r="F644" s="16" t="str">
        <f>IFERROR(__xludf.DUMMYFUNCTION("""COMPUTED_VALUE"""),"Guidan Daouda")</f>
        <v>Guidan Daouda</v>
      </c>
      <c r="G644" s="16"/>
      <c r="H644" s="14"/>
      <c r="K644" s="16">
        <f>IFERROR(__xludf.DUMMYFUNCTION("""COMPUTED_VALUE"""),632.0)</f>
        <v>632</v>
      </c>
      <c r="L644" s="16"/>
      <c r="M644" s="14"/>
    </row>
    <row r="645">
      <c r="A645" s="16" t="str">
        <f>IFERROR(__xludf.DUMMYFUNCTION("""COMPUTED_VALUE"""),"Asmaou Tanko Issa")</f>
        <v>Asmaou Tanko Issa</v>
      </c>
      <c r="B645" s="16"/>
      <c r="C645" s="14"/>
      <c r="F645" s="16" t="str">
        <f>IFERROR(__xludf.DUMMYFUNCTION("""COMPUTED_VALUE"""),"Guidan Daouda")</f>
        <v>Guidan Daouda</v>
      </c>
      <c r="G645" s="16"/>
      <c r="H645" s="14"/>
      <c r="K645" s="16">
        <f>IFERROR(__xludf.DUMMYFUNCTION("""COMPUTED_VALUE"""),292.0)</f>
        <v>292</v>
      </c>
      <c r="L645" s="16"/>
      <c r="M645" s="14"/>
    </row>
    <row r="646">
      <c r="A646" s="16" t="str">
        <f>IFERROR(__xludf.DUMMYFUNCTION("""COMPUTED_VALUE"""),"Kimba Issa Mamoudou")</f>
        <v>Kimba Issa Mamoudou</v>
      </c>
      <c r="B646" s="16"/>
      <c r="C646" s="14"/>
      <c r="F646" s="16" t="str">
        <f>IFERROR(__xludf.DUMMYFUNCTION("""COMPUTED_VALUE"""),"Guidan Daouda")</f>
        <v>Guidan Daouda</v>
      </c>
      <c r="G646" s="16"/>
      <c r="H646" s="14"/>
      <c r="K646" s="16">
        <f>IFERROR(__xludf.DUMMYFUNCTION("""COMPUTED_VALUE"""),597.0)</f>
        <v>597</v>
      </c>
      <c r="L646" s="16"/>
      <c r="M646" s="14"/>
    </row>
    <row r="647">
      <c r="A647" s="16" t="str">
        <f>IFERROR(__xludf.DUMMYFUNCTION("""COMPUTED_VALUE"""),"Kimba Issa Mamoudou")</f>
        <v>Kimba Issa Mamoudou</v>
      </c>
      <c r="B647" s="16"/>
      <c r="C647" s="14"/>
      <c r="F647" s="16" t="str">
        <f>IFERROR(__xludf.DUMMYFUNCTION("""COMPUTED_VALUE"""),"Kalfou Rafi")</f>
        <v>Kalfou Rafi</v>
      </c>
      <c r="G647" s="16"/>
      <c r="H647" s="14"/>
      <c r="K647" s="16">
        <f>IFERROR(__xludf.DUMMYFUNCTION("""COMPUTED_VALUE"""),1598.0)</f>
        <v>1598</v>
      </c>
      <c r="L647" s="16"/>
      <c r="M647" s="14"/>
    </row>
    <row r="648">
      <c r="A648" s="16" t="str">
        <f>IFERROR(__xludf.DUMMYFUNCTION("""COMPUTED_VALUE"""),"Kimba Issa Mamoudou")</f>
        <v>Kimba Issa Mamoudou</v>
      </c>
      <c r="B648" s="16"/>
      <c r="C648" s="14"/>
      <c r="F648" s="16" t="str">
        <f>IFERROR(__xludf.DUMMYFUNCTION("""COMPUTED_VALUE"""),"Kalfou Rafi")</f>
        <v>Kalfou Rafi</v>
      </c>
      <c r="G648" s="16"/>
      <c r="H648" s="14"/>
      <c r="K648" s="16">
        <f>IFERROR(__xludf.DUMMYFUNCTION("""COMPUTED_VALUE"""),582.0)</f>
        <v>582</v>
      </c>
      <c r="L648" s="16"/>
      <c r="M648" s="14"/>
    </row>
    <row r="649">
      <c r="A649" s="16" t="str">
        <f>IFERROR(__xludf.DUMMYFUNCTION("""COMPUTED_VALUE"""),"Kimba Issa Mamoudou")</f>
        <v>Kimba Issa Mamoudou</v>
      </c>
      <c r="B649" s="16"/>
      <c r="C649" s="14"/>
      <c r="F649" s="16" t="str">
        <f>IFERROR(__xludf.DUMMYFUNCTION("""COMPUTED_VALUE"""),"Kalfou Rafi")</f>
        <v>Kalfou Rafi</v>
      </c>
      <c r="G649" s="16"/>
      <c r="H649" s="14"/>
      <c r="K649" s="16">
        <f>IFERROR(__xludf.DUMMYFUNCTION("""COMPUTED_VALUE"""),664.0)</f>
        <v>664</v>
      </c>
      <c r="L649" s="16"/>
      <c r="M649" s="14"/>
    </row>
    <row r="650">
      <c r="A650" s="16" t="str">
        <f>IFERROR(__xludf.DUMMYFUNCTION("""COMPUTED_VALUE"""),"Hamissou Moussa Nana Mariama")</f>
        <v>Hamissou Moussa Nana Mariama</v>
      </c>
      <c r="B650" s="16"/>
      <c r="C650" s="14"/>
      <c r="F650" s="16" t="str">
        <f>IFERROR(__xludf.DUMMYFUNCTION("""COMPUTED_VALUE"""),"Moujia")</f>
        <v>Moujia</v>
      </c>
      <c r="G650" s="16"/>
      <c r="H650" s="14"/>
      <c r="K650" s="16">
        <f>IFERROR(__xludf.DUMMYFUNCTION("""COMPUTED_VALUE"""),2713.0)</f>
        <v>2713</v>
      </c>
      <c r="L650" s="16"/>
      <c r="M650" s="14"/>
    </row>
    <row r="651">
      <c r="A651" s="16" t="str">
        <f>IFERROR(__xludf.DUMMYFUNCTION("""COMPUTED_VALUE"""),"Maman Ado Abdourahamane")</f>
        <v>Maman Ado Abdourahamane</v>
      </c>
      <c r="B651" s="16"/>
      <c r="C651" s="14"/>
      <c r="F651" s="16" t="str">
        <f>IFERROR(__xludf.DUMMYFUNCTION("""COMPUTED_VALUE"""),"Moujia")</f>
        <v>Moujia</v>
      </c>
      <c r="G651" s="16"/>
      <c r="H651" s="14"/>
      <c r="K651" s="16">
        <f>IFERROR(__xludf.DUMMYFUNCTION("""COMPUTED_VALUE"""),2211.0)</f>
        <v>2211</v>
      </c>
      <c r="L651" s="16"/>
      <c r="M651" s="14"/>
    </row>
    <row r="652">
      <c r="A652" s="16" t="str">
        <f>IFERROR(__xludf.DUMMYFUNCTION("""COMPUTED_VALUE"""),"Maman Ado Abdourahamane")</f>
        <v>Maman Ado Abdourahamane</v>
      </c>
      <c r="B652" s="16"/>
      <c r="C652" s="14"/>
      <c r="F652" s="16" t="str">
        <f>IFERROR(__xludf.DUMMYFUNCTION("""COMPUTED_VALUE"""),"Moujia")</f>
        <v>Moujia</v>
      </c>
      <c r="G652" s="16"/>
      <c r="H652" s="14"/>
      <c r="K652" s="16">
        <f>IFERROR(__xludf.DUMMYFUNCTION("""COMPUTED_VALUE"""),1621.0)</f>
        <v>1621</v>
      </c>
      <c r="L652" s="16"/>
      <c r="M652" s="14"/>
    </row>
    <row r="653">
      <c r="A653" s="16" t="str">
        <f>IFERROR(__xludf.DUMMYFUNCTION("""COMPUTED_VALUE"""),"Maman Ado Abdourahamane")</f>
        <v>Maman Ado Abdourahamane</v>
      </c>
      <c r="B653" s="16"/>
      <c r="C653" s="14"/>
      <c r="F653" s="16" t="str">
        <f>IFERROR(__xludf.DUMMYFUNCTION("""COMPUTED_VALUE"""),"Babaranga Yama")</f>
        <v>Babaranga Yama</v>
      </c>
      <c r="G653" s="16"/>
      <c r="H653" s="14"/>
      <c r="K653" s="16">
        <f>IFERROR(__xludf.DUMMYFUNCTION("""COMPUTED_VALUE"""),572.0)</f>
        <v>572</v>
      </c>
      <c r="L653" s="16"/>
      <c r="M653" s="14"/>
    </row>
    <row r="654">
      <c r="A654" s="16" t="str">
        <f>IFERROR(__xludf.DUMMYFUNCTION("""COMPUTED_VALUE"""),"Maman Ado Abdourahamane")</f>
        <v>Maman Ado Abdourahamane</v>
      </c>
      <c r="B654" s="16"/>
      <c r="C654" s="14"/>
      <c r="F654" s="16" t="str">
        <f>IFERROR(__xludf.DUMMYFUNCTION("""COMPUTED_VALUE"""),"Kougouptché")</f>
        <v>Kougouptché</v>
      </c>
      <c r="G654" s="16"/>
      <c r="H654" s="14"/>
      <c r="K654" s="16">
        <f>IFERROR(__xludf.DUMMYFUNCTION("""COMPUTED_VALUE"""),2374.0)</f>
        <v>2374</v>
      </c>
      <c r="L654" s="16"/>
      <c r="M654" s="14"/>
    </row>
    <row r="655">
      <c r="A655" s="16" t="str">
        <f>IFERROR(__xludf.DUMMYFUNCTION("""COMPUTED_VALUE"""),"Elhaji Abdou Leilata")</f>
        <v>Elhaji Abdou Leilata</v>
      </c>
      <c r="B655" s="16"/>
      <c r="C655" s="14"/>
      <c r="F655" s="16" t="str">
        <f>IFERROR(__xludf.DUMMYFUNCTION("""COMPUTED_VALUE"""),"Kougouptché")</f>
        <v>Kougouptché</v>
      </c>
      <c r="G655" s="16"/>
      <c r="H655" s="14"/>
      <c r="K655" s="16">
        <f>IFERROR(__xludf.DUMMYFUNCTION("""COMPUTED_VALUE"""),2004.0)</f>
        <v>2004</v>
      </c>
      <c r="L655" s="16"/>
      <c r="M655" s="14"/>
    </row>
    <row r="656">
      <c r="A656" s="16" t="str">
        <f>IFERROR(__xludf.DUMMYFUNCTION("""COMPUTED_VALUE"""),"Elhaji Abdou Leilata")</f>
        <v>Elhaji Abdou Leilata</v>
      </c>
      <c r="B656" s="16"/>
      <c r="C656" s="14"/>
      <c r="F656" s="16" t="str">
        <f>IFERROR(__xludf.DUMMYFUNCTION("""COMPUTED_VALUE"""),"Kalfou Rafi")</f>
        <v>Kalfou Rafi</v>
      </c>
      <c r="G656" s="16"/>
      <c r="H656" s="14"/>
      <c r="K656" s="16">
        <f>IFERROR(__xludf.DUMMYFUNCTION("""COMPUTED_VALUE"""),462.0)</f>
        <v>462</v>
      </c>
      <c r="L656" s="16"/>
      <c r="M656" s="14"/>
    </row>
    <row r="657">
      <c r="A657" s="16" t="str">
        <f>IFERROR(__xludf.DUMMYFUNCTION("""COMPUTED_VALUE"""),"Aboubacar Hamadou Manga")</f>
        <v>Aboubacar Hamadou Manga</v>
      </c>
      <c r="B657" s="16"/>
      <c r="C657" s="14"/>
      <c r="F657" s="16" t="str">
        <f>IFERROR(__xludf.DUMMYFUNCTION("""COMPUTED_VALUE"""),"Kalfou Rafi")</f>
        <v>Kalfou Rafi</v>
      </c>
      <c r="G657" s="16"/>
      <c r="H657" s="14"/>
      <c r="K657" s="16">
        <f>IFERROR(__xludf.DUMMYFUNCTION("""COMPUTED_VALUE"""),2464.0)</f>
        <v>2464</v>
      </c>
      <c r="L657" s="16"/>
      <c r="M657" s="14"/>
    </row>
    <row r="658">
      <c r="A658" s="16" t="str">
        <f>IFERROR(__xludf.DUMMYFUNCTION("""COMPUTED_VALUE"""),"Elhaji Abdou Leilata")</f>
        <v>Elhaji Abdou Leilata</v>
      </c>
      <c r="B658" s="16"/>
      <c r="C658" s="14"/>
      <c r="F658" s="16" t="str">
        <f>IFERROR(__xludf.DUMMYFUNCTION("""COMPUTED_VALUE"""),"Babaranga Yama")</f>
        <v>Babaranga Yama</v>
      </c>
      <c r="G658" s="16"/>
      <c r="H658" s="14"/>
      <c r="K658" s="16">
        <f>IFERROR(__xludf.DUMMYFUNCTION("""COMPUTED_VALUE"""),1678.0)</f>
        <v>1678</v>
      </c>
      <c r="L658" s="16"/>
      <c r="M658" s="14"/>
    </row>
    <row r="659">
      <c r="A659" s="16" t="str">
        <f>IFERROR(__xludf.DUMMYFUNCTION("""COMPUTED_VALUE"""),"Elhaji Abdou Leilata")</f>
        <v>Elhaji Abdou Leilata</v>
      </c>
      <c r="B659" s="16"/>
      <c r="C659" s="14"/>
      <c r="F659" s="16" t="str">
        <f>IFERROR(__xludf.DUMMYFUNCTION("""COMPUTED_VALUE"""),"Babaranga Yama")</f>
        <v>Babaranga Yama</v>
      </c>
      <c r="G659" s="16"/>
      <c r="H659" s="14"/>
      <c r="K659" s="16">
        <f>IFERROR(__xludf.DUMMYFUNCTION("""COMPUTED_VALUE"""),2470.0)</f>
        <v>2470</v>
      </c>
      <c r="L659" s="16"/>
      <c r="M659" s="14"/>
    </row>
    <row r="660">
      <c r="A660" s="16" t="str">
        <f>IFERROR(__xludf.DUMMYFUNCTION("""COMPUTED_VALUE"""),"Zakari Aboubacar")</f>
        <v>Zakari Aboubacar</v>
      </c>
      <c r="B660" s="16"/>
      <c r="C660" s="14"/>
      <c r="F660" s="16" t="str">
        <f>IFERROR(__xludf.DUMMYFUNCTION("""COMPUTED_VALUE"""),"Babaranga Yama")</f>
        <v>Babaranga Yama</v>
      </c>
      <c r="G660" s="16"/>
      <c r="H660" s="14"/>
      <c r="K660" s="16">
        <f>IFERROR(__xludf.DUMMYFUNCTION("""COMPUTED_VALUE"""),409.0)</f>
        <v>409</v>
      </c>
      <c r="L660" s="16"/>
      <c r="M660" s="14"/>
    </row>
    <row r="661">
      <c r="A661" s="16" t="str">
        <f>IFERROR(__xludf.DUMMYFUNCTION("""COMPUTED_VALUE"""),"Zakari Aboubacar")</f>
        <v>Zakari Aboubacar</v>
      </c>
      <c r="B661" s="16"/>
      <c r="C661" s="14"/>
      <c r="F661" s="16" t="str">
        <f>IFERROR(__xludf.DUMMYFUNCTION("""COMPUTED_VALUE"""),"Kougouptché")</f>
        <v>Kougouptché</v>
      </c>
      <c r="G661" s="16"/>
      <c r="H661" s="14"/>
      <c r="K661" s="16">
        <f>IFERROR(__xludf.DUMMYFUNCTION("""COMPUTED_VALUE"""),2226.0)</f>
        <v>2226</v>
      </c>
      <c r="L661" s="16"/>
      <c r="M661" s="14"/>
    </row>
    <row r="662">
      <c r="A662" s="16" t="str">
        <f>IFERROR(__xludf.DUMMYFUNCTION("""COMPUTED_VALUE"""),"Zakari Aboubacar")</f>
        <v>Zakari Aboubacar</v>
      </c>
      <c r="B662" s="16"/>
      <c r="C662" s="14"/>
      <c r="F662" s="16" t="str">
        <f>IFERROR(__xludf.DUMMYFUNCTION("""COMPUTED_VALUE"""),"Kougouptché")</f>
        <v>Kougouptché</v>
      </c>
      <c r="G662" s="16"/>
      <c r="H662" s="14"/>
      <c r="K662" s="16">
        <f>IFERROR(__xludf.DUMMYFUNCTION("""COMPUTED_VALUE"""),499.0)</f>
        <v>499</v>
      </c>
      <c r="L662" s="16"/>
      <c r="M662" s="14"/>
    </row>
    <row r="663">
      <c r="A663" s="16" t="str">
        <f>IFERROR(__xludf.DUMMYFUNCTION("""COMPUTED_VALUE"""),"Abdoul Razak Mahamane Boukari")</f>
        <v>Abdoul Razak Mahamane Boukari</v>
      </c>
      <c r="B663" s="16"/>
      <c r="C663" s="14"/>
      <c r="F663" s="16" t="str">
        <f>IFERROR(__xludf.DUMMYFUNCTION("""COMPUTED_VALUE"""),"Kougouptché")</f>
        <v>Kougouptché</v>
      </c>
      <c r="G663" s="16"/>
      <c r="H663" s="14"/>
      <c r="K663" s="16">
        <f>IFERROR(__xludf.DUMMYFUNCTION("""COMPUTED_VALUE"""),1528.0)</f>
        <v>1528</v>
      </c>
      <c r="L663" s="16"/>
      <c r="M663" s="14"/>
    </row>
    <row r="664">
      <c r="A664" s="16" t="str">
        <f>IFERROR(__xludf.DUMMYFUNCTION("""COMPUTED_VALUE"""),"Abdoul Razak Mahamane Boukari")</f>
        <v>Abdoul Razak Mahamane Boukari</v>
      </c>
      <c r="B664" s="16"/>
      <c r="C664" s="14"/>
      <c r="F664" s="16" t="str">
        <f>IFERROR(__xludf.DUMMYFUNCTION("""COMPUTED_VALUE"""),"Kougouptché")</f>
        <v>Kougouptché</v>
      </c>
      <c r="G664" s="16"/>
      <c r="H664" s="14"/>
      <c r="K664" s="16">
        <f>IFERROR(__xludf.DUMMYFUNCTION("""COMPUTED_VALUE"""),633.0)</f>
        <v>633</v>
      </c>
      <c r="L664" s="16"/>
      <c r="M664" s="14"/>
    </row>
    <row r="665">
      <c r="A665" s="16" t="str">
        <f>IFERROR(__xludf.DUMMYFUNCTION("""COMPUTED_VALUE"""),"Abdoul Razak Mahamane Boukari")</f>
        <v>Abdoul Razak Mahamane Boukari</v>
      </c>
      <c r="B665" s="16"/>
      <c r="C665" s="14"/>
      <c r="F665" s="16" t="str">
        <f>IFERROR(__xludf.DUMMYFUNCTION("""COMPUTED_VALUE"""),"Babaranga Yama")</f>
        <v>Babaranga Yama</v>
      </c>
      <c r="G665" s="16"/>
      <c r="H665" s="14"/>
      <c r="K665" s="16">
        <f>IFERROR(__xludf.DUMMYFUNCTION("""COMPUTED_VALUE"""),393.0)</f>
        <v>393</v>
      </c>
      <c r="L665" s="16"/>
      <c r="M665" s="14"/>
    </row>
    <row r="666">
      <c r="A666" s="16" t="str">
        <f>IFERROR(__xludf.DUMMYFUNCTION("""COMPUTED_VALUE"""),"Abdoul Razak Mahamane Boukari")</f>
        <v>Abdoul Razak Mahamane Boukari</v>
      </c>
      <c r="B666" s="16"/>
      <c r="C666" s="14"/>
      <c r="F666" s="16" t="str">
        <f>IFERROR(__xludf.DUMMYFUNCTION("""COMPUTED_VALUE"""),"Kougouptché")</f>
        <v>Kougouptché</v>
      </c>
      <c r="G666" s="16"/>
      <c r="H666" s="14"/>
      <c r="K666" s="16">
        <f>IFERROR(__xludf.DUMMYFUNCTION("""COMPUTED_VALUE"""),387.0)</f>
        <v>387</v>
      </c>
      <c r="L666" s="16"/>
      <c r="M666" s="14"/>
    </row>
    <row r="667">
      <c r="A667" s="16" t="str">
        <f>IFERROR(__xludf.DUMMYFUNCTION("""COMPUTED_VALUE"""),"Abdoul Razak Mahamane Boukari")</f>
        <v>Abdoul Razak Mahamane Boukari</v>
      </c>
      <c r="B667" s="16"/>
      <c r="C667" s="14"/>
      <c r="F667" s="16" t="str">
        <f>IFERROR(__xludf.DUMMYFUNCTION("""COMPUTED_VALUE"""),"Kougouptché")</f>
        <v>Kougouptché</v>
      </c>
      <c r="G667" s="16"/>
      <c r="H667" s="14"/>
      <c r="K667" s="16">
        <f>IFERROR(__xludf.DUMMYFUNCTION("""COMPUTED_VALUE"""),1657.0)</f>
        <v>1657</v>
      </c>
      <c r="L667" s="16"/>
      <c r="M667" s="14"/>
    </row>
    <row r="668">
      <c r="A668" s="16" t="str">
        <f>IFERROR(__xludf.DUMMYFUNCTION("""COMPUTED_VALUE"""),"Abdoul Razak Mahamane Boukari")</f>
        <v>Abdoul Razak Mahamane Boukari</v>
      </c>
      <c r="B668" s="16"/>
      <c r="C668" s="14"/>
      <c r="F668" s="16" t="str">
        <f>IFERROR(__xludf.DUMMYFUNCTION("""COMPUTED_VALUE"""),"Kougouptché")</f>
        <v>Kougouptché</v>
      </c>
      <c r="G668" s="16"/>
      <c r="H668" s="14"/>
      <c r="K668" s="16">
        <f>IFERROR(__xludf.DUMMYFUNCTION("""COMPUTED_VALUE"""),1518.0)</f>
        <v>1518</v>
      </c>
      <c r="L668" s="16"/>
      <c r="M668" s="14"/>
    </row>
    <row r="669">
      <c r="A669" s="16" t="str">
        <f>IFERROR(__xludf.DUMMYFUNCTION("""COMPUTED_VALUE"""),"Amadou Tidjani Ousmane")</f>
        <v>Amadou Tidjani Ousmane</v>
      </c>
      <c r="B669" s="16"/>
      <c r="C669" s="14"/>
      <c r="F669" s="16" t="str">
        <f>IFERROR(__xludf.DUMMYFUNCTION("""COMPUTED_VALUE"""),"Babaranga Yama")</f>
        <v>Babaranga Yama</v>
      </c>
      <c r="G669" s="16"/>
      <c r="H669" s="14"/>
      <c r="K669" s="16">
        <f>IFERROR(__xludf.DUMMYFUNCTION("""COMPUTED_VALUE"""),2117.0)</f>
        <v>2117</v>
      </c>
      <c r="L669" s="16"/>
      <c r="M669" s="14"/>
    </row>
    <row r="670">
      <c r="A670" s="16" t="str">
        <f>IFERROR(__xludf.DUMMYFUNCTION("""COMPUTED_VALUE"""),"Adamou Halidou Daouda")</f>
        <v>Adamou Halidou Daouda</v>
      </c>
      <c r="B670" s="16"/>
      <c r="C670" s="14"/>
      <c r="F670" s="16" t="str">
        <f>IFERROR(__xludf.DUMMYFUNCTION("""COMPUTED_VALUE"""),"Babaranga Yama")</f>
        <v>Babaranga Yama</v>
      </c>
      <c r="G670" s="16"/>
      <c r="H670" s="14"/>
      <c r="K670" s="16">
        <f>IFERROR(__xludf.DUMMYFUNCTION("""COMPUTED_VALUE"""),1685.0)</f>
        <v>1685</v>
      </c>
      <c r="L670" s="16"/>
      <c r="M670" s="14"/>
    </row>
    <row r="671">
      <c r="A671" s="16" t="str">
        <f>IFERROR(__xludf.DUMMYFUNCTION("""COMPUTED_VALUE"""),"Adamou Halidou Daouda")</f>
        <v>Adamou Halidou Daouda</v>
      </c>
      <c r="B671" s="16"/>
      <c r="C671" s="14"/>
      <c r="F671" s="16" t="str">
        <f>IFERROR(__xludf.DUMMYFUNCTION("""COMPUTED_VALUE"""),"Babaranga Yama")</f>
        <v>Babaranga Yama</v>
      </c>
      <c r="G671" s="16"/>
      <c r="H671" s="14"/>
      <c r="K671" s="16">
        <f>IFERROR(__xludf.DUMMYFUNCTION("""COMPUTED_VALUE"""),990.0)</f>
        <v>990</v>
      </c>
      <c r="L671" s="16"/>
      <c r="M671" s="14"/>
    </row>
    <row r="672">
      <c r="A672" s="16" t="str">
        <f>IFERROR(__xludf.DUMMYFUNCTION("""COMPUTED_VALUE"""),"Adamou Halidou Daouda")</f>
        <v>Adamou Halidou Daouda</v>
      </c>
      <c r="B672" s="16"/>
      <c r="C672" s="14"/>
      <c r="F672" s="16" t="str">
        <f>IFERROR(__xludf.DUMMYFUNCTION("""COMPUTED_VALUE"""),"Kougouptché")</f>
        <v>Kougouptché</v>
      </c>
      <c r="G672" s="16"/>
      <c r="H672" s="14"/>
      <c r="K672" s="16">
        <f>IFERROR(__xludf.DUMMYFUNCTION("""COMPUTED_VALUE"""),1893.0)</f>
        <v>1893</v>
      </c>
      <c r="L672" s="16"/>
      <c r="M672" s="14"/>
    </row>
    <row r="673">
      <c r="A673" s="16" t="str">
        <f>IFERROR(__xludf.DUMMYFUNCTION("""COMPUTED_VALUE"""),"Amadou Tidjani Ousmane")</f>
        <v>Amadou Tidjani Ousmane</v>
      </c>
      <c r="B673" s="16"/>
      <c r="C673" s="14"/>
      <c r="F673" s="16" t="str">
        <f>IFERROR(__xludf.DUMMYFUNCTION("""COMPUTED_VALUE"""),"Kougouptché")</f>
        <v>Kougouptché</v>
      </c>
      <c r="G673" s="16"/>
      <c r="H673" s="14"/>
      <c r="K673" s="16">
        <f>IFERROR(__xludf.DUMMYFUNCTION("""COMPUTED_VALUE"""),531.0)</f>
        <v>531</v>
      </c>
      <c r="L673" s="16"/>
      <c r="M673" s="14"/>
    </row>
    <row r="674">
      <c r="A674" s="16" t="str">
        <f>IFERROR(__xludf.DUMMYFUNCTION("""COMPUTED_VALUE"""),"Aicha Noma")</f>
        <v>Aicha Noma</v>
      </c>
      <c r="B674" s="16"/>
      <c r="C674" s="14"/>
      <c r="F674" s="16" t="str">
        <f>IFERROR(__xludf.DUMMYFUNCTION("""COMPUTED_VALUE"""),"Kougouptché")</f>
        <v>Kougouptché</v>
      </c>
      <c r="G674" s="16"/>
      <c r="H674" s="14"/>
      <c r="K674" s="16">
        <f>IFERROR(__xludf.DUMMYFUNCTION("""COMPUTED_VALUE"""),455.0)</f>
        <v>455</v>
      </c>
      <c r="L674" s="16"/>
      <c r="M674" s="14"/>
    </row>
    <row r="675">
      <c r="A675" s="16" t="str">
        <f>IFERROR(__xludf.DUMMYFUNCTION("""COMPUTED_VALUE"""),"Kaltoume Kimba")</f>
        <v>Kaltoume Kimba</v>
      </c>
      <c r="B675" s="16"/>
      <c r="C675" s="14"/>
      <c r="F675" s="16" t="str">
        <f>IFERROR(__xludf.DUMMYFUNCTION("""COMPUTED_VALUE"""),"Kougouptché")</f>
        <v>Kougouptché</v>
      </c>
      <c r="G675" s="16"/>
      <c r="H675" s="14"/>
      <c r="K675" s="16">
        <f>IFERROR(__xludf.DUMMYFUNCTION("""COMPUTED_VALUE"""),1783.0)</f>
        <v>1783</v>
      </c>
      <c r="L675" s="16"/>
      <c r="M675" s="14"/>
    </row>
    <row r="676">
      <c r="A676" s="16" t="str">
        <f>IFERROR(__xludf.DUMMYFUNCTION("""COMPUTED_VALUE"""),"Amadou Tidjani Ousmane")</f>
        <v>Amadou Tidjani Ousmane</v>
      </c>
      <c r="B676" s="16"/>
      <c r="C676" s="14"/>
      <c r="F676" s="16" t="str">
        <f>IFERROR(__xludf.DUMMYFUNCTION("""COMPUTED_VALUE"""),"Kougouptché")</f>
        <v>Kougouptché</v>
      </c>
      <c r="G676" s="16"/>
      <c r="H676" s="14"/>
      <c r="K676" s="16">
        <f>IFERROR(__xludf.DUMMYFUNCTION("""COMPUTED_VALUE"""),596.0)</f>
        <v>596</v>
      </c>
      <c r="L676" s="16"/>
      <c r="M676" s="14"/>
    </row>
    <row r="677">
      <c r="A677" s="16" t="str">
        <f>IFERROR(__xludf.DUMMYFUNCTION("""COMPUTED_VALUE"""),"Moumouni Adamou Yahaya")</f>
        <v>Moumouni Adamou Yahaya</v>
      </c>
      <c r="B677" s="16"/>
      <c r="C677" s="14"/>
      <c r="F677" s="16" t="str">
        <f>IFERROR(__xludf.DUMMYFUNCTION("""COMPUTED_VALUE"""),"Kougouptché")</f>
        <v>Kougouptché</v>
      </c>
      <c r="G677" s="16"/>
      <c r="H677" s="14"/>
      <c r="K677" s="16">
        <f>IFERROR(__xludf.DUMMYFUNCTION("""COMPUTED_VALUE"""),2635.0)</f>
        <v>2635</v>
      </c>
      <c r="L677" s="16"/>
      <c r="M677" s="14"/>
    </row>
    <row r="678">
      <c r="A678" s="16" t="str">
        <f>IFERROR(__xludf.DUMMYFUNCTION("""COMPUTED_VALUE"""),"Mohamed Cherif")</f>
        <v>Mohamed Cherif</v>
      </c>
      <c r="B678" s="16"/>
      <c r="C678" s="14"/>
      <c r="F678" s="16" t="str">
        <f>IFERROR(__xludf.DUMMYFUNCTION("""COMPUTED_VALUE"""),"Kougouptché")</f>
        <v>Kougouptché</v>
      </c>
      <c r="G678" s="16"/>
      <c r="H678" s="14"/>
      <c r="K678" s="16">
        <f>IFERROR(__xludf.DUMMYFUNCTION("""COMPUTED_VALUE"""),485.0)</f>
        <v>485</v>
      </c>
      <c r="L678" s="16"/>
      <c r="M678" s="14"/>
    </row>
    <row r="679">
      <c r="A679" s="16" t="str">
        <f>IFERROR(__xludf.DUMMYFUNCTION("""COMPUTED_VALUE"""),"Mohamed Cherif")</f>
        <v>Mohamed Cherif</v>
      </c>
      <c r="B679" s="16"/>
      <c r="C679" s="14"/>
      <c r="F679" s="16" t="str">
        <f>IFERROR(__xludf.DUMMYFUNCTION("""COMPUTED_VALUE"""),"Kougouptché")</f>
        <v>Kougouptché</v>
      </c>
      <c r="G679" s="16"/>
      <c r="H679" s="14"/>
      <c r="K679" s="16">
        <f>IFERROR(__xludf.DUMMYFUNCTION("""COMPUTED_VALUE"""),734.0)</f>
        <v>734</v>
      </c>
      <c r="L679" s="16"/>
      <c r="M679" s="14"/>
    </row>
    <row r="680">
      <c r="A680" s="16" t="str">
        <f>IFERROR(__xludf.DUMMYFUNCTION("""COMPUTED_VALUE"""),"Mohamed Cherif")</f>
        <v>Mohamed Cherif</v>
      </c>
      <c r="B680" s="16"/>
      <c r="C680" s="14"/>
      <c r="F680" s="16" t="str">
        <f>IFERROR(__xludf.DUMMYFUNCTION("""COMPUTED_VALUE"""),"Kougouptché")</f>
        <v>Kougouptché</v>
      </c>
      <c r="G680" s="16"/>
      <c r="H680" s="14"/>
      <c r="K680" s="16">
        <f>IFERROR(__xludf.DUMMYFUNCTION("""COMPUTED_VALUE"""),432.0)</f>
        <v>432</v>
      </c>
      <c r="L680" s="16"/>
      <c r="M680" s="14"/>
    </row>
    <row r="681">
      <c r="A681" s="16" t="str">
        <f>IFERROR(__xludf.DUMMYFUNCTION("""COMPUTED_VALUE"""),"Mohamed Cherif")</f>
        <v>Mohamed Cherif</v>
      </c>
      <c r="B681" s="16"/>
      <c r="C681" s="14"/>
      <c r="F681" s="16" t="str">
        <f>IFERROR(__xludf.DUMMYFUNCTION("""COMPUTED_VALUE"""),"Babaranga Yama")</f>
        <v>Babaranga Yama</v>
      </c>
      <c r="G681" s="16"/>
      <c r="H681" s="14"/>
      <c r="K681" s="16">
        <f>IFERROR(__xludf.DUMMYFUNCTION("""COMPUTED_VALUE"""),1946.0)</f>
        <v>1946</v>
      </c>
      <c r="L681" s="16"/>
      <c r="M681" s="14"/>
    </row>
    <row r="682">
      <c r="A682" s="16" t="str">
        <f>IFERROR(__xludf.DUMMYFUNCTION("""COMPUTED_VALUE"""),"Moumouni Adamou Yahaya")</f>
        <v>Moumouni Adamou Yahaya</v>
      </c>
      <c r="B682" s="16"/>
      <c r="C682" s="14"/>
      <c r="F682" s="16" t="str">
        <f>IFERROR(__xludf.DUMMYFUNCTION("""COMPUTED_VALUE"""),"Babaranga Yama")</f>
        <v>Babaranga Yama</v>
      </c>
      <c r="G682" s="16"/>
      <c r="H682" s="14"/>
      <c r="K682" s="16">
        <f>IFERROR(__xludf.DUMMYFUNCTION("""COMPUTED_VALUE"""),698.0)</f>
        <v>698</v>
      </c>
      <c r="L682" s="16"/>
      <c r="M682" s="14"/>
    </row>
    <row r="683">
      <c r="A683" s="16" t="str">
        <f>IFERROR(__xludf.DUMMYFUNCTION("""COMPUTED_VALUE"""),"Moumouni Adamou Yahaya")</f>
        <v>Moumouni Adamou Yahaya</v>
      </c>
      <c r="B683" s="16"/>
      <c r="C683" s="14"/>
      <c r="F683" s="16" t="str">
        <f>IFERROR(__xludf.DUMMYFUNCTION("""COMPUTED_VALUE"""),"Kougouptché")</f>
        <v>Kougouptché</v>
      </c>
      <c r="G683" s="16"/>
      <c r="H683" s="14"/>
      <c r="K683" s="16">
        <f>IFERROR(__xludf.DUMMYFUNCTION("""COMPUTED_VALUE"""),1524.0)</f>
        <v>1524</v>
      </c>
      <c r="L683" s="16"/>
      <c r="M683" s="14"/>
    </row>
    <row r="684">
      <c r="A684" s="16" t="str">
        <f>IFERROR(__xludf.DUMMYFUNCTION("""COMPUTED_VALUE"""),"Mohamed Cherif")</f>
        <v>Mohamed Cherif</v>
      </c>
      <c r="B684" s="16"/>
      <c r="C684" s="14"/>
      <c r="F684" s="16" t="str">
        <f>IFERROR(__xludf.DUMMYFUNCTION("""COMPUTED_VALUE"""),"Kougouptché")</f>
        <v>Kougouptché</v>
      </c>
      <c r="G684" s="16"/>
      <c r="H684" s="14"/>
      <c r="K684" s="16">
        <f>IFERROR(__xludf.DUMMYFUNCTION("""COMPUTED_VALUE"""),1072.0)</f>
        <v>1072</v>
      </c>
      <c r="L684" s="16"/>
      <c r="M684" s="14"/>
    </row>
    <row r="685">
      <c r="A685" s="16" t="str">
        <f>IFERROR(__xludf.DUMMYFUNCTION("""COMPUTED_VALUE"""),"Moumouni Adamou Yahaya")</f>
        <v>Moumouni Adamou Yahaya</v>
      </c>
      <c r="B685" s="16"/>
      <c r="C685" s="14"/>
      <c r="F685" s="16" t="str">
        <f>IFERROR(__xludf.DUMMYFUNCTION("""COMPUTED_VALUE"""),"Kougouptché")</f>
        <v>Kougouptché</v>
      </c>
      <c r="G685" s="16"/>
      <c r="H685" s="14"/>
      <c r="K685" s="16">
        <f>IFERROR(__xludf.DUMMYFUNCTION("""COMPUTED_VALUE"""),1646.0)</f>
        <v>1646</v>
      </c>
      <c r="L685" s="16"/>
      <c r="M685" s="14"/>
    </row>
    <row r="686">
      <c r="A686" s="16" t="str">
        <f>IFERROR(__xludf.DUMMYFUNCTION("""COMPUTED_VALUE"""),"Moumouni Adamou Yahaya")</f>
        <v>Moumouni Adamou Yahaya</v>
      </c>
      <c r="B686" s="16"/>
      <c r="C686" s="14"/>
      <c r="F686" s="16" t="str">
        <f>IFERROR(__xludf.DUMMYFUNCTION("""COMPUTED_VALUE"""),"Kougouptché")</f>
        <v>Kougouptché</v>
      </c>
      <c r="G686" s="16"/>
      <c r="H686" s="14"/>
      <c r="K686" s="16">
        <f>IFERROR(__xludf.DUMMYFUNCTION("""COMPUTED_VALUE"""),2042.0)</f>
        <v>2042</v>
      </c>
      <c r="L686" s="16"/>
      <c r="M686" s="14"/>
    </row>
    <row r="687">
      <c r="A687" s="16" t="str">
        <f>IFERROR(__xludf.DUMMYFUNCTION("""COMPUTED_VALUE"""),"Haladou Boukar")</f>
        <v>Haladou Boukar</v>
      </c>
      <c r="B687" s="16"/>
      <c r="C687" s="14"/>
      <c r="F687" s="16" t="str">
        <f>IFERROR(__xludf.DUMMYFUNCTION("""COMPUTED_VALUE"""),"Kaba Gabass")</f>
        <v>Kaba Gabass</v>
      </c>
      <c r="G687" s="16"/>
      <c r="H687" s="14"/>
      <c r="K687" s="16">
        <f>IFERROR(__xludf.DUMMYFUNCTION("""COMPUTED_VALUE"""),529.0)</f>
        <v>529</v>
      </c>
      <c r="L687" s="16"/>
      <c r="M687" s="14"/>
    </row>
    <row r="688">
      <c r="A688" s="16" t="str">
        <f>IFERROR(__xludf.DUMMYFUNCTION("""COMPUTED_VALUE"""),"Haladou Boukar")</f>
        <v>Haladou Boukar</v>
      </c>
      <c r="B688" s="16"/>
      <c r="C688" s="14"/>
      <c r="F688" s="16" t="str">
        <f>IFERROR(__xludf.DUMMYFUNCTION("""COMPUTED_VALUE"""),"Babaranga Yama")</f>
        <v>Babaranga Yama</v>
      </c>
      <c r="G688" s="16"/>
      <c r="H688" s="14"/>
      <c r="K688" s="16">
        <f>IFERROR(__xludf.DUMMYFUNCTION("""COMPUTED_VALUE"""),2521.0)</f>
        <v>2521</v>
      </c>
      <c r="L688" s="16"/>
      <c r="M688" s="14"/>
    </row>
    <row r="689">
      <c r="A689" s="16" t="str">
        <f>IFERROR(__xludf.DUMMYFUNCTION("""COMPUTED_VALUE"""),"Haladou Boukar")</f>
        <v>Haladou Boukar</v>
      </c>
      <c r="B689" s="16"/>
      <c r="C689" s="14"/>
      <c r="F689" s="16" t="str">
        <f>IFERROR(__xludf.DUMMYFUNCTION("""COMPUTED_VALUE"""),"Babaranga Yama")</f>
        <v>Babaranga Yama</v>
      </c>
      <c r="G689" s="16"/>
      <c r="H689" s="14"/>
      <c r="K689" s="16">
        <f>IFERROR(__xludf.DUMMYFUNCTION("""COMPUTED_VALUE"""),513.0)</f>
        <v>513</v>
      </c>
      <c r="L689" s="16"/>
      <c r="M689" s="14"/>
    </row>
    <row r="690">
      <c r="A690" s="16" t="str">
        <f>IFERROR(__xludf.DUMMYFUNCTION("""COMPUTED_VALUE"""),"Sani Moussa Aboubacar")</f>
        <v>Sani Moussa Aboubacar</v>
      </c>
      <c r="B690" s="16"/>
      <c r="C690" s="14"/>
      <c r="F690" s="16" t="str">
        <f>IFERROR(__xludf.DUMMYFUNCTION("""COMPUTED_VALUE"""),"Kougouptché")</f>
        <v>Kougouptché</v>
      </c>
      <c r="G690" s="16"/>
      <c r="H690" s="14"/>
      <c r="K690" s="16">
        <f>IFERROR(__xludf.DUMMYFUNCTION("""COMPUTED_VALUE"""),2144.0)</f>
        <v>2144</v>
      </c>
      <c r="L690" s="16"/>
      <c r="M690" s="14"/>
    </row>
    <row r="691">
      <c r="A691" s="16" t="str">
        <f>IFERROR(__xludf.DUMMYFUNCTION("""COMPUTED_VALUE"""),"Issoufou Amadou Aichatou")</f>
        <v>Issoufou Amadou Aichatou</v>
      </c>
      <c r="B691" s="16"/>
      <c r="C691" s="14"/>
      <c r="F691" s="16" t="str">
        <f>IFERROR(__xludf.DUMMYFUNCTION("""COMPUTED_VALUE"""),"Gangawa")</f>
        <v>Gangawa</v>
      </c>
      <c r="G691" s="16"/>
      <c r="H691" s="14"/>
      <c r="K691" s="16">
        <f>IFERROR(__xludf.DUMMYFUNCTION("""COMPUTED_VALUE"""),484.0)</f>
        <v>484</v>
      </c>
      <c r="L691" s="16"/>
      <c r="M691" s="14"/>
    </row>
    <row r="692">
      <c r="A692" s="16" t="str">
        <f>IFERROR(__xludf.DUMMYFUNCTION("""COMPUTED_VALUE"""),"Mohamadou Amadou")</f>
        <v>Mohamadou Amadou</v>
      </c>
      <c r="B692" s="16"/>
      <c r="C692" s="14"/>
      <c r="F692" s="16" t="str">
        <f>IFERROR(__xludf.DUMMYFUNCTION("""COMPUTED_VALUE"""),"Kougouptché")</f>
        <v>Kougouptché</v>
      </c>
      <c r="G692" s="16"/>
      <c r="H692" s="14"/>
      <c r="K692" s="16">
        <f>IFERROR(__xludf.DUMMYFUNCTION("""COMPUTED_VALUE"""),2466.0)</f>
        <v>2466</v>
      </c>
      <c r="L692" s="16"/>
      <c r="M692" s="14"/>
    </row>
    <row r="693">
      <c r="A693" s="16" t="str">
        <f>IFERROR(__xludf.DUMMYFUNCTION("""COMPUTED_VALUE"""),"Mohamadou Amadou")</f>
        <v>Mohamadou Amadou</v>
      </c>
      <c r="B693" s="16"/>
      <c r="C693" s="14"/>
      <c r="F693" s="16" t="str">
        <f>IFERROR(__xludf.DUMMYFUNCTION("""COMPUTED_VALUE"""),"Kougouptché")</f>
        <v>Kougouptché</v>
      </c>
      <c r="G693" s="16"/>
      <c r="H693" s="14"/>
      <c r="K693" s="16">
        <f>IFERROR(__xludf.DUMMYFUNCTION("""COMPUTED_VALUE"""),2031.0)</f>
        <v>2031</v>
      </c>
      <c r="L693" s="16"/>
      <c r="M693" s="14"/>
    </row>
    <row r="694">
      <c r="A694" s="16" t="str">
        <f>IFERROR(__xludf.DUMMYFUNCTION("""COMPUTED_VALUE"""),"Issoufou Amadou Aichatou")</f>
        <v>Issoufou Amadou Aichatou</v>
      </c>
      <c r="B694" s="16"/>
      <c r="C694" s="14"/>
      <c r="F694" s="16" t="str">
        <f>IFERROR(__xludf.DUMMYFUNCTION("""COMPUTED_VALUE"""),"Gangawa")</f>
        <v>Gangawa</v>
      </c>
      <c r="G694" s="16"/>
      <c r="H694" s="14"/>
      <c r="K694" s="16">
        <f>IFERROR(__xludf.DUMMYFUNCTION("""COMPUTED_VALUE"""),1320.0)</f>
        <v>1320</v>
      </c>
      <c r="L694" s="16"/>
      <c r="M694" s="14"/>
    </row>
    <row r="695">
      <c r="A695" s="16" t="str">
        <f>IFERROR(__xludf.DUMMYFUNCTION("""COMPUTED_VALUE"""),"Younoussi Bilan Djamila")</f>
        <v>Younoussi Bilan Djamila</v>
      </c>
      <c r="B695" s="16"/>
      <c r="C695" s="14"/>
      <c r="F695" s="16" t="str">
        <f>IFERROR(__xludf.DUMMYFUNCTION("""COMPUTED_VALUE"""),"Zangarata")</f>
        <v>Zangarata</v>
      </c>
      <c r="G695" s="16"/>
      <c r="H695" s="14"/>
      <c r="K695" s="16">
        <f>IFERROR(__xludf.DUMMYFUNCTION("""COMPUTED_VALUE"""),1028.0)</f>
        <v>1028</v>
      </c>
      <c r="L695" s="16"/>
      <c r="M695" s="14"/>
    </row>
    <row r="696">
      <c r="A696" s="16" t="str">
        <f>IFERROR(__xludf.DUMMYFUNCTION("""COMPUTED_VALUE"""),"Maman Zayanou Harouna")</f>
        <v>Maman Zayanou Harouna</v>
      </c>
      <c r="B696" s="16"/>
      <c r="C696" s="14"/>
      <c r="F696" s="16" t="str">
        <f>IFERROR(__xludf.DUMMYFUNCTION("""COMPUTED_VALUE"""),"Zangarata")</f>
        <v>Zangarata</v>
      </c>
      <c r="G696" s="16"/>
      <c r="H696" s="14"/>
      <c r="K696" s="16">
        <f>IFERROR(__xludf.DUMMYFUNCTION("""COMPUTED_VALUE"""),2025.0)</f>
        <v>2025</v>
      </c>
      <c r="L696" s="16"/>
      <c r="M696" s="14"/>
    </row>
    <row r="697">
      <c r="A697" s="16" t="str">
        <f>IFERROR(__xludf.DUMMYFUNCTION("""COMPUTED_VALUE"""),"Maman Zayanou Harouna")</f>
        <v>Maman Zayanou Harouna</v>
      </c>
      <c r="B697" s="16"/>
      <c r="C697" s="14"/>
      <c r="F697" s="16" t="str">
        <f>IFERROR(__xludf.DUMMYFUNCTION("""COMPUTED_VALUE"""),"Babaranga Yama")</f>
        <v>Babaranga Yama</v>
      </c>
      <c r="G697" s="16"/>
      <c r="H697" s="14"/>
      <c r="K697" s="16">
        <f>IFERROR(__xludf.DUMMYFUNCTION("""COMPUTED_VALUE"""),437.0)</f>
        <v>437</v>
      </c>
      <c r="L697" s="16"/>
      <c r="M697" s="14"/>
    </row>
    <row r="698">
      <c r="A698" s="16" t="str">
        <f>IFERROR(__xludf.DUMMYFUNCTION("""COMPUTED_VALUE"""),"Rakia moussa")</f>
        <v>Rakia moussa</v>
      </c>
      <c r="B698" s="16"/>
      <c r="C698" s="14"/>
      <c r="F698" s="16" t="str">
        <f>IFERROR(__xludf.DUMMYFUNCTION("""COMPUTED_VALUE"""),"Babaranga Yama")</f>
        <v>Babaranga Yama</v>
      </c>
      <c r="G698" s="16"/>
      <c r="H698" s="14"/>
      <c r="K698" s="16">
        <f>IFERROR(__xludf.DUMMYFUNCTION("""COMPUTED_VALUE"""),427.0)</f>
        <v>427</v>
      </c>
      <c r="L698" s="16"/>
      <c r="M698" s="14"/>
    </row>
    <row r="699">
      <c r="A699" s="16" t="str">
        <f>IFERROR(__xludf.DUMMYFUNCTION("""COMPUTED_VALUE"""),"Achirou kane Abdoul Nasser")</f>
        <v>Achirou kane Abdoul Nasser</v>
      </c>
      <c r="B699" s="16"/>
      <c r="C699" s="14"/>
      <c r="F699" s="16" t="str">
        <f>IFERROR(__xludf.DUMMYFUNCTION("""COMPUTED_VALUE"""),"Kougouptché")</f>
        <v>Kougouptché</v>
      </c>
      <c r="G699" s="16"/>
      <c r="H699" s="14"/>
      <c r="K699" s="16">
        <f>IFERROR(__xludf.DUMMYFUNCTION("""COMPUTED_VALUE"""),1488.0)</f>
        <v>1488</v>
      </c>
      <c r="L699" s="16"/>
      <c r="M699" s="14"/>
    </row>
    <row r="700">
      <c r="A700" s="16" t="str">
        <f>IFERROR(__xludf.DUMMYFUNCTION("""COMPUTED_VALUE"""),"Achirou Malam Dan Maradi Nassirou")</f>
        <v>Achirou Malam Dan Maradi Nassirou</v>
      </c>
      <c r="B700" s="16"/>
      <c r="C700" s="14"/>
      <c r="F700" s="16" t="str">
        <f>IFERROR(__xludf.DUMMYFUNCTION("""COMPUTED_VALUE"""),"Kougouptché")</f>
        <v>Kougouptché</v>
      </c>
      <c r="G700" s="16"/>
      <c r="H700" s="14"/>
      <c r="K700" s="16">
        <f>IFERROR(__xludf.DUMMYFUNCTION("""COMPUTED_VALUE"""),1031.0)</f>
        <v>1031</v>
      </c>
      <c r="L700" s="16"/>
      <c r="M700" s="14"/>
    </row>
    <row r="701">
      <c r="A701" s="16" t="str">
        <f>IFERROR(__xludf.DUMMYFUNCTION("""COMPUTED_VALUE"""),"Achirou Malam Dan Maradi Nassirou")</f>
        <v>Achirou Malam Dan Maradi Nassirou</v>
      </c>
      <c r="B701" s="16"/>
      <c r="C701" s="14"/>
      <c r="F701" s="16" t="str">
        <f>IFERROR(__xludf.DUMMYFUNCTION("""COMPUTED_VALUE"""),"Kougouptché")</f>
        <v>Kougouptché</v>
      </c>
      <c r="G701" s="16"/>
      <c r="H701" s="14"/>
      <c r="K701" s="16">
        <f>IFERROR(__xludf.DUMMYFUNCTION("""COMPUTED_VALUE"""),587.0)</f>
        <v>587</v>
      </c>
      <c r="L701" s="16"/>
      <c r="M701" s="14"/>
    </row>
    <row r="702">
      <c r="A702" s="16" t="str">
        <f>IFERROR(__xludf.DUMMYFUNCTION("""COMPUTED_VALUE"""),"Achirou Malam Dan Maradi Nassirou")</f>
        <v>Achirou Malam Dan Maradi Nassirou</v>
      </c>
      <c r="B702" s="16"/>
      <c r="C702" s="14"/>
      <c r="F702" s="16" t="str">
        <f>IFERROR(__xludf.DUMMYFUNCTION("""COMPUTED_VALUE"""),"Kougouptché")</f>
        <v>Kougouptché</v>
      </c>
      <c r="G702" s="16"/>
      <c r="H702" s="14"/>
      <c r="K702" s="16">
        <f>IFERROR(__xludf.DUMMYFUNCTION("""COMPUTED_VALUE"""),1229.0)</f>
        <v>1229</v>
      </c>
      <c r="L702" s="16"/>
      <c r="M702" s="14"/>
    </row>
    <row r="703">
      <c r="A703" s="16" t="str">
        <f>IFERROR(__xludf.DUMMYFUNCTION("""COMPUTED_VALUE"""),"Achirou Malam Dan Maradi Nassirou")</f>
        <v>Achirou Malam Dan Maradi Nassirou</v>
      </c>
      <c r="B703" s="16"/>
      <c r="C703" s="14"/>
      <c r="F703" s="16" t="str">
        <f>IFERROR(__xludf.DUMMYFUNCTION("""COMPUTED_VALUE"""),"Zangarata")</f>
        <v>Zangarata</v>
      </c>
      <c r="G703" s="16"/>
      <c r="H703" s="14"/>
      <c r="K703" s="16">
        <f>IFERROR(__xludf.DUMMYFUNCTION("""COMPUTED_VALUE"""),1537.0)</f>
        <v>1537</v>
      </c>
      <c r="L703" s="16"/>
      <c r="M703" s="14"/>
    </row>
    <row r="704">
      <c r="A704" s="16" t="str">
        <f>IFERROR(__xludf.DUMMYFUNCTION("""COMPUTED_VALUE"""),"Amadou Mariama")</f>
        <v>Amadou Mariama</v>
      </c>
      <c r="B704" s="16"/>
      <c r="C704" s="14"/>
      <c r="F704" s="16" t="str">
        <f>IFERROR(__xludf.DUMMYFUNCTION("""COMPUTED_VALUE"""),"Gangawa")</f>
        <v>Gangawa</v>
      </c>
      <c r="G704" s="16"/>
      <c r="H704" s="14"/>
      <c r="K704" s="16">
        <f>IFERROR(__xludf.DUMMYFUNCTION("""COMPUTED_VALUE"""),3952.0)</f>
        <v>3952</v>
      </c>
      <c r="L704" s="16"/>
      <c r="M704" s="14"/>
    </row>
    <row r="705">
      <c r="A705" s="16" t="str">
        <f>IFERROR(__xludf.DUMMYFUNCTION("""COMPUTED_VALUE"""),"Amadou Mariama")</f>
        <v>Amadou Mariama</v>
      </c>
      <c r="B705" s="16"/>
      <c r="C705" s="14"/>
      <c r="F705" s="16" t="str">
        <f>IFERROR(__xludf.DUMMYFUNCTION("""COMPUTED_VALUE"""),"Gangawa")</f>
        <v>Gangawa</v>
      </c>
      <c r="G705" s="16"/>
      <c r="H705" s="14"/>
      <c r="K705" s="16">
        <f>IFERROR(__xludf.DUMMYFUNCTION("""COMPUTED_VALUE"""),2093.0)</f>
        <v>2093</v>
      </c>
      <c r="L705" s="16"/>
      <c r="M705" s="14"/>
    </row>
    <row r="706">
      <c r="A706" s="16" t="str">
        <f>IFERROR(__xludf.DUMMYFUNCTION("""COMPUTED_VALUE"""),"Rabi Boubacar Younoussa")</f>
        <v>Rabi Boubacar Younoussa</v>
      </c>
      <c r="B706" s="16"/>
      <c r="C706" s="14"/>
      <c r="F706" s="16" t="str">
        <f>IFERROR(__xludf.DUMMYFUNCTION("""COMPUTED_VALUE"""),"Gangawa")</f>
        <v>Gangawa</v>
      </c>
      <c r="G706" s="16"/>
      <c r="H706" s="14"/>
      <c r="K706" s="16">
        <f>IFERROR(__xludf.DUMMYFUNCTION("""COMPUTED_VALUE"""),1929.0)</f>
        <v>1929</v>
      </c>
      <c r="L706" s="16"/>
      <c r="M706" s="14"/>
    </row>
    <row r="707">
      <c r="A707" s="16" t="str">
        <f>IFERROR(__xludf.DUMMYFUNCTION("""COMPUTED_VALUE"""),"Rabi Boubacar Younoussa")</f>
        <v>Rabi Boubacar Younoussa</v>
      </c>
      <c r="B707" s="16"/>
      <c r="C707" s="14"/>
      <c r="F707" s="16" t="str">
        <f>IFERROR(__xludf.DUMMYFUNCTION("""COMPUTED_VALUE"""),"Zangarata")</f>
        <v>Zangarata</v>
      </c>
      <c r="G707" s="16"/>
      <c r="H707" s="14"/>
      <c r="K707" s="16">
        <f>IFERROR(__xludf.DUMMYFUNCTION("""COMPUTED_VALUE"""),2260.0)</f>
        <v>2260</v>
      </c>
      <c r="L707" s="16"/>
      <c r="M707" s="14"/>
    </row>
    <row r="708">
      <c r="A708" s="16" t="str">
        <f>IFERROR(__xludf.DUMMYFUNCTION("""COMPUTED_VALUE"""),"Rabi Boubacar Younoussa")</f>
        <v>Rabi Boubacar Younoussa</v>
      </c>
      <c r="B708" s="16"/>
      <c r="C708" s="14"/>
      <c r="F708" s="16" t="str">
        <f>IFERROR(__xludf.DUMMYFUNCTION("""COMPUTED_VALUE"""),"Garka Mata")</f>
        <v>Garka Mata</v>
      </c>
      <c r="G708" s="16"/>
      <c r="H708" s="14"/>
      <c r="K708" s="16">
        <f>IFERROR(__xludf.DUMMYFUNCTION("""COMPUTED_VALUE"""),1738.0)</f>
        <v>1738</v>
      </c>
      <c r="L708" s="16"/>
      <c r="M708" s="14"/>
    </row>
    <row r="709">
      <c r="A709" s="16" t="str">
        <f>IFERROR(__xludf.DUMMYFUNCTION("""COMPUTED_VALUE"""),"Inoussa Balkissou")</f>
        <v>Inoussa Balkissou</v>
      </c>
      <c r="B709" s="16"/>
      <c r="C709" s="14"/>
      <c r="F709" s="16" t="str">
        <f>IFERROR(__xludf.DUMMYFUNCTION("""COMPUTED_VALUE"""),"Garka Mata")</f>
        <v>Garka Mata</v>
      </c>
      <c r="G709" s="16"/>
      <c r="H709" s="14"/>
      <c r="K709" s="16">
        <f>IFERROR(__xludf.DUMMYFUNCTION("""COMPUTED_VALUE"""),2045.0)</f>
        <v>2045</v>
      </c>
      <c r="L709" s="16"/>
      <c r="M709" s="14"/>
    </row>
    <row r="710">
      <c r="A710" s="16" t="str">
        <f>IFERROR(__xludf.DUMMYFUNCTION("""COMPUTED_VALUE"""),"Razinatou Salissou")</f>
        <v>Razinatou Salissou</v>
      </c>
      <c r="B710" s="16"/>
      <c r="C710" s="14"/>
      <c r="F710" s="16" t="str">
        <f>IFERROR(__xludf.DUMMYFUNCTION("""COMPUTED_VALUE"""),"Jibalawa Est")</f>
        <v>Jibalawa Est</v>
      </c>
      <c r="G710" s="16"/>
      <c r="H710" s="14"/>
      <c r="K710" s="16">
        <f>IFERROR(__xludf.DUMMYFUNCTION("""COMPUTED_VALUE"""),1757.0)</f>
        <v>1757</v>
      </c>
      <c r="L710" s="16"/>
      <c r="M710" s="14"/>
    </row>
    <row r="711">
      <c r="A711" s="16" t="str">
        <f>IFERROR(__xludf.DUMMYFUNCTION("""COMPUTED_VALUE"""),"Razinatou Salissou")</f>
        <v>Razinatou Salissou</v>
      </c>
      <c r="B711" s="16"/>
      <c r="C711" s="14"/>
      <c r="F711" s="16" t="str">
        <f>IFERROR(__xludf.DUMMYFUNCTION("""COMPUTED_VALUE"""),"Garka Mata")</f>
        <v>Garka Mata</v>
      </c>
      <c r="G711" s="16"/>
      <c r="H711" s="14"/>
      <c r="K711" s="16">
        <f>IFERROR(__xludf.DUMMYFUNCTION("""COMPUTED_VALUE"""),1790.0)</f>
        <v>1790</v>
      </c>
      <c r="L711" s="16"/>
      <c r="M711" s="14"/>
    </row>
    <row r="712">
      <c r="A712" s="16" t="str">
        <f>IFERROR(__xludf.DUMMYFUNCTION("""COMPUTED_VALUE"""),"Razinatou Salissou")</f>
        <v>Razinatou Salissou</v>
      </c>
      <c r="B712" s="16"/>
      <c r="C712" s="14"/>
      <c r="F712" s="16" t="str">
        <f>IFERROR(__xludf.DUMMYFUNCTION("""COMPUTED_VALUE"""),"Jibalawa Est")</f>
        <v>Jibalawa Est</v>
      </c>
      <c r="G712" s="16"/>
      <c r="H712" s="14"/>
      <c r="K712" s="16">
        <f>IFERROR(__xludf.DUMMYFUNCTION("""COMPUTED_VALUE"""),1667.0)</f>
        <v>1667</v>
      </c>
      <c r="L712" s="16"/>
      <c r="M712" s="14"/>
    </row>
    <row r="713">
      <c r="A713" s="16" t="str">
        <f>IFERROR(__xludf.DUMMYFUNCTION("""COMPUTED_VALUE"""),"Abdoul Salami Ibrahim")</f>
        <v>Abdoul Salami Ibrahim</v>
      </c>
      <c r="B713" s="16"/>
      <c r="C713" s="14"/>
      <c r="F713" s="16" t="str">
        <f>IFERROR(__xludf.DUMMYFUNCTION("""COMPUTED_VALUE"""),"Jibalawa Est")</f>
        <v>Jibalawa Est</v>
      </c>
      <c r="G713" s="16"/>
      <c r="H713" s="14"/>
      <c r="K713" s="16">
        <f>IFERROR(__xludf.DUMMYFUNCTION("""COMPUTED_VALUE"""),1396.0)</f>
        <v>1396</v>
      </c>
      <c r="L713" s="16"/>
      <c r="M713" s="14"/>
    </row>
    <row r="714">
      <c r="A714" s="16" t="str">
        <f>IFERROR(__xludf.DUMMYFUNCTION("""COMPUTED_VALUE"""),"Abdoul Salami Ibrahim")</f>
        <v>Abdoul Salami Ibrahim</v>
      </c>
      <c r="B714" s="16"/>
      <c r="C714" s="14"/>
      <c r="F714" s="16" t="str">
        <f>IFERROR(__xludf.DUMMYFUNCTION("""COMPUTED_VALUE"""),"Gangawa")</f>
        <v>Gangawa</v>
      </c>
      <c r="G714" s="16"/>
      <c r="H714" s="14"/>
      <c r="K714" s="16">
        <f>IFERROR(__xludf.DUMMYFUNCTION("""COMPUTED_VALUE"""),1560.0)</f>
        <v>1560</v>
      </c>
      <c r="L714" s="16"/>
      <c r="M714" s="14"/>
    </row>
    <row r="715">
      <c r="A715" s="16" t="str">
        <f>IFERROR(__xludf.DUMMYFUNCTION("""COMPUTED_VALUE"""),"Abdoul Salami Ibrahim")</f>
        <v>Abdoul Salami Ibrahim</v>
      </c>
      <c r="B715" s="16"/>
      <c r="C715" s="14"/>
      <c r="F715" s="16" t="str">
        <f>IFERROR(__xludf.DUMMYFUNCTION("""COMPUTED_VALUE"""),"Zangarata")</f>
        <v>Zangarata</v>
      </c>
      <c r="G715" s="16"/>
      <c r="H715" s="14"/>
      <c r="K715" s="16">
        <f>IFERROR(__xludf.DUMMYFUNCTION("""COMPUTED_VALUE"""),1579.0)</f>
        <v>1579</v>
      </c>
      <c r="L715" s="16"/>
      <c r="M715" s="14"/>
    </row>
    <row r="716">
      <c r="A716" s="16" t="str">
        <f>IFERROR(__xludf.DUMMYFUNCTION("""COMPUTED_VALUE"""),"Abdoul Salami Ibrahim")</f>
        <v>Abdoul Salami Ibrahim</v>
      </c>
      <c r="B716" s="16"/>
      <c r="C716" s="14"/>
      <c r="F716" s="16" t="str">
        <f>IFERROR(__xludf.DUMMYFUNCTION("""COMPUTED_VALUE"""),"Mograwa")</f>
        <v>Mograwa</v>
      </c>
      <c r="G716" s="16"/>
      <c r="H716" s="14"/>
      <c r="K716" s="16">
        <f>IFERROR(__xludf.DUMMYFUNCTION("""COMPUTED_VALUE"""),2096.0)</f>
        <v>2096</v>
      </c>
      <c r="L716" s="16"/>
      <c r="M716" s="14"/>
    </row>
    <row r="717">
      <c r="A717" s="16" t="str">
        <f>IFERROR(__xludf.DUMMYFUNCTION("""COMPUTED_VALUE"""),"Yacouba Idé dit Lumana")</f>
        <v>Yacouba Idé dit Lumana</v>
      </c>
      <c r="B717" s="16"/>
      <c r="C717" s="14"/>
      <c r="F717" s="16" t="str">
        <f>IFERROR(__xludf.DUMMYFUNCTION("""COMPUTED_VALUE"""),"Mograwa")</f>
        <v>Mograwa</v>
      </c>
      <c r="G717" s="16"/>
      <c r="H717" s="14"/>
      <c r="K717" s="16">
        <f>IFERROR(__xludf.DUMMYFUNCTION("""COMPUTED_VALUE"""),1307.0)</f>
        <v>1307</v>
      </c>
      <c r="L717" s="16"/>
      <c r="M717" s="14"/>
    </row>
    <row r="718">
      <c r="A718" s="16" t="str">
        <f>IFERROR(__xludf.DUMMYFUNCTION("""COMPUTED_VALUE"""),"Yacouba Idé dit Lumana")</f>
        <v>Yacouba Idé dit Lumana</v>
      </c>
      <c r="B718" s="16"/>
      <c r="C718" s="14"/>
      <c r="F718" s="16" t="str">
        <f>IFERROR(__xludf.DUMMYFUNCTION("""COMPUTED_VALUE"""),"Mograwa")</f>
        <v>Mograwa</v>
      </c>
      <c r="G718" s="16"/>
      <c r="H718" s="14"/>
      <c r="K718" s="16">
        <f>IFERROR(__xludf.DUMMYFUNCTION("""COMPUTED_VALUE"""),443.0)</f>
        <v>443</v>
      </c>
      <c r="L718" s="16"/>
      <c r="M718" s="14"/>
    </row>
    <row r="719">
      <c r="A719" s="16" t="str">
        <f>IFERROR(__xludf.DUMMYFUNCTION("""COMPUTED_VALUE"""),"Yacouba Idé dit Lumana")</f>
        <v>Yacouba Idé dit Lumana</v>
      </c>
      <c r="B719" s="16"/>
      <c r="C719" s="14"/>
      <c r="F719" s="16" t="str">
        <f>IFERROR(__xludf.DUMMYFUNCTION("""COMPUTED_VALUE"""),"Sammo")</f>
        <v>Sammo</v>
      </c>
      <c r="G719" s="16"/>
      <c r="H719" s="14"/>
      <c r="K719" s="16">
        <f>IFERROR(__xludf.DUMMYFUNCTION("""COMPUTED_VALUE"""),454.0)</f>
        <v>454</v>
      </c>
      <c r="L719" s="16"/>
      <c r="M719" s="14"/>
    </row>
    <row r="720">
      <c r="A720" s="16" t="str">
        <f>IFERROR(__xludf.DUMMYFUNCTION("""COMPUTED_VALUE"""),"Binta Maman")</f>
        <v>Binta Maman</v>
      </c>
      <c r="B720" s="16"/>
      <c r="C720" s="14"/>
      <c r="F720" s="16" t="str">
        <f>IFERROR(__xludf.DUMMYFUNCTION("""COMPUTED_VALUE"""),"Sammo")</f>
        <v>Sammo</v>
      </c>
      <c r="G720" s="16"/>
      <c r="H720" s="14"/>
      <c r="K720" s="16">
        <f>IFERROR(__xludf.DUMMYFUNCTION("""COMPUTED_VALUE"""),553.0)</f>
        <v>553</v>
      </c>
      <c r="L720" s="16"/>
      <c r="M720" s="14"/>
    </row>
    <row r="721">
      <c r="A721" s="16" t="str">
        <f>IFERROR(__xludf.DUMMYFUNCTION("""COMPUTED_VALUE"""),"Amadou Hamidou Abdoul Karim")</f>
        <v>Amadou Hamidou Abdoul Karim</v>
      </c>
      <c r="B721" s="16"/>
      <c r="C721" s="14"/>
      <c r="F721" s="16" t="str">
        <f>IFERROR(__xludf.DUMMYFUNCTION("""COMPUTED_VALUE"""),"Sammo")</f>
        <v>Sammo</v>
      </c>
      <c r="G721" s="16"/>
      <c r="H721" s="14"/>
      <c r="K721" s="16">
        <f>IFERROR(__xludf.DUMMYFUNCTION("""COMPUTED_VALUE"""),2673.0)</f>
        <v>2673</v>
      </c>
      <c r="L721" s="16"/>
      <c r="M721" s="14"/>
    </row>
    <row r="722">
      <c r="A722" s="16" t="str">
        <f>IFERROR(__xludf.DUMMYFUNCTION("""COMPUTED_VALUE"""),"Amadou Hamidou Abdoul Karim")</f>
        <v>Amadou Hamidou Abdoul Karim</v>
      </c>
      <c r="B722" s="16"/>
      <c r="C722" s="14"/>
      <c r="F722" s="16" t="str">
        <f>IFERROR(__xludf.DUMMYFUNCTION("""COMPUTED_VALUE"""),"Sammo")</f>
        <v>Sammo</v>
      </c>
      <c r="G722" s="16"/>
      <c r="H722" s="14"/>
      <c r="K722" s="16">
        <f>IFERROR(__xludf.DUMMYFUNCTION("""COMPUTED_VALUE"""),1816.0)</f>
        <v>1816</v>
      </c>
      <c r="L722" s="16"/>
      <c r="M722" s="14"/>
    </row>
    <row r="723">
      <c r="A723" s="16" t="str">
        <f>IFERROR(__xludf.DUMMYFUNCTION("""COMPUTED_VALUE"""),"Kadidja Issaka Hamidou")</f>
        <v>Kadidja Issaka Hamidou</v>
      </c>
      <c r="B723" s="16"/>
      <c r="C723" s="14"/>
      <c r="F723" s="16" t="str">
        <f>IFERROR(__xludf.DUMMYFUNCTION("""COMPUTED_VALUE"""),"Mograwa")</f>
        <v>Mograwa</v>
      </c>
      <c r="G723" s="16"/>
      <c r="H723" s="14"/>
      <c r="K723" s="16">
        <f>IFERROR(__xludf.DUMMYFUNCTION("""COMPUTED_VALUE"""),2638.0)</f>
        <v>2638</v>
      </c>
      <c r="L723" s="16"/>
      <c r="M723" s="14"/>
    </row>
    <row r="724">
      <c r="A724" s="16" t="str">
        <f>IFERROR(__xludf.DUMMYFUNCTION("""COMPUTED_VALUE"""),"Kadidja Issaka Hamidou")</f>
        <v>Kadidja Issaka Hamidou</v>
      </c>
      <c r="B724" s="16"/>
      <c r="C724" s="14"/>
      <c r="F724" s="16" t="str">
        <f>IFERROR(__xludf.DUMMYFUNCTION("""COMPUTED_VALUE"""),"Bakin Dabagi Boukou")</f>
        <v>Bakin Dabagi Boukou</v>
      </c>
      <c r="G724" s="16"/>
      <c r="H724" s="14"/>
      <c r="K724" s="16">
        <f>IFERROR(__xludf.DUMMYFUNCTION("""COMPUTED_VALUE"""),1097.0)</f>
        <v>1097</v>
      </c>
      <c r="L724" s="16"/>
      <c r="M724" s="14"/>
    </row>
    <row r="725">
      <c r="A725" s="16" t="str">
        <f>IFERROR(__xludf.DUMMYFUNCTION("""COMPUTED_VALUE"""),"Kadidja Issaka Hamidou")</f>
        <v>Kadidja Issaka Hamidou</v>
      </c>
      <c r="B725" s="16"/>
      <c r="C725" s="14"/>
      <c r="F725" s="16" t="str">
        <f>IFERROR(__xludf.DUMMYFUNCTION("""COMPUTED_VALUE"""),"Bakin Dabagi Boukou")</f>
        <v>Bakin Dabagi Boukou</v>
      </c>
      <c r="G725" s="16"/>
      <c r="H725" s="14"/>
      <c r="K725" s="16">
        <f>IFERROR(__xludf.DUMMYFUNCTION("""COMPUTED_VALUE"""),541.0)</f>
        <v>541</v>
      </c>
      <c r="L725" s="16"/>
      <c r="M725" s="14"/>
    </row>
    <row r="726">
      <c r="A726" s="16" t="str">
        <f>IFERROR(__xludf.DUMMYFUNCTION("""COMPUTED_VALUE"""),"Larabou Chamsoudine")</f>
        <v>Larabou Chamsoudine</v>
      </c>
      <c r="B726" s="16"/>
      <c r="C726" s="14"/>
      <c r="F726" s="16" t="str">
        <f>IFERROR(__xludf.DUMMYFUNCTION("""COMPUTED_VALUE"""),"Bakin Dabagi Boukou")</f>
        <v>Bakin Dabagi Boukou</v>
      </c>
      <c r="G726" s="16"/>
      <c r="H726" s="14"/>
      <c r="K726" s="16">
        <f>IFERROR(__xludf.DUMMYFUNCTION("""COMPUTED_VALUE"""),1433.0)</f>
        <v>1433</v>
      </c>
      <c r="L726" s="16"/>
      <c r="M726" s="14"/>
    </row>
    <row r="727">
      <c r="A727" s="16" t="str">
        <f>IFERROR(__xludf.DUMMYFUNCTION("""COMPUTED_VALUE"""),"Larabou Chamsoudine")</f>
        <v>Larabou Chamsoudine</v>
      </c>
      <c r="B727" s="16"/>
      <c r="C727" s="14"/>
      <c r="F727" s="16" t="str">
        <f>IFERROR(__xludf.DUMMYFUNCTION("""COMPUTED_VALUE"""),"Mograwa")</f>
        <v>Mograwa</v>
      </c>
      <c r="G727" s="16"/>
      <c r="H727" s="14"/>
      <c r="K727" s="16">
        <f>IFERROR(__xludf.DUMMYFUNCTION("""COMPUTED_VALUE"""),646.0)</f>
        <v>646</v>
      </c>
      <c r="L727" s="16"/>
      <c r="M727" s="14"/>
    </row>
    <row r="728">
      <c r="A728" s="16" t="str">
        <f>IFERROR(__xludf.DUMMYFUNCTION("""COMPUTED_VALUE"""),"Larabou Chamsoudine")</f>
        <v>Larabou Chamsoudine</v>
      </c>
      <c r="B728" s="16"/>
      <c r="C728" s="14"/>
      <c r="F728" s="16" t="str">
        <f>IFERROR(__xludf.DUMMYFUNCTION("""COMPUTED_VALUE"""),"Bakin Dabagi Boukou")</f>
        <v>Bakin Dabagi Boukou</v>
      </c>
      <c r="G728" s="16"/>
      <c r="H728" s="14"/>
      <c r="K728" s="16">
        <f>IFERROR(__xludf.DUMMYFUNCTION("""COMPUTED_VALUE"""),526.0)</f>
        <v>526</v>
      </c>
      <c r="L728" s="16"/>
      <c r="M728" s="14"/>
    </row>
    <row r="729">
      <c r="A729" s="16" t="str">
        <f>IFERROR(__xludf.DUMMYFUNCTION("""COMPUTED_VALUE"""),"Larabou Chamsoudine")</f>
        <v>Larabou Chamsoudine</v>
      </c>
      <c r="B729" s="16"/>
      <c r="C729" s="14"/>
      <c r="F729" s="16" t="str">
        <f>IFERROR(__xludf.DUMMYFUNCTION("""COMPUTED_VALUE"""),"Bakin Dabagi Boukou")</f>
        <v>Bakin Dabagi Boukou</v>
      </c>
      <c r="G729" s="16"/>
      <c r="H729" s="14"/>
      <c r="K729" s="16">
        <f>IFERROR(__xludf.DUMMYFUNCTION("""COMPUTED_VALUE"""),495.0)</f>
        <v>495</v>
      </c>
      <c r="L729" s="16"/>
      <c r="M729" s="14"/>
    </row>
    <row r="730">
      <c r="A730" s="16" t="str">
        <f>IFERROR(__xludf.DUMMYFUNCTION("""COMPUTED_VALUE"""),"Saddy Youssouf")</f>
        <v>Saddy Youssouf</v>
      </c>
      <c r="B730" s="16"/>
      <c r="C730" s="14"/>
      <c r="F730" s="16" t="str">
        <f>IFERROR(__xludf.DUMMYFUNCTION("""COMPUTED_VALUE"""),"Bakin Dabagi Boukou")</f>
        <v>Bakin Dabagi Boukou</v>
      </c>
      <c r="G730" s="16"/>
      <c r="H730" s="14"/>
      <c r="K730" s="16">
        <f>IFERROR(__xludf.DUMMYFUNCTION("""COMPUTED_VALUE"""),1211.0)</f>
        <v>1211</v>
      </c>
      <c r="L730" s="16"/>
      <c r="M730" s="14"/>
    </row>
    <row r="731">
      <c r="A731" s="16" t="str">
        <f>IFERROR(__xludf.DUMMYFUNCTION("""COMPUTED_VALUE"""),"Saddy Youssouf")</f>
        <v>Saddy Youssouf</v>
      </c>
      <c r="B731" s="16"/>
      <c r="C731" s="14"/>
      <c r="F731" s="16" t="str">
        <f>IFERROR(__xludf.DUMMYFUNCTION("""COMPUTED_VALUE"""),"Bakin Dabagi Boukou")</f>
        <v>Bakin Dabagi Boukou</v>
      </c>
      <c r="G731" s="16"/>
      <c r="H731" s="14"/>
      <c r="K731" s="16">
        <f>IFERROR(__xludf.DUMMYFUNCTION("""COMPUTED_VALUE"""),1289.0)</f>
        <v>1289</v>
      </c>
      <c r="L731" s="16"/>
      <c r="M731" s="14"/>
    </row>
    <row r="732">
      <c r="A732" s="16" t="str">
        <f>IFERROR(__xludf.DUMMYFUNCTION("""COMPUTED_VALUE"""),"Saddy Youssouf")</f>
        <v>Saddy Youssouf</v>
      </c>
      <c r="B732" s="16"/>
      <c r="C732" s="14"/>
      <c r="F732" s="16" t="str">
        <f>IFERROR(__xludf.DUMMYFUNCTION("""COMPUTED_VALUE"""),"Mograwa")</f>
        <v>Mograwa</v>
      </c>
      <c r="G732" s="16"/>
      <c r="H732" s="14"/>
      <c r="K732" s="16">
        <f>IFERROR(__xludf.DUMMYFUNCTION("""COMPUTED_VALUE"""),982.0)</f>
        <v>982</v>
      </c>
      <c r="L732" s="16"/>
      <c r="M732" s="14"/>
    </row>
    <row r="733">
      <c r="A733" s="16" t="str">
        <f>IFERROR(__xludf.DUMMYFUNCTION("""COMPUTED_VALUE"""),"Saddy Youssouf")</f>
        <v>Saddy Youssouf</v>
      </c>
      <c r="B733" s="16"/>
      <c r="C733" s="14"/>
      <c r="F733" s="16" t="str">
        <f>IFERROR(__xludf.DUMMYFUNCTION("""COMPUTED_VALUE"""),"Mograwa")</f>
        <v>Mograwa</v>
      </c>
      <c r="G733" s="16"/>
      <c r="H733" s="14"/>
      <c r="K733" s="16">
        <f>IFERROR(__xludf.DUMMYFUNCTION("""COMPUTED_VALUE"""),651.0)</f>
        <v>651</v>
      </c>
      <c r="L733" s="16"/>
      <c r="M733" s="14"/>
    </row>
    <row r="734">
      <c r="A734" s="16" t="str">
        <f>IFERROR(__xludf.DUMMYFUNCTION("""COMPUTED_VALUE"""),"Saddy Youssouf")</f>
        <v>Saddy Youssouf</v>
      </c>
      <c r="B734" s="16"/>
      <c r="C734" s="14"/>
      <c r="F734" s="16" t="str">
        <f>IFERROR(__xludf.DUMMYFUNCTION("""COMPUTED_VALUE"""),"Sammo")</f>
        <v>Sammo</v>
      </c>
      <c r="G734" s="16"/>
      <c r="H734" s="14"/>
      <c r="K734" s="16">
        <f>IFERROR(__xludf.DUMMYFUNCTION("""COMPUTED_VALUE"""),848.0)</f>
        <v>848</v>
      </c>
      <c r="L734" s="16"/>
      <c r="M734" s="14"/>
    </row>
    <row r="735">
      <c r="A735" s="16" t="str">
        <f>IFERROR(__xludf.DUMMYFUNCTION("""COMPUTED_VALUE"""),"Hachimou Rabiou Mamoudou")</f>
        <v>Hachimou Rabiou Mamoudou</v>
      </c>
      <c r="B735" s="16"/>
      <c r="C735" s="14"/>
      <c r="F735" s="16" t="str">
        <f>IFERROR(__xludf.DUMMYFUNCTION("""COMPUTED_VALUE"""),"Sammo")</f>
        <v>Sammo</v>
      </c>
      <c r="G735" s="16"/>
      <c r="H735" s="14"/>
      <c r="K735" s="16">
        <f>IFERROR(__xludf.DUMMYFUNCTION("""COMPUTED_VALUE"""),573.0)</f>
        <v>573</v>
      </c>
      <c r="L735" s="16"/>
      <c r="M735" s="14"/>
    </row>
    <row r="736">
      <c r="A736" s="16" t="str">
        <f>IFERROR(__xludf.DUMMYFUNCTION("""COMPUTED_VALUE"""),"Hachimou Rabiou Mamoudou")</f>
        <v>Hachimou Rabiou Mamoudou</v>
      </c>
      <c r="B736" s="16"/>
      <c r="C736" s="14"/>
      <c r="F736" s="16" t="str">
        <f>IFERROR(__xludf.DUMMYFUNCTION("""COMPUTED_VALUE"""),"Sammo")</f>
        <v>Sammo</v>
      </c>
      <c r="G736" s="16"/>
      <c r="H736" s="14"/>
      <c r="K736" s="16">
        <f>IFERROR(__xludf.DUMMYFUNCTION("""COMPUTED_VALUE"""),656.0)</f>
        <v>656</v>
      </c>
      <c r="L736" s="16"/>
      <c r="M736" s="14"/>
    </row>
    <row r="737">
      <c r="A737" s="16" t="str">
        <f>IFERROR(__xludf.DUMMYFUNCTION("""COMPUTED_VALUE"""),"Hachimou Rabiou Mamoudou")</f>
        <v>Hachimou Rabiou Mamoudou</v>
      </c>
      <c r="B737" s="16"/>
      <c r="C737" s="14"/>
      <c r="F737" s="16" t="str">
        <f>IFERROR(__xludf.DUMMYFUNCTION("""COMPUTED_VALUE"""),"Gangawa")</f>
        <v>Gangawa</v>
      </c>
      <c r="G737" s="16"/>
      <c r="H737" s="14"/>
      <c r="K737" s="16">
        <f>IFERROR(__xludf.DUMMYFUNCTION("""COMPUTED_VALUE"""),574.0)</f>
        <v>574</v>
      </c>
      <c r="L737" s="16"/>
      <c r="M737" s="14"/>
    </row>
    <row r="738">
      <c r="A738" s="16" t="str">
        <f>IFERROR(__xludf.DUMMYFUNCTION("""COMPUTED_VALUE"""),"Hachimou Rabiou Mamoudou")</f>
        <v>Hachimou Rabiou Mamoudou</v>
      </c>
      <c r="B738" s="16"/>
      <c r="C738" s="14"/>
      <c r="F738" s="16" t="str">
        <f>IFERROR(__xludf.DUMMYFUNCTION("""COMPUTED_VALUE"""),"Zangarata")</f>
        <v>Zangarata</v>
      </c>
      <c r="G738" s="16"/>
      <c r="H738" s="14"/>
      <c r="K738" s="16">
        <f>IFERROR(__xludf.DUMMYFUNCTION("""COMPUTED_VALUE"""),451.0)</f>
        <v>451</v>
      </c>
      <c r="L738" s="16"/>
      <c r="M738" s="14"/>
    </row>
    <row r="739">
      <c r="A739" s="16" t="str">
        <f>IFERROR(__xludf.DUMMYFUNCTION("""COMPUTED_VALUE"""),"Hachimou Rabiou Mamoudou")</f>
        <v>Hachimou Rabiou Mamoudou</v>
      </c>
      <c r="B739" s="16"/>
      <c r="C739" s="14"/>
      <c r="F739" s="16" t="str">
        <f>IFERROR(__xludf.DUMMYFUNCTION("""COMPUTED_VALUE"""),"Zangarata")</f>
        <v>Zangarata</v>
      </c>
      <c r="G739" s="16"/>
      <c r="H739" s="14"/>
      <c r="K739" s="16">
        <f>IFERROR(__xludf.DUMMYFUNCTION("""COMPUTED_VALUE"""),868.0)</f>
        <v>868</v>
      </c>
      <c r="L739" s="16"/>
      <c r="M739" s="14"/>
    </row>
    <row r="740">
      <c r="A740" s="16" t="str">
        <f>IFERROR(__xludf.DUMMYFUNCTION("""COMPUTED_VALUE"""),"Hachimou Rabiou Mamoudou")</f>
        <v>Hachimou Rabiou Mamoudou</v>
      </c>
      <c r="B740" s="16"/>
      <c r="C740" s="14"/>
      <c r="F740" s="16" t="str">
        <f>IFERROR(__xludf.DUMMYFUNCTION("""COMPUTED_VALUE"""),"Kougouptché")</f>
        <v>Kougouptché</v>
      </c>
      <c r="G740" s="16"/>
      <c r="H740" s="14"/>
      <c r="K740" s="16">
        <f>IFERROR(__xludf.DUMMYFUNCTION("""COMPUTED_VALUE"""),555.0)</f>
        <v>555</v>
      </c>
      <c r="L740" s="16"/>
      <c r="M740" s="14"/>
    </row>
    <row r="741">
      <c r="A741" s="16" t="str">
        <f>IFERROR(__xludf.DUMMYFUNCTION("""COMPUTED_VALUE"""),"Ouhoumoudou Djannou Ibrahim")</f>
        <v>Ouhoumoudou Djannou Ibrahim</v>
      </c>
      <c r="B741" s="16"/>
      <c r="C741" s="14"/>
      <c r="F741" s="16" t="str">
        <f>IFERROR(__xludf.DUMMYFUNCTION("""COMPUTED_VALUE"""),"Kousa (Beidi)")</f>
        <v>Kousa (Beidi)</v>
      </c>
      <c r="G741" s="16"/>
      <c r="H741" s="14"/>
      <c r="K741" s="16">
        <f>IFERROR(__xludf.DUMMYFUNCTION("""COMPUTED_VALUE"""),1996.0)</f>
        <v>1996</v>
      </c>
      <c r="L741" s="16"/>
      <c r="M741" s="14"/>
    </row>
    <row r="742">
      <c r="A742" s="16" t="str">
        <f>IFERROR(__xludf.DUMMYFUNCTION("""COMPUTED_VALUE"""),"Ouhoumoudou Djannou Ibrahim")</f>
        <v>Ouhoumoudou Djannou Ibrahim</v>
      </c>
      <c r="B742" s="16"/>
      <c r="C742" s="14"/>
      <c r="F742" s="16" t="str">
        <f>IFERROR(__xludf.DUMMYFUNCTION("""COMPUTED_VALUE"""),"Kousa (Beidi)")</f>
        <v>Kousa (Beidi)</v>
      </c>
      <c r="G742" s="16"/>
      <c r="H742" s="14"/>
      <c r="K742" s="16">
        <f>IFERROR(__xludf.DUMMYFUNCTION("""COMPUTED_VALUE"""),580.0)</f>
        <v>580</v>
      </c>
      <c r="L742" s="16"/>
      <c r="M742" s="14"/>
    </row>
    <row r="743">
      <c r="A743" s="16" t="str">
        <f>IFERROR(__xludf.DUMMYFUNCTION("""COMPUTED_VALUE"""),"Ouhoumoudou Djannou Ibrahim")</f>
        <v>Ouhoumoudou Djannou Ibrahim</v>
      </c>
      <c r="B743" s="16"/>
      <c r="C743" s="14"/>
      <c r="F743" s="16" t="str">
        <f>IFERROR(__xludf.DUMMYFUNCTION("""COMPUTED_VALUE"""),"Kousa (Beidi)")</f>
        <v>Kousa (Beidi)</v>
      </c>
      <c r="G743" s="16"/>
      <c r="H743" s="14"/>
      <c r="K743" s="16">
        <f>IFERROR(__xludf.DUMMYFUNCTION("""COMPUTED_VALUE"""),1086.0)</f>
        <v>1086</v>
      </c>
      <c r="L743" s="16"/>
      <c r="M743" s="14"/>
    </row>
    <row r="744">
      <c r="A744" s="16" t="str">
        <f>IFERROR(__xludf.DUMMYFUNCTION("""COMPUTED_VALUE"""),"Ouhoumoudou Djannou Ibrahim")</f>
        <v>Ouhoumoudou Djannou Ibrahim</v>
      </c>
      <c r="B744" s="16"/>
      <c r="C744" s="14"/>
      <c r="F744" s="16" t="str">
        <f>IFERROR(__xludf.DUMMYFUNCTION("""COMPUTED_VALUE"""),"Bakin Dabagi Ilbakan")</f>
        <v>Bakin Dabagi Ilbakan</v>
      </c>
      <c r="G744" s="16"/>
      <c r="H744" s="14"/>
      <c r="K744" s="16">
        <f>IFERROR(__xludf.DUMMYFUNCTION("""COMPUTED_VALUE"""),496.0)</f>
        <v>496</v>
      </c>
      <c r="L744" s="16"/>
      <c r="M744" s="14"/>
    </row>
    <row r="745">
      <c r="A745" s="16" t="str">
        <f>IFERROR(__xludf.DUMMYFUNCTION("""COMPUTED_VALUE"""),"Abdoul Salami Ibrahim")</f>
        <v>Abdoul Salami Ibrahim</v>
      </c>
      <c r="B745" s="16"/>
      <c r="C745" s="14"/>
      <c r="F745" s="16" t="str">
        <f>IFERROR(__xludf.DUMMYFUNCTION("""COMPUTED_VALUE"""),"Bakin Dabagi Ilbakan")</f>
        <v>Bakin Dabagi Ilbakan</v>
      </c>
      <c r="G745" s="16"/>
      <c r="H745" s="14"/>
      <c r="K745" s="16">
        <f>IFERROR(__xludf.DUMMYFUNCTION("""COMPUTED_VALUE"""),2746.0)</f>
        <v>2746</v>
      </c>
      <c r="L745" s="16"/>
      <c r="M745" s="14"/>
    </row>
    <row r="746">
      <c r="A746" s="16" t="str">
        <f>IFERROR(__xludf.DUMMYFUNCTION("""COMPUTED_VALUE"""),"Mohamadou Amadou")</f>
        <v>Mohamadou Amadou</v>
      </c>
      <c r="B746" s="16"/>
      <c r="C746" s="14"/>
      <c r="F746" s="16" t="str">
        <f>IFERROR(__xludf.DUMMYFUNCTION("""COMPUTED_VALUE"""),"Bakin Dabagi Ilbakan")</f>
        <v>Bakin Dabagi Ilbakan</v>
      </c>
      <c r="G746" s="16"/>
      <c r="H746" s="14"/>
      <c r="K746" s="16">
        <f>IFERROR(__xludf.DUMMYFUNCTION("""COMPUTED_VALUE"""),1243.0)</f>
        <v>1243</v>
      </c>
      <c r="L746" s="16"/>
      <c r="M746" s="14"/>
    </row>
    <row r="747">
      <c r="A747" s="16" t="str">
        <f>IFERROR(__xludf.DUMMYFUNCTION("""COMPUTED_VALUE"""),"Mohamadou Amadou")</f>
        <v>Mohamadou Amadou</v>
      </c>
      <c r="B747" s="16"/>
      <c r="C747" s="14"/>
      <c r="F747" s="16" t="str">
        <f>IFERROR(__xludf.DUMMYFUNCTION("""COMPUTED_VALUE"""),"Kousa (Beidi)")</f>
        <v>Kousa (Beidi)</v>
      </c>
      <c r="G747" s="16"/>
      <c r="H747" s="14"/>
      <c r="K747" s="16">
        <f>IFERROR(__xludf.DUMMYFUNCTION("""COMPUTED_VALUE"""),1221.0)</f>
        <v>1221</v>
      </c>
      <c r="L747" s="16"/>
      <c r="M747" s="14"/>
    </row>
    <row r="748">
      <c r="A748" s="16" t="str">
        <f>IFERROR(__xludf.DUMMYFUNCTION("""COMPUTED_VALUE"""),"Zakari Aboubacar")</f>
        <v>Zakari Aboubacar</v>
      </c>
      <c r="B748" s="16"/>
      <c r="C748" s="14"/>
      <c r="F748" s="16" t="str">
        <f>IFERROR(__xludf.DUMMYFUNCTION("""COMPUTED_VALUE"""),"Kousa (Beidi)")</f>
        <v>Kousa (Beidi)</v>
      </c>
      <c r="G748" s="16"/>
      <c r="H748" s="14"/>
      <c r="K748" s="16">
        <f>IFERROR(__xludf.DUMMYFUNCTION("""COMPUTED_VALUE"""),802.0)</f>
        <v>802</v>
      </c>
      <c r="L748" s="16"/>
      <c r="M748" s="14"/>
    </row>
    <row r="749">
      <c r="A749" s="16" t="str">
        <f>IFERROR(__xludf.DUMMYFUNCTION("""COMPUTED_VALUE"""),"Zakari Aboubacar")</f>
        <v>Zakari Aboubacar</v>
      </c>
      <c r="B749" s="16"/>
      <c r="C749" s="14"/>
      <c r="F749" s="16" t="str">
        <f>IFERROR(__xludf.DUMMYFUNCTION("""COMPUTED_VALUE"""),"Bakin Dabagi Ilbakan")</f>
        <v>Bakin Dabagi Ilbakan</v>
      </c>
      <c r="G749" s="16"/>
      <c r="H749" s="14"/>
      <c r="K749" s="16">
        <f>IFERROR(__xludf.DUMMYFUNCTION("""COMPUTED_VALUE"""),1205.0)</f>
        <v>1205</v>
      </c>
      <c r="L749" s="16"/>
      <c r="M749" s="14"/>
    </row>
    <row r="750">
      <c r="A750" s="16" t="str">
        <f>IFERROR(__xludf.DUMMYFUNCTION("""COMPUTED_VALUE"""),"Zakari Aboubacar")</f>
        <v>Zakari Aboubacar</v>
      </c>
      <c r="B750" s="16"/>
      <c r="C750" s="14"/>
      <c r="F750" s="16" t="str">
        <f>IFERROR(__xludf.DUMMYFUNCTION("""COMPUTED_VALUE"""),"Kousa (Beidi)")</f>
        <v>Kousa (Beidi)</v>
      </c>
      <c r="G750" s="16"/>
      <c r="H750" s="14"/>
      <c r="K750" s="16">
        <f>IFERROR(__xludf.DUMMYFUNCTION("""COMPUTED_VALUE"""),1090.0)</f>
        <v>1090</v>
      </c>
      <c r="L750" s="16"/>
      <c r="M750" s="14"/>
    </row>
    <row r="751">
      <c r="A751" s="16" t="str">
        <f>IFERROR(__xludf.DUMMYFUNCTION("""COMPUTED_VALUE"""),"Amadou Tidjani Ousmane")</f>
        <v>Amadou Tidjani Ousmane</v>
      </c>
      <c r="B751" s="16"/>
      <c r="C751" s="14"/>
      <c r="F751" s="16" t="str">
        <f>IFERROR(__xludf.DUMMYFUNCTION("""COMPUTED_VALUE"""),"Kousa (Beidi)")</f>
        <v>Kousa (Beidi)</v>
      </c>
      <c r="G751" s="16"/>
      <c r="H751" s="14"/>
      <c r="K751" s="16">
        <f>IFERROR(__xludf.DUMMYFUNCTION("""COMPUTED_VALUE"""),984.0)</f>
        <v>984</v>
      </c>
      <c r="L751" s="16"/>
      <c r="M751" s="14"/>
    </row>
    <row r="752">
      <c r="A752" s="16" t="str">
        <f>IFERROR(__xludf.DUMMYFUNCTION("""COMPUTED_VALUE"""),"Amadou Tidjani Ousmane")</f>
        <v>Amadou Tidjani Ousmane</v>
      </c>
      <c r="B752" s="16"/>
      <c r="C752" s="14"/>
      <c r="F752" s="16" t="str">
        <f>IFERROR(__xludf.DUMMYFUNCTION("""COMPUTED_VALUE"""),"Kousa (Beidi)")</f>
        <v>Kousa (Beidi)</v>
      </c>
      <c r="G752" s="16"/>
      <c r="H752" s="14"/>
      <c r="K752" s="16">
        <f>IFERROR(__xludf.DUMMYFUNCTION("""COMPUTED_VALUE"""),1603.0)</f>
        <v>1603</v>
      </c>
      <c r="L752" s="16"/>
      <c r="M752" s="14"/>
    </row>
    <row r="753">
      <c r="A753" s="16" t="str">
        <f>IFERROR(__xludf.DUMMYFUNCTION("""COMPUTED_VALUE"""),"Rakia moussa")</f>
        <v>Rakia moussa</v>
      </c>
      <c r="B753" s="16"/>
      <c r="C753" s="14"/>
      <c r="F753" s="16" t="str">
        <f>IFERROR(__xludf.DUMMYFUNCTION("""COMPUTED_VALUE"""),"Kousa (Beidi)")</f>
        <v>Kousa (Beidi)</v>
      </c>
      <c r="G753" s="16"/>
      <c r="H753" s="14"/>
      <c r="K753" s="16">
        <f>IFERROR(__xludf.DUMMYFUNCTION("""COMPUTED_VALUE"""),610.0)</f>
        <v>610</v>
      </c>
      <c r="L753" s="16"/>
      <c r="M753" s="14"/>
    </row>
    <row r="754">
      <c r="A754" s="16" t="str">
        <f>IFERROR(__xludf.DUMMYFUNCTION("""COMPUTED_VALUE"""),"Rakia moussa")</f>
        <v>Rakia moussa</v>
      </c>
      <c r="B754" s="16"/>
      <c r="C754" s="14"/>
      <c r="F754" s="16" t="str">
        <f>IFERROR(__xludf.DUMMYFUNCTION("""COMPUTED_VALUE"""),"Bakin Dabagi Ilbakan")</f>
        <v>Bakin Dabagi Ilbakan</v>
      </c>
      <c r="G754" s="16"/>
      <c r="H754" s="14"/>
      <c r="K754" s="16">
        <f>IFERROR(__xludf.DUMMYFUNCTION("""COMPUTED_VALUE"""),1056.0)</f>
        <v>1056</v>
      </c>
      <c r="L754" s="16"/>
      <c r="M754" s="14"/>
    </row>
    <row r="755">
      <c r="A755" s="16" t="str">
        <f>IFERROR(__xludf.DUMMYFUNCTION("""COMPUTED_VALUE"""),"Rakia moussa")</f>
        <v>Rakia moussa</v>
      </c>
      <c r="B755" s="16"/>
      <c r="C755" s="14"/>
      <c r="F755" s="16" t="str">
        <f>IFERROR(__xludf.DUMMYFUNCTION("""COMPUTED_VALUE"""),"Bakin Dabagi Ilbakan")</f>
        <v>Bakin Dabagi Ilbakan</v>
      </c>
      <c r="G755" s="16"/>
      <c r="H755" s="14"/>
      <c r="K755" s="16">
        <f>IFERROR(__xludf.DUMMYFUNCTION("""COMPUTED_VALUE"""),2413.0)</f>
        <v>2413</v>
      </c>
      <c r="L755" s="16"/>
      <c r="M755" s="14"/>
    </row>
    <row r="756">
      <c r="A756" s="16" t="str">
        <f>IFERROR(__xludf.DUMMYFUNCTION("""COMPUTED_VALUE"""),"Achirou kane Abdoul Nasser")</f>
        <v>Achirou kane Abdoul Nasser</v>
      </c>
      <c r="B756" s="16"/>
      <c r="C756" s="14"/>
      <c r="F756" s="16" t="str">
        <f>IFERROR(__xludf.DUMMYFUNCTION("""COMPUTED_VALUE"""),"Bakin Dabagi Ilbakan")</f>
        <v>Bakin Dabagi Ilbakan</v>
      </c>
      <c r="G756" s="16"/>
      <c r="H756" s="14"/>
      <c r="K756" s="16">
        <f>IFERROR(__xludf.DUMMYFUNCTION("""COMPUTED_VALUE"""),296.0)</f>
        <v>296</v>
      </c>
      <c r="L756" s="16"/>
      <c r="M756" s="14"/>
    </row>
    <row r="757">
      <c r="A757" s="16" t="str">
        <f>IFERROR(__xludf.DUMMYFUNCTION("""COMPUTED_VALUE"""),"Haladou Boukar")</f>
        <v>Haladou Boukar</v>
      </c>
      <c r="B757" s="16"/>
      <c r="C757" s="14"/>
      <c r="F757" s="16" t="str">
        <f>IFERROR(__xludf.DUMMYFUNCTION("""COMPUTED_VALUE"""),"Kousa (Beidi)")</f>
        <v>Kousa (Beidi)</v>
      </c>
      <c r="G757" s="16"/>
      <c r="H757" s="14"/>
      <c r="K757" s="16">
        <f>IFERROR(__xludf.DUMMYFUNCTION("""COMPUTED_VALUE"""),278.0)</f>
        <v>278</v>
      </c>
      <c r="L757" s="16"/>
      <c r="M757" s="14"/>
    </row>
    <row r="758">
      <c r="A758" s="16" t="str">
        <f>IFERROR(__xludf.DUMMYFUNCTION("""COMPUTED_VALUE"""),"Haladou Boukar")</f>
        <v>Haladou Boukar</v>
      </c>
      <c r="B758" s="16"/>
      <c r="C758" s="14"/>
      <c r="F758" s="16" t="str">
        <f>IFERROR(__xludf.DUMMYFUNCTION("""COMPUTED_VALUE"""),"Bakin Dabagi Ilbakan")</f>
        <v>Bakin Dabagi Ilbakan</v>
      </c>
      <c r="G758" s="16"/>
      <c r="H758" s="14"/>
      <c r="K758" s="16">
        <f>IFERROR(__xludf.DUMMYFUNCTION("""COMPUTED_VALUE"""),946.0)</f>
        <v>946</v>
      </c>
      <c r="L758" s="16"/>
      <c r="M758" s="14"/>
    </row>
    <row r="759">
      <c r="A759" s="16" t="str">
        <f>IFERROR(__xludf.DUMMYFUNCTION("""COMPUTED_VALUE"""),"Haladou Boukar")</f>
        <v>Haladou Boukar</v>
      </c>
      <c r="B759" s="16"/>
      <c r="C759" s="14"/>
      <c r="F759" s="16" t="str">
        <f>IFERROR(__xludf.DUMMYFUNCTION("""COMPUTED_VALUE"""),"Bakin Dabagi Ilbakan")</f>
        <v>Bakin Dabagi Ilbakan</v>
      </c>
      <c r="G759" s="16"/>
      <c r="H759" s="14"/>
      <c r="K759" s="16">
        <f>IFERROR(__xludf.DUMMYFUNCTION("""COMPUTED_VALUE"""),1077.0)</f>
        <v>1077</v>
      </c>
      <c r="L759" s="16"/>
      <c r="M759" s="14"/>
    </row>
    <row r="760">
      <c r="A760" s="16" t="str">
        <f>IFERROR(__xludf.DUMMYFUNCTION("""COMPUTED_VALUE"""),"Maman Zayanou Harouna")</f>
        <v>Maman Zayanou Harouna</v>
      </c>
      <c r="B760" s="16"/>
      <c r="C760" s="14"/>
      <c r="F760" s="16" t="str">
        <f>IFERROR(__xludf.DUMMYFUNCTION("""COMPUTED_VALUE"""),"Bakin Dabagi Ilbakan")</f>
        <v>Bakin Dabagi Ilbakan</v>
      </c>
      <c r="G760" s="16"/>
      <c r="H760" s="14"/>
      <c r="K760" s="16">
        <f>IFERROR(__xludf.DUMMYFUNCTION("""COMPUTED_VALUE"""),796.0)</f>
        <v>796</v>
      </c>
      <c r="L760" s="16"/>
      <c r="M760" s="14"/>
    </row>
    <row r="761">
      <c r="A761" s="16" t="str">
        <f>IFERROR(__xludf.DUMMYFUNCTION("""COMPUTED_VALUE"""),"Maman Zayanou Harouna")</f>
        <v>Maman Zayanou Harouna</v>
      </c>
      <c r="B761" s="16"/>
      <c r="C761" s="14"/>
      <c r="F761" s="16" t="str">
        <f>IFERROR(__xludf.DUMMYFUNCTION("""COMPUTED_VALUE"""),"Alibou Alhadji")</f>
        <v>Alibou Alhadji</v>
      </c>
      <c r="G761" s="16"/>
      <c r="H761" s="14"/>
      <c r="K761" s="16">
        <f>IFERROR(__xludf.DUMMYFUNCTION("""COMPUTED_VALUE"""),539.0)</f>
        <v>539</v>
      </c>
      <c r="L761" s="16"/>
      <c r="M761" s="14"/>
    </row>
    <row r="762">
      <c r="A762" s="16" t="str">
        <f>IFERROR(__xludf.DUMMYFUNCTION("""COMPUTED_VALUE"""),"Maman Zayanou Harouna")</f>
        <v>Maman Zayanou Harouna</v>
      </c>
      <c r="B762" s="16"/>
      <c r="C762" s="14"/>
      <c r="F762" s="16" t="str">
        <f>IFERROR(__xludf.DUMMYFUNCTION("""COMPUTED_VALUE"""),"Alibou Alhadji")</f>
        <v>Alibou Alhadji</v>
      </c>
      <c r="G762" s="16"/>
      <c r="H762" s="14"/>
      <c r="K762" s="16">
        <f>IFERROR(__xludf.DUMMYFUNCTION("""COMPUTED_VALUE"""),543.0)</f>
        <v>543</v>
      </c>
      <c r="L762" s="16"/>
      <c r="M762" s="14"/>
    </row>
    <row r="763">
      <c r="A763" s="16" t="str">
        <f>IFERROR(__xludf.DUMMYFUNCTION("""COMPUTED_VALUE"""),"Maman Zayanou Harouna")</f>
        <v>Maman Zayanou Harouna</v>
      </c>
      <c r="B763" s="16"/>
      <c r="C763" s="14"/>
      <c r="F763" s="16" t="str">
        <f>IFERROR(__xludf.DUMMYFUNCTION("""COMPUTED_VALUE"""),"Alibou Alhadji")</f>
        <v>Alibou Alhadji</v>
      </c>
      <c r="G763" s="16"/>
      <c r="H763" s="14"/>
      <c r="K763" s="16">
        <f>IFERROR(__xludf.DUMMYFUNCTION("""COMPUTED_VALUE"""),867.0)</f>
        <v>867</v>
      </c>
      <c r="L763" s="16"/>
      <c r="M763" s="14"/>
    </row>
    <row r="764">
      <c r="A764" s="16" t="str">
        <f>IFERROR(__xludf.DUMMYFUNCTION("""COMPUTED_VALUE"""),"Issoufou Amadou Aichatou")</f>
        <v>Issoufou Amadou Aichatou</v>
      </c>
      <c r="B764" s="16"/>
      <c r="C764" s="14"/>
      <c r="F764" s="16" t="str">
        <f>IFERROR(__xludf.DUMMYFUNCTION("""COMPUTED_VALUE"""),"Alibou Alhadji")</f>
        <v>Alibou Alhadji</v>
      </c>
      <c r="G764" s="16"/>
      <c r="H764" s="14"/>
      <c r="K764" s="16">
        <f>IFERROR(__xludf.DUMMYFUNCTION("""COMPUTED_VALUE"""),1390.0)</f>
        <v>1390</v>
      </c>
      <c r="L764" s="16"/>
      <c r="M764" s="14"/>
    </row>
    <row r="765">
      <c r="A765" s="16" t="str">
        <f>IFERROR(__xludf.DUMMYFUNCTION("""COMPUTED_VALUE"""),"Sani Moussa Aboubacar")</f>
        <v>Sani Moussa Aboubacar</v>
      </c>
      <c r="B765" s="16"/>
      <c r="C765" s="14"/>
      <c r="F765" s="16" t="str">
        <f>IFERROR(__xludf.DUMMYFUNCTION("""COMPUTED_VALUE"""),"Alibou Alhadji")</f>
        <v>Alibou Alhadji</v>
      </c>
      <c r="G765" s="16"/>
      <c r="H765" s="14"/>
      <c r="K765" s="16">
        <f>IFERROR(__xludf.DUMMYFUNCTION("""COMPUTED_VALUE"""),404.0)</f>
        <v>404</v>
      </c>
      <c r="L765" s="16"/>
      <c r="M765" s="14"/>
    </row>
    <row r="766">
      <c r="A766" s="16" t="str">
        <f>IFERROR(__xludf.DUMMYFUNCTION("""COMPUTED_VALUE"""),"Sani Moussa Aboubacar")</f>
        <v>Sani Moussa Aboubacar</v>
      </c>
      <c r="B766" s="16"/>
      <c r="C766" s="14"/>
      <c r="F766" s="16" t="str">
        <f>IFERROR(__xludf.DUMMYFUNCTION("""COMPUTED_VALUE"""),"Bakin Dabagi Ilbakan")</f>
        <v>Bakin Dabagi Ilbakan</v>
      </c>
      <c r="G766" s="16"/>
      <c r="H766" s="14"/>
      <c r="K766" s="16">
        <f>IFERROR(__xludf.DUMMYFUNCTION("""COMPUTED_VALUE"""),286.0)</f>
        <v>286</v>
      </c>
      <c r="L766" s="16"/>
      <c r="M766" s="14"/>
    </row>
    <row r="767">
      <c r="A767" s="16" t="str">
        <f>IFERROR(__xludf.DUMMYFUNCTION("""COMPUTED_VALUE"""),"Sani Moussa Aboubacar")</f>
        <v>Sani Moussa Aboubacar</v>
      </c>
      <c r="B767" s="16"/>
      <c r="C767" s="14"/>
      <c r="F767" s="16" t="str">
        <f>IFERROR(__xludf.DUMMYFUNCTION("""COMPUTED_VALUE"""),"Bakin Dabagi Ilbakan")</f>
        <v>Bakin Dabagi Ilbakan</v>
      </c>
      <c r="G767" s="16"/>
      <c r="H767" s="14"/>
      <c r="K767" s="16">
        <f>IFERROR(__xludf.DUMMYFUNCTION("""COMPUTED_VALUE"""),333.0)</f>
        <v>333</v>
      </c>
      <c r="L767" s="16"/>
      <c r="M767" s="14"/>
    </row>
    <row r="768">
      <c r="A768" s="16" t="str">
        <f>IFERROR(__xludf.DUMMYFUNCTION("""COMPUTED_VALUE"""),"Moumouni Adamou Yahaya")</f>
        <v>Moumouni Adamou Yahaya</v>
      </c>
      <c r="B768" s="16"/>
      <c r="C768" s="14"/>
      <c r="F768" s="16" t="str">
        <f>IFERROR(__xludf.DUMMYFUNCTION("""COMPUTED_VALUE"""),"Bakin Dabagi Ilbakan")</f>
        <v>Bakin Dabagi Ilbakan</v>
      </c>
      <c r="G768" s="16"/>
      <c r="H768" s="14"/>
      <c r="K768" s="16">
        <f>IFERROR(__xludf.DUMMYFUNCTION("""COMPUTED_VALUE"""),932.0)</f>
        <v>932</v>
      </c>
      <c r="L768" s="16"/>
      <c r="M768" s="14"/>
    </row>
    <row r="769">
      <c r="A769" s="16" t="str">
        <f>IFERROR(__xludf.DUMMYFUNCTION("""COMPUTED_VALUE"""),"Moumouni Adamou Yahaya")</f>
        <v>Moumouni Adamou Yahaya</v>
      </c>
      <c r="B769" s="16"/>
      <c r="C769" s="14"/>
      <c r="F769" s="16" t="str">
        <f>IFERROR(__xludf.DUMMYFUNCTION("""COMPUTED_VALUE"""),"Bakin Dabagi Ilbakan")</f>
        <v>Bakin Dabagi Ilbakan</v>
      </c>
      <c r="G769" s="16"/>
      <c r="H769" s="14"/>
      <c r="K769" s="16">
        <f>IFERROR(__xludf.DUMMYFUNCTION("""COMPUTED_VALUE"""),1684.0)</f>
        <v>1684</v>
      </c>
      <c r="L769" s="16"/>
      <c r="M769" s="14"/>
    </row>
    <row r="770">
      <c r="A770" s="16" t="str">
        <f>IFERROR(__xludf.DUMMYFUNCTION("""COMPUTED_VALUE"""),"Moumouni Adamou Yahaya")</f>
        <v>Moumouni Adamou Yahaya</v>
      </c>
      <c r="B770" s="16"/>
      <c r="C770" s="14"/>
      <c r="F770" s="16" t="str">
        <f>IFERROR(__xludf.DUMMYFUNCTION("""COMPUTED_VALUE"""),"Garka Mata")</f>
        <v>Garka Mata</v>
      </c>
      <c r="G770" s="16"/>
      <c r="H770" s="14"/>
      <c r="K770" s="16">
        <f>IFERROR(__xludf.DUMMYFUNCTION("""COMPUTED_VALUE"""),287.0)</f>
        <v>287</v>
      </c>
      <c r="L770" s="16"/>
      <c r="M770" s="14"/>
    </row>
    <row r="771">
      <c r="A771" s="16" t="str">
        <f>IFERROR(__xludf.DUMMYFUNCTION("""COMPUTED_VALUE"""),"Moumouni Adamou Yahaya")</f>
        <v>Moumouni Adamou Yahaya</v>
      </c>
      <c r="B771" s="16"/>
      <c r="C771" s="14"/>
      <c r="F771" s="16" t="str">
        <f>IFERROR(__xludf.DUMMYFUNCTION("""COMPUTED_VALUE"""),"Garka Mata")</f>
        <v>Garka Mata</v>
      </c>
      <c r="G771" s="16"/>
      <c r="H771" s="14"/>
      <c r="K771" s="16">
        <f>IFERROR(__xludf.DUMMYFUNCTION("""COMPUTED_VALUE"""),2569.0)</f>
        <v>2569</v>
      </c>
      <c r="L771" s="16"/>
      <c r="M771" s="14"/>
    </row>
    <row r="772">
      <c r="A772" s="16" t="str">
        <f>IFERROR(__xludf.DUMMYFUNCTION("""COMPUTED_VALUE"""),"Moumouni Adamou Yahaya")</f>
        <v>Moumouni Adamou Yahaya</v>
      </c>
      <c r="B772" s="16"/>
      <c r="C772" s="14"/>
      <c r="F772" s="16" t="str">
        <f>IFERROR(__xludf.DUMMYFUNCTION("""COMPUTED_VALUE"""),"Garka Mata")</f>
        <v>Garka Mata</v>
      </c>
      <c r="G772" s="16"/>
      <c r="H772" s="14"/>
      <c r="K772" s="16">
        <f>IFERROR(__xludf.DUMMYFUNCTION("""COMPUTED_VALUE"""),2148.0)</f>
        <v>2148</v>
      </c>
      <c r="L772" s="16"/>
      <c r="M772" s="14"/>
    </row>
    <row r="773">
      <c r="A773" s="16" t="str">
        <f>IFERROR(__xludf.DUMMYFUNCTION("""COMPUTED_VALUE"""),"Achirou Malam Dan Maradi Nassirou")</f>
        <v>Achirou Malam Dan Maradi Nassirou</v>
      </c>
      <c r="B773" s="16"/>
      <c r="C773" s="14"/>
      <c r="F773" s="16" t="str">
        <f>IFERROR(__xludf.DUMMYFUNCTION("""COMPUTED_VALUE"""),"Jibalawa Est")</f>
        <v>Jibalawa Est</v>
      </c>
      <c r="G773" s="16"/>
      <c r="H773" s="14"/>
      <c r="K773" s="16">
        <f>IFERROR(__xludf.DUMMYFUNCTION("""COMPUTED_VALUE"""),947.0)</f>
        <v>947</v>
      </c>
      <c r="L773" s="16"/>
      <c r="M773" s="14"/>
    </row>
    <row r="774">
      <c r="A774" s="16" t="str">
        <f>IFERROR(__xludf.DUMMYFUNCTION("""COMPUTED_VALUE"""),"Achirou Malam Dan Maradi Nassirou")</f>
        <v>Achirou Malam Dan Maradi Nassirou</v>
      </c>
      <c r="B774" s="16"/>
      <c r="C774" s="14"/>
      <c r="F774" s="16" t="str">
        <f>IFERROR(__xludf.DUMMYFUNCTION("""COMPUTED_VALUE"""),"Jibalawa Est")</f>
        <v>Jibalawa Est</v>
      </c>
      <c r="G774" s="16"/>
      <c r="H774" s="14"/>
      <c r="K774" s="16">
        <f>IFERROR(__xludf.DUMMYFUNCTION("""COMPUTED_VALUE"""),419.0)</f>
        <v>419</v>
      </c>
      <c r="L774" s="16"/>
      <c r="M774" s="14"/>
    </row>
    <row r="775">
      <c r="A775" s="16" t="str">
        <f>IFERROR(__xludf.DUMMYFUNCTION("""COMPUTED_VALUE"""),"Achirou Malam Dan Maradi Nassirou")</f>
        <v>Achirou Malam Dan Maradi Nassirou</v>
      </c>
      <c r="B775" s="16"/>
      <c r="C775" s="14"/>
      <c r="F775" s="16" t="str">
        <f>IFERROR(__xludf.DUMMYFUNCTION("""COMPUTED_VALUE"""),"Jibalawa Est")</f>
        <v>Jibalawa Est</v>
      </c>
      <c r="G775" s="16"/>
      <c r="H775" s="14"/>
      <c r="K775" s="16">
        <f>IFERROR(__xludf.DUMMYFUNCTION("""COMPUTED_VALUE"""),1564.0)</f>
        <v>1564</v>
      </c>
      <c r="L775" s="16"/>
      <c r="M775" s="14"/>
    </row>
    <row r="776">
      <c r="A776" s="16" t="str">
        <f>IFERROR(__xludf.DUMMYFUNCTION("""COMPUTED_VALUE"""),"Achirou Malam Dan Maradi Nassirou")</f>
        <v>Achirou Malam Dan Maradi Nassirou</v>
      </c>
      <c r="B776" s="16"/>
      <c r="C776" s="14"/>
      <c r="F776" s="16" t="str">
        <f>IFERROR(__xludf.DUMMYFUNCTION("""COMPUTED_VALUE"""),"Jibalawa Est")</f>
        <v>Jibalawa Est</v>
      </c>
      <c r="G776" s="16"/>
      <c r="H776" s="14"/>
      <c r="K776" s="16">
        <f>IFERROR(__xludf.DUMMYFUNCTION("""COMPUTED_VALUE"""),624.0)</f>
        <v>624</v>
      </c>
      <c r="L776" s="16"/>
      <c r="M776" s="14"/>
    </row>
    <row r="777">
      <c r="A777" s="16" t="str">
        <f>IFERROR(__xludf.DUMMYFUNCTION("""COMPUTED_VALUE"""),"Halimatou Adamou Marafa")</f>
        <v>Halimatou Adamou Marafa</v>
      </c>
      <c r="B777" s="16"/>
      <c r="C777" s="14"/>
      <c r="F777" s="16" t="str">
        <f>IFERROR(__xludf.DUMMYFUNCTION("""COMPUTED_VALUE"""),"Adernaguatt")</f>
        <v>Adernaguatt</v>
      </c>
      <c r="G777" s="16"/>
      <c r="H777" s="14"/>
      <c r="K777" s="16">
        <f>IFERROR(__xludf.DUMMYFUNCTION("""COMPUTED_VALUE"""),559.0)</f>
        <v>559</v>
      </c>
      <c r="L777" s="16"/>
      <c r="M777" s="14"/>
    </row>
    <row r="778">
      <c r="A778" s="16" t="str">
        <f>IFERROR(__xludf.DUMMYFUNCTION("""COMPUTED_VALUE"""),"Halimatou Adamou Marafa")</f>
        <v>Halimatou Adamou Marafa</v>
      </c>
      <c r="B778" s="16"/>
      <c r="C778" s="14"/>
      <c r="F778" s="16" t="str">
        <f>IFERROR(__xludf.DUMMYFUNCTION("""COMPUTED_VALUE"""),"Adernaguatt")</f>
        <v>Adernaguatt</v>
      </c>
      <c r="G778" s="16"/>
      <c r="H778" s="14"/>
      <c r="K778" s="16">
        <f>IFERROR(__xludf.DUMMYFUNCTION("""COMPUTED_VALUE"""),1295.0)</f>
        <v>1295</v>
      </c>
      <c r="L778" s="16"/>
      <c r="M778" s="14"/>
    </row>
    <row r="779">
      <c r="A779" s="16" t="str">
        <f>IFERROR(__xludf.DUMMYFUNCTION("""COMPUTED_VALUE"""),"Aicha Noma")</f>
        <v>Aicha Noma</v>
      </c>
      <c r="B779" s="16"/>
      <c r="C779" s="14"/>
      <c r="F779" s="16" t="str">
        <f>IFERROR(__xludf.DUMMYFUNCTION("""COMPUTED_VALUE"""),"Adernaguatt")</f>
        <v>Adernaguatt</v>
      </c>
      <c r="G779" s="16"/>
      <c r="H779" s="14"/>
      <c r="K779" s="16">
        <f>IFERROR(__xludf.DUMMYFUNCTION("""COMPUTED_VALUE"""),1211.0)</f>
        <v>1211</v>
      </c>
      <c r="L779" s="16"/>
      <c r="M779" s="14"/>
    </row>
    <row r="780">
      <c r="A780" s="16" t="str">
        <f>IFERROR(__xludf.DUMMYFUNCTION("""COMPUTED_VALUE"""),"Abdoul Razak Mahamane Boukari")</f>
        <v>Abdoul Razak Mahamane Boukari</v>
      </c>
      <c r="B780" s="16"/>
      <c r="C780" s="14"/>
      <c r="F780" s="16" t="str">
        <f>IFERROR(__xludf.DUMMYFUNCTION("""COMPUTED_VALUE"""),"Adernaguatt")</f>
        <v>Adernaguatt</v>
      </c>
      <c r="G780" s="16"/>
      <c r="H780" s="14"/>
      <c r="K780" s="16">
        <f>IFERROR(__xludf.DUMMYFUNCTION("""COMPUTED_VALUE"""),360.0)</f>
        <v>360</v>
      </c>
      <c r="L780" s="16"/>
      <c r="M780" s="14"/>
    </row>
    <row r="781">
      <c r="A781" s="16" t="str">
        <f>IFERROR(__xludf.DUMMYFUNCTION("""COMPUTED_VALUE"""),"Abdoul Razak Mahamane Boukari")</f>
        <v>Abdoul Razak Mahamane Boukari</v>
      </c>
      <c r="B781" s="16"/>
      <c r="C781" s="14"/>
      <c r="F781" s="16" t="str">
        <f>IFERROR(__xludf.DUMMYFUNCTION("""COMPUTED_VALUE"""),"Adernaguatt")</f>
        <v>Adernaguatt</v>
      </c>
      <c r="G781" s="16"/>
      <c r="H781" s="14"/>
      <c r="K781" s="16">
        <f>IFERROR(__xludf.DUMMYFUNCTION("""COMPUTED_VALUE"""),2345.0)</f>
        <v>2345</v>
      </c>
      <c r="L781" s="16"/>
      <c r="M781" s="14"/>
    </row>
    <row r="782">
      <c r="A782" s="16" t="str">
        <f>IFERROR(__xludf.DUMMYFUNCTION("""COMPUTED_VALUE"""),"Abdoul Razak Mahamane Boukari")</f>
        <v>Abdoul Razak Mahamane Boukari</v>
      </c>
      <c r="B782" s="16"/>
      <c r="C782" s="14"/>
      <c r="F782" s="16" t="str">
        <f>IFERROR(__xludf.DUMMYFUNCTION("""COMPUTED_VALUE"""),"Adernaguatt")</f>
        <v>Adernaguatt</v>
      </c>
      <c r="G782" s="16"/>
      <c r="H782" s="14"/>
      <c r="K782" s="16">
        <f>IFERROR(__xludf.DUMMYFUNCTION("""COMPUTED_VALUE"""),350.0)</f>
        <v>350</v>
      </c>
      <c r="L782" s="16"/>
      <c r="M782" s="14"/>
    </row>
    <row r="783">
      <c r="A783" s="16" t="str">
        <f>IFERROR(__xludf.DUMMYFUNCTION("""COMPUTED_VALUE"""),"Kimba Issa Mamoudou")</f>
        <v>Kimba Issa Mamoudou</v>
      </c>
      <c r="B783" s="16"/>
      <c r="C783" s="14"/>
      <c r="F783" s="16" t="str">
        <f>IFERROR(__xludf.DUMMYFUNCTION("""COMPUTED_VALUE"""),"Adernaguatt")</f>
        <v>Adernaguatt</v>
      </c>
      <c r="G783" s="16"/>
      <c r="H783" s="14"/>
      <c r="K783" s="16">
        <f>IFERROR(__xludf.DUMMYFUNCTION("""COMPUTED_VALUE"""),628.0)</f>
        <v>628</v>
      </c>
      <c r="L783" s="16"/>
      <c r="M783" s="14"/>
    </row>
    <row r="784">
      <c r="A784" s="16" t="str">
        <f>IFERROR(__xludf.DUMMYFUNCTION("""COMPUTED_VALUE"""),"Kimba Issa Mamoudou")</f>
        <v>Kimba Issa Mamoudou</v>
      </c>
      <c r="B784" s="16"/>
      <c r="C784" s="14"/>
      <c r="F784" s="16" t="str">
        <f>IFERROR(__xludf.DUMMYFUNCTION("""COMPUTED_VALUE"""),"Adernaguatt")</f>
        <v>Adernaguatt</v>
      </c>
      <c r="G784" s="16"/>
      <c r="H784" s="14"/>
      <c r="K784" s="16">
        <f>IFERROR(__xludf.DUMMYFUNCTION("""COMPUTED_VALUE"""),250.0)</f>
        <v>250</v>
      </c>
      <c r="L784" s="16"/>
      <c r="M784" s="14"/>
    </row>
    <row r="785">
      <c r="A785" s="16" t="str">
        <f>IFERROR(__xludf.DUMMYFUNCTION("""COMPUTED_VALUE"""),"Kimba Issa Mamoudou")</f>
        <v>Kimba Issa Mamoudou</v>
      </c>
      <c r="B785" s="16"/>
      <c r="C785" s="14"/>
      <c r="F785" s="16" t="str">
        <f>IFERROR(__xludf.DUMMYFUNCTION("""COMPUTED_VALUE"""),"Alibou Alhadji")</f>
        <v>Alibou Alhadji</v>
      </c>
      <c r="G785" s="16"/>
      <c r="H785" s="14"/>
      <c r="K785" s="16">
        <f>IFERROR(__xludf.DUMMYFUNCTION("""COMPUTED_VALUE"""),284.0)</f>
        <v>284</v>
      </c>
      <c r="L785" s="16"/>
      <c r="M785" s="14"/>
    </row>
    <row r="786">
      <c r="A786" s="16" t="str">
        <f>IFERROR(__xludf.DUMMYFUNCTION("""COMPUTED_VALUE"""),"Halidou Tagaza Balkissa")</f>
        <v>Halidou Tagaza Balkissa</v>
      </c>
      <c r="B786" s="16"/>
      <c r="C786" s="14"/>
      <c r="F786" s="16" t="str">
        <f>IFERROR(__xludf.DUMMYFUNCTION("""COMPUTED_VALUE"""),"Adernaguatt")</f>
        <v>Adernaguatt</v>
      </c>
      <c r="G786" s="16"/>
      <c r="H786" s="14"/>
      <c r="K786" s="16">
        <f>IFERROR(__xludf.DUMMYFUNCTION("""COMPUTED_VALUE"""),1196.0)</f>
        <v>1196</v>
      </c>
      <c r="L786" s="16"/>
      <c r="M786" s="14"/>
    </row>
    <row r="787">
      <c r="A787" s="16" t="str">
        <f>IFERROR(__xludf.DUMMYFUNCTION("""COMPUTED_VALUE"""),"Halidou Tagaza Balkissa")</f>
        <v>Halidou Tagaza Balkissa</v>
      </c>
      <c r="B787" s="16"/>
      <c r="C787" s="14"/>
      <c r="F787" s="16" t="str">
        <f>IFERROR(__xludf.DUMMYFUNCTION("""COMPUTED_VALUE"""),"Kalfou Rafi")</f>
        <v>Kalfou Rafi</v>
      </c>
      <c r="G787" s="16"/>
      <c r="H787" s="14"/>
      <c r="K787" s="16">
        <f>IFERROR(__xludf.DUMMYFUNCTION("""COMPUTED_VALUE"""),303.0)</f>
        <v>303</v>
      </c>
      <c r="L787" s="16"/>
      <c r="M787" s="14"/>
    </row>
    <row r="788">
      <c r="A788" s="16" t="str">
        <f>IFERROR(__xludf.DUMMYFUNCTION("""COMPUTED_VALUE"""),"Halidou Tagaza Balkissa")</f>
        <v>Halidou Tagaza Balkissa</v>
      </c>
      <c r="B788" s="16"/>
      <c r="C788" s="14"/>
      <c r="F788" s="16" t="str">
        <f>IFERROR(__xludf.DUMMYFUNCTION("""COMPUTED_VALUE"""),"Bakin Dabagi Ilbakan")</f>
        <v>Bakin Dabagi Ilbakan</v>
      </c>
      <c r="G788" s="16"/>
      <c r="H788" s="14"/>
      <c r="K788" s="16">
        <f>IFERROR(__xludf.DUMMYFUNCTION("""COMPUTED_VALUE"""),489.0)</f>
        <v>489</v>
      </c>
      <c r="L788" s="16"/>
      <c r="M788" s="14"/>
    </row>
    <row r="789">
      <c r="A789" s="16" t="str">
        <f>IFERROR(__xludf.DUMMYFUNCTION("""COMPUTED_VALUE"""),"Moussa Ide Ibrahim")</f>
        <v>Moussa Ide Ibrahim</v>
      </c>
      <c r="B789" s="16"/>
      <c r="C789" s="14"/>
      <c r="F789" s="16" t="str">
        <f>IFERROR(__xludf.DUMMYFUNCTION("""COMPUTED_VALUE"""),"Bakin Dabagi Ilbakan")</f>
        <v>Bakin Dabagi Ilbakan</v>
      </c>
      <c r="G789" s="16"/>
      <c r="H789" s="14"/>
      <c r="K789" s="16">
        <f>IFERROR(__xludf.DUMMYFUNCTION("""COMPUTED_VALUE"""),718.0)</f>
        <v>718</v>
      </c>
      <c r="L789" s="16"/>
      <c r="M789" s="14"/>
    </row>
    <row r="790">
      <c r="A790" s="16" t="str">
        <f>IFERROR(__xludf.DUMMYFUNCTION("""COMPUTED_VALUE"""),"ALASSANE TAWEY AWALOU")</f>
        <v>ALASSANE TAWEY AWALOU</v>
      </c>
      <c r="B790" s="16"/>
      <c r="C790" s="14"/>
      <c r="F790" s="16" t="str">
        <f>IFERROR(__xludf.DUMMYFUNCTION("""COMPUTED_VALUE"""),"Bakin Dabagi Ilbakan")</f>
        <v>Bakin Dabagi Ilbakan</v>
      </c>
      <c r="G790" s="16"/>
      <c r="H790" s="14"/>
      <c r="K790" s="16">
        <f>IFERROR(__xludf.DUMMYFUNCTION("""COMPUTED_VALUE"""),393.0)</f>
        <v>393</v>
      </c>
      <c r="L790" s="16"/>
      <c r="M790" s="14"/>
    </row>
    <row r="791">
      <c r="A791" s="16" t="str">
        <f>IFERROR(__xludf.DUMMYFUNCTION("""COMPUTED_VALUE"""),"ALASSANE TAWEY AWALOU")</f>
        <v>ALASSANE TAWEY AWALOU</v>
      </c>
      <c r="B791" s="16"/>
      <c r="C791" s="14"/>
      <c r="F791" s="16" t="str">
        <f>IFERROR(__xludf.DUMMYFUNCTION("""COMPUTED_VALUE"""),"Bouloum")</f>
        <v>Bouloum</v>
      </c>
      <c r="G791" s="16"/>
      <c r="H791" s="14"/>
      <c r="K791" s="16">
        <f>IFERROR(__xludf.DUMMYFUNCTION("""COMPUTED_VALUE"""),1824.0)</f>
        <v>1824</v>
      </c>
      <c r="L791" s="16"/>
      <c r="M791" s="14"/>
    </row>
    <row r="792">
      <c r="A792" s="16" t="str">
        <f>IFERROR(__xludf.DUMMYFUNCTION("""COMPUTED_VALUE"""),"ALASSANE TAWEY AWALOU")</f>
        <v>ALASSANE TAWEY AWALOU</v>
      </c>
      <c r="B792" s="16"/>
      <c r="C792" s="14"/>
      <c r="F792" s="16" t="str">
        <f>IFERROR(__xludf.DUMMYFUNCTION("""COMPUTED_VALUE"""),"Bouloum")</f>
        <v>Bouloum</v>
      </c>
      <c r="G792" s="16"/>
      <c r="H792" s="14"/>
      <c r="K792" s="16">
        <f>IFERROR(__xludf.DUMMYFUNCTION("""COMPUTED_VALUE"""),1922.0)</f>
        <v>1922</v>
      </c>
      <c r="L792" s="16"/>
      <c r="M792" s="14"/>
    </row>
    <row r="793">
      <c r="A793" s="16" t="str">
        <f>IFERROR(__xludf.DUMMYFUNCTION("""COMPUTED_VALUE"""),"ALASSANE TAWEY AWALOU")</f>
        <v>ALASSANE TAWEY AWALOU</v>
      </c>
      <c r="B793" s="16"/>
      <c r="C793" s="14"/>
      <c r="F793" s="16" t="str">
        <f>IFERROR(__xludf.DUMMYFUNCTION("""COMPUTED_VALUE"""),"Alléla Kougouptché")</f>
        <v>Alléla Kougouptché</v>
      </c>
      <c r="G793" s="16"/>
      <c r="H793" s="14"/>
      <c r="K793" s="16">
        <f>IFERROR(__xludf.DUMMYFUNCTION("""COMPUTED_VALUE"""),2154.0)</f>
        <v>2154</v>
      </c>
      <c r="L793" s="16"/>
      <c r="M793" s="14"/>
    </row>
    <row r="794">
      <c r="A794" s="16" t="str">
        <f>IFERROR(__xludf.DUMMYFUNCTION("""COMPUTED_VALUE"""),"Maman Ado Abdourahamane")</f>
        <v>Maman Ado Abdourahamane</v>
      </c>
      <c r="B794" s="16"/>
      <c r="C794" s="14"/>
      <c r="F794" s="16" t="str">
        <f>IFERROR(__xludf.DUMMYFUNCTION("""COMPUTED_VALUE"""),"Alléla Kougouptché")</f>
        <v>Alléla Kougouptché</v>
      </c>
      <c r="G794" s="16"/>
      <c r="H794" s="14"/>
      <c r="K794" s="16">
        <f>IFERROR(__xludf.DUMMYFUNCTION("""COMPUTED_VALUE"""),2068.0)</f>
        <v>2068</v>
      </c>
      <c r="L794" s="16"/>
      <c r="M794" s="14"/>
    </row>
    <row r="795">
      <c r="A795" s="16" t="str">
        <f>IFERROR(__xludf.DUMMYFUNCTION("""COMPUTED_VALUE"""),"Aboubacar Hamadou Manga")</f>
        <v>Aboubacar Hamadou Manga</v>
      </c>
      <c r="B795" s="16"/>
      <c r="C795" s="14"/>
      <c r="F795" s="16" t="str">
        <f>IFERROR(__xludf.DUMMYFUNCTION("""COMPUTED_VALUE"""),"Alléla Kougouptché")</f>
        <v>Alléla Kougouptché</v>
      </c>
      <c r="G795" s="16"/>
      <c r="H795" s="14"/>
      <c r="K795" s="16">
        <f>IFERROR(__xludf.DUMMYFUNCTION("""COMPUTED_VALUE"""),1245.0)</f>
        <v>1245</v>
      </c>
      <c r="L795" s="16"/>
      <c r="M795" s="14"/>
    </row>
    <row r="796">
      <c r="A796" s="16" t="str">
        <f>IFERROR(__xludf.DUMMYFUNCTION("""COMPUTED_VALUE"""),"Maman Ado Abdourahamane")</f>
        <v>Maman Ado Abdourahamane</v>
      </c>
      <c r="B796" s="16"/>
      <c r="C796" s="14"/>
      <c r="F796" s="16" t="str">
        <f>IFERROR(__xludf.DUMMYFUNCTION("""COMPUTED_VALUE"""),"Alléla Kougouptché")</f>
        <v>Alléla Kougouptché</v>
      </c>
      <c r="G796" s="16"/>
      <c r="H796" s="14"/>
      <c r="K796" s="16">
        <f>IFERROR(__xludf.DUMMYFUNCTION("""COMPUTED_VALUE"""),497.0)</f>
        <v>497</v>
      </c>
      <c r="L796" s="16"/>
      <c r="M796" s="14"/>
    </row>
    <row r="797">
      <c r="A797" s="16" t="str">
        <f>IFERROR(__xludf.DUMMYFUNCTION("""COMPUTED_VALUE"""),"Maman Ado Abdourahamane")</f>
        <v>Maman Ado Abdourahamane</v>
      </c>
      <c r="B797" s="16"/>
      <c r="C797" s="14"/>
      <c r="F797" s="16" t="str">
        <f>IFERROR(__xludf.DUMMYFUNCTION("""COMPUTED_VALUE"""),"Babaranga Yama")</f>
        <v>Babaranga Yama</v>
      </c>
      <c r="G797" s="16"/>
      <c r="H797" s="14"/>
      <c r="K797" s="16">
        <f>IFERROR(__xludf.DUMMYFUNCTION("""COMPUTED_VALUE"""),371.0)</f>
        <v>371</v>
      </c>
      <c r="L797" s="16"/>
      <c r="M797" s="14"/>
    </row>
    <row r="798">
      <c r="A798" s="16" t="str">
        <f>IFERROR(__xludf.DUMMYFUNCTION("""COMPUTED_VALUE"""),"Maman Ado Abdourahamane")</f>
        <v>Maman Ado Abdourahamane</v>
      </c>
      <c r="B798" s="16"/>
      <c r="C798" s="14"/>
      <c r="F798" s="16" t="str">
        <f>IFERROR(__xludf.DUMMYFUNCTION("""COMPUTED_VALUE"""),"Babaranga Yama")</f>
        <v>Babaranga Yama</v>
      </c>
      <c r="G798" s="16"/>
      <c r="H798" s="14"/>
      <c r="K798" s="16">
        <f>IFERROR(__xludf.DUMMYFUNCTION("""COMPUTED_VALUE"""),1716.0)</f>
        <v>1716</v>
      </c>
      <c r="L798" s="16"/>
      <c r="M798" s="14"/>
    </row>
    <row r="799">
      <c r="A799" s="16" t="str">
        <f>IFERROR(__xludf.DUMMYFUNCTION("""COMPUTED_VALUE"""),"Maman Ado Abdourahamane")</f>
        <v>Maman Ado Abdourahamane</v>
      </c>
      <c r="B799" s="16"/>
      <c r="C799" s="14"/>
      <c r="F799" s="16" t="str">
        <f>IFERROR(__xludf.DUMMYFUNCTION("""COMPUTED_VALUE"""),"Adernaguatt")</f>
        <v>Adernaguatt</v>
      </c>
      <c r="G799" s="16"/>
      <c r="H799" s="14"/>
      <c r="K799" s="16">
        <f>IFERROR(__xludf.DUMMYFUNCTION("""COMPUTED_VALUE"""),435.0)</f>
        <v>435</v>
      </c>
      <c r="L799" s="16"/>
      <c r="M799" s="14"/>
    </row>
    <row r="800">
      <c r="A800" s="16" t="str">
        <f>IFERROR(__xludf.DUMMYFUNCTION("""COMPUTED_VALUE"""),"Elhaji Abdou Leilata")</f>
        <v>Elhaji Abdou Leilata</v>
      </c>
      <c r="B800" s="16"/>
      <c r="C800" s="14"/>
      <c r="F800" s="16" t="str">
        <f>IFERROR(__xludf.DUMMYFUNCTION("""COMPUTED_VALUE"""),"Adernaguatt")</f>
        <v>Adernaguatt</v>
      </c>
      <c r="G800" s="16"/>
      <c r="H800" s="14"/>
      <c r="K800" s="16">
        <f>IFERROR(__xludf.DUMMYFUNCTION("""COMPUTED_VALUE"""),437.0)</f>
        <v>437</v>
      </c>
      <c r="L800" s="16"/>
      <c r="M800" s="14"/>
    </row>
    <row r="801">
      <c r="A801" s="16" t="str">
        <f>IFERROR(__xludf.DUMMYFUNCTION("""COMPUTED_VALUE"""),"Elhaji Abdou Leilata")</f>
        <v>Elhaji Abdou Leilata</v>
      </c>
      <c r="B801" s="16"/>
      <c r="C801" s="14"/>
      <c r="F801" s="16" t="str">
        <f>IFERROR(__xludf.DUMMYFUNCTION("""COMPUTED_VALUE"""),"Alibou Alhadji")</f>
        <v>Alibou Alhadji</v>
      </c>
      <c r="G801" s="16"/>
      <c r="H801" s="14"/>
      <c r="K801" s="16">
        <f>IFERROR(__xludf.DUMMYFUNCTION("""COMPUTED_VALUE"""),438.0)</f>
        <v>438</v>
      </c>
      <c r="L801" s="16"/>
      <c r="M801" s="14"/>
    </row>
    <row r="802">
      <c r="A802" s="16" t="str">
        <f>IFERROR(__xludf.DUMMYFUNCTION("""COMPUTED_VALUE"""),"Elhaji Abdou Leilata")</f>
        <v>Elhaji Abdou Leilata</v>
      </c>
      <c r="B802" s="16"/>
      <c r="C802" s="14"/>
      <c r="F802" s="16" t="str">
        <f>IFERROR(__xludf.DUMMYFUNCTION("""COMPUTED_VALUE"""),"Babaranga Yama")</f>
        <v>Babaranga Yama</v>
      </c>
      <c r="G802" s="16"/>
      <c r="H802" s="14"/>
      <c r="K802" s="16">
        <f>IFERROR(__xludf.DUMMYFUNCTION("""COMPUTED_VALUE"""),2213.0)</f>
        <v>2213</v>
      </c>
      <c r="L802" s="16"/>
      <c r="M802" s="14"/>
    </row>
    <row r="803">
      <c r="A803" s="16" t="str">
        <f>IFERROR(__xludf.DUMMYFUNCTION("""COMPUTED_VALUE"""),"Mohamed Cherif")</f>
        <v>Mohamed Cherif</v>
      </c>
      <c r="B803" s="16"/>
      <c r="C803" s="14"/>
      <c r="F803" s="16" t="str">
        <f>IFERROR(__xludf.DUMMYFUNCTION("""COMPUTED_VALUE"""),"Babaranga Yama")</f>
        <v>Babaranga Yama</v>
      </c>
      <c r="G803" s="16"/>
      <c r="H803" s="14"/>
      <c r="K803" s="16">
        <f>IFERROR(__xludf.DUMMYFUNCTION("""COMPUTED_VALUE"""),331.0)</f>
        <v>331</v>
      </c>
      <c r="L803" s="16"/>
      <c r="M803" s="14"/>
    </row>
    <row r="804">
      <c r="A804" s="16" t="str">
        <f>IFERROR(__xludf.DUMMYFUNCTION("""COMPUTED_VALUE"""),"Mohamed Cherif")</f>
        <v>Mohamed Cherif</v>
      </c>
      <c r="B804" s="16"/>
      <c r="C804" s="14"/>
      <c r="F804" s="16" t="str">
        <f>IFERROR(__xludf.DUMMYFUNCTION("""COMPUTED_VALUE"""),"Babaranga Yama")</f>
        <v>Babaranga Yama</v>
      </c>
      <c r="G804" s="16"/>
      <c r="H804" s="14"/>
      <c r="K804" s="16">
        <f>IFERROR(__xludf.DUMMYFUNCTION("""COMPUTED_VALUE"""),2020.0)</f>
        <v>2020</v>
      </c>
      <c r="L804" s="16"/>
      <c r="M804" s="14"/>
    </row>
    <row r="805">
      <c r="A805" s="16" t="str">
        <f>IFERROR(__xludf.DUMMYFUNCTION("""COMPUTED_VALUE"""),"Mohamed Cherif")</f>
        <v>Mohamed Cherif</v>
      </c>
      <c r="B805" s="16"/>
      <c r="C805" s="14"/>
      <c r="F805" s="16" t="str">
        <f>IFERROR(__xludf.DUMMYFUNCTION("""COMPUTED_VALUE"""),"Babaranga Yama")</f>
        <v>Babaranga Yama</v>
      </c>
      <c r="G805" s="16"/>
      <c r="H805" s="14"/>
      <c r="K805" s="16">
        <f>IFERROR(__xludf.DUMMYFUNCTION("""COMPUTED_VALUE"""),2448.0)</f>
        <v>2448</v>
      </c>
      <c r="L805" s="16"/>
      <c r="M805" s="14"/>
    </row>
    <row r="806">
      <c r="A806" s="16" t="str">
        <f>IFERROR(__xludf.DUMMYFUNCTION("""COMPUTED_VALUE"""),"Mohamed Cherif")</f>
        <v>Mohamed Cherif</v>
      </c>
      <c r="B806" s="16"/>
      <c r="C806" s="14"/>
      <c r="F806" s="16" t="str">
        <f>IFERROR(__xludf.DUMMYFUNCTION("""COMPUTED_VALUE"""),"Alléla Kougouptché")</f>
        <v>Alléla Kougouptché</v>
      </c>
      <c r="G806" s="16"/>
      <c r="H806" s="14"/>
      <c r="K806" s="16">
        <f>IFERROR(__xludf.DUMMYFUNCTION("""COMPUTED_VALUE"""),2479.0)</f>
        <v>2479</v>
      </c>
      <c r="L806" s="16"/>
      <c r="M806" s="14"/>
    </row>
    <row r="807">
      <c r="A807" s="16" t="str">
        <f>IFERROR(__xludf.DUMMYFUNCTION("""COMPUTED_VALUE"""),"Elhaji Abdou Leilata")</f>
        <v>Elhaji Abdou Leilata</v>
      </c>
      <c r="B807" s="16"/>
      <c r="C807" s="14"/>
      <c r="F807" s="16" t="str">
        <f>IFERROR(__xludf.DUMMYFUNCTION("""COMPUTED_VALUE"""),"Alléla Kougouptché")</f>
        <v>Alléla Kougouptché</v>
      </c>
      <c r="G807" s="16"/>
      <c r="H807" s="14"/>
      <c r="K807" s="16">
        <f>IFERROR(__xludf.DUMMYFUNCTION("""COMPUTED_VALUE"""),1831.0)</f>
        <v>1831</v>
      </c>
      <c r="L807" s="16"/>
      <c r="M807" s="14"/>
    </row>
    <row r="808">
      <c r="A808" s="16" t="str">
        <f>IFERROR(__xludf.DUMMYFUNCTION("""COMPUTED_VALUE"""),"Gaoh Maazou")</f>
        <v>Gaoh Maazou</v>
      </c>
      <c r="B808" s="16"/>
      <c r="C808" s="14"/>
      <c r="F808" s="16" t="str">
        <f>IFERROR(__xludf.DUMMYFUNCTION("""COMPUTED_VALUE"""),"Babaranga Yama")</f>
        <v>Babaranga Yama</v>
      </c>
      <c r="G808" s="16"/>
      <c r="H808" s="14"/>
      <c r="K808" s="16">
        <f>IFERROR(__xludf.DUMMYFUNCTION("""COMPUTED_VALUE"""),756.0)</f>
        <v>756</v>
      </c>
      <c r="L808" s="16"/>
      <c r="M808" s="14"/>
    </row>
    <row r="809">
      <c r="A809" s="16" t="str">
        <f>IFERROR(__xludf.DUMMYFUNCTION("""COMPUTED_VALUE"""),"Gaoh Maazou")</f>
        <v>Gaoh Maazou</v>
      </c>
      <c r="B809" s="16"/>
      <c r="C809" s="14"/>
      <c r="F809" s="16" t="str">
        <f>IFERROR(__xludf.DUMMYFUNCTION("""COMPUTED_VALUE"""),"Babaranga Yama")</f>
        <v>Babaranga Yama</v>
      </c>
      <c r="G809" s="16"/>
      <c r="H809" s="14"/>
      <c r="K809" s="16">
        <f>IFERROR(__xludf.DUMMYFUNCTION("""COMPUTED_VALUE"""),2183.0)</f>
        <v>2183</v>
      </c>
      <c r="L809" s="16"/>
      <c r="M809" s="14"/>
    </row>
    <row r="810">
      <c r="A810" s="16" t="str">
        <f>IFERROR(__xludf.DUMMYFUNCTION("""COMPUTED_VALUE"""),"Gaoh Maazou")</f>
        <v>Gaoh Maazou</v>
      </c>
      <c r="B810" s="16"/>
      <c r="C810" s="14"/>
      <c r="F810" s="16" t="str">
        <f>IFERROR(__xludf.DUMMYFUNCTION("""COMPUTED_VALUE"""),"Babaranga Yama")</f>
        <v>Babaranga Yama</v>
      </c>
      <c r="G810" s="16"/>
      <c r="H810" s="14"/>
      <c r="K810" s="16">
        <f>IFERROR(__xludf.DUMMYFUNCTION("""COMPUTED_VALUE"""),2144.0)</f>
        <v>2144</v>
      </c>
      <c r="L810" s="16"/>
      <c r="M810" s="14"/>
    </row>
    <row r="811">
      <c r="A811" s="16" t="str">
        <f>IFERROR(__xludf.DUMMYFUNCTION("""COMPUTED_VALUE"""),"Gaoh Maazou")</f>
        <v>Gaoh Maazou</v>
      </c>
      <c r="B811" s="16"/>
      <c r="C811" s="14"/>
      <c r="F811" s="16" t="str">
        <f>IFERROR(__xludf.DUMMYFUNCTION("""COMPUTED_VALUE"""),"Babaranga Yama")</f>
        <v>Babaranga Yama</v>
      </c>
      <c r="G811" s="16"/>
      <c r="H811" s="14"/>
      <c r="K811" s="16">
        <f>IFERROR(__xludf.DUMMYFUNCTION("""COMPUTED_VALUE"""),1647.0)</f>
        <v>1647</v>
      </c>
      <c r="L811" s="16"/>
      <c r="M811" s="14"/>
    </row>
    <row r="812">
      <c r="A812" s="16" t="str">
        <f>IFERROR(__xludf.DUMMYFUNCTION("""COMPUTED_VALUE"""),"Asmaou Tanko Issa")</f>
        <v>Asmaou Tanko Issa</v>
      </c>
      <c r="B812" s="16"/>
      <c r="C812" s="14"/>
      <c r="F812" s="16" t="str">
        <f>IFERROR(__xludf.DUMMYFUNCTION("""COMPUTED_VALUE"""),"Babaranga Yama")</f>
        <v>Babaranga Yama</v>
      </c>
      <c r="G812" s="16"/>
      <c r="H812" s="14"/>
      <c r="K812" s="16">
        <f>IFERROR(__xludf.DUMMYFUNCTION("""COMPUTED_VALUE"""),1477.0)</f>
        <v>1477</v>
      </c>
      <c r="L812" s="16"/>
      <c r="M812" s="14"/>
    </row>
    <row r="813">
      <c r="A813" s="16" t="str">
        <f>IFERROR(__xludf.DUMMYFUNCTION("""COMPUTED_VALUE"""),"Gaoh Maazou")</f>
        <v>Gaoh Maazou</v>
      </c>
      <c r="B813" s="16"/>
      <c r="C813" s="14"/>
      <c r="F813" s="16" t="str">
        <f>IFERROR(__xludf.DUMMYFUNCTION("""COMPUTED_VALUE"""),"Babaranga Yama")</f>
        <v>Babaranga Yama</v>
      </c>
      <c r="G813" s="16"/>
      <c r="H813" s="14"/>
      <c r="K813" s="16">
        <f>IFERROR(__xludf.DUMMYFUNCTION("""COMPUTED_VALUE"""),1305.0)</f>
        <v>1305</v>
      </c>
      <c r="L813" s="16"/>
      <c r="M813" s="14"/>
    </row>
    <row r="814">
      <c r="A814" s="16" t="str">
        <f>IFERROR(__xludf.DUMMYFUNCTION("""COMPUTED_VALUE"""),"Zakari Aboubacar")</f>
        <v>Zakari Aboubacar</v>
      </c>
      <c r="B814" s="16"/>
      <c r="C814" s="14"/>
      <c r="F814" s="16" t="str">
        <f>IFERROR(__xludf.DUMMYFUNCTION("""COMPUTED_VALUE"""),"Babaranga Yama")</f>
        <v>Babaranga Yama</v>
      </c>
      <c r="G814" s="16"/>
      <c r="H814" s="14"/>
      <c r="K814" s="16">
        <f>IFERROR(__xludf.DUMMYFUNCTION("""COMPUTED_VALUE"""),1175.0)</f>
        <v>1175</v>
      </c>
      <c r="L814" s="16"/>
      <c r="M814" s="14"/>
    </row>
    <row r="815">
      <c r="A815" s="16" t="str">
        <f>IFERROR(__xludf.DUMMYFUNCTION("""COMPUTED_VALUE"""),"Moussa Ide Ibrahim")</f>
        <v>Moussa Ide Ibrahim</v>
      </c>
      <c r="B815" s="16"/>
      <c r="C815" s="14"/>
      <c r="F815" s="16" t="str">
        <f>IFERROR(__xludf.DUMMYFUNCTION("""COMPUTED_VALUE"""),"Konkorbeye Peulh")</f>
        <v>Konkorbeye Peulh</v>
      </c>
      <c r="G815" s="16"/>
      <c r="H815" s="14"/>
      <c r="K815" s="16">
        <f>IFERROR(__xludf.DUMMYFUNCTION("""COMPUTED_VALUE"""),440.0)</f>
        <v>440</v>
      </c>
      <c r="L815" s="16"/>
      <c r="M815" s="14"/>
    </row>
    <row r="816">
      <c r="A816" s="16" t="str">
        <f>IFERROR(__xludf.DUMMYFUNCTION("""COMPUTED_VALUE"""),"Moussa Ide Ibrahim")</f>
        <v>Moussa Ide Ibrahim</v>
      </c>
      <c r="B816" s="16"/>
      <c r="C816" s="14"/>
      <c r="F816" s="16" t="str">
        <f>IFERROR(__xludf.DUMMYFUNCTION("""COMPUTED_VALUE"""),"Konkorbeye Peulh")</f>
        <v>Konkorbeye Peulh</v>
      </c>
      <c r="G816" s="16"/>
      <c r="H816" s="14"/>
      <c r="K816" s="16">
        <f>IFERROR(__xludf.DUMMYFUNCTION("""COMPUTED_VALUE"""),773.0)</f>
        <v>773</v>
      </c>
      <c r="L816" s="16"/>
      <c r="M816" s="14"/>
    </row>
    <row r="817">
      <c r="A817" s="16" t="str">
        <f>IFERROR(__xludf.DUMMYFUNCTION("""COMPUTED_VALUE"""),"Moussa Ide Ibrahim")</f>
        <v>Moussa Ide Ibrahim</v>
      </c>
      <c r="B817" s="16"/>
      <c r="C817" s="14"/>
      <c r="F817" s="16" t="str">
        <f>IFERROR(__xludf.DUMMYFUNCTION("""COMPUTED_VALUE"""),"Konkorbeye Peulh")</f>
        <v>Konkorbeye Peulh</v>
      </c>
      <c r="G817" s="16"/>
      <c r="H817" s="14"/>
      <c r="K817" s="16">
        <f>IFERROR(__xludf.DUMMYFUNCTION("""COMPUTED_VALUE"""),1424.0)</f>
        <v>1424</v>
      </c>
      <c r="L817" s="16"/>
      <c r="M817" s="14"/>
    </row>
    <row r="818">
      <c r="A818" s="16" t="str">
        <f>IFERROR(__xludf.DUMMYFUNCTION("""COMPUTED_VALUE"""),"Moussa Ide Ibrahim")</f>
        <v>Moussa Ide Ibrahim</v>
      </c>
      <c r="B818" s="16"/>
      <c r="C818" s="14"/>
      <c r="F818" s="16" t="str">
        <f>IFERROR(__xludf.DUMMYFUNCTION("""COMPUTED_VALUE"""),"Konkorbeye Peulh")</f>
        <v>Konkorbeye Peulh</v>
      </c>
      <c r="G818" s="16"/>
      <c r="H818" s="14"/>
      <c r="K818" s="16">
        <f>IFERROR(__xludf.DUMMYFUNCTION("""COMPUTED_VALUE"""),1529.0)</f>
        <v>1529</v>
      </c>
      <c r="L818" s="16"/>
      <c r="M818" s="14"/>
    </row>
    <row r="819">
      <c r="A819" s="16" t="str">
        <f>IFERROR(__xludf.DUMMYFUNCTION("""COMPUTED_VALUE"""),"Amadou Mariama")</f>
        <v>Amadou Mariama</v>
      </c>
      <c r="B819" s="16"/>
      <c r="C819" s="14"/>
      <c r="F819" s="16" t="str">
        <f>IFERROR(__xludf.DUMMYFUNCTION("""COMPUTED_VALUE"""),"Konkorbeye Peulh")</f>
        <v>Konkorbeye Peulh</v>
      </c>
      <c r="G819" s="16"/>
      <c r="H819" s="14"/>
      <c r="K819" s="16">
        <f>IFERROR(__xludf.DUMMYFUNCTION("""COMPUTED_VALUE"""),1287.0)</f>
        <v>1287</v>
      </c>
      <c r="L819" s="16"/>
      <c r="M819" s="14"/>
    </row>
    <row r="820">
      <c r="A820" s="16" t="str">
        <f>IFERROR(__xludf.DUMMYFUNCTION("""COMPUTED_VALUE"""),"Adamou Halidou Daouda")</f>
        <v>Adamou Halidou Daouda</v>
      </c>
      <c r="B820" s="16"/>
      <c r="C820" s="14"/>
      <c r="F820" s="16" t="str">
        <f>IFERROR(__xludf.DUMMYFUNCTION("""COMPUTED_VALUE"""),"Konkorbeye Peulh")</f>
        <v>Konkorbeye Peulh</v>
      </c>
      <c r="G820" s="16"/>
      <c r="H820" s="14"/>
      <c r="K820" s="16">
        <f>IFERROR(__xludf.DUMMYFUNCTION("""COMPUTED_VALUE"""),449.0)</f>
        <v>449</v>
      </c>
      <c r="L820" s="16"/>
      <c r="M820" s="14"/>
    </row>
    <row r="821">
      <c r="A821" s="16" t="str">
        <f>IFERROR(__xludf.DUMMYFUNCTION("""COMPUTED_VALUE"""),"Adamou Halidou Daouda")</f>
        <v>Adamou Halidou Daouda</v>
      </c>
      <c r="B821" s="16"/>
      <c r="C821" s="14"/>
      <c r="F821" s="16" t="str">
        <f>IFERROR(__xludf.DUMMYFUNCTION("""COMPUTED_VALUE"""),"Konkorbeye Peulh")</f>
        <v>Konkorbeye Peulh</v>
      </c>
      <c r="G821" s="16"/>
      <c r="H821" s="14"/>
      <c r="K821" s="16">
        <f>IFERROR(__xludf.DUMMYFUNCTION("""COMPUTED_VALUE"""),473.0)</f>
        <v>473</v>
      </c>
      <c r="L821" s="16"/>
      <c r="M821" s="14"/>
    </row>
    <row r="822">
      <c r="A822" s="16" t="str">
        <f>IFERROR(__xludf.DUMMYFUNCTION("""COMPUTED_VALUE"""),"Adamou Halidou Daouda")</f>
        <v>Adamou Halidou Daouda</v>
      </c>
      <c r="B822" s="16"/>
      <c r="C822" s="14"/>
      <c r="F822" s="16" t="str">
        <f>IFERROR(__xludf.DUMMYFUNCTION("""COMPUTED_VALUE"""),"Bakin Dabagi Ilbakan")</f>
        <v>Bakin Dabagi Ilbakan</v>
      </c>
      <c r="G822" s="16"/>
      <c r="H822" s="14"/>
      <c r="K822" s="16">
        <f>IFERROR(__xludf.DUMMYFUNCTION("""COMPUTED_VALUE"""),508.0)</f>
        <v>508</v>
      </c>
      <c r="L822" s="16"/>
      <c r="M822" s="14"/>
    </row>
    <row r="823">
      <c r="A823" s="16" t="str">
        <f>IFERROR(__xludf.DUMMYFUNCTION("""COMPUTED_VALUE"""),"Halidou Tagaza Balkissa")</f>
        <v>Halidou Tagaza Balkissa</v>
      </c>
      <c r="B823" s="16"/>
      <c r="C823" s="14"/>
      <c r="F823" s="16" t="str">
        <f>IFERROR(__xludf.DUMMYFUNCTION("""COMPUTED_VALUE"""),"Bakin Dabagi Ilbakan")</f>
        <v>Bakin Dabagi Ilbakan</v>
      </c>
      <c r="G823" s="16"/>
      <c r="H823" s="14"/>
      <c r="K823" s="16">
        <f>IFERROR(__xludf.DUMMYFUNCTION("""COMPUTED_VALUE"""),385.0)</f>
        <v>385</v>
      </c>
      <c r="L823" s="16"/>
      <c r="M823" s="14"/>
    </row>
    <row r="824">
      <c r="A824" s="16" t="str">
        <f>IFERROR(__xludf.DUMMYFUNCTION("""COMPUTED_VALUE"""),"Halidou Tagaza Balkissa")</f>
        <v>Halidou Tagaza Balkissa</v>
      </c>
      <c r="B824" s="16"/>
      <c r="C824" s="14"/>
      <c r="F824" s="16" t="str">
        <f>IFERROR(__xludf.DUMMYFUNCTION("""COMPUTED_VALUE"""),"Bakin Dabagi Ilbakan")</f>
        <v>Bakin Dabagi Ilbakan</v>
      </c>
      <c r="G824" s="16"/>
      <c r="H824" s="14"/>
      <c r="K824" s="16">
        <f>IFERROR(__xludf.DUMMYFUNCTION("""COMPUTED_VALUE"""),791.0)</f>
        <v>791</v>
      </c>
      <c r="L824" s="16"/>
      <c r="M824" s="14"/>
    </row>
    <row r="825">
      <c r="A825" s="16" t="str">
        <f>IFERROR(__xludf.DUMMYFUNCTION("""COMPUTED_VALUE"""),"ALASSANE TAWEY AWALOU")</f>
        <v>ALASSANE TAWEY AWALOU</v>
      </c>
      <c r="B825" s="16"/>
      <c r="C825" s="14"/>
      <c r="F825" s="16" t="str">
        <f>IFERROR(__xludf.DUMMYFUNCTION("""COMPUTED_VALUE"""),"Bakin Dabagi Ilbakan")</f>
        <v>Bakin Dabagi Ilbakan</v>
      </c>
      <c r="G825" s="16"/>
      <c r="H825" s="14"/>
      <c r="K825" s="16">
        <f>IFERROR(__xludf.DUMMYFUNCTION("""COMPUTED_VALUE"""),2691.0)</f>
        <v>2691</v>
      </c>
      <c r="L825" s="16"/>
      <c r="M825" s="14"/>
    </row>
    <row r="826">
      <c r="A826" s="16" t="str">
        <f>IFERROR(__xludf.DUMMYFUNCTION("""COMPUTED_VALUE"""),"ALASSANE TAWEY AWALOU")</f>
        <v>ALASSANE TAWEY AWALOU</v>
      </c>
      <c r="B826" s="16"/>
      <c r="C826" s="14"/>
      <c r="F826" s="16" t="str">
        <f>IFERROR(__xludf.DUMMYFUNCTION("""COMPUTED_VALUE"""),"Bouloum")</f>
        <v>Bouloum</v>
      </c>
      <c r="G826" s="16"/>
      <c r="H826" s="14"/>
      <c r="K826" s="16">
        <f>IFERROR(__xludf.DUMMYFUNCTION("""COMPUTED_VALUE"""),454.0)</f>
        <v>454</v>
      </c>
      <c r="L826" s="16"/>
      <c r="M826" s="14"/>
    </row>
    <row r="827">
      <c r="A827" s="16" t="str">
        <f>IFERROR(__xludf.DUMMYFUNCTION("""COMPUTED_VALUE"""),"ALASSANE TAWEY AWALOU")</f>
        <v>ALASSANE TAWEY AWALOU</v>
      </c>
      <c r="B827" s="16"/>
      <c r="C827" s="14"/>
      <c r="F827" s="16" t="str">
        <f>IFERROR(__xludf.DUMMYFUNCTION("""COMPUTED_VALUE"""),"Bouloum")</f>
        <v>Bouloum</v>
      </c>
      <c r="G827" s="16"/>
      <c r="H827" s="14"/>
      <c r="K827" s="16">
        <f>IFERROR(__xludf.DUMMYFUNCTION("""COMPUTED_VALUE"""),445.0)</f>
        <v>445</v>
      </c>
      <c r="L827" s="16"/>
      <c r="M827" s="14"/>
    </row>
    <row r="828">
      <c r="A828" s="16" t="str">
        <f>IFERROR(__xludf.DUMMYFUNCTION("""COMPUTED_VALUE"""),"Ibrahim Dan Habou Larwana")</f>
        <v>Ibrahim Dan Habou Larwana</v>
      </c>
      <c r="B828" s="16"/>
      <c r="C828" s="14"/>
      <c r="F828" s="16" t="str">
        <f>IFERROR(__xludf.DUMMYFUNCTION("""COMPUTED_VALUE"""),"Babaranga Yama")</f>
        <v>Babaranga Yama</v>
      </c>
      <c r="G828" s="16"/>
      <c r="H828" s="14"/>
      <c r="K828" s="16">
        <f>IFERROR(__xludf.DUMMYFUNCTION("""COMPUTED_VALUE"""),597.0)</f>
        <v>597</v>
      </c>
      <c r="L828" s="16"/>
      <c r="M828" s="14"/>
    </row>
    <row r="829">
      <c r="A829" s="16" t="str">
        <f>IFERROR(__xludf.DUMMYFUNCTION("""COMPUTED_VALUE"""),"Ibrahim Dan Habou Larwana")</f>
        <v>Ibrahim Dan Habou Larwana</v>
      </c>
      <c r="B829" s="16"/>
      <c r="C829" s="14"/>
      <c r="F829" s="16" t="str">
        <f>IFERROR(__xludf.DUMMYFUNCTION("""COMPUTED_VALUE"""),"Babaranga Yama")</f>
        <v>Babaranga Yama</v>
      </c>
      <c r="G829" s="16"/>
      <c r="H829" s="14"/>
      <c r="K829" s="16">
        <f>IFERROR(__xludf.DUMMYFUNCTION("""COMPUTED_VALUE"""),524.0)</f>
        <v>524</v>
      </c>
      <c r="L829" s="16"/>
      <c r="M829" s="14"/>
    </row>
    <row r="830">
      <c r="A830" s="16" t="str">
        <f>IFERROR(__xludf.DUMMYFUNCTION("""COMPUTED_VALUE"""),"Hachimou Rabiou Mamoudou")</f>
        <v>Hachimou Rabiou Mamoudou</v>
      </c>
      <c r="B830" s="16"/>
      <c r="C830" s="14"/>
      <c r="F830" s="16" t="str">
        <f>IFERROR(__xludf.DUMMYFUNCTION("""COMPUTED_VALUE"""),"Alléla Kougouptché")</f>
        <v>Alléla Kougouptché</v>
      </c>
      <c r="G830" s="16"/>
      <c r="H830" s="14"/>
      <c r="K830" s="16">
        <f>IFERROR(__xludf.DUMMYFUNCTION("""COMPUTED_VALUE"""),1098.0)</f>
        <v>1098</v>
      </c>
      <c r="L830" s="16"/>
      <c r="M830" s="14"/>
    </row>
    <row r="831">
      <c r="A831" s="16" t="str">
        <f>IFERROR(__xludf.DUMMYFUNCTION("""COMPUTED_VALUE"""),"Hachimou Rabiou Mamoudou")</f>
        <v>Hachimou Rabiou Mamoudou</v>
      </c>
      <c r="B831" s="16"/>
      <c r="C831" s="14"/>
      <c r="F831" s="16" t="str">
        <f>IFERROR(__xludf.DUMMYFUNCTION("""COMPUTED_VALUE"""),"Alléla Kougouptché")</f>
        <v>Alléla Kougouptché</v>
      </c>
      <c r="G831" s="16"/>
      <c r="H831" s="14"/>
      <c r="K831" s="16">
        <f>IFERROR(__xludf.DUMMYFUNCTION("""COMPUTED_VALUE"""),529.0)</f>
        <v>529</v>
      </c>
      <c r="L831" s="16"/>
      <c r="M831" s="14"/>
    </row>
    <row r="832">
      <c r="A832" s="16" t="str">
        <f>IFERROR(__xludf.DUMMYFUNCTION("""COMPUTED_VALUE"""),"Hachimou Rabiou Mamoudou")</f>
        <v>Hachimou Rabiou Mamoudou</v>
      </c>
      <c r="B832" s="16"/>
      <c r="C832" s="14"/>
      <c r="F832" s="16" t="str">
        <f>IFERROR(__xludf.DUMMYFUNCTION("""COMPUTED_VALUE"""),"Alléla Kougouptché")</f>
        <v>Alléla Kougouptché</v>
      </c>
      <c r="G832" s="16"/>
      <c r="H832" s="14"/>
      <c r="K832" s="16">
        <f>IFERROR(__xludf.DUMMYFUNCTION("""COMPUTED_VALUE"""),355.0)</f>
        <v>355</v>
      </c>
      <c r="L832" s="16"/>
      <c r="M832" s="14"/>
    </row>
    <row r="833">
      <c r="A833" s="16" t="str">
        <f>IFERROR(__xludf.DUMMYFUNCTION("""COMPUTED_VALUE"""),"Hachimou Rabiou Mamoudou")</f>
        <v>Hachimou Rabiou Mamoudou</v>
      </c>
      <c r="B833" s="16"/>
      <c r="C833" s="14"/>
      <c r="F833" s="16" t="str">
        <f>IFERROR(__xludf.DUMMYFUNCTION("""COMPUTED_VALUE"""),"Alléla Kougouptché")</f>
        <v>Alléla Kougouptché</v>
      </c>
      <c r="G833" s="16"/>
      <c r="H833" s="14"/>
      <c r="K833" s="16">
        <f>IFERROR(__xludf.DUMMYFUNCTION("""COMPUTED_VALUE"""),377.0)</f>
        <v>377</v>
      </c>
      <c r="L833" s="16"/>
      <c r="M833" s="14"/>
    </row>
    <row r="834">
      <c r="A834" s="16" t="str">
        <f>IFERROR(__xludf.DUMMYFUNCTION("""COMPUTED_VALUE"""),"Kimba Issa Mamoudou")</f>
        <v>Kimba Issa Mamoudou</v>
      </c>
      <c r="B834" s="16"/>
      <c r="C834" s="14"/>
      <c r="F834" s="16" t="str">
        <f>IFERROR(__xludf.DUMMYFUNCTION("""COMPUTED_VALUE"""),"Bouloum")</f>
        <v>Bouloum</v>
      </c>
      <c r="G834" s="16"/>
      <c r="H834" s="14"/>
      <c r="K834" s="16">
        <f>IFERROR(__xludf.DUMMYFUNCTION("""COMPUTED_VALUE"""),353.0)</f>
        <v>353</v>
      </c>
      <c r="L834" s="16"/>
      <c r="M834" s="14"/>
    </row>
    <row r="835">
      <c r="A835" s="16" t="str">
        <f>IFERROR(__xludf.DUMMYFUNCTION("""COMPUTED_VALUE"""),"Kimba Issa Mamoudou")</f>
        <v>Kimba Issa Mamoudou</v>
      </c>
      <c r="B835" s="16"/>
      <c r="C835" s="14"/>
      <c r="F835" s="16" t="str">
        <f>IFERROR(__xludf.DUMMYFUNCTION("""COMPUTED_VALUE"""),"Bakin Dabagi Ilbakan")</f>
        <v>Bakin Dabagi Ilbakan</v>
      </c>
      <c r="G835" s="16"/>
      <c r="H835" s="14"/>
      <c r="K835" s="16">
        <f>IFERROR(__xludf.DUMMYFUNCTION("""COMPUTED_VALUE"""),1795.0)</f>
        <v>1795</v>
      </c>
      <c r="L835" s="16"/>
      <c r="M835" s="14"/>
    </row>
    <row r="836">
      <c r="A836" s="16" t="str">
        <f>IFERROR(__xludf.DUMMYFUNCTION("""COMPUTED_VALUE"""),"Kimba Issa Mamoudou")</f>
        <v>Kimba Issa Mamoudou</v>
      </c>
      <c r="B836" s="16"/>
      <c r="C836" s="14"/>
      <c r="F836" s="16" t="str">
        <f>IFERROR(__xludf.DUMMYFUNCTION("""COMPUTED_VALUE"""),"Bakin Dabagi Ilbakan")</f>
        <v>Bakin Dabagi Ilbakan</v>
      </c>
      <c r="G836" s="16"/>
      <c r="H836" s="14"/>
      <c r="K836" s="16">
        <f>IFERROR(__xludf.DUMMYFUNCTION("""COMPUTED_VALUE"""),415.0)</f>
        <v>415</v>
      </c>
      <c r="L836" s="16"/>
      <c r="M836" s="14"/>
    </row>
    <row r="837">
      <c r="A837" s="16" t="str">
        <f>IFERROR(__xludf.DUMMYFUNCTION("""COMPUTED_VALUE"""),"Kimba Issa Mamoudou")</f>
        <v>Kimba Issa Mamoudou</v>
      </c>
      <c r="B837" s="16"/>
      <c r="C837" s="14"/>
      <c r="F837" s="16" t="str">
        <f>IFERROR(__xludf.DUMMYFUNCTION("""COMPUTED_VALUE"""),"Alléla Kougouptché")</f>
        <v>Alléla Kougouptché</v>
      </c>
      <c r="G837" s="16"/>
      <c r="H837" s="14"/>
      <c r="K837" s="16">
        <f>IFERROR(__xludf.DUMMYFUNCTION("""COMPUTED_VALUE"""),412.0)</f>
        <v>412</v>
      </c>
      <c r="L837" s="16"/>
      <c r="M837" s="14"/>
    </row>
    <row r="838">
      <c r="A838" s="16" t="str">
        <f>IFERROR(__xludf.DUMMYFUNCTION("""COMPUTED_VALUE"""),"Kimba Issa Mamoudou")</f>
        <v>Kimba Issa Mamoudou</v>
      </c>
      <c r="B838" s="16"/>
      <c r="C838" s="14"/>
      <c r="F838" s="16" t="str">
        <f>IFERROR(__xludf.DUMMYFUNCTION("""COMPUTED_VALUE"""),"Babaranga Yama")</f>
        <v>Babaranga Yama</v>
      </c>
      <c r="G838" s="16"/>
      <c r="H838" s="14"/>
      <c r="K838" s="16">
        <f>IFERROR(__xludf.DUMMYFUNCTION("""COMPUTED_VALUE"""),742.0)</f>
        <v>742</v>
      </c>
      <c r="L838" s="16"/>
      <c r="M838" s="14"/>
    </row>
    <row r="839">
      <c r="A839" s="16" t="str">
        <f>IFERROR(__xludf.DUMMYFUNCTION("""COMPUTED_VALUE"""),"Moussa Ide Ibrahim")</f>
        <v>Moussa Ide Ibrahim</v>
      </c>
      <c r="B839" s="16"/>
      <c r="C839" s="14"/>
      <c r="F839" s="16" t="str">
        <f>IFERROR(__xludf.DUMMYFUNCTION("""COMPUTED_VALUE"""),"Babaranga Yama")</f>
        <v>Babaranga Yama</v>
      </c>
      <c r="G839" s="16"/>
      <c r="H839" s="14"/>
      <c r="K839" s="16">
        <f>IFERROR(__xludf.DUMMYFUNCTION("""COMPUTED_VALUE"""),581.0)</f>
        <v>581</v>
      </c>
      <c r="L839" s="16"/>
      <c r="M839" s="14"/>
    </row>
    <row r="840">
      <c r="A840" s="16" t="str">
        <f>IFERROR(__xludf.DUMMYFUNCTION("""COMPUTED_VALUE"""),"Moussa Ide Ibrahim")</f>
        <v>Moussa Ide Ibrahim</v>
      </c>
      <c r="B840" s="16"/>
      <c r="C840" s="14"/>
      <c r="F840" s="16" t="str">
        <f>IFERROR(__xludf.DUMMYFUNCTION("""COMPUTED_VALUE"""),"Agoulmaoua")</f>
        <v>Agoulmaoua</v>
      </c>
      <c r="G840" s="16"/>
      <c r="H840" s="14"/>
      <c r="K840" s="16">
        <f>IFERROR(__xludf.DUMMYFUNCTION("""COMPUTED_VALUE"""),1706.0)</f>
        <v>1706</v>
      </c>
      <c r="L840" s="16"/>
      <c r="M840" s="14"/>
    </row>
    <row r="841">
      <c r="A841" s="16" t="str">
        <f>IFERROR(__xludf.DUMMYFUNCTION("""COMPUTED_VALUE"""),"Moussa Ide Ibrahim")</f>
        <v>Moussa Ide Ibrahim</v>
      </c>
      <c r="B841" s="16"/>
      <c r="C841" s="14"/>
      <c r="F841" s="16" t="str">
        <f>IFERROR(__xludf.DUMMYFUNCTION("""COMPUTED_VALUE"""),"Agoulmaoua")</f>
        <v>Agoulmaoua</v>
      </c>
      <c r="G841" s="16"/>
      <c r="H841" s="14"/>
      <c r="K841" s="16">
        <f>IFERROR(__xludf.DUMMYFUNCTION("""COMPUTED_VALUE"""),938.0)</f>
        <v>938</v>
      </c>
      <c r="L841" s="16"/>
      <c r="M841" s="14"/>
    </row>
    <row r="842">
      <c r="A842" s="16" t="str">
        <f>IFERROR(__xludf.DUMMYFUNCTION("""COMPUTED_VALUE"""),"Moussa Ide Ibrahim")</f>
        <v>Moussa Ide Ibrahim</v>
      </c>
      <c r="B842" s="16"/>
      <c r="C842" s="14"/>
      <c r="F842" s="16" t="str">
        <f>IFERROR(__xludf.DUMMYFUNCTION("""COMPUTED_VALUE"""),"Agoulmaoua")</f>
        <v>Agoulmaoua</v>
      </c>
      <c r="G842" s="16"/>
      <c r="H842" s="14"/>
      <c r="K842" s="16">
        <f>IFERROR(__xludf.DUMMYFUNCTION("""COMPUTED_VALUE"""),1806.0)</f>
        <v>1806</v>
      </c>
      <c r="L842" s="16"/>
      <c r="M842" s="14"/>
    </row>
    <row r="843">
      <c r="A843" s="16" t="str">
        <f>IFERROR(__xludf.DUMMYFUNCTION("""COMPUTED_VALUE"""),"Ouhoumoudou Djannou Ibrahim")</f>
        <v>Ouhoumoudou Djannou Ibrahim</v>
      </c>
      <c r="B843" s="16"/>
      <c r="C843" s="14"/>
      <c r="F843" s="16" t="str">
        <f>IFERROR(__xludf.DUMMYFUNCTION("""COMPUTED_VALUE"""),"Adernaguatt")</f>
        <v>Adernaguatt</v>
      </c>
      <c r="G843" s="16"/>
      <c r="H843" s="14"/>
      <c r="K843" s="16">
        <f>IFERROR(__xludf.DUMMYFUNCTION("""COMPUTED_VALUE"""),1595.0)</f>
        <v>1595</v>
      </c>
      <c r="L843" s="16"/>
      <c r="M843" s="14"/>
    </row>
    <row r="844">
      <c r="A844" s="16" t="str">
        <f>IFERROR(__xludf.DUMMYFUNCTION("""COMPUTED_VALUE"""),"Ouhoumoudou Djannou Ibrahim")</f>
        <v>Ouhoumoudou Djannou Ibrahim</v>
      </c>
      <c r="B844" s="16"/>
      <c r="C844" s="14"/>
      <c r="F844" s="16" t="str">
        <f>IFERROR(__xludf.DUMMYFUNCTION("""COMPUTED_VALUE"""),"Adernaguatt")</f>
        <v>Adernaguatt</v>
      </c>
      <c r="G844" s="16"/>
      <c r="H844" s="14"/>
      <c r="K844" s="16">
        <f>IFERROR(__xludf.DUMMYFUNCTION("""COMPUTED_VALUE"""),1473.0)</f>
        <v>1473</v>
      </c>
      <c r="L844" s="16"/>
      <c r="M844" s="14"/>
    </row>
    <row r="845">
      <c r="A845" s="16" t="str">
        <f>IFERROR(__xludf.DUMMYFUNCTION("""COMPUTED_VALUE"""),"Ouhoumoudou Djannou Ibrahim")</f>
        <v>Ouhoumoudou Djannou Ibrahim</v>
      </c>
      <c r="B845" s="16"/>
      <c r="C845" s="14"/>
      <c r="F845" s="16" t="str">
        <f>IFERROR(__xludf.DUMMYFUNCTION("""COMPUTED_VALUE"""),"Agoulmaoua")</f>
        <v>Agoulmaoua</v>
      </c>
      <c r="G845" s="16"/>
      <c r="H845" s="14"/>
      <c r="K845" s="16">
        <f>IFERROR(__xludf.DUMMYFUNCTION("""COMPUTED_VALUE"""),818.0)</f>
        <v>818</v>
      </c>
      <c r="L845" s="16"/>
      <c r="M845" s="14"/>
    </row>
    <row r="846">
      <c r="A846" s="16" t="str">
        <f>IFERROR(__xludf.DUMMYFUNCTION("""COMPUTED_VALUE"""),"Ouhoumoudou Djannou Ibrahim")</f>
        <v>Ouhoumoudou Djannou Ibrahim</v>
      </c>
      <c r="B846" s="16"/>
      <c r="C846" s="14"/>
      <c r="F846" s="16" t="str">
        <f>IFERROR(__xludf.DUMMYFUNCTION("""COMPUTED_VALUE"""),"Agoulmaoua")</f>
        <v>Agoulmaoua</v>
      </c>
      <c r="G846" s="16"/>
      <c r="H846" s="14"/>
      <c r="K846" s="16">
        <f>IFERROR(__xludf.DUMMYFUNCTION("""COMPUTED_VALUE"""),2131.0)</f>
        <v>2131</v>
      </c>
      <c r="L846" s="16"/>
      <c r="M846" s="14"/>
    </row>
    <row r="847">
      <c r="A847" s="16" t="str">
        <f>IFERROR(__xludf.DUMMYFUNCTION("""COMPUTED_VALUE"""),"Ouhoumoudou Djannou Ibrahim")</f>
        <v>Ouhoumoudou Djannou Ibrahim</v>
      </c>
      <c r="B847" s="16"/>
      <c r="C847" s="14"/>
      <c r="F847" s="16" t="str">
        <f>IFERROR(__xludf.DUMMYFUNCTION("""COMPUTED_VALUE"""),"Agoulmaoua")</f>
        <v>Agoulmaoua</v>
      </c>
      <c r="G847" s="16"/>
      <c r="H847" s="14"/>
      <c r="K847" s="16">
        <f>IFERROR(__xludf.DUMMYFUNCTION("""COMPUTED_VALUE"""),712.0)</f>
        <v>712</v>
      </c>
      <c r="L847" s="16"/>
      <c r="M847" s="14"/>
    </row>
    <row r="848">
      <c r="A848" s="16" t="str">
        <f>IFERROR(__xludf.DUMMYFUNCTION("""COMPUTED_VALUE"""),"Ouhoumoudou Djannou Ibrahim")</f>
        <v>Ouhoumoudou Djannou Ibrahim</v>
      </c>
      <c r="B848" s="16"/>
      <c r="C848" s="14"/>
      <c r="F848" s="16" t="str">
        <f>IFERROR(__xludf.DUMMYFUNCTION("""COMPUTED_VALUE"""),"Adernaguatt")</f>
        <v>Adernaguatt</v>
      </c>
      <c r="G848" s="16"/>
      <c r="H848" s="14"/>
      <c r="K848" s="16">
        <f>IFERROR(__xludf.DUMMYFUNCTION("""COMPUTED_VALUE"""),695.0)</f>
        <v>695</v>
      </c>
      <c r="L848" s="16"/>
      <c r="M848" s="14"/>
    </row>
    <row r="849">
      <c r="A849" s="16" t="str">
        <f>IFERROR(__xludf.DUMMYFUNCTION("""COMPUTED_VALUE"""),"Adamou Halidou Daouda")</f>
        <v>Adamou Halidou Daouda</v>
      </c>
      <c r="B849" s="16"/>
      <c r="C849" s="14"/>
      <c r="F849" s="16" t="str">
        <f>IFERROR(__xludf.DUMMYFUNCTION("""COMPUTED_VALUE"""),"Adernaguatt")</f>
        <v>Adernaguatt</v>
      </c>
      <c r="G849" s="16"/>
      <c r="H849" s="14"/>
      <c r="K849" s="16">
        <f>IFERROR(__xludf.DUMMYFUNCTION("""COMPUTED_VALUE"""),752.0)</f>
        <v>752</v>
      </c>
      <c r="L849" s="16"/>
      <c r="M849" s="14"/>
    </row>
    <row r="850">
      <c r="A850" s="16" t="str">
        <f>IFERROR(__xludf.DUMMYFUNCTION("""COMPUTED_VALUE"""),"Adamou Halidou Daouda")</f>
        <v>Adamou Halidou Daouda</v>
      </c>
      <c r="B850" s="16"/>
      <c r="C850" s="14"/>
      <c r="F850" s="16" t="str">
        <f>IFERROR(__xludf.DUMMYFUNCTION("""COMPUTED_VALUE"""),"Adernaguatt")</f>
        <v>Adernaguatt</v>
      </c>
      <c r="G850" s="16"/>
      <c r="H850" s="14"/>
      <c r="K850" s="16">
        <f>IFERROR(__xludf.DUMMYFUNCTION("""COMPUTED_VALUE"""),1336.0)</f>
        <v>1336</v>
      </c>
      <c r="L850" s="16"/>
      <c r="M850" s="14"/>
    </row>
    <row r="851">
      <c r="A851" s="16" t="str">
        <f>IFERROR(__xludf.DUMMYFUNCTION("""COMPUTED_VALUE"""),"Adamou Halidou Daouda")</f>
        <v>Adamou Halidou Daouda</v>
      </c>
      <c r="B851" s="16"/>
      <c r="C851" s="14"/>
      <c r="F851" s="16" t="str">
        <f>IFERROR(__xludf.DUMMYFUNCTION("""COMPUTED_VALUE"""),"Adernaguatt")</f>
        <v>Adernaguatt</v>
      </c>
      <c r="G851" s="16"/>
      <c r="H851" s="14"/>
      <c r="K851" s="16">
        <f>IFERROR(__xludf.DUMMYFUNCTION("""COMPUTED_VALUE"""),1712.0)</f>
        <v>1712</v>
      </c>
      <c r="L851" s="16"/>
      <c r="M851" s="14"/>
    </row>
    <row r="852">
      <c r="A852" s="16" t="str">
        <f>IFERROR(__xludf.DUMMYFUNCTION("""COMPUTED_VALUE"""),"Achirou Malam Dan Maradi Nassirou")</f>
        <v>Achirou Malam Dan Maradi Nassirou</v>
      </c>
      <c r="B852" s="16"/>
      <c r="C852" s="14"/>
      <c r="F852" s="16" t="str">
        <f>IFERROR(__xludf.DUMMYFUNCTION("""COMPUTED_VALUE"""),"Adernaguatt")</f>
        <v>Adernaguatt</v>
      </c>
      <c r="G852" s="16"/>
      <c r="H852" s="14"/>
      <c r="K852" s="16">
        <f>IFERROR(__xludf.DUMMYFUNCTION("""COMPUTED_VALUE"""),353.0)</f>
        <v>353</v>
      </c>
      <c r="L852" s="16"/>
      <c r="M852" s="14"/>
    </row>
    <row r="853">
      <c r="A853" s="16" t="str">
        <f>IFERROR(__xludf.DUMMYFUNCTION("""COMPUTED_VALUE"""),"Achirou Malam Dan Maradi Nassirou")</f>
        <v>Achirou Malam Dan Maradi Nassirou</v>
      </c>
      <c r="B853" s="16"/>
      <c r="C853" s="14"/>
      <c r="F853" s="16" t="str">
        <f>IFERROR(__xludf.DUMMYFUNCTION("""COMPUTED_VALUE"""),"Adernaguatt")</f>
        <v>Adernaguatt</v>
      </c>
      <c r="G853" s="16"/>
      <c r="H853" s="14"/>
      <c r="K853" s="16">
        <f>IFERROR(__xludf.DUMMYFUNCTION("""COMPUTED_VALUE"""),513.0)</f>
        <v>513</v>
      </c>
      <c r="L853" s="16"/>
      <c r="M853" s="14"/>
    </row>
    <row r="854">
      <c r="A854" s="16" t="str">
        <f>IFERROR(__xludf.DUMMYFUNCTION("""COMPUTED_VALUE"""),"Achirou Malam Dan Maradi Nassirou")</f>
        <v>Achirou Malam Dan Maradi Nassirou</v>
      </c>
      <c r="B854" s="16"/>
      <c r="C854" s="14"/>
      <c r="F854" s="16" t="str">
        <f>IFERROR(__xludf.DUMMYFUNCTION("""COMPUTED_VALUE"""),"Adernaguatt")</f>
        <v>Adernaguatt</v>
      </c>
      <c r="G854" s="16"/>
      <c r="H854" s="14"/>
      <c r="K854" s="16">
        <f>IFERROR(__xludf.DUMMYFUNCTION("""COMPUTED_VALUE"""),1644.0)</f>
        <v>1644</v>
      </c>
      <c r="L854" s="16"/>
      <c r="M854" s="14"/>
    </row>
    <row r="855">
      <c r="A855" s="16" t="str">
        <f>IFERROR(__xludf.DUMMYFUNCTION("""COMPUTED_VALUE"""),"Achirou Malam Dan Maradi Nassirou")</f>
        <v>Achirou Malam Dan Maradi Nassirou</v>
      </c>
      <c r="B855" s="16"/>
      <c r="C855" s="14"/>
      <c r="F855" s="16" t="str">
        <f>IFERROR(__xludf.DUMMYFUNCTION("""COMPUTED_VALUE"""),"Adernaguatt")</f>
        <v>Adernaguatt</v>
      </c>
      <c r="G855" s="16"/>
      <c r="H855" s="14"/>
      <c r="K855" s="16">
        <f>IFERROR(__xludf.DUMMYFUNCTION("""COMPUTED_VALUE"""),989.0)</f>
        <v>989</v>
      </c>
      <c r="L855" s="16"/>
      <c r="M855" s="14"/>
    </row>
    <row r="856">
      <c r="A856" s="16" t="str">
        <f>IFERROR(__xludf.DUMMYFUNCTION("""COMPUTED_VALUE"""),"Mohamed Cherif")</f>
        <v>Mohamed Cherif</v>
      </c>
      <c r="B856" s="16"/>
      <c r="C856" s="14"/>
      <c r="F856" s="16" t="str">
        <f>IFERROR(__xludf.DUMMYFUNCTION("""COMPUTED_VALUE"""),"Etaré")</f>
        <v>Etaré</v>
      </c>
      <c r="G856" s="16"/>
      <c r="H856" s="14"/>
      <c r="K856" s="16">
        <f>IFERROR(__xludf.DUMMYFUNCTION("""COMPUTED_VALUE"""),503.0)</f>
        <v>503</v>
      </c>
      <c r="L856" s="16"/>
      <c r="M856" s="14"/>
    </row>
    <row r="857">
      <c r="A857" s="16" t="str">
        <f>IFERROR(__xludf.DUMMYFUNCTION("""COMPUTED_VALUE"""),"Mohamed Cherif")</f>
        <v>Mohamed Cherif</v>
      </c>
      <c r="B857" s="16"/>
      <c r="C857" s="14"/>
      <c r="F857" s="16" t="str">
        <f>IFERROR(__xludf.DUMMYFUNCTION("""COMPUTED_VALUE"""),"Etaré")</f>
        <v>Etaré</v>
      </c>
      <c r="G857" s="16"/>
      <c r="H857" s="14"/>
      <c r="K857" s="16">
        <f>IFERROR(__xludf.DUMMYFUNCTION("""COMPUTED_VALUE"""),568.0)</f>
        <v>568</v>
      </c>
      <c r="L857" s="16"/>
      <c r="M857" s="14"/>
    </row>
    <row r="858">
      <c r="A858" s="16" t="str">
        <f>IFERROR(__xludf.DUMMYFUNCTION("""COMPUTED_VALUE"""),"Mohamed Cherif")</f>
        <v>Mohamed Cherif</v>
      </c>
      <c r="B858" s="16"/>
      <c r="C858" s="14"/>
      <c r="F858" s="16" t="str">
        <f>IFERROR(__xludf.DUMMYFUNCTION("""COMPUTED_VALUE"""),"Etaré")</f>
        <v>Etaré</v>
      </c>
      <c r="G858" s="16"/>
      <c r="H858" s="14"/>
      <c r="K858" s="16">
        <f>IFERROR(__xludf.DUMMYFUNCTION("""COMPUTED_VALUE"""),1299.0)</f>
        <v>1299</v>
      </c>
      <c r="L858" s="16"/>
      <c r="M858" s="14"/>
    </row>
    <row r="859">
      <c r="A859" s="16" t="str">
        <f>IFERROR(__xludf.DUMMYFUNCTION("""COMPUTED_VALUE"""),"Mohamed Cherif")</f>
        <v>Mohamed Cherif</v>
      </c>
      <c r="B859" s="16"/>
      <c r="C859" s="14"/>
      <c r="F859" s="16" t="str">
        <f>IFERROR(__xludf.DUMMYFUNCTION("""COMPUTED_VALUE"""),"Etaré")</f>
        <v>Etaré</v>
      </c>
      <c r="G859" s="16"/>
      <c r="H859" s="14"/>
      <c r="K859" s="16">
        <f>IFERROR(__xludf.DUMMYFUNCTION("""COMPUTED_VALUE"""),1812.0)</f>
        <v>1812</v>
      </c>
      <c r="L859" s="16"/>
      <c r="M859" s="14"/>
    </row>
    <row r="860">
      <c r="A860" s="16" t="str">
        <f>IFERROR(__xludf.DUMMYFUNCTION("""COMPUTED_VALUE"""),"Mohamed Cherif")</f>
        <v>Mohamed Cherif</v>
      </c>
      <c r="B860" s="16"/>
      <c r="C860" s="14"/>
      <c r="F860" s="16" t="str">
        <f>IFERROR(__xludf.DUMMYFUNCTION("""COMPUTED_VALUE"""),"Etaré")</f>
        <v>Etaré</v>
      </c>
      <c r="G860" s="16"/>
      <c r="H860" s="14"/>
      <c r="K860" s="16">
        <f>IFERROR(__xludf.DUMMYFUNCTION("""COMPUTED_VALUE"""),823.0)</f>
        <v>823</v>
      </c>
      <c r="L860" s="16"/>
      <c r="M860" s="14"/>
    </row>
    <row r="861">
      <c r="A861" s="16" t="str">
        <f>IFERROR(__xludf.DUMMYFUNCTION("""COMPUTED_VALUE"""),"Aboubacar Hamadou Manga")</f>
        <v>Aboubacar Hamadou Manga</v>
      </c>
      <c r="B861" s="16"/>
      <c r="C861" s="14"/>
      <c r="F861" s="16" t="str">
        <f>IFERROR(__xludf.DUMMYFUNCTION("""COMPUTED_VALUE"""),"Etaré")</f>
        <v>Etaré</v>
      </c>
      <c r="G861" s="16"/>
      <c r="H861" s="14"/>
      <c r="K861" s="16">
        <f>IFERROR(__xludf.DUMMYFUNCTION("""COMPUTED_VALUE"""),848.0)</f>
        <v>848</v>
      </c>
      <c r="L861" s="16"/>
      <c r="M861" s="14"/>
    </row>
    <row r="862">
      <c r="A862" s="16" t="str">
        <f>IFERROR(__xludf.DUMMYFUNCTION("""COMPUTED_VALUE"""),"Aboubacar Hamadou Manga")</f>
        <v>Aboubacar Hamadou Manga</v>
      </c>
      <c r="B862" s="16"/>
      <c r="C862" s="14"/>
      <c r="F862" s="16" t="str">
        <f>IFERROR(__xludf.DUMMYFUNCTION("""COMPUTED_VALUE"""),"Etaré")</f>
        <v>Etaré</v>
      </c>
      <c r="G862" s="16"/>
      <c r="H862" s="14"/>
      <c r="K862" s="16">
        <f>IFERROR(__xludf.DUMMYFUNCTION("""COMPUTED_VALUE"""),1526.0)</f>
        <v>1526</v>
      </c>
      <c r="L862" s="16"/>
      <c r="M862" s="14"/>
    </row>
    <row r="863">
      <c r="A863" s="16" t="str">
        <f>IFERROR(__xludf.DUMMYFUNCTION("""COMPUTED_VALUE"""),"Aboubacar Hamadou Manga")</f>
        <v>Aboubacar Hamadou Manga</v>
      </c>
      <c r="B863" s="16"/>
      <c r="C863" s="14"/>
      <c r="F863" s="16" t="str">
        <f>IFERROR(__xludf.DUMMYFUNCTION("""COMPUTED_VALUE"""),"Adernaguatt")</f>
        <v>Adernaguatt</v>
      </c>
      <c r="G863" s="16"/>
      <c r="H863" s="14"/>
      <c r="K863" s="16">
        <f>IFERROR(__xludf.DUMMYFUNCTION("""COMPUTED_VALUE"""),684.0)</f>
        <v>684</v>
      </c>
      <c r="L863" s="16"/>
      <c r="M863" s="14"/>
    </row>
    <row r="864">
      <c r="A864" s="16" t="str">
        <f>IFERROR(__xludf.DUMMYFUNCTION("""COMPUTED_VALUE"""),"Maman Ado Abdourahamane")</f>
        <v>Maman Ado Abdourahamane</v>
      </c>
      <c r="B864" s="16"/>
      <c r="C864" s="14"/>
      <c r="F864" s="16" t="str">
        <f>IFERROR(__xludf.DUMMYFUNCTION("""COMPUTED_VALUE"""),"Adernaguatt")</f>
        <v>Adernaguatt</v>
      </c>
      <c r="G864" s="16"/>
      <c r="H864" s="14"/>
      <c r="K864" s="16">
        <f>IFERROR(__xludf.DUMMYFUNCTION("""COMPUTED_VALUE"""),345.0)</f>
        <v>345</v>
      </c>
      <c r="L864" s="16"/>
      <c r="M864" s="14"/>
    </row>
    <row r="865">
      <c r="A865" s="16" t="str">
        <f>IFERROR(__xludf.DUMMYFUNCTION("""COMPUTED_VALUE"""),"Maman Ado Abdourahamane")</f>
        <v>Maman Ado Abdourahamane</v>
      </c>
      <c r="B865" s="16"/>
      <c r="C865" s="14"/>
      <c r="F865" s="16" t="str">
        <f>IFERROR(__xludf.DUMMYFUNCTION("""COMPUTED_VALUE"""),"Adernaguatt")</f>
        <v>Adernaguatt</v>
      </c>
      <c r="G865" s="16"/>
      <c r="H865" s="14"/>
      <c r="K865" s="16">
        <f>IFERROR(__xludf.DUMMYFUNCTION("""COMPUTED_VALUE"""),2417.0)</f>
        <v>2417</v>
      </c>
      <c r="L865" s="16"/>
      <c r="M865" s="14"/>
    </row>
    <row r="866">
      <c r="A866" s="16" t="str">
        <f>IFERROR(__xludf.DUMMYFUNCTION("""COMPUTED_VALUE"""),"Maman Ado Abdourahamane")</f>
        <v>Maman Ado Abdourahamane</v>
      </c>
      <c r="B866" s="16"/>
      <c r="C866" s="14"/>
      <c r="F866" s="16" t="str">
        <f>IFERROR(__xludf.DUMMYFUNCTION("""COMPUTED_VALUE"""),"Adernaguatt")</f>
        <v>Adernaguatt</v>
      </c>
      <c r="G866" s="16"/>
      <c r="H866" s="14"/>
      <c r="K866" s="16">
        <f>IFERROR(__xludf.DUMMYFUNCTION("""COMPUTED_VALUE"""),1775.0)</f>
        <v>1775</v>
      </c>
      <c r="L866" s="16"/>
      <c r="M866" s="14"/>
    </row>
    <row r="867">
      <c r="A867" s="16" t="str">
        <f>IFERROR(__xludf.DUMMYFUNCTION("""COMPUTED_VALUE"""),"Hamissou Moussa Nana Mariama")</f>
        <v>Hamissou Moussa Nana Mariama</v>
      </c>
      <c r="B867" s="16"/>
      <c r="C867" s="14"/>
      <c r="F867" s="16" t="str">
        <f>IFERROR(__xludf.DUMMYFUNCTION("""COMPUTED_VALUE"""),"Adernaguatt")</f>
        <v>Adernaguatt</v>
      </c>
      <c r="G867" s="16"/>
      <c r="H867" s="14"/>
      <c r="K867" s="16">
        <f>IFERROR(__xludf.DUMMYFUNCTION("""COMPUTED_VALUE"""),1618.0)</f>
        <v>1618</v>
      </c>
      <c r="L867" s="16"/>
      <c r="M867" s="14"/>
    </row>
    <row r="868">
      <c r="A868" s="16" t="str">
        <f>IFERROR(__xludf.DUMMYFUNCTION("""COMPUTED_VALUE"""),"Elhaji Abdou Leilata")</f>
        <v>Elhaji Abdou Leilata</v>
      </c>
      <c r="B868" s="16"/>
      <c r="C868" s="14"/>
      <c r="F868" s="16" t="str">
        <f>IFERROR(__xludf.DUMMYFUNCTION("""COMPUTED_VALUE"""),"Adernaguatt")</f>
        <v>Adernaguatt</v>
      </c>
      <c r="G868" s="16"/>
      <c r="H868" s="14"/>
      <c r="K868" s="16">
        <f>IFERROR(__xludf.DUMMYFUNCTION("""COMPUTED_VALUE"""),1115.0)</f>
        <v>1115</v>
      </c>
      <c r="L868" s="16"/>
      <c r="M868" s="14"/>
    </row>
    <row r="869">
      <c r="A869" s="16" t="str">
        <f>IFERROR(__xludf.DUMMYFUNCTION("""COMPUTED_VALUE"""),"Elhaji Abdou Leilata")</f>
        <v>Elhaji Abdou Leilata</v>
      </c>
      <c r="B869" s="16"/>
      <c r="C869" s="14"/>
      <c r="F869" s="16" t="str">
        <f>IFERROR(__xludf.DUMMYFUNCTION("""COMPUTED_VALUE"""),"Adernaguatt")</f>
        <v>Adernaguatt</v>
      </c>
      <c r="G869" s="16"/>
      <c r="H869" s="14"/>
      <c r="K869" s="16">
        <f>IFERROR(__xludf.DUMMYFUNCTION("""COMPUTED_VALUE"""),1046.0)</f>
        <v>1046</v>
      </c>
      <c r="L869" s="16"/>
      <c r="M869" s="14"/>
    </row>
    <row r="870">
      <c r="A870" s="16" t="str">
        <f>IFERROR(__xludf.DUMMYFUNCTION("""COMPUTED_VALUE"""),"Aicha Noma")</f>
        <v>Aicha Noma</v>
      </c>
      <c r="B870" s="16"/>
      <c r="C870" s="14"/>
      <c r="F870" s="16" t="str">
        <f>IFERROR(__xludf.DUMMYFUNCTION("""COMPUTED_VALUE"""),"Adernaguatt")</f>
        <v>Adernaguatt</v>
      </c>
      <c r="G870" s="16"/>
      <c r="H870" s="14"/>
      <c r="K870" s="16">
        <f>IFERROR(__xludf.DUMMYFUNCTION("""COMPUTED_VALUE"""),767.0)</f>
        <v>767</v>
      </c>
      <c r="L870" s="16"/>
      <c r="M870" s="14"/>
    </row>
    <row r="871">
      <c r="A871" s="16" t="str">
        <f>IFERROR(__xludf.DUMMYFUNCTION("""COMPUTED_VALUE"""),"Abdoul Razak Mahamane Boukari")</f>
        <v>Abdoul Razak Mahamane Boukari</v>
      </c>
      <c r="B871" s="16"/>
      <c r="C871" s="14"/>
      <c r="F871" s="16" t="str">
        <f>IFERROR(__xludf.DUMMYFUNCTION("""COMPUTED_VALUE"""),"Adernaguatt")</f>
        <v>Adernaguatt</v>
      </c>
      <c r="G871" s="16"/>
      <c r="H871" s="14"/>
      <c r="K871" s="16">
        <f>IFERROR(__xludf.DUMMYFUNCTION("""COMPUTED_VALUE"""),1625.0)</f>
        <v>1625</v>
      </c>
      <c r="L871" s="16"/>
      <c r="M871" s="14"/>
    </row>
    <row r="872">
      <c r="A872" s="16" t="str">
        <f>IFERROR(__xludf.DUMMYFUNCTION("""COMPUTED_VALUE"""),"Abdoul Razak Mahamane Boukari")</f>
        <v>Abdoul Razak Mahamane Boukari</v>
      </c>
      <c r="B872" s="16"/>
      <c r="C872" s="14"/>
      <c r="F872" s="16" t="str">
        <f>IFERROR(__xludf.DUMMYFUNCTION("""COMPUTED_VALUE"""),"Koutoulou-Badabeye")</f>
        <v>Koutoulou-Badabeye</v>
      </c>
      <c r="G872" s="16"/>
      <c r="H872" s="14"/>
      <c r="K872" s="16">
        <f>IFERROR(__xludf.DUMMYFUNCTION("""COMPUTED_VALUE"""),2406.0)</f>
        <v>2406</v>
      </c>
      <c r="L872" s="16"/>
      <c r="M872" s="14"/>
    </row>
    <row r="873">
      <c r="A873" s="16" t="str">
        <f>IFERROR(__xludf.DUMMYFUNCTION("""COMPUTED_VALUE"""),"Hadiza Harouna")</f>
        <v>Hadiza Harouna</v>
      </c>
      <c r="B873" s="16"/>
      <c r="C873" s="14"/>
      <c r="F873" s="16" t="str">
        <f>IFERROR(__xludf.DUMMYFUNCTION("""COMPUTED_VALUE"""),"Koutoulou-Badabeye")</f>
        <v>Koutoulou-Badabeye</v>
      </c>
      <c r="G873" s="16"/>
      <c r="H873" s="14"/>
      <c r="K873" s="16">
        <f>IFERROR(__xludf.DUMMYFUNCTION("""COMPUTED_VALUE"""),401.0)</f>
        <v>401</v>
      </c>
      <c r="L873" s="16"/>
      <c r="M873" s="14"/>
    </row>
    <row r="874">
      <c r="A874" s="16" t="str">
        <f>IFERROR(__xludf.DUMMYFUNCTION("""COMPUTED_VALUE"""),"Abdoul Razak Mahamane Boukari")</f>
        <v>Abdoul Razak Mahamane Boukari</v>
      </c>
      <c r="B874" s="16"/>
      <c r="C874" s="14"/>
      <c r="F874" s="16" t="str">
        <f>IFERROR(__xludf.DUMMYFUNCTION("""COMPUTED_VALUE"""),"Koutoulou-Badabeye")</f>
        <v>Koutoulou-Badabeye</v>
      </c>
      <c r="G874" s="16"/>
      <c r="H874" s="14"/>
      <c r="K874" s="16">
        <f>IFERROR(__xludf.DUMMYFUNCTION("""COMPUTED_VALUE"""),762.0)</f>
        <v>762</v>
      </c>
      <c r="L874" s="16"/>
      <c r="M874" s="14"/>
    </row>
    <row r="875">
      <c r="A875" s="16" t="str">
        <f>IFERROR(__xludf.DUMMYFUNCTION("""COMPUTED_VALUE"""),"Hadiza Harouna")</f>
        <v>Hadiza Harouna</v>
      </c>
      <c r="B875" s="16"/>
      <c r="C875" s="14"/>
      <c r="F875" s="16" t="str">
        <f>IFERROR(__xludf.DUMMYFUNCTION("""COMPUTED_VALUE"""),"Toumboulana")</f>
        <v>Toumboulana</v>
      </c>
      <c r="G875" s="16"/>
      <c r="H875" s="14"/>
      <c r="K875" s="16">
        <f>IFERROR(__xludf.DUMMYFUNCTION("""COMPUTED_VALUE"""),1213.0)</f>
        <v>1213</v>
      </c>
      <c r="L875" s="16"/>
      <c r="M875" s="14"/>
    </row>
    <row r="876">
      <c r="A876" s="16" t="str">
        <f>IFERROR(__xludf.DUMMYFUNCTION("""COMPUTED_VALUE"""),"Abdoul Razak Mahamane Boukari")</f>
        <v>Abdoul Razak Mahamane Boukari</v>
      </c>
      <c r="B876" s="16"/>
      <c r="C876" s="14"/>
      <c r="F876" s="16" t="str">
        <f>IFERROR(__xludf.DUMMYFUNCTION("""COMPUTED_VALUE"""),"Toumboulana")</f>
        <v>Toumboulana</v>
      </c>
      <c r="G876" s="16"/>
      <c r="H876" s="14"/>
      <c r="K876" s="16">
        <f>IFERROR(__xludf.DUMMYFUNCTION("""COMPUTED_VALUE"""),1447.0)</f>
        <v>1447</v>
      </c>
      <c r="L876" s="16"/>
      <c r="M876" s="14"/>
    </row>
    <row r="877">
      <c r="A877" s="16" t="str">
        <f>IFERROR(__xludf.DUMMYFUNCTION("""COMPUTED_VALUE"""),"Amadou Hamidou Abdoul Karim")</f>
        <v>Amadou Hamidou Abdoul Karim</v>
      </c>
      <c r="B877" s="16"/>
      <c r="C877" s="14"/>
      <c r="F877" s="16" t="str">
        <f>IFERROR(__xludf.DUMMYFUNCTION("""COMPUTED_VALUE"""),"Toumboulana")</f>
        <v>Toumboulana</v>
      </c>
      <c r="G877" s="16"/>
      <c r="H877" s="14"/>
      <c r="K877" s="16">
        <f>IFERROR(__xludf.DUMMYFUNCTION("""COMPUTED_VALUE"""),1520.0)</f>
        <v>1520</v>
      </c>
      <c r="L877" s="16"/>
      <c r="M877" s="14"/>
    </row>
    <row r="878">
      <c r="A878" s="16" t="str">
        <f>IFERROR(__xludf.DUMMYFUNCTION("""COMPUTED_VALUE"""),"Binta Maman")</f>
        <v>Binta Maman</v>
      </c>
      <c r="B878" s="16"/>
      <c r="C878" s="14"/>
      <c r="F878" s="16" t="str">
        <f>IFERROR(__xludf.DUMMYFUNCTION("""COMPUTED_VALUE"""),"Toumboulana")</f>
        <v>Toumboulana</v>
      </c>
      <c r="G878" s="16"/>
      <c r="H878" s="14"/>
      <c r="K878" s="16">
        <f>IFERROR(__xludf.DUMMYFUNCTION("""COMPUTED_VALUE"""),1470.0)</f>
        <v>1470</v>
      </c>
      <c r="L878" s="16"/>
      <c r="M878" s="14"/>
    </row>
    <row r="879">
      <c r="A879" s="16" t="str">
        <f>IFERROR(__xludf.DUMMYFUNCTION("""COMPUTED_VALUE"""),"Yacouba Idé dit Lumana")</f>
        <v>Yacouba Idé dit Lumana</v>
      </c>
      <c r="B879" s="16"/>
      <c r="C879" s="14"/>
      <c r="F879" s="16" t="str">
        <f>IFERROR(__xludf.DUMMYFUNCTION("""COMPUTED_VALUE"""),"Toumboulana")</f>
        <v>Toumboulana</v>
      </c>
      <c r="G879" s="16"/>
      <c r="H879" s="14"/>
      <c r="K879" s="16">
        <f>IFERROR(__xludf.DUMMYFUNCTION("""COMPUTED_VALUE"""),1500.0)</f>
        <v>1500</v>
      </c>
      <c r="L879" s="16"/>
      <c r="M879" s="14"/>
    </row>
    <row r="880">
      <c r="A880" s="16" t="str">
        <f>IFERROR(__xludf.DUMMYFUNCTION("""COMPUTED_VALUE"""),"Inoussa Balkissou")</f>
        <v>Inoussa Balkissou</v>
      </c>
      <c r="B880" s="16"/>
      <c r="C880" s="14"/>
      <c r="F880" s="16" t="str">
        <f>IFERROR(__xludf.DUMMYFUNCTION("""COMPUTED_VALUE"""),"Toumboulana")</f>
        <v>Toumboulana</v>
      </c>
      <c r="G880" s="16"/>
      <c r="H880" s="14"/>
      <c r="K880" s="16">
        <f>IFERROR(__xludf.DUMMYFUNCTION("""COMPUTED_VALUE"""),326.0)</f>
        <v>326</v>
      </c>
      <c r="L880" s="16"/>
      <c r="M880" s="14"/>
    </row>
    <row r="881">
      <c r="A881" s="16" t="str">
        <f>IFERROR(__xludf.DUMMYFUNCTION("""COMPUTED_VALUE"""),"Inoussa Balkissou")</f>
        <v>Inoussa Balkissou</v>
      </c>
      <c r="B881" s="16"/>
      <c r="C881" s="14"/>
      <c r="F881" s="16" t="str">
        <f>IFERROR(__xludf.DUMMYFUNCTION("""COMPUTED_VALUE"""),"Toudou Kiara")</f>
        <v>Toudou Kiara</v>
      </c>
      <c r="G881" s="16"/>
      <c r="H881" s="14"/>
      <c r="K881" s="16">
        <f>IFERROR(__xludf.DUMMYFUNCTION("""COMPUTED_VALUE"""),605.0)</f>
        <v>605</v>
      </c>
      <c r="L881" s="16"/>
      <c r="M881" s="14"/>
    </row>
    <row r="882">
      <c r="A882" s="16" t="str">
        <f>IFERROR(__xludf.DUMMYFUNCTION("""COMPUTED_VALUE"""),"Saddy Youssouf")</f>
        <v>Saddy Youssouf</v>
      </c>
      <c r="B882" s="16"/>
      <c r="C882" s="14"/>
      <c r="F882" s="16" t="str">
        <f>IFERROR(__xludf.DUMMYFUNCTION("""COMPUTED_VALUE"""),"Toudou Kiara")</f>
        <v>Toudou Kiara</v>
      </c>
      <c r="G882" s="16"/>
      <c r="H882" s="14"/>
      <c r="K882" s="16">
        <f>IFERROR(__xludf.DUMMYFUNCTION("""COMPUTED_VALUE"""),1747.0)</f>
        <v>1747</v>
      </c>
      <c r="L882" s="16"/>
      <c r="M882" s="14"/>
    </row>
    <row r="883">
      <c r="A883" s="16" t="str">
        <f>IFERROR(__xludf.DUMMYFUNCTION("""COMPUTED_VALUE"""),"Saddy Youssouf")</f>
        <v>Saddy Youssouf</v>
      </c>
      <c r="B883" s="16"/>
      <c r="C883" s="14"/>
      <c r="F883" s="16" t="str">
        <f>IFERROR(__xludf.DUMMYFUNCTION("""COMPUTED_VALUE"""),"Toudou Kiara")</f>
        <v>Toudou Kiara</v>
      </c>
      <c r="G883" s="16"/>
      <c r="H883" s="14"/>
      <c r="K883" s="16">
        <f>IFERROR(__xludf.DUMMYFUNCTION("""COMPUTED_VALUE"""),1876.0)</f>
        <v>1876</v>
      </c>
      <c r="L883" s="16"/>
      <c r="M883" s="14"/>
    </row>
    <row r="884">
      <c r="A884" s="16" t="str">
        <f>IFERROR(__xludf.DUMMYFUNCTION("""COMPUTED_VALUE"""),"Abdoul Salami Ibrahim")</f>
        <v>Abdoul Salami Ibrahim</v>
      </c>
      <c r="B884" s="16"/>
      <c r="C884" s="14"/>
      <c r="F884" s="16" t="str">
        <f>IFERROR(__xludf.DUMMYFUNCTION("""COMPUTED_VALUE"""),"Toudou Kiara")</f>
        <v>Toudou Kiara</v>
      </c>
      <c r="G884" s="16"/>
      <c r="H884" s="14"/>
      <c r="K884" s="16">
        <f>IFERROR(__xludf.DUMMYFUNCTION("""COMPUTED_VALUE"""),844.0)</f>
        <v>844</v>
      </c>
      <c r="L884" s="16"/>
      <c r="M884" s="14"/>
    </row>
    <row r="885">
      <c r="A885" s="16" t="str">
        <f>IFERROR(__xludf.DUMMYFUNCTION("""COMPUTED_VALUE"""),"Abdoul Salami Ibrahim")</f>
        <v>Abdoul Salami Ibrahim</v>
      </c>
      <c r="B885" s="16"/>
      <c r="C885" s="14"/>
      <c r="F885" s="16" t="str">
        <f>IFERROR(__xludf.DUMMYFUNCTION("""COMPUTED_VALUE"""),"Toudou Kiara")</f>
        <v>Toudou Kiara</v>
      </c>
      <c r="G885" s="16"/>
      <c r="H885" s="14"/>
      <c r="K885" s="16">
        <f>IFERROR(__xludf.DUMMYFUNCTION("""COMPUTED_VALUE"""),883.0)</f>
        <v>883</v>
      </c>
      <c r="L885" s="16"/>
      <c r="M885" s="14"/>
    </row>
    <row r="886">
      <c r="A886" s="16" t="str">
        <f>IFERROR(__xludf.DUMMYFUNCTION("""COMPUTED_VALUE"""),"Abdoul Salami Ibrahim")</f>
        <v>Abdoul Salami Ibrahim</v>
      </c>
      <c r="B886" s="16"/>
      <c r="C886" s="14"/>
      <c r="F886" s="16" t="str">
        <f>IFERROR(__xludf.DUMMYFUNCTION("""COMPUTED_VALUE"""),"Koutoulou-Badabeye")</f>
        <v>Koutoulou-Badabeye</v>
      </c>
      <c r="G886" s="16"/>
      <c r="H886" s="14"/>
      <c r="K886" s="16">
        <f>IFERROR(__xludf.DUMMYFUNCTION("""COMPUTED_VALUE"""),758.0)</f>
        <v>758</v>
      </c>
      <c r="L886" s="16"/>
      <c r="M886" s="14"/>
    </row>
    <row r="887">
      <c r="A887" s="16" t="str">
        <f>IFERROR(__xludf.DUMMYFUNCTION("""COMPUTED_VALUE"""),"Gaoh Maazou")</f>
        <v>Gaoh Maazou</v>
      </c>
      <c r="B887" s="16"/>
      <c r="C887" s="14"/>
      <c r="F887" s="16" t="str">
        <f>IFERROR(__xludf.DUMMYFUNCTION("""COMPUTED_VALUE"""),"Toudou Kiara")</f>
        <v>Toudou Kiara</v>
      </c>
      <c r="G887" s="16"/>
      <c r="H887" s="14"/>
      <c r="K887" s="16">
        <f>IFERROR(__xludf.DUMMYFUNCTION("""COMPUTED_VALUE"""),961.0)</f>
        <v>961</v>
      </c>
      <c r="L887" s="16"/>
      <c r="M887" s="14"/>
    </row>
    <row r="888">
      <c r="A888" s="16" t="str">
        <f>IFERROR(__xludf.DUMMYFUNCTION("""COMPUTED_VALUE"""),"Gaoh Maazou")</f>
        <v>Gaoh Maazou</v>
      </c>
      <c r="B888" s="16"/>
      <c r="C888" s="14"/>
      <c r="F888" s="16" t="str">
        <f>IFERROR(__xludf.DUMMYFUNCTION("""COMPUTED_VALUE"""),"Toudou Kiara")</f>
        <v>Toudou Kiara</v>
      </c>
      <c r="G888" s="16"/>
      <c r="H888" s="14"/>
      <c r="K888" s="16">
        <f>IFERROR(__xludf.DUMMYFUNCTION("""COMPUTED_VALUE"""),453.0)</f>
        <v>453</v>
      </c>
      <c r="L888" s="16"/>
      <c r="M888" s="14"/>
    </row>
    <row r="889">
      <c r="A889" s="16" t="str">
        <f>IFERROR(__xludf.DUMMYFUNCTION("""COMPUTED_VALUE"""),"Rabi Boubacar Younoussa")</f>
        <v>Rabi Boubacar Younoussa</v>
      </c>
      <c r="B889" s="16"/>
      <c r="C889" s="14"/>
      <c r="F889" s="16" t="str">
        <f>IFERROR(__xludf.DUMMYFUNCTION("""COMPUTED_VALUE"""),"Toudou Kiara")</f>
        <v>Toudou Kiara</v>
      </c>
      <c r="G889" s="16"/>
      <c r="H889" s="14"/>
      <c r="K889" s="16">
        <f>IFERROR(__xludf.DUMMYFUNCTION("""COMPUTED_VALUE"""),1549.0)</f>
        <v>1549</v>
      </c>
      <c r="L889" s="16"/>
      <c r="M889" s="14"/>
    </row>
    <row r="890">
      <c r="A890" s="16" t="str">
        <f>IFERROR(__xludf.DUMMYFUNCTION("""COMPUTED_VALUE"""),"Razinatou Salissou")</f>
        <v>Razinatou Salissou</v>
      </c>
      <c r="B890" s="16"/>
      <c r="C890" s="14"/>
      <c r="F890" s="16" t="str">
        <f>IFERROR(__xludf.DUMMYFUNCTION("""COMPUTED_VALUE"""),"Toudou Kiara")</f>
        <v>Toudou Kiara</v>
      </c>
      <c r="G890" s="16"/>
      <c r="H890" s="14"/>
      <c r="K890" s="16">
        <f>IFERROR(__xludf.DUMMYFUNCTION("""COMPUTED_VALUE"""),519.0)</f>
        <v>519</v>
      </c>
      <c r="L890" s="16"/>
      <c r="M890" s="14"/>
    </row>
    <row r="891">
      <c r="A891" s="16" t="str">
        <f>IFERROR(__xludf.DUMMYFUNCTION("""COMPUTED_VALUE"""),"Rabi Boubacar Younoussa")</f>
        <v>Rabi Boubacar Younoussa</v>
      </c>
      <c r="B891" s="16"/>
      <c r="C891" s="14"/>
      <c r="F891" s="16" t="str">
        <f>IFERROR(__xludf.DUMMYFUNCTION("""COMPUTED_VALUE"""),"Toudou Kiara")</f>
        <v>Toudou Kiara</v>
      </c>
      <c r="G891" s="16"/>
      <c r="H891" s="14"/>
      <c r="K891" s="16">
        <f>IFERROR(__xludf.DUMMYFUNCTION("""COMPUTED_VALUE"""),1957.0)</f>
        <v>1957</v>
      </c>
      <c r="L891" s="16"/>
      <c r="M891" s="14"/>
    </row>
    <row r="892">
      <c r="A892" s="16" t="str">
        <f>IFERROR(__xludf.DUMMYFUNCTION("""COMPUTED_VALUE"""),"Larabou Chamsoudine")</f>
        <v>Larabou Chamsoudine</v>
      </c>
      <c r="B892" s="16"/>
      <c r="C892" s="14"/>
      <c r="F892" s="16" t="str">
        <f>IFERROR(__xludf.DUMMYFUNCTION("""COMPUTED_VALUE"""),"Koutoulou-Badabeye")</f>
        <v>Koutoulou-Badabeye</v>
      </c>
      <c r="G892" s="16"/>
      <c r="H892" s="14"/>
      <c r="K892" s="16">
        <f>IFERROR(__xludf.DUMMYFUNCTION("""COMPUTED_VALUE"""),652.0)</f>
        <v>652</v>
      </c>
      <c r="L892" s="16"/>
      <c r="M892" s="14"/>
    </row>
    <row r="893">
      <c r="A893" s="16" t="str">
        <f>IFERROR(__xludf.DUMMYFUNCTION("""COMPUTED_VALUE"""),"Kadidja Issaka Hamidou")</f>
        <v>Kadidja Issaka Hamidou</v>
      </c>
      <c r="B893" s="16"/>
      <c r="C893" s="14"/>
      <c r="F893" s="16" t="str">
        <f>IFERROR(__xludf.DUMMYFUNCTION("""COMPUTED_VALUE"""),"Koutoulou-Badabeye")</f>
        <v>Koutoulou-Badabeye</v>
      </c>
      <c r="G893" s="16"/>
      <c r="H893" s="14"/>
      <c r="K893" s="16">
        <f>IFERROR(__xludf.DUMMYFUNCTION("""COMPUTED_VALUE"""),1549.0)</f>
        <v>1549</v>
      </c>
      <c r="L893" s="16"/>
      <c r="M893" s="14"/>
    </row>
    <row r="894">
      <c r="A894" s="16" t="str">
        <f>IFERROR(__xludf.DUMMYFUNCTION("""COMPUTED_VALUE"""),"Ouhoumoudou Djannou Ibrahim")</f>
        <v>Ouhoumoudou Djannou Ibrahim</v>
      </c>
      <c r="B894" s="16"/>
      <c r="C894" s="14"/>
      <c r="F894" s="16" t="str">
        <f>IFERROR(__xludf.DUMMYFUNCTION("""COMPUTED_VALUE"""),"Toumboulana")</f>
        <v>Toumboulana</v>
      </c>
      <c r="G894" s="16"/>
      <c r="H894" s="14"/>
      <c r="K894" s="16">
        <f>IFERROR(__xludf.DUMMYFUNCTION("""COMPUTED_VALUE"""),1548.0)</f>
        <v>1548</v>
      </c>
      <c r="L894" s="16"/>
      <c r="M894" s="14"/>
    </row>
    <row r="895">
      <c r="A895" s="16" t="str">
        <f>IFERROR(__xludf.DUMMYFUNCTION("""COMPUTED_VALUE"""),"Ouhoumoudou Djannou Ibrahim")</f>
        <v>Ouhoumoudou Djannou Ibrahim</v>
      </c>
      <c r="B895" s="16"/>
      <c r="C895" s="14"/>
      <c r="F895" s="16" t="str">
        <f>IFERROR(__xludf.DUMMYFUNCTION("""COMPUTED_VALUE"""),"Toumboulana")</f>
        <v>Toumboulana</v>
      </c>
      <c r="G895" s="16"/>
      <c r="H895" s="14"/>
      <c r="K895" s="16">
        <f>IFERROR(__xludf.DUMMYFUNCTION("""COMPUTED_VALUE"""),1545.0)</f>
        <v>1545</v>
      </c>
      <c r="L895" s="16"/>
      <c r="M895" s="14"/>
    </row>
    <row r="896">
      <c r="A896" s="16" t="str">
        <f>IFERROR(__xludf.DUMMYFUNCTION("""COMPUTED_VALUE"""),"Ouhoumoudou Djannou Ibrahim")</f>
        <v>Ouhoumoudou Djannou Ibrahim</v>
      </c>
      <c r="B896" s="16"/>
      <c r="C896" s="14"/>
      <c r="F896" s="16" t="str">
        <f>IFERROR(__xludf.DUMMYFUNCTION("""COMPUTED_VALUE"""),"Toumboulana")</f>
        <v>Toumboulana</v>
      </c>
      <c r="G896" s="16"/>
      <c r="H896" s="14"/>
      <c r="K896" s="16">
        <f>IFERROR(__xludf.DUMMYFUNCTION("""COMPUTED_VALUE"""),2213.0)</f>
        <v>2213</v>
      </c>
      <c r="L896" s="16"/>
      <c r="M896" s="14"/>
    </row>
    <row r="897">
      <c r="A897" s="16" t="str">
        <f>IFERROR(__xludf.DUMMYFUNCTION("""COMPUTED_VALUE"""),"Ouhoumoudou Djannou Ibrahim")</f>
        <v>Ouhoumoudou Djannou Ibrahim</v>
      </c>
      <c r="B897" s="16"/>
      <c r="C897" s="14"/>
      <c r="F897" s="16" t="str">
        <f>IFERROR(__xludf.DUMMYFUNCTION("""COMPUTED_VALUE"""),"Toumboulana")</f>
        <v>Toumboulana</v>
      </c>
      <c r="G897" s="16"/>
      <c r="H897" s="14"/>
      <c r="K897" s="16">
        <f>IFERROR(__xludf.DUMMYFUNCTION("""COMPUTED_VALUE"""),262.0)</f>
        <v>262</v>
      </c>
      <c r="L897" s="16"/>
      <c r="M897" s="14"/>
    </row>
    <row r="898">
      <c r="A898" s="16" t="str">
        <f>IFERROR(__xludf.DUMMYFUNCTION("""COMPUTED_VALUE"""),"Hachimou Rabiou Mamoudou")</f>
        <v>Hachimou Rabiou Mamoudou</v>
      </c>
      <c r="B898" s="16"/>
      <c r="C898" s="14"/>
      <c r="F898" s="16" t="str">
        <f>IFERROR(__xludf.DUMMYFUNCTION("""COMPUTED_VALUE"""),"Alléla Kougouptché")</f>
        <v>Alléla Kougouptché</v>
      </c>
      <c r="G898" s="16"/>
      <c r="H898" s="14"/>
      <c r="K898" s="16">
        <f>IFERROR(__xludf.DUMMYFUNCTION("""COMPUTED_VALUE"""),2453.0)</f>
        <v>2453</v>
      </c>
      <c r="L898" s="16"/>
      <c r="M898" s="14"/>
    </row>
    <row r="899">
      <c r="A899" s="16" t="str">
        <f>IFERROR(__xludf.DUMMYFUNCTION("""COMPUTED_VALUE"""),"Hachimou Rabiou Mamoudou")</f>
        <v>Hachimou Rabiou Mamoudou</v>
      </c>
      <c r="B899" s="16"/>
      <c r="C899" s="14"/>
      <c r="F899" s="16" t="str">
        <f>IFERROR(__xludf.DUMMYFUNCTION("""COMPUTED_VALUE"""),"Dogon Gona")</f>
        <v>Dogon Gona</v>
      </c>
      <c r="G899" s="16"/>
      <c r="H899" s="14"/>
      <c r="K899" s="16">
        <f>IFERROR(__xludf.DUMMYFUNCTION("""COMPUTED_VALUE"""),420.0)</f>
        <v>420</v>
      </c>
      <c r="L899" s="16"/>
      <c r="M899" s="14"/>
    </row>
    <row r="900">
      <c r="A900" s="16" t="str">
        <f>IFERROR(__xludf.DUMMYFUNCTION("""COMPUTED_VALUE"""),"Hachimou Rabiou Mamoudou")</f>
        <v>Hachimou Rabiou Mamoudou</v>
      </c>
      <c r="B900" s="16"/>
      <c r="C900" s="14"/>
      <c r="F900" s="16" t="str">
        <f>IFERROR(__xludf.DUMMYFUNCTION("""COMPUTED_VALUE"""),"Dogon Gona")</f>
        <v>Dogon Gona</v>
      </c>
      <c r="G900" s="16"/>
      <c r="H900" s="14"/>
      <c r="K900" s="16">
        <f>IFERROR(__xludf.DUMMYFUNCTION("""COMPUTED_VALUE"""),355.0)</f>
        <v>355</v>
      </c>
      <c r="L900" s="16"/>
      <c r="M900" s="14"/>
    </row>
    <row r="901">
      <c r="A901" s="16" t="str">
        <f>IFERROR(__xludf.DUMMYFUNCTION("""COMPUTED_VALUE"""),"Hachimou Rabiou Mamoudou")</f>
        <v>Hachimou Rabiou Mamoudou</v>
      </c>
      <c r="B901" s="16"/>
      <c r="C901" s="14"/>
      <c r="F901" s="16" t="str">
        <f>IFERROR(__xludf.DUMMYFUNCTION("""COMPUTED_VALUE"""),"Dogon Gona")</f>
        <v>Dogon Gona</v>
      </c>
      <c r="G901" s="16"/>
      <c r="H901" s="14"/>
      <c r="K901" s="16">
        <f>IFERROR(__xludf.DUMMYFUNCTION("""COMPUTED_VALUE"""),351.0)</f>
        <v>351</v>
      </c>
      <c r="L901" s="16"/>
      <c r="M901" s="14"/>
    </row>
    <row r="902">
      <c r="A902" s="16" t="str">
        <f>IFERROR(__xludf.DUMMYFUNCTION("""COMPUTED_VALUE"""),"Hachimou Rabiou Mamoudou")</f>
        <v>Hachimou Rabiou Mamoudou</v>
      </c>
      <c r="B902" s="16"/>
      <c r="C902" s="14"/>
      <c r="F902" s="16" t="str">
        <f>IFERROR(__xludf.DUMMYFUNCTION("""COMPUTED_VALUE"""),"Guidan Dadji")</f>
        <v>Guidan Dadji</v>
      </c>
      <c r="G902" s="16"/>
      <c r="H902" s="14"/>
      <c r="K902" s="16">
        <f>IFERROR(__xludf.DUMMYFUNCTION("""COMPUTED_VALUE"""),354.0)</f>
        <v>354</v>
      </c>
      <c r="L902" s="16"/>
      <c r="M902" s="14"/>
    </row>
    <row r="903">
      <c r="A903" s="16" t="str">
        <f>IFERROR(__xludf.DUMMYFUNCTION("""COMPUTED_VALUE"""),"Hachimou Rabiou Mamoudou")</f>
        <v>Hachimou Rabiou Mamoudou</v>
      </c>
      <c r="B903" s="16"/>
      <c r="C903" s="14"/>
      <c r="F903" s="16" t="str">
        <f>IFERROR(__xludf.DUMMYFUNCTION("""COMPUTED_VALUE"""),"Guidan Dadji")</f>
        <v>Guidan Dadji</v>
      </c>
      <c r="G903" s="16"/>
      <c r="H903" s="14"/>
      <c r="K903" s="16">
        <f>IFERROR(__xludf.DUMMYFUNCTION("""COMPUTED_VALUE"""),482.0)</f>
        <v>482</v>
      </c>
      <c r="L903" s="16"/>
      <c r="M903" s="14"/>
    </row>
    <row r="904">
      <c r="A904" s="16" t="str">
        <f>IFERROR(__xludf.DUMMYFUNCTION("""COMPUTED_VALUE"""),"Moussa Ide Ibrahim")</f>
        <v>Moussa Ide Ibrahim</v>
      </c>
      <c r="B904" s="16"/>
      <c r="C904" s="14"/>
      <c r="F904" s="16" t="str">
        <f>IFERROR(__xludf.DUMMYFUNCTION("""COMPUTED_VALUE"""),"Guidan Dadji")</f>
        <v>Guidan Dadji</v>
      </c>
      <c r="G904" s="16"/>
      <c r="H904" s="14"/>
      <c r="K904" s="16">
        <f>IFERROR(__xludf.DUMMYFUNCTION("""COMPUTED_VALUE"""),3060.0)</f>
        <v>3060</v>
      </c>
      <c r="L904" s="16"/>
      <c r="M904" s="14"/>
    </row>
    <row r="905">
      <c r="A905" s="16" t="str">
        <f>IFERROR(__xludf.DUMMYFUNCTION("""COMPUTED_VALUE"""),"Moussa Ide Ibrahim")</f>
        <v>Moussa Ide Ibrahim</v>
      </c>
      <c r="B905" s="16"/>
      <c r="C905" s="14"/>
      <c r="F905" s="16" t="str">
        <f>IFERROR(__xludf.DUMMYFUNCTION("""COMPUTED_VALUE"""),"Guidan Dadji")</f>
        <v>Guidan Dadji</v>
      </c>
      <c r="G905" s="16"/>
      <c r="H905" s="14"/>
      <c r="K905" s="16">
        <f>IFERROR(__xludf.DUMMYFUNCTION("""COMPUTED_VALUE"""),473.0)</f>
        <v>473</v>
      </c>
      <c r="L905" s="16"/>
      <c r="M905" s="14"/>
    </row>
    <row r="906">
      <c r="A906" s="16" t="str">
        <f>IFERROR(__xludf.DUMMYFUNCTION("""COMPUTED_VALUE"""),"Moussa Ide Ibrahim")</f>
        <v>Moussa Ide Ibrahim</v>
      </c>
      <c r="B906" s="16"/>
      <c r="C906" s="14"/>
      <c r="F906" s="16" t="str">
        <f>IFERROR(__xludf.DUMMYFUNCTION("""COMPUTED_VALUE"""),"Dogon Gona")</f>
        <v>Dogon Gona</v>
      </c>
      <c r="G906" s="16"/>
      <c r="H906" s="14"/>
      <c r="K906" s="16">
        <f>IFERROR(__xludf.DUMMYFUNCTION("""COMPUTED_VALUE"""),456.0)</f>
        <v>456</v>
      </c>
      <c r="L906" s="16"/>
      <c r="M906" s="14"/>
    </row>
    <row r="907">
      <c r="A907" s="16" t="str">
        <f>IFERROR(__xludf.DUMMYFUNCTION("""COMPUTED_VALUE"""),"Moussa Ide Ibrahim")</f>
        <v>Moussa Ide Ibrahim</v>
      </c>
      <c r="B907" s="16"/>
      <c r="C907" s="14"/>
      <c r="F907" s="16" t="str">
        <f>IFERROR(__xludf.DUMMYFUNCTION("""COMPUTED_VALUE"""),"Dogon Gona")</f>
        <v>Dogon Gona</v>
      </c>
      <c r="G907" s="16"/>
      <c r="H907" s="14"/>
      <c r="K907" s="16">
        <f>IFERROR(__xludf.DUMMYFUNCTION("""COMPUTED_VALUE"""),472.0)</f>
        <v>472</v>
      </c>
      <c r="L907" s="16"/>
      <c r="M907" s="14"/>
    </row>
    <row r="908">
      <c r="A908" s="16" t="str">
        <f>IFERROR(__xludf.DUMMYFUNCTION("""COMPUTED_VALUE"""),"Mohamed Cherif")</f>
        <v>Mohamed Cherif</v>
      </c>
      <c r="B908" s="16"/>
      <c r="C908" s="14"/>
      <c r="F908" s="16" t="str">
        <f>IFERROR(__xludf.DUMMYFUNCTION("""COMPUTED_VALUE"""),"Dogon Gona")</f>
        <v>Dogon Gona</v>
      </c>
      <c r="G908" s="16"/>
      <c r="H908" s="14"/>
      <c r="K908" s="16">
        <f>IFERROR(__xludf.DUMMYFUNCTION("""COMPUTED_VALUE"""),1077.0)</f>
        <v>1077</v>
      </c>
      <c r="L908" s="16"/>
      <c r="M908" s="14"/>
    </row>
    <row r="909">
      <c r="A909" s="16" t="str">
        <f>IFERROR(__xludf.DUMMYFUNCTION("""COMPUTED_VALUE"""),"Mohamed Cherif")</f>
        <v>Mohamed Cherif</v>
      </c>
      <c r="B909" s="16"/>
      <c r="C909" s="14"/>
      <c r="F909" s="16" t="str">
        <f>IFERROR(__xludf.DUMMYFUNCTION("""COMPUTED_VALUE"""),"Koutoulou-Badabeye")</f>
        <v>Koutoulou-Badabeye</v>
      </c>
      <c r="G909" s="16"/>
      <c r="H909" s="14"/>
      <c r="K909" s="16">
        <f>IFERROR(__xludf.DUMMYFUNCTION("""COMPUTED_VALUE"""),362.0)</f>
        <v>362</v>
      </c>
      <c r="L909" s="16"/>
      <c r="M909" s="14"/>
    </row>
    <row r="910">
      <c r="A910" s="16" t="str">
        <f>IFERROR(__xludf.DUMMYFUNCTION("""COMPUTED_VALUE"""),"Mohamed Cherif")</f>
        <v>Mohamed Cherif</v>
      </c>
      <c r="B910" s="16"/>
      <c r="C910" s="14"/>
      <c r="F910" s="16" t="str">
        <f>IFERROR(__xludf.DUMMYFUNCTION("""COMPUTED_VALUE"""),"Koutoulou-Badabeye")</f>
        <v>Koutoulou-Badabeye</v>
      </c>
      <c r="G910" s="16"/>
      <c r="H910" s="14"/>
      <c r="K910" s="16">
        <f>IFERROR(__xludf.DUMMYFUNCTION("""COMPUTED_VALUE"""),393.0)</f>
        <v>393</v>
      </c>
      <c r="L910" s="16"/>
      <c r="M910" s="14"/>
    </row>
    <row r="911">
      <c r="A911" s="16" t="str">
        <f>IFERROR(__xludf.DUMMYFUNCTION("""COMPUTED_VALUE"""),"Abdoul Razak Mahamane Boukari")</f>
        <v>Abdoul Razak Mahamane Boukari</v>
      </c>
      <c r="B911" s="16"/>
      <c r="C911" s="14"/>
      <c r="F911" s="16" t="str">
        <f>IFERROR(__xludf.DUMMYFUNCTION("""COMPUTED_VALUE"""),"Dogon Gona")</f>
        <v>Dogon Gona</v>
      </c>
      <c r="G911" s="16"/>
      <c r="H911" s="14"/>
      <c r="K911" s="16">
        <f>IFERROR(__xludf.DUMMYFUNCTION("""COMPUTED_VALUE"""),1154.0)</f>
        <v>1154</v>
      </c>
      <c r="L911" s="16"/>
      <c r="M911" s="14"/>
    </row>
    <row r="912">
      <c r="A912" s="16" t="str">
        <f>IFERROR(__xludf.DUMMYFUNCTION("""COMPUTED_VALUE"""),"Abdoul Razak Mahamane Boukari")</f>
        <v>Abdoul Razak Mahamane Boukari</v>
      </c>
      <c r="B912" s="16"/>
      <c r="C912" s="14"/>
      <c r="F912" s="16" t="str">
        <f>IFERROR(__xludf.DUMMYFUNCTION("""COMPUTED_VALUE"""),"Koutoulou-Badabeye")</f>
        <v>Koutoulou-Badabeye</v>
      </c>
      <c r="G912" s="16"/>
      <c r="H912" s="14"/>
      <c r="K912" s="16">
        <f>IFERROR(__xludf.DUMMYFUNCTION("""COMPUTED_VALUE"""),1270.0)</f>
        <v>1270</v>
      </c>
      <c r="L912" s="16"/>
      <c r="M912" s="14"/>
    </row>
    <row r="913">
      <c r="A913" s="16" t="str">
        <f>IFERROR(__xludf.DUMMYFUNCTION("""COMPUTED_VALUE"""),"Abdoul Razak Mahamane Boukari")</f>
        <v>Abdoul Razak Mahamane Boukari</v>
      </c>
      <c r="B913" s="16"/>
      <c r="C913" s="14"/>
      <c r="F913" s="16" t="str">
        <f>IFERROR(__xludf.DUMMYFUNCTION("""COMPUTED_VALUE"""),"Alléla Kougouptché")</f>
        <v>Alléla Kougouptché</v>
      </c>
      <c r="G913" s="16"/>
      <c r="H913" s="14"/>
      <c r="K913" s="16">
        <f>IFERROR(__xludf.DUMMYFUNCTION("""COMPUTED_VALUE"""),1976.0)</f>
        <v>1976</v>
      </c>
      <c r="L913" s="16"/>
      <c r="M913" s="14"/>
    </row>
    <row r="914">
      <c r="A914" s="16" t="str">
        <f>IFERROR(__xludf.DUMMYFUNCTION("""COMPUTED_VALUE"""),"Adamou Halidou Daouda")</f>
        <v>Adamou Halidou Daouda</v>
      </c>
      <c r="B914" s="16"/>
      <c r="C914" s="14"/>
      <c r="F914" s="16" t="str">
        <f>IFERROR(__xludf.DUMMYFUNCTION("""COMPUTED_VALUE"""),"Babaranga Yama")</f>
        <v>Babaranga Yama</v>
      </c>
      <c r="G914" s="16"/>
      <c r="H914" s="14"/>
      <c r="K914" s="16">
        <f>IFERROR(__xludf.DUMMYFUNCTION("""COMPUTED_VALUE"""),394.0)</f>
        <v>394</v>
      </c>
      <c r="L914" s="16"/>
      <c r="M914" s="14"/>
    </row>
    <row r="915">
      <c r="A915" s="16" t="str">
        <f>IFERROR(__xludf.DUMMYFUNCTION("""COMPUTED_VALUE"""),"Adamou Halidou Daouda")</f>
        <v>Adamou Halidou Daouda</v>
      </c>
      <c r="B915" s="16"/>
      <c r="C915" s="14"/>
      <c r="F915" s="16" t="str">
        <f>IFERROR(__xludf.DUMMYFUNCTION("""COMPUTED_VALUE"""),"Guidan Dadji")</f>
        <v>Guidan Dadji</v>
      </c>
      <c r="G915" s="16"/>
      <c r="H915" s="14"/>
      <c r="K915" s="16">
        <f>IFERROR(__xludf.DUMMYFUNCTION("""COMPUTED_VALUE"""),1511.0)</f>
        <v>1511</v>
      </c>
      <c r="L915" s="16"/>
      <c r="M915" s="14"/>
    </row>
    <row r="916">
      <c r="A916" s="16" t="str">
        <f>IFERROR(__xludf.DUMMYFUNCTION("""COMPUTED_VALUE"""),"Adamou Halidou Daouda")</f>
        <v>Adamou Halidou Daouda</v>
      </c>
      <c r="B916" s="16"/>
      <c r="C916" s="14"/>
      <c r="F916" s="16" t="str">
        <f>IFERROR(__xludf.DUMMYFUNCTION("""COMPUTED_VALUE"""),"Guidan Dadji")</f>
        <v>Guidan Dadji</v>
      </c>
      <c r="G916" s="16"/>
      <c r="H916" s="14"/>
      <c r="K916" s="16">
        <f>IFERROR(__xludf.DUMMYFUNCTION("""COMPUTED_VALUE"""),753.0)</f>
        <v>753</v>
      </c>
      <c r="L916" s="16"/>
      <c r="M916" s="14"/>
    </row>
    <row r="917">
      <c r="A917" s="16" t="str">
        <f>IFERROR(__xludf.DUMMYFUNCTION("""COMPUTED_VALUE"""),"Adamou Halidou Daouda")</f>
        <v>Adamou Halidou Daouda</v>
      </c>
      <c r="B917" s="16"/>
      <c r="C917" s="14"/>
      <c r="F917" s="16" t="str">
        <f>IFERROR(__xludf.DUMMYFUNCTION("""COMPUTED_VALUE"""),"Guidan Dadji")</f>
        <v>Guidan Dadji</v>
      </c>
      <c r="G917" s="16"/>
      <c r="H917" s="14"/>
      <c r="K917" s="16">
        <f>IFERROR(__xludf.DUMMYFUNCTION("""COMPUTED_VALUE"""),1764.0)</f>
        <v>1764</v>
      </c>
      <c r="L917" s="16"/>
      <c r="M917" s="14"/>
    </row>
    <row r="918">
      <c r="A918" s="16" t="str">
        <f>IFERROR(__xludf.DUMMYFUNCTION("""COMPUTED_VALUE"""),"Ibrahim Dan Habou Larwana")</f>
        <v>Ibrahim Dan Habou Larwana</v>
      </c>
      <c r="B918" s="16"/>
      <c r="C918" s="14"/>
      <c r="F918" s="16" t="str">
        <f>IFERROR(__xludf.DUMMYFUNCTION("""COMPUTED_VALUE"""),"Toumboulana")</f>
        <v>Toumboulana</v>
      </c>
      <c r="G918" s="16"/>
      <c r="H918" s="14"/>
      <c r="K918" s="16">
        <f>IFERROR(__xludf.DUMMYFUNCTION("""COMPUTED_VALUE"""),1840.0)</f>
        <v>1840</v>
      </c>
      <c r="L918" s="16"/>
      <c r="M918" s="14"/>
    </row>
    <row r="919">
      <c r="A919" s="16" t="str">
        <f>IFERROR(__xludf.DUMMYFUNCTION("""COMPUTED_VALUE"""),"Ibrahim Dan Habou Larwana")</f>
        <v>Ibrahim Dan Habou Larwana</v>
      </c>
      <c r="B919" s="16"/>
      <c r="C919" s="14"/>
      <c r="F919" s="16" t="str">
        <f>IFERROR(__xludf.DUMMYFUNCTION("""COMPUTED_VALUE"""),"Alléla Kougouptché")</f>
        <v>Alléla Kougouptché</v>
      </c>
      <c r="G919" s="16"/>
      <c r="H919" s="14"/>
      <c r="K919" s="16">
        <f>IFERROR(__xludf.DUMMYFUNCTION("""COMPUTED_VALUE"""),351.0)</f>
        <v>351</v>
      </c>
      <c r="L919" s="16"/>
      <c r="M919" s="14"/>
    </row>
    <row r="920">
      <c r="A920" s="16" t="str">
        <f>IFERROR(__xludf.DUMMYFUNCTION("""COMPUTED_VALUE"""),"Ibrahim Dan Habou Larwana")</f>
        <v>Ibrahim Dan Habou Larwana</v>
      </c>
      <c r="B920" s="16"/>
      <c r="C920" s="14"/>
      <c r="F920" s="16" t="str">
        <f>IFERROR(__xludf.DUMMYFUNCTION("""COMPUTED_VALUE"""),"Alléla Kougouptché")</f>
        <v>Alléla Kougouptché</v>
      </c>
      <c r="G920" s="16"/>
      <c r="H920" s="14"/>
      <c r="K920" s="16">
        <f>IFERROR(__xludf.DUMMYFUNCTION("""COMPUTED_VALUE"""),505.0)</f>
        <v>505</v>
      </c>
      <c r="L920" s="16"/>
      <c r="M920" s="14"/>
    </row>
    <row r="921">
      <c r="A921" s="16" t="str">
        <f>IFERROR(__xludf.DUMMYFUNCTION("""COMPUTED_VALUE"""),"Ibrahim Dan Habou Larwana")</f>
        <v>Ibrahim Dan Habou Larwana</v>
      </c>
      <c r="B921" s="16"/>
      <c r="C921" s="14"/>
      <c r="F921" s="16" t="str">
        <f>IFERROR(__xludf.DUMMYFUNCTION("""COMPUTED_VALUE"""),"Dogon Gona")</f>
        <v>Dogon Gona</v>
      </c>
      <c r="G921" s="16"/>
      <c r="H921" s="14"/>
      <c r="K921" s="16">
        <f>IFERROR(__xludf.DUMMYFUNCTION("""COMPUTED_VALUE"""),260.0)</f>
        <v>260</v>
      </c>
      <c r="L921" s="16"/>
      <c r="M921" s="14"/>
    </row>
    <row r="922">
      <c r="A922" s="16" t="str">
        <f>IFERROR(__xludf.DUMMYFUNCTION("""COMPUTED_VALUE"""),"Ibrahim Dan Habou Larwana")</f>
        <v>Ibrahim Dan Habou Larwana</v>
      </c>
      <c r="B922" s="16"/>
      <c r="C922" s="14"/>
      <c r="F922" s="16" t="str">
        <f>IFERROR(__xludf.DUMMYFUNCTION("""COMPUTED_VALUE"""),"Toumboulana")</f>
        <v>Toumboulana</v>
      </c>
      <c r="G922" s="16"/>
      <c r="H922" s="14"/>
      <c r="K922" s="16">
        <f>IFERROR(__xludf.DUMMYFUNCTION("""COMPUTED_VALUE"""),960.0)</f>
        <v>960</v>
      </c>
      <c r="L922" s="16"/>
      <c r="M922" s="14"/>
    </row>
    <row r="923">
      <c r="A923" s="16" t="str">
        <f>IFERROR(__xludf.DUMMYFUNCTION("""COMPUTED_VALUE"""),"ALASSANE TAWEY AWALOU")</f>
        <v>ALASSANE TAWEY AWALOU</v>
      </c>
      <c r="B923" s="16"/>
      <c r="C923" s="14"/>
      <c r="F923" s="16" t="str">
        <f>IFERROR(__xludf.DUMMYFUNCTION("""COMPUTED_VALUE"""),"Alléla Kougouptché")</f>
        <v>Alléla Kougouptché</v>
      </c>
      <c r="G923" s="16"/>
      <c r="H923" s="14"/>
      <c r="K923" s="16">
        <f>IFERROR(__xludf.DUMMYFUNCTION("""COMPUTED_VALUE"""),445.0)</f>
        <v>445</v>
      </c>
      <c r="L923" s="16"/>
      <c r="M923" s="14"/>
    </row>
    <row r="924">
      <c r="A924" s="16" t="str">
        <f>IFERROR(__xludf.DUMMYFUNCTION("""COMPUTED_VALUE"""),"ALASSANE TAWEY AWALOU")</f>
        <v>ALASSANE TAWEY AWALOU</v>
      </c>
      <c r="B924" s="16"/>
      <c r="C924" s="14"/>
      <c r="F924" s="16" t="str">
        <f>IFERROR(__xludf.DUMMYFUNCTION("""COMPUTED_VALUE"""),"Alléla Kougouptché")</f>
        <v>Alléla Kougouptché</v>
      </c>
      <c r="G924" s="16"/>
      <c r="H924" s="14"/>
      <c r="K924" s="16">
        <f>IFERROR(__xludf.DUMMYFUNCTION("""COMPUTED_VALUE"""),355.0)</f>
        <v>355</v>
      </c>
      <c r="L924" s="16"/>
      <c r="M924" s="14"/>
    </row>
    <row r="925">
      <c r="A925" s="16" t="str">
        <f>IFERROR(__xludf.DUMMYFUNCTION("""COMPUTED_VALUE"""),"ALASSANE TAWEY AWALOU")</f>
        <v>ALASSANE TAWEY AWALOU</v>
      </c>
      <c r="B925" s="16"/>
      <c r="C925" s="14"/>
      <c r="F925" s="16" t="str">
        <f>IFERROR(__xludf.DUMMYFUNCTION("""COMPUTED_VALUE"""),"Alléla Kougouptché")</f>
        <v>Alléla Kougouptché</v>
      </c>
      <c r="G925" s="16"/>
      <c r="H925" s="14"/>
      <c r="K925" s="16">
        <f>IFERROR(__xludf.DUMMYFUNCTION("""COMPUTED_VALUE"""),410.0)</f>
        <v>410</v>
      </c>
      <c r="L925" s="16"/>
      <c r="M925" s="14"/>
    </row>
    <row r="926">
      <c r="A926" s="16" t="str">
        <f>IFERROR(__xludf.DUMMYFUNCTION("""COMPUTED_VALUE"""),"ALASSANE TAWEY AWALOU")</f>
        <v>ALASSANE TAWEY AWALOU</v>
      </c>
      <c r="B926" s="16"/>
      <c r="C926" s="14"/>
      <c r="F926" s="16" t="str">
        <f>IFERROR(__xludf.DUMMYFUNCTION("""COMPUTED_VALUE"""),"Alléla Kougouptché")</f>
        <v>Alléla Kougouptché</v>
      </c>
      <c r="G926" s="16"/>
      <c r="H926" s="14"/>
      <c r="K926" s="16">
        <f>IFERROR(__xludf.DUMMYFUNCTION("""COMPUTED_VALUE"""),942.0)</f>
        <v>942</v>
      </c>
      <c r="L926" s="16"/>
      <c r="M926" s="14"/>
    </row>
    <row r="927">
      <c r="A927" s="16" t="str">
        <f>IFERROR(__xludf.DUMMYFUNCTION("""COMPUTED_VALUE"""),"ALASSANE TAWEY AWALOU")</f>
        <v>ALASSANE TAWEY AWALOU</v>
      </c>
      <c r="B927" s="16"/>
      <c r="C927" s="14"/>
      <c r="F927" s="16" t="str">
        <f>IFERROR(__xludf.DUMMYFUNCTION("""COMPUTED_VALUE"""),"Toumboulana")</f>
        <v>Toumboulana</v>
      </c>
      <c r="G927" s="16"/>
      <c r="H927" s="14"/>
      <c r="K927" s="16">
        <f>IFERROR(__xludf.DUMMYFUNCTION("""COMPUTED_VALUE"""),775.0)</f>
        <v>775</v>
      </c>
      <c r="L927" s="16"/>
      <c r="M927" s="14"/>
    </row>
    <row r="928">
      <c r="A928" s="16" t="str">
        <f>IFERROR(__xludf.DUMMYFUNCTION("""COMPUTED_VALUE"""),"ALASSANE TAWEY AWALOU")</f>
        <v>ALASSANE TAWEY AWALOU</v>
      </c>
      <c r="B928" s="16"/>
      <c r="C928" s="14"/>
      <c r="F928" s="16" t="str">
        <f>IFERROR(__xludf.DUMMYFUNCTION("""COMPUTED_VALUE"""),"Toumboulana")</f>
        <v>Toumboulana</v>
      </c>
      <c r="G928" s="16"/>
      <c r="H928" s="14"/>
      <c r="K928" s="16">
        <f>IFERROR(__xludf.DUMMYFUNCTION("""COMPUTED_VALUE"""),834.0)</f>
        <v>834</v>
      </c>
      <c r="L928" s="16"/>
      <c r="M928" s="14"/>
    </row>
    <row r="929">
      <c r="A929" s="16" t="str">
        <f>IFERROR(__xludf.DUMMYFUNCTION("""COMPUTED_VALUE"""),"ALASSANE TAWEY AWALOU")</f>
        <v>ALASSANE TAWEY AWALOU</v>
      </c>
      <c r="B929" s="16"/>
      <c r="C929" s="14"/>
      <c r="F929" s="16" t="str">
        <f>IFERROR(__xludf.DUMMYFUNCTION("""COMPUTED_VALUE"""),"Bouloum")</f>
        <v>Bouloum</v>
      </c>
      <c r="G929" s="16"/>
      <c r="H929" s="14"/>
      <c r="K929" s="16">
        <f>IFERROR(__xludf.DUMMYFUNCTION("""COMPUTED_VALUE"""),330.0)</f>
        <v>330</v>
      </c>
      <c r="L929" s="16"/>
      <c r="M929" s="14"/>
    </row>
    <row r="930">
      <c r="A930" s="16" t="str">
        <f>IFERROR(__xludf.DUMMYFUNCTION("""COMPUTED_VALUE"""),"Mohamadou Amadou")</f>
        <v>Mohamadou Amadou</v>
      </c>
      <c r="B930" s="16"/>
      <c r="C930" s="14"/>
      <c r="F930" s="16" t="str">
        <f>IFERROR(__xludf.DUMMYFUNCTION("""COMPUTED_VALUE"""),"Bouloum")</f>
        <v>Bouloum</v>
      </c>
      <c r="G930" s="16"/>
      <c r="H930" s="14"/>
      <c r="K930" s="16">
        <f>IFERROR(__xludf.DUMMYFUNCTION("""COMPUTED_VALUE"""),577.0)</f>
        <v>577</v>
      </c>
      <c r="L930" s="16"/>
      <c r="M930" s="14"/>
    </row>
    <row r="931">
      <c r="A931" s="16" t="str">
        <f>IFERROR(__xludf.DUMMYFUNCTION("""COMPUTED_VALUE"""),"Halidou Tagaza Balkissa")</f>
        <v>Halidou Tagaza Balkissa</v>
      </c>
      <c r="B931" s="16"/>
      <c r="C931" s="14"/>
      <c r="F931" s="16" t="str">
        <f>IFERROR(__xludf.DUMMYFUNCTION("""COMPUTED_VALUE"""),"Bouloum")</f>
        <v>Bouloum</v>
      </c>
      <c r="G931" s="16"/>
      <c r="H931" s="14"/>
      <c r="K931" s="16">
        <f>IFERROR(__xludf.DUMMYFUNCTION("""COMPUTED_VALUE"""),679.0)</f>
        <v>679</v>
      </c>
      <c r="L931" s="16"/>
      <c r="M931" s="14"/>
    </row>
    <row r="932">
      <c r="A932" s="16" t="str">
        <f>IFERROR(__xludf.DUMMYFUNCTION("""COMPUTED_VALUE"""),"Mohamadou Amadou")</f>
        <v>Mohamadou Amadou</v>
      </c>
      <c r="B932" s="16"/>
      <c r="C932" s="14"/>
      <c r="F932" s="16" t="str">
        <f>IFERROR(__xludf.DUMMYFUNCTION("""COMPUTED_VALUE"""),"Bouloum")</f>
        <v>Bouloum</v>
      </c>
      <c r="G932" s="16"/>
      <c r="H932" s="14"/>
      <c r="K932" s="16">
        <f>IFERROR(__xludf.DUMMYFUNCTION("""COMPUTED_VALUE"""),1037.0)</f>
        <v>1037</v>
      </c>
      <c r="L932" s="16"/>
      <c r="M932" s="14"/>
    </row>
    <row r="933">
      <c r="A933" s="16" t="str">
        <f>IFERROR(__xludf.DUMMYFUNCTION("""COMPUTED_VALUE"""),"Mohamadou Amadou")</f>
        <v>Mohamadou Amadou</v>
      </c>
      <c r="B933" s="16"/>
      <c r="C933" s="14"/>
      <c r="F933" s="16" t="str">
        <f>IFERROR(__xludf.DUMMYFUNCTION("""COMPUTED_VALUE"""),"Bouloum")</f>
        <v>Bouloum</v>
      </c>
      <c r="G933" s="16"/>
      <c r="H933" s="14"/>
      <c r="K933" s="16">
        <f>IFERROR(__xludf.DUMMYFUNCTION("""COMPUTED_VALUE"""),410.0)</f>
        <v>410</v>
      </c>
      <c r="L933" s="16"/>
      <c r="M933" s="14"/>
    </row>
    <row r="934">
      <c r="A934" s="16" t="str">
        <f>IFERROR(__xludf.DUMMYFUNCTION("""COMPUTED_VALUE"""),"Mohamadou Amadou")</f>
        <v>Mohamadou Amadou</v>
      </c>
      <c r="B934" s="16"/>
      <c r="C934" s="14"/>
      <c r="F934" s="16" t="str">
        <f>IFERROR(__xludf.DUMMYFUNCTION("""COMPUTED_VALUE"""),"Bouloum")</f>
        <v>Bouloum</v>
      </c>
      <c r="G934" s="16"/>
      <c r="H934" s="14"/>
      <c r="K934" s="16">
        <f>IFERROR(__xludf.DUMMYFUNCTION("""COMPUTED_VALUE"""),509.0)</f>
        <v>509</v>
      </c>
      <c r="L934" s="16"/>
      <c r="M934" s="14"/>
    </row>
    <row r="935">
      <c r="A935" s="16" t="str">
        <f>IFERROR(__xludf.DUMMYFUNCTION("""COMPUTED_VALUE"""),"Mohamadou Amadou")</f>
        <v>Mohamadou Amadou</v>
      </c>
      <c r="B935" s="16"/>
      <c r="C935" s="14"/>
      <c r="F935" s="16" t="str">
        <f>IFERROR(__xludf.DUMMYFUNCTION("""COMPUTED_VALUE"""),"Bouloum")</f>
        <v>Bouloum</v>
      </c>
      <c r="G935" s="16"/>
      <c r="H935" s="14"/>
      <c r="K935" s="16">
        <f>IFERROR(__xludf.DUMMYFUNCTION("""COMPUTED_VALUE"""),713.0)</f>
        <v>713</v>
      </c>
      <c r="L935" s="16"/>
      <c r="M935" s="14"/>
    </row>
    <row r="936">
      <c r="A936" s="16" t="str">
        <f>IFERROR(__xludf.DUMMYFUNCTION("""COMPUTED_VALUE"""),"Mohamadou Amadou")</f>
        <v>Mohamadou Amadou</v>
      </c>
      <c r="B936" s="16"/>
      <c r="C936" s="14"/>
      <c r="F936" s="16" t="str">
        <f>IFERROR(__xludf.DUMMYFUNCTION("""COMPUTED_VALUE"""),"Bouloum")</f>
        <v>Bouloum</v>
      </c>
      <c r="G936" s="16"/>
      <c r="H936" s="14"/>
      <c r="K936" s="16">
        <f>IFERROR(__xludf.DUMMYFUNCTION("""COMPUTED_VALUE"""),644.0)</f>
        <v>644</v>
      </c>
      <c r="L936" s="16"/>
      <c r="M936" s="14"/>
    </row>
    <row r="937">
      <c r="A937" s="16" t="str">
        <f>IFERROR(__xludf.DUMMYFUNCTION("""COMPUTED_VALUE"""),"Mohamadou Amadou")</f>
        <v>Mohamadou Amadou</v>
      </c>
      <c r="B937" s="16"/>
      <c r="C937" s="14"/>
      <c r="F937" s="16" t="str">
        <f>IFERROR(__xludf.DUMMYFUNCTION("""COMPUTED_VALUE"""),"Bouloum")</f>
        <v>Bouloum</v>
      </c>
      <c r="G937" s="16"/>
      <c r="H937" s="14"/>
      <c r="K937" s="16">
        <f>IFERROR(__xludf.DUMMYFUNCTION("""COMPUTED_VALUE"""),407.0)</f>
        <v>407</v>
      </c>
      <c r="L937" s="16"/>
      <c r="M937" s="14"/>
    </row>
    <row r="938">
      <c r="A938" s="16" t="str">
        <f>IFERROR(__xludf.DUMMYFUNCTION("""COMPUTED_VALUE"""),"Mohamadou Amadou")</f>
        <v>Mohamadou Amadou</v>
      </c>
      <c r="B938" s="16"/>
      <c r="C938" s="14"/>
      <c r="F938" s="16" t="str">
        <f>IFERROR(__xludf.DUMMYFUNCTION("""COMPUTED_VALUE"""),"Bouloum")</f>
        <v>Bouloum</v>
      </c>
      <c r="G938" s="16"/>
      <c r="H938" s="14"/>
      <c r="K938" s="16">
        <f>IFERROR(__xludf.DUMMYFUNCTION("""COMPUTED_VALUE"""),896.0)</f>
        <v>896</v>
      </c>
      <c r="L938" s="16"/>
      <c r="M938" s="14"/>
    </row>
    <row r="939">
      <c r="A939" s="16" t="str">
        <f>IFERROR(__xludf.DUMMYFUNCTION("""COMPUTED_VALUE"""),"Mohamadou Amadou")</f>
        <v>Mohamadou Amadou</v>
      </c>
      <c r="B939" s="16"/>
      <c r="C939" s="14"/>
      <c r="F939" s="16" t="str">
        <f>IFERROR(__xludf.DUMMYFUNCTION("""COMPUTED_VALUE"""),"Bouloum")</f>
        <v>Bouloum</v>
      </c>
      <c r="G939" s="16"/>
      <c r="H939" s="14"/>
      <c r="K939" s="16">
        <f>IFERROR(__xludf.DUMMYFUNCTION("""COMPUTED_VALUE"""),550.0)</f>
        <v>550</v>
      </c>
      <c r="L939" s="16"/>
      <c r="M939" s="14"/>
    </row>
    <row r="940">
      <c r="A940" s="16" t="str">
        <f>IFERROR(__xludf.DUMMYFUNCTION("""COMPUTED_VALUE"""),"Adamou Halidou Daouda")</f>
        <v>Adamou Halidou Daouda</v>
      </c>
      <c r="B940" s="16"/>
      <c r="C940" s="14"/>
      <c r="F940" s="16" t="str">
        <f>IFERROR(__xludf.DUMMYFUNCTION("""COMPUTED_VALUE"""),"Bouloum")</f>
        <v>Bouloum</v>
      </c>
      <c r="G940" s="16"/>
      <c r="H940" s="14"/>
      <c r="K940" s="16">
        <f>IFERROR(__xludf.DUMMYFUNCTION("""COMPUTED_VALUE"""),1236.0)</f>
        <v>1236</v>
      </c>
      <c r="L940" s="16"/>
      <c r="M940" s="14"/>
    </row>
    <row r="941">
      <c r="A941" s="16" t="str">
        <f>IFERROR(__xludf.DUMMYFUNCTION("""COMPUTED_VALUE"""),"Abdoul Salami Ibrahim")</f>
        <v>Abdoul Salami Ibrahim</v>
      </c>
      <c r="B941" s="16"/>
      <c r="C941" s="14"/>
      <c r="F941" s="16" t="str">
        <f>IFERROR(__xludf.DUMMYFUNCTION("""COMPUTED_VALUE"""),"Bouloum")</f>
        <v>Bouloum</v>
      </c>
      <c r="G941" s="16"/>
      <c r="H941" s="14"/>
      <c r="K941" s="16">
        <f>IFERROR(__xludf.DUMMYFUNCTION("""COMPUTED_VALUE"""),722.0)</f>
        <v>722</v>
      </c>
      <c r="L941" s="16"/>
      <c r="M941" s="14"/>
    </row>
    <row r="942">
      <c r="A942" s="16" t="str">
        <f>IFERROR(__xludf.DUMMYFUNCTION("""COMPUTED_VALUE"""),"Inoussa Balkissou")</f>
        <v>Inoussa Balkissou</v>
      </c>
      <c r="B942" s="16"/>
      <c r="C942" s="14"/>
      <c r="F942" s="16" t="str">
        <f>IFERROR(__xludf.DUMMYFUNCTION("""COMPUTED_VALUE"""),"Bouloum")</f>
        <v>Bouloum</v>
      </c>
      <c r="G942" s="16"/>
      <c r="H942" s="14"/>
      <c r="K942" s="16">
        <f>IFERROR(__xludf.DUMMYFUNCTION("""COMPUTED_VALUE"""),622.0)</f>
        <v>622</v>
      </c>
      <c r="L942" s="16"/>
      <c r="M942" s="14"/>
    </row>
    <row r="943">
      <c r="A943" s="16" t="str">
        <f>IFERROR(__xludf.DUMMYFUNCTION("""COMPUTED_VALUE"""),"Inoussa Balkissou")</f>
        <v>Inoussa Balkissou</v>
      </c>
      <c r="B943" s="16"/>
      <c r="C943" s="14"/>
      <c r="F943" s="16" t="str">
        <f>IFERROR(__xludf.DUMMYFUNCTION("""COMPUTED_VALUE"""),"Bouloum")</f>
        <v>Bouloum</v>
      </c>
      <c r="G943" s="16"/>
      <c r="H943" s="14"/>
      <c r="K943" s="16">
        <f>IFERROR(__xludf.DUMMYFUNCTION("""COMPUTED_VALUE"""),508.0)</f>
        <v>508</v>
      </c>
      <c r="L943" s="16"/>
      <c r="M943" s="14"/>
    </row>
    <row r="944">
      <c r="A944" s="16" t="str">
        <f>IFERROR(__xludf.DUMMYFUNCTION("""COMPUTED_VALUE"""),"Inoussa Balkissou")</f>
        <v>Inoussa Balkissou</v>
      </c>
      <c r="B944" s="16"/>
      <c r="C944" s="14"/>
      <c r="F944" s="16" t="str">
        <f>IFERROR(__xludf.DUMMYFUNCTION("""COMPUTED_VALUE"""),"Bouloum")</f>
        <v>Bouloum</v>
      </c>
      <c r="G944" s="16"/>
      <c r="H944" s="14"/>
      <c r="K944" s="16">
        <f>IFERROR(__xludf.DUMMYFUNCTION("""COMPUTED_VALUE"""),1277.0)</f>
        <v>1277</v>
      </c>
      <c r="L944" s="16"/>
      <c r="M944" s="14"/>
    </row>
    <row r="945">
      <c r="A945" s="16" t="str">
        <f>IFERROR(__xludf.DUMMYFUNCTION("""COMPUTED_VALUE"""),"Abdoul Salami Ibrahim")</f>
        <v>Abdoul Salami Ibrahim</v>
      </c>
      <c r="B945" s="16"/>
      <c r="C945" s="14"/>
      <c r="F945" s="16" t="str">
        <f>IFERROR(__xludf.DUMMYFUNCTION("""COMPUTED_VALUE"""),"Bouloum")</f>
        <v>Bouloum</v>
      </c>
      <c r="G945" s="16"/>
      <c r="H945" s="14"/>
      <c r="K945" s="16">
        <f>IFERROR(__xludf.DUMMYFUNCTION("""COMPUTED_VALUE"""),3015.0)</f>
        <v>3015</v>
      </c>
      <c r="L945" s="16"/>
      <c r="M945" s="14"/>
    </row>
    <row r="946">
      <c r="A946" s="16" t="str">
        <f>IFERROR(__xludf.DUMMYFUNCTION("""COMPUTED_VALUE"""),"Abdoul Salami Ibrahim")</f>
        <v>Abdoul Salami Ibrahim</v>
      </c>
      <c r="B946" s="16"/>
      <c r="C946" s="14"/>
      <c r="F946" s="16" t="str">
        <f>IFERROR(__xludf.DUMMYFUNCTION("""COMPUTED_VALUE"""),"Bouloum")</f>
        <v>Bouloum</v>
      </c>
      <c r="G946" s="16"/>
      <c r="H946" s="14"/>
      <c r="K946" s="16">
        <f>IFERROR(__xludf.DUMMYFUNCTION("""COMPUTED_VALUE"""),614.0)</f>
        <v>614</v>
      </c>
      <c r="L946" s="16"/>
      <c r="M946" s="14"/>
    </row>
    <row r="947">
      <c r="A947" s="16" t="str">
        <f>IFERROR(__xludf.DUMMYFUNCTION("""COMPUTED_VALUE"""),"Abdoul Salami Ibrahim")</f>
        <v>Abdoul Salami Ibrahim</v>
      </c>
      <c r="B947" s="16"/>
      <c r="C947" s="14"/>
      <c r="F947" s="16" t="str">
        <f>IFERROR(__xludf.DUMMYFUNCTION("""COMPUTED_VALUE"""),"Bouloum")</f>
        <v>Bouloum</v>
      </c>
      <c r="G947" s="16"/>
      <c r="H947" s="14"/>
      <c r="K947" s="16">
        <f>IFERROR(__xludf.DUMMYFUNCTION("""COMPUTED_VALUE"""),2406.0)</f>
        <v>2406</v>
      </c>
      <c r="L947" s="16"/>
      <c r="M947" s="14"/>
    </row>
    <row r="948">
      <c r="A948" s="16" t="str">
        <f>IFERROR(__xludf.DUMMYFUNCTION("""COMPUTED_VALUE"""),"Abdoul Salami Ibrahim")</f>
        <v>Abdoul Salami Ibrahim</v>
      </c>
      <c r="B948" s="16"/>
      <c r="C948" s="14"/>
      <c r="F948" s="16" t="str">
        <f>IFERROR(__xludf.DUMMYFUNCTION("""COMPUTED_VALUE"""),"Adernaguatt")</f>
        <v>Adernaguatt</v>
      </c>
      <c r="G948" s="16"/>
      <c r="H948" s="14"/>
      <c r="K948" s="16">
        <f>IFERROR(__xludf.DUMMYFUNCTION("""COMPUTED_VALUE"""),595.0)</f>
        <v>595</v>
      </c>
      <c r="L948" s="16"/>
      <c r="M948" s="14"/>
    </row>
    <row r="949">
      <c r="A949" s="16" t="str">
        <f>IFERROR(__xludf.DUMMYFUNCTION("""COMPUTED_VALUE"""),"Abdoul Salami Ibrahim")</f>
        <v>Abdoul Salami Ibrahim</v>
      </c>
      <c r="B949" s="16"/>
      <c r="C949" s="14"/>
      <c r="F949" s="16" t="str">
        <f>IFERROR(__xludf.DUMMYFUNCTION("""COMPUTED_VALUE"""),"Adernaguatt")</f>
        <v>Adernaguatt</v>
      </c>
      <c r="G949" s="16"/>
      <c r="H949" s="14"/>
      <c r="K949" s="16">
        <f>IFERROR(__xludf.DUMMYFUNCTION("""COMPUTED_VALUE"""),422.0)</f>
        <v>422</v>
      </c>
      <c r="L949" s="16"/>
      <c r="M949" s="14"/>
    </row>
    <row r="950">
      <c r="A950" s="16" t="str">
        <f>IFERROR(__xludf.DUMMYFUNCTION("""COMPUTED_VALUE"""),"Saddy Youssouf")</f>
        <v>Saddy Youssouf</v>
      </c>
      <c r="B950" s="16"/>
      <c r="C950" s="14"/>
      <c r="F950" s="16" t="str">
        <f>IFERROR(__xludf.DUMMYFUNCTION("""COMPUTED_VALUE"""),"Alléla Kougouptché")</f>
        <v>Alléla Kougouptché</v>
      </c>
      <c r="G950" s="16"/>
      <c r="H950" s="14"/>
      <c r="K950" s="16">
        <f>IFERROR(__xludf.DUMMYFUNCTION("""COMPUTED_VALUE"""),609.0)</f>
        <v>609</v>
      </c>
      <c r="L950" s="16"/>
      <c r="M950" s="14"/>
    </row>
    <row r="951">
      <c r="A951" s="16" t="str">
        <f>IFERROR(__xludf.DUMMYFUNCTION("""COMPUTED_VALUE"""),"Saddy Youssouf")</f>
        <v>Saddy Youssouf</v>
      </c>
      <c r="B951" s="16"/>
      <c r="C951" s="14"/>
      <c r="F951" s="16" t="str">
        <f>IFERROR(__xludf.DUMMYFUNCTION("""COMPUTED_VALUE"""),"Dogon Gona")</f>
        <v>Dogon Gona</v>
      </c>
      <c r="G951" s="16"/>
      <c r="H951" s="14"/>
      <c r="K951" s="16">
        <f>IFERROR(__xludf.DUMMYFUNCTION("""COMPUTED_VALUE"""),1797.0)</f>
        <v>1797</v>
      </c>
      <c r="L951" s="16"/>
      <c r="M951" s="14"/>
    </row>
    <row r="952">
      <c r="A952" s="16" t="str">
        <f>IFERROR(__xludf.DUMMYFUNCTION("""COMPUTED_VALUE"""),"Saddy Youssouf")</f>
        <v>Saddy Youssouf</v>
      </c>
      <c r="B952" s="16"/>
      <c r="C952" s="14"/>
      <c r="F952" s="16" t="str">
        <f>IFERROR(__xludf.DUMMYFUNCTION("""COMPUTED_VALUE"""),"Toumboulana")</f>
        <v>Toumboulana</v>
      </c>
      <c r="G952" s="16"/>
      <c r="H952" s="14"/>
      <c r="K952" s="16">
        <f>IFERROR(__xludf.DUMMYFUNCTION("""COMPUTED_VALUE"""),1307.0)</f>
        <v>1307</v>
      </c>
      <c r="L952" s="16"/>
      <c r="M952" s="14"/>
    </row>
    <row r="953">
      <c r="A953" s="16" t="str">
        <f>IFERROR(__xludf.DUMMYFUNCTION("""COMPUTED_VALUE"""),"Saddy Youssouf")</f>
        <v>Saddy Youssouf</v>
      </c>
      <c r="B953" s="16"/>
      <c r="C953" s="14"/>
      <c r="F953" s="16" t="str">
        <f>IFERROR(__xludf.DUMMYFUNCTION("""COMPUTED_VALUE"""),"Toumboulana")</f>
        <v>Toumboulana</v>
      </c>
      <c r="G953" s="16"/>
      <c r="H953" s="14"/>
      <c r="K953" s="16">
        <f>IFERROR(__xludf.DUMMYFUNCTION("""COMPUTED_VALUE"""),842.0)</f>
        <v>842</v>
      </c>
      <c r="L953" s="16"/>
      <c r="M953" s="14"/>
    </row>
    <row r="954">
      <c r="A954" s="16" t="str">
        <f>IFERROR(__xludf.DUMMYFUNCTION("""COMPUTED_VALUE"""),"Saddy Youssouf")</f>
        <v>Saddy Youssouf</v>
      </c>
      <c r="B954" s="16"/>
      <c r="C954" s="14"/>
      <c r="F954" s="16" t="str">
        <f>IFERROR(__xludf.DUMMYFUNCTION("""COMPUTED_VALUE"""),"Toumboulana")</f>
        <v>Toumboulana</v>
      </c>
      <c r="G954" s="16"/>
      <c r="H954" s="14"/>
      <c r="K954" s="16">
        <f>IFERROR(__xludf.DUMMYFUNCTION("""COMPUTED_VALUE"""),1868.0)</f>
        <v>1868</v>
      </c>
      <c r="L954" s="16"/>
      <c r="M954" s="14"/>
    </row>
    <row r="955">
      <c r="A955" s="16" t="str">
        <f>IFERROR(__xludf.DUMMYFUNCTION("""COMPUTED_VALUE"""),"Saddy Youssouf")</f>
        <v>Saddy Youssouf</v>
      </c>
      <c r="B955" s="16"/>
      <c r="C955" s="14"/>
      <c r="F955" s="16" t="str">
        <f>IFERROR(__xludf.DUMMYFUNCTION("""COMPUTED_VALUE"""),"Toumboulana")</f>
        <v>Toumboulana</v>
      </c>
      <c r="G955" s="16"/>
      <c r="H955" s="14"/>
      <c r="K955" s="16">
        <f>IFERROR(__xludf.DUMMYFUNCTION("""COMPUTED_VALUE"""),2081.0)</f>
        <v>2081</v>
      </c>
      <c r="L955" s="16"/>
      <c r="M955" s="14"/>
    </row>
    <row r="956">
      <c r="A956" s="16" t="str">
        <f>IFERROR(__xludf.DUMMYFUNCTION("""COMPUTED_VALUE"""),"Saddy Youssouf")</f>
        <v>Saddy Youssouf</v>
      </c>
      <c r="B956" s="16"/>
      <c r="C956" s="14"/>
      <c r="F956" s="16" t="str">
        <f>IFERROR(__xludf.DUMMYFUNCTION("""COMPUTED_VALUE"""),"Toumboulana")</f>
        <v>Toumboulana</v>
      </c>
      <c r="G956" s="16"/>
      <c r="H956" s="14"/>
      <c r="K956" s="16">
        <f>IFERROR(__xludf.DUMMYFUNCTION("""COMPUTED_VALUE"""),1065.0)</f>
        <v>1065</v>
      </c>
      <c r="L956" s="16"/>
      <c r="M956" s="14"/>
    </row>
    <row r="957">
      <c r="A957" s="16" t="str">
        <f>IFERROR(__xludf.DUMMYFUNCTION("""COMPUTED_VALUE"""),"Amadou Hamidou Abdoul Karim")</f>
        <v>Amadou Hamidou Abdoul Karim</v>
      </c>
      <c r="B957" s="16"/>
      <c r="C957" s="14"/>
      <c r="F957" s="16" t="str">
        <f>IFERROR(__xludf.DUMMYFUNCTION("""COMPUTED_VALUE"""),"Toumboulana")</f>
        <v>Toumboulana</v>
      </c>
      <c r="G957" s="16"/>
      <c r="H957" s="14"/>
      <c r="K957" s="16">
        <f>IFERROR(__xludf.DUMMYFUNCTION("""COMPUTED_VALUE"""),563.0)</f>
        <v>563</v>
      </c>
      <c r="L957" s="16"/>
      <c r="M957" s="14"/>
    </row>
    <row r="958">
      <c r="A958" s="16" t="str">
        <f>IFERROR(__xludf.DUMMYFUNCTION("""COMPUTED_VALUE"""),"Amadou Hamidou Abdoul Karim")</f>
        <v>Amadou Hamidou Abdoul Karim</v>
      </c>
      <c r="B958" s="16"/>
      <c r="C958" s="14"/>
      <c r="F958" s="16" t="str">
        <f>IFERROR(__xludf.DUMMYFUNCTION("""COMPUTED_VALUE"""),"Toumboulana")</f>
        <v>Toumboulana</v>
      </c>
      <c r="G958" s="16"/>
      <c r="H958" s="14"/>
      <c r="K958" s="16">
        <f>IFERROR(__xludf.DUMMYFUNCTION("""COMPUTED_VALUE"""),439.0)</f>
        <v>439</v>
      </c>
      <c r="L958" s="16"/>
      <c r="M958" s="14"/>
    </row>
    <row r="959">
      <c r="A959" s="16" t="str">
        <f>IFERROR(__xludf.DUMMYFUNCTION("""COMPUTED_VALUE"""),"Amadou Hamidou Abdoul Karim")</f>
        <v>Amadou Hamidou Abdoul Karim</v>
      </c>
      <c r="B959" s="16"/>
      <c r="C959" s="14"/>
      <c r="F959" s="16" t="str">
        <f>IFERROR(__xludf.DUMMYFUNCTION("""COMPUTED_VALUE"""),"Toumboulana")</f>
        <v>Toumboulana</v>
      </c>
      <c r="G959" s="16"/>
      <c r="H959" s="14"/>
      <c r="K959" s="16">
        <f>IFERROR(__xludf.DUMMYFUNCTION("""COMPUTED_VALUE"""),518.0)</f>
        <v>518</v>
      </c>
      <c r="L959" s="16"/>
      <c r="M959" s="14"/>
    </row>
    <row r="960">
      <c r="A960" s="16" t="str">
        <f>IFERROR(__xludf.DUMMYFUNCTION("""COMPUTED_VALUE"""),"Amadou Hamidou Abdoul Karim")</f>
        <v>Amadou Hamidou Abdoul Karim</v>
      </c>
      <c r="B960" s="16"/>
      <c r="C960" s="14"/>
      <c r="F960" s="16" t="str">
        <f>IFERROR(__xludf.DUMMYFUNCTION("""COMPUTED_VALUE"""),"Toumboulana")</f>
        <v>Toumboulana</v>
      </c>
      <c r="G960" s="16"/>
      <c r="H960" s="14"/>
      <c r="K960" s="16">
        <f>IFERROR(__xludf.DUMMYFUNCTION("""COMPUTED_VALUE"""),562.0)</f>
        <v>562</v>
      </c>
      <c r="L960" s="16"/>
      <c r="M960" s="14"/>
    </row>
    <row r="961">
      <c r="A961" s="16" t="str">
        <f>IFERROR(__xludf.DUMMYFUNCTION("""COMPUTED_VALUE"""),"Amadou Hamidou Abdoul Karim")</f>
        <v>Amadou Hamidou Abdoul Karim</v>
      </c>
      <c r="B961" s="16"/>
      <c r="C961" s="14"/>
      <c r="F961" s="16" t="str">
        <f>IFERROR(__xludf.DUMMYFUNCTION("""COMPUTED_VALUE"""),"Toumboulana")</f>
        <v>Toumboulana</v>
      </c>
      <c r="G961" s="16"/>
      <c r="H961" s="14"/>
      <c r="K961" s="16">
        <f>IFERROR(__xludf.DUMMYFUNCTION("""COMPUTED_VALUE"""),1741.0)</f>
        <v>1741</v>
      </c>
      <c r="L961" s="16"/>
      <c r="M961" s="14"/>
    </row>
    <row r="962">
      <c r="A962" s="16" t="str">
        <f>IFERROR(__xludf.DUMMYFUNCTION("""COMPUTED_VALUE"""),"Amadou Hamidou Abdoul Karim")</f>
        <v>Amadou Hamidou Abdoul Karim</v>
      </c>
      <c r="B962" s="16"/>
      <c r="C962" s="14"/>
      <c r="F962" s="16" t="str">
        <f>IFERROR(__xludf.DUMMYFUNCTION("""COMPUTED_VALUE"""),"Toumboulana")</f>
        <v>Toumboulana</v>
      </c>
      <c r="G962" s="16"/>
      <c r="H962" s="14"/>
      <c r="K962" s="16">
        <f>IFERROR(__xludf.DUMMYFUNCTION("""COMPUTED_VALUE"""),1457.0)</f>
        <v>1457</v>
      </c>
      <c r="L962" s="16"/>
      <c r="M962" s="14"/>
    </row>
    <row r="963">
      <c r="A963" s="16" t="str">
        <f>IFERROR(__xludf.DUMMYFUNCTION("""COMPUTED_VALUE"""),"Amadou Hamidou Abdoul Karim")</f>
        <v>Amadou Hamidou Abdoul Karim</v>
      </c>
      <c r="B963" s="16"/>
      <c r="C963" s="14"/>
      <c r="F963" s="16" t="str">
        <f>IFERROR(__xludf.DUMMYFUNCTION("""COMPUTED_VALUE"""),"Toumboulana")</f>
        <v>Toumboulana</v>
      </c>
      <c r="G963" s="16"/>
      <c r="H963" s="14"/>
      <c r="K963" s="16">
        <f>IFERROR(__xludf.DUMMYFUNCTION("""COMPUTED_VALUE"""),1631.0)</f>
        <v>1631</v>
      </c>
      <c r="L963" s="16"/>
      <c r="M963" s="14"/>
    </row>
    <row r="964">
      <c r="A964" s="16" t="str">
        <f>IFERROR(__xludf.DUMMYFUNCTION("""COMPUTED_VALUE"""),"Amadou Hamidou Abdoul Karim")</f>
        <v>Amadou Hamidou Abdoul Karim</v>
      </c>
      <c r="B964" s="16"/>
      <c r="C964" s="14"/>
      <c r="F964" s="16" t="str">
        <f>IFERROR(__xludf.DUMMYFUNCTION("""COMPUTED_VALUE"""),"Toumboulana")</f>
        <v>Toumboulana</v>
      </c>
      <c r="G964" s="16"/>
      <c r="H964" s="14"/>
      <c r="K964" s="16">
        <f>IFERROR(__xludf.DUMMYFUNCTION("""COMPUTED_VALUE"""),840.0)</f>
        <v>840</v>
      </c>
      <c r="L964" s="16"/>
      <c r="M964" s="14"/>
    </row>
    <row r="965">
      <c r="A965" s="16" t="str">
        <f>IFERROR(__xludf.DUMMYFUNCTION("""COMPUTED_VALUE"""),"Binta Maman")</f>
        <v>Binta Maman</v>
      </c>
      <c r="B965" s="16"/>
      <c r="C965" s="14"/>
      <c r="F965" s="16" t="str">
        <f>IFERROR(__xludf.DUMMYFUNCTION("""COMPUTED_VALUE"""),"Toumboulana")</f>
        <v>Toumboulana</v>
      </c>
      <c r="G965" s="16"/>
      <c r="H965" s="14"/>
      <c r="K965" s="16">
        <f>IFERROR(__xludf.DUMMYFUNCTION("""COMPUTED_VALUE"""),1056.0)</f>
        <v>1056</v>
      </c>
      <c r="L965" s="16"/>
      <c r="M965" s="14"/>
    </row>
    <row r="966">
      <c r="A966" s="16" t="str">
        <f>IFERROR(__xludf.DUMMYFUNCTION("""COMPUTED_VALUE"""),"Binta Maman")</f>
        <v>Binta Maman</v>
      </c>
      <c r="B966" s="16"/>
      <c r="C966" s="14"/>
      <c r="F966" s="16" t="str">
        <f>IFERROR(__xludf.DUMMYFUNCTION("""COMPUTED_VALUE"""),"Toumboulana")</f>
        <v>Toumboulana</v>
      </c>
      <c r="G966" s="16"/>
      <c r="H966" s="14"/>
      <c r="K966" s="16">
        <f>IFERROR(__xludf.DUMMYFUNCTION("""COMPUTED_VALUE"""),1475.0)</f>
        <v>1475</v>
      </c>
      <c r="L966" s="16"/>
      <c r="M966" s="14"/>
    </row>
    <row r="967">
      <c r="A967" s="16" t="str">
        <f>IFERROR(__xludf.DUMMYFUNCTION("""COMPUTED_VALUE"""),"Binta Maman")</f>
        <v>Binta Maman</v>
      </c>
      <c r="B967" s="16"/>
      <c r="C967" s="14"/>
      <c r="F967" s="16" t="str">
        <f>IFERROR(__xludf.DUMMYFUNCTION("""COMPUTED_VALUE"""),"Guidan Kago")</f>
        <v>Guidan Kago</v>
      </c>
      <c r="G967" s="16"/>
      <c r="H967" s="14"/>
      <c r="K967" s="16">
        <f>IFERROR(__xludf.DUMMYFUNCTION("""COMPUTED_VALUE"""),540.0)</f>
        <v>540</v>
      </c>
      <c r="L967" s="16"/>
      <c r="M967" s="14"/>
    </row>
    <row r="968">
      <c r="A968" s="16" t="str">
        <f>IFERROR(__xludf.DUMMYFUNCTION("""COMPUTED_VALUE"""),"Binta Maman")</f>
        <v>Binta Maman</v>
      </c>
      <c r="B968" s="16"/>
      <c r="C968" s="14"/>
      <c r="F968" s="16" t="str">
        <f>IFERROR(__xludf.DUMMYFUNCTION("""COMPUTED_VALUE"""),"Guidan Kago")</f>
        <v>Guidan Kago</v>
      </c>
      <c r="G968" s="16"/>
      <c r="H968" s="14"/>
      <c r="K968" s="16">
        <f>IFERROR(__xludf.DUMMYFUNCTION("""COMPUTED_VALUE"""),431.0)</f>
        <v>431</v>
      </c>
      <c r="L968" s="16"/>
      <c r="M968" s="14"/>
    </row>
    <row r="969">
      <c r="A969" s="16" t="str">
        <f>IFERROR(__xludf.DUMMYFUNCTION("""COMPUTED_VALUE"""),"Abdoul Salami Ibrahim")</f>
        <v>Abdoul Salami Ibrahim</v>
      </c>
      <c r="B969" s="16"/>
      <c r="C969" s="14"/>
      <c r="F969" s="16" t="str">
        <f>IFERROR(__xludf.DUMMYFUNCTION("""COMPUTED_VALUE"""),"Guidan Kago")</f>
        <v>Guidan Kago</v>
      </c>
      <c r="G969" s="16"/>
      <c r="H969" s="14"/>
      <c r="K969" s="16">
        <f>IFERROR(__xludf.DUMMYFUNCTION("""COMPUTED_VALUE"""),424.0)</f>
        <v>424</v>
      </c>
      <c r="L969" s="16"/>
      <c r="M969" s="14"/>
    </row>
    <row r="970">
      <c r="A970" s="16" t="str">
        <f>IFERROR(__xludf.DUMMYFUNCTION("""COMPUTED_VALUE"""),"Abdoul Salami Ibrahim")</f>
        <v>Abdoul Salami Ibrahim</v>
      </c>
      <c r="B970" s="16"/>
      <c r="C970" s="14"/>
      <c r="F970" s="16" t="str">
        <f>IFERROR(__xludf.DUMMYFUNCTION("""COMPUTED_VALUE"""),"Guidan Kago")</f>
        <v>Guidan Kago</v>
      </c>
      <c r="G970" s="16"/>
      <c r="H970" s="14"/>
      <c r="K970" s="16">
        <f>IFERROR(__xludf.DUMMYFUNCTION("""COMPUTED_VALUE"""),560.0)</f>
        <v>560</v>
      </c>
      <c r="L970" s="16"/>
      <c r="M970" s="14"/>
    </row>
    <row r="971">
      <c r="A971" s="16" t="str">
        <f>IFERROR(__xludf.DUMMYFUNCTION("""COMPUTED_VALUE"""),"Abdoul Salami Ibrahim")</f>
        <v>Abdoul Salami Ibrahim</v>
      </c>
      <c r="B971" s="16"/>
      <c r="C971" s="14"/>
      <c r="F971" s="16" t="str">
        <f>IFERROR(__xludf.DUMMYFUNCTION("""COMPUTED_VALUE"""),"Guidan Kago")</f>
        <v>Guidan Kago</v>
      </c>
      <c r="G971" s="16"/>
      <c r="H971" s="14"/>
      <c r="K971" s="16">
        <f>IFERROR(__xludf.DUMMYFUNCTION("""COMPUTED_VALUE"""),1395.0)</f>
        <v>1395</v>
      </c>
      <c r="L971" s="16"/>
      <c r="M971" s="14"/>
    </row>
    <row r="972">
      <c r="A972" s="16" t="str">
        <f>IFERROR(__xludf.DUMMYFUNCTION("""COMPUTED_VALUE"""),"Rabi Boubacar Younoussa")</f>
        <v>Rabi Boubacar Younoussa</v>
      </c>
      <c r="B972" s="16"/>
      <c r="C972" s="14"/>
      <c r="F972" s="16" t="str">
        <f>IFERROR(__xludf.DUMMYFUNCTION("""COMPUTED_VALUE"""),"Guidan Kago")</f>
        <v>Guidan Kago</v>
      </c>
      <c r="G972" s="16"/>
      <c r="H972" s="14"/>
      <c r="K972" s="16">
        <f>IFERROR(__xludf.DUMMYFUNCTION("""COMPUTED_VALUE"""),1326.0)</f>
        <v>1326</v>
      </c>
      <c r="L972" s="16"/>
      <c r="M972" s="14"/>
    </row>
    <row r="973">
      <c r="A973" s="16" t="str">
        <f>IFERROR(__xludf.DUMMYFUNCTION("""COMPUTED_VALUE"""),"Rabi Boubacar Younoussa")</f>
        <v>Rabi Boubacar Younoussa</v>
      </c>
      <c r="B973" s="16"/>
      <c r="C973" s="14"/>
      <c r="F973" s="16" t="str">
        <f>IFERROR(__xludf.DUMMYFUNCTION("""COMPUTED_VALUE"""),"Guidan Kago")</f>
        <v>Guidan Kago</v>
      </c>
      <c r="G973" s="16"/>
      <c r="H973" s="14"/>
      <c r="K973" s="16">
        <f>IFERROR(__xludf.DUMMYFUNCTION("""COMPUTED_VALUE"""),1086.0)</f>
        <v>1086</v>
      </c>
      <c r="L973" s="16"/>
      <c r="M973" s="14"/>
    </row>
    <row r="974">
      <c r="A974" s="16" t="str">
        <f>IFERROR(__xludf.DUMMYFUNCTION("""COMPUTED_VALUE"""),"Rabi Boubacar Younoussa")</f>
        <v>Rabi Boubacar Younoussa</v>
      </c>
      <c r="B974" s="16"/>
      <c r="C974" s="14"/>
      <c r="F974" s="16" t="str">
        <f>IFERROR(__xludf.DUMMYFUNCTION("""COMPUTED_VALUE"""),"Dogon Gona")</f>
        <v>Dogon Gona</v>
      </c>
      <c r="G974" s="16"/>
      <c r="H974" s="14"/>
      <c r="K974" s="16">
        <f>IFERROR(__xludf.DUMMYFUNCTION("""COMPUTED_VALUE"""),557.0)</f>
        <v>557</v>
      </c>
      <c r="L974" s="16"/>
      <c r="M974" s="14"/>
    </row>
    <row r="975">
      <c r="A975" s="16" t="str">
        <f>IFERROR(__xludf.DUMMYFUNCTION("""COMPUTED_VALUE"""),"Rabi Boubacar Younoussa")</f>
        <v>Rabi Boubacar Younoussa</v>
      </c>
      <c r="B975" s="16"/>
      <c r="C975" s="14"/>
      <c r="F975" s="16" t="str">
        <f>IFERROR(__xludf.DUMMYFUNCTION("""COMPUTED_VALUE"""),"Toudou Kiara")</f>
        <v>Toudou Kiara</v>
      </c>
      <c r="G975" s="16"/>
      <c r="H975" s="14"/>
      <c r="K975" s="16">
        <f>IFERROR(__xludf.DUMMYFUNCTION("""COMPUTED_VALUE"""),819.0)</f>
        <v>819</v>
      </c>
      <c r="L975" s="16"/>
      <c r="M975" s="14"/>
    </row>
    <row r="976">
      <c r="A976" s="16" t="str">
        <f>IFERROR(__xludf.DUMMYFUNCTION("""COMPUTED_VALUE"""),"Yacouba Idé dit Lumana")</f>
        <v>Yacouba Idé dit Lumana</v>
      </c>
      <c r="B976" s="16"/>
      <c r="C976" s="14"/>
      <c r="F976" s="16" t="str">
        <f>IFERROR(__xludf.DUMMYFUNCTION("""COMPUTED_VALUE"""),"Toudou Kiara")</f>
        <v>Toudou Kiara</v>
      </c>
      <c r="G976" s="16"/>
      <c r="H976" s="14"/>
      <c r="K976" s="16">
        <f>IFERROR(__xludf.DUMMYFUNCTION("""COMPUTED_VALUE"""),1440.0)</f>
        <v>1440</v>
      </c>
      <c r="L976" s="16"/>
      <c r="M976" s="14"/>
    </row>
    <row r="977">
      <c r="A977" s="16" t="str">
        <f>IFERROR(__xludf.DUMMYFUNCTION("""COMPUTED_VALUE"""),"Yacouba Idé dit Lumana")</f>
        <v>Yacouba Idé dit Lumana</v>
      </c>
      <c r="B977" s="16"/>
      <c r="C977" s="14"/>
      <c r="F977" s="16" t="str">
        <f>IFERROR(__xludf.DUMMYFUNCTION("""COMPUTED_VALUE"""),"Toudou Kiara")</f>
        <v>Toudou Kiara</v>
      </c>
      <c r="G977" s="16"/>
      <c r="H977" s="14"/>
      <c r="K977" s="16">
        <f>IFERROR(__xludf.DUMMYFUNCTION("""COMPUTED_VALUE"""),1270.0)</f>
        <v>1270</v>
      </c>
      <c r="L977" s="16"/>
      <c r="M977" s="14"/>
    </row>
    <row r="978">
      <c r="A978" s="16" t="str">
        <f>IFERROR(__xludf.DUMMYFUNCTION("""COMPUTED_VALUE"""),"Yacouba Idé dit Lumana")</f>
        <v>Yacouba Idé dit Lumana</v>
      </c>
      <c r="B978" s="16"/>
      <c r="C978" s="14"/>
      <c r="F978" s="16" t="str">
        <f>IFERROR(__xludf.DUMMYFUNCTION("""COMPUTED_VALUE"""),"Toudou Kiara")</f>
        <v>Toudou Kiara</v>
      </c>
      <c r="G978" s="16"/>
      <c r="H978" s="14"/>
      <c r="K978" s="16">
        <f>IFERROR(__xludf.DUMMYFUNCTION("""COMPUTED_VALUE"""),1199.0)</f>
        <v>1199</v>
      </c>
      <c r="L978" s="16"/>
      <c r="M978" s="14"/>
    </row>
    <row r="979">
      <c r="A979" s="16" t="str">
        <f>IFERROR(__xludf.DUMMYFUNCTION("""COMPUTED_VALUE"""),"Yacouba Idé dit Lumana")</f>
        <v>Yacouba Idé dit Lumana</v>
      </c>
      <c r="B979" s="16"/>
      <c r="C979" s="14"/>
      <c r="F979" s="16" t="str">
        <f>IFERROR(__xludf.DUMMYFUNCTION("""COMPUTED_VALUE"""),"Toudou Kiara")</f>
        <v>Toudou Kiara</v>
      </c>
      <c r="G979" s="16"/>
      <c r="H979" s="14"/>
      <c r="K979" s="16">
        <f>IFERROR(__xludf.DUMMYFUNCTION("""COMPUTED_VALUE"""),1138.0)</f>
        <v>1138</v>
      </c>
      <c r="L979" s="16"/>
      <c r="M979" s="14"/>
    </row>
    <row r="980">
      <c r="A980" s="16" t="str">
        <f>IFERROR(__xludf.DUMMYFUNCTION("""COMPUTED_VALUE"""),"Razinatou Salissou")</f>
        <v>Razinatou Salissou</v>
      </c>
      <c r="B980" s="16"/>
      <c r="C980" s="14"/>
      <c r="F980" s="16" t="str">
        <f>IFERROR(__xludf.DUMMYFUNCTION("""COMPUTED_VALUE"""),"Toudou Kiara")</f>
        <v>Toudou Kiara</v>
      </c>
      <c r="G980" s="16"/>
      <c r="H980" s="14"/>
      <c r="K980" s="16">
        <f>IFERROR(__xludf.DUMMYFUNCTION("""COMPUTED_VALUE"""),682.0)</f>
        <v>682</v>
      </c>
      <c r="L980" s="16"/>
      <c r="M980" s="14"/>
    </row>
    <row r="981">
      <c r="A981" s="16" t="str">
        <f>IFERROR(__xludf.DUMMYFUNCTION("""COMPUTED_VALUE"""),"Razinatou Salissou")</f>
        <v>Razinatou Salissou</v>
      </c>
      <c r="B981" s="16"/>
      <c r="C981" s="14"/>
      <c r="F981" s="16" t="str">
        <f>IFERROR(__xludf.DUMMYFUNCTION("""COMPUTED_VALUE"""),"Toudou Kiara")</f>
        <v>Toudou Kiara</v>
      </c>
      <c r="G981" s="16"/>
      <c r="H981" s="14"/>
      <c r="K981" s="16">
        <f>IFERROR(__xludf.DUMMYFUNCTION("""COMPUTED_VALUE"""),1390.0)</f>
        <v>1390</v>
      </c>
      <c r="L981" s="16"/>
      <c r="M981" s="14"/>
    </row>
    <row r="982">
      <c r="A982" s="16" t="str">
        <f>IFERROR(__xludf.DUMMYFUNCTION("""COMPUTED_VALUE"""),"Razinatou Salissou")</f>
        <v>Razinatou Salissou</v>
      </c>
      <c r="B982" s="16"/>
      <c r="C982" s="14"/>
      <c r="F982" s="16" t="str">
        <f>IFERROR(__xludf.DUMMYFUNCTION("""COMPUTED_VALUE"""),"Toudou Kiara")</f>
        <v>Toudou Kiara</v>
      </c>
      <c r="G982" s="16"/>
      <c r="H982" s="14"/>
      <c r="K982" s="16">
        <f>IFERROR(__xludf.DUMMYFUNCTION("""COMPUTED_VALUE"""),833.0)</f>
        <v>833</v>
      </c>
      <c r="L982" s="16"/>
      <c r="M982" s="14"/>
    </row>
    <row r="983">
      <c r="A983" s="16" t="str">
        <f>IFERROR(__xludf.DUMMYFUNCTION("""COMPUTED_VALUE"""),"Razinatou Salissou")</f>
        <v>Razinatou Salissou</v>
      </c>
      <c r="B983" s="16"/>
      <c r="C983" s="14"/>
      <c r="F983" s="16" t="str">
        <f>IFERROR(__xludf.DUMMYFUNCTION("""COMPUTED_VALUE"""),"Toudou Kiara")</f>
        <v>Toudou Kiara</v>
      </c>
      <c r="G983" s="16"/>
      <c r="H983" s="14"/>
      <c r="K983" s="16">
        <f>IFERROR(__xludf.DUMMYFUNCTION("""COMPUTED_VALUE"""),343.0)</f>
        <v>343</v>
      </c>
      <c r="L983" s="16"/>
      <c r="M983" s="14"/>
    </row>
    <row r="984">
      <c r="A984" s="16" t="str">
        <f>IFERROR(__xludf.DUMMYFUNCTION("""COMPUTED_VALUE"""),"Moumouni Adamou Yahaya")</f>
        <v>Moumouni Adamou Yahaya</v>
      </c>
      <c r="B984" s="16"/>
      <c r="C984" s="14"/>
      <c r="F984" s="16" t="str">
        <f>IFERROR(__xludf.DUMMYFUNCTION("""COMPUTED_VALUE"""),"Toudou Kiara")</f>
        <v>Toudou Kiara</v>
      </c>
      <c r="G984" s="16"/>
      <c r="H984" s="14"/>
      <c r="K984" s="16">
        <f>IFERROR(__xludf.DUMMYFUNCTION("""COMPUTED_VALUE"""),1340.0)</f>
        <v>1340</v>
      </c>
      <c r="L984" s="16"/>
      <c r="M984" s="14"/>
    </row>
    <row r="985">
      <c r="A985" s="16" t="str">
        <f>IFERROR(__xludf.DUMMYFUNCTION("""COMPUTED_VALUE"""),"Larabou Chamsoudine")</f>
        <v>Larabou Chamsoudine</v>
      </c>
      <c r="B985" s="16"/>
      <c r="C985" s="14"/>
      <c r="F985" s="16" t="str">
        <f>IFERROR(__xludf.DUMMYFUNCTION("""COMPUTED_VALUE"""),"Toudou Kiara")</f>
        <v>Toudou Kiara</v>
      </c>
      <c r="G985" s="16"/>
      <c r="H985" s="14"/>
      <c r="K985" s="16">
        <f>IFERROR(__xludf.DUMMYFUNCTION("""COMPUTED_VALUE"""),2008.0)</f>
        <v>2008</v>
      </c>
      <c r="L985" s="16"/>
      <c r="M985" s="14"/>
    </row>
    <row r="986">
      <c r="A986" s="16" t="str">
        <f>IFERROR(__xludf.DUMMYFUNCTION("""COMPUTED_VALUE"""),"Larabou Chamsoudine")</f>
        <v>Larabou Chamsoudine</v>
      </c>
      <c r="B986" s="16"/>
      <c r="C986" s="14"/>
      <c r="F986" s="16" t="str">
        <f>IFERROR(__xludf.DUMMYFUNCTION("""COMPUTED_VALUE"""),"Rougga")</f>
        <v>Rougga</v>
      </c>
      <c r="G986" s="16"/>
      <c r="H986" s="14"/>
      <c r="K986" s="16">
        <f>IFERROR(__xludf.DUMMYFUNCTION("""COMPUTED_VALUE"""),487.0)</f>
        <v>487</v>
      </c>
      <c r="L986" s="16"/>
      <c r="M986" s="14"/>
    </row>
    <row r="987">
      <c r="A987" s="16" t="str">
        <f>IFERROR(__xludf.DUMMYFUNCTION("""COMPUTED_VALUE"""),"Larabou Chamsoudine")</f>
        <v>Larabou Chamsoudine</v>
      </c>
      <c r="B987" s="16"/>
      <c r="C987" s="14"/>
      <c r="F987" s="16" t="str">
        <f>IFERROR(__xludf.DUMMYFUNCTION("""COMPUTED_VALUE"""),"Rougga")</f>
        <v>Rougga</v>
      </c>
      <c r="G987" s="16"/>
      <c r="H987" s="14"/>
      <c r="K987" s="16">
        <f>IFERROR(__xludf.DUMMYFUNCTION("""COMPUTED_VALUE"""),1572.0)</f>
        <v>1572</v>
      </c>
      <c r="L987" s="16"/>
      <c r="M987" s="14"/>
    </row>
    <row r="988">
      <c r="A988" s="16" t="str">
        <f>IFERROR(__xludf.DUMMYFUNCTION("""COMPUTED_VALUE"""),"Larabou Chamsoudine")</f>
        <v>Larabou Chamsoudine</v>
      </c>
      <c r="B988" s="16"/>
      <c r="C988" s="14"/>
      <c r="F988" s="16" t="str">
        <f>IFERROR(__xludf.DUMMYFUNCTION("""COMPUTED_VALUE"""),"Rougga")</f>
        <v>Rougga</v>
      </c>
      <c r="G988" s="16"/>
      <c r="H988" s="14"/>
      <c r="K988" s="16">
        <f>IFERROR(__xludf.DUMMYFUNCTION("""COMPUTED_VALUE"""),1545.0)</f>
        <v>1545</v>
      </c>
      <c r="L988" s="16"/>
      <c r="M988" s="14"/>
    </row>
    <row r="989">
      <c r="A989" s="16" t="str">
        <f>IFERROR(__xludf.DUMMYFUNCTION("""COMPUTED_VALUE"""),"Larabou Chamsoudine")</f>
        <v>Larabou Chamsoudine</v>
      </c>
      <c r="B989" s="16"/>
      <c r="C989" s="14"/>
      <c r="F989" s="16" t="str">
        <f>IFERROR(__xludf.DUMMYFUNCTION("""COMPUTED_VALUE"""),"Rougga")</f>
        <v>Rougga</v>
      </c>
      <c r="G989" s="16"/>
      <c r="H989" s="14"/>
      <c r="K989" s="16">
        <f>IFERROR(__xludf.DUMMYFUNCTION("""COMPUTED_VALUE"""),2641.0)</f>
        <v>2641</v>
      </c>
      <c r="L989" s="16"/>
      <c r="M989" s="14"/>
    </row>
    <row r="990">
      <c r="A990" s="16" t="str">
        <f>IFERROR(__xludf.DUMMYFUNCTION("""COMPUTED_VALUE"""),"Larabou Chamsoudine")</f>
        <v>Larabou Chamsoudine</v>
      </c>
      <c r="B990" s="16"/>
      <c r="C990" s="14"/>
      <c r="F990" s="16" t="str">
        <f>IFERROR(__xludf.DUMMYFUNCTION("""COMPUTED_VALUE"""),"Rougga")</f>
        <v>Rougga</v>
      </c>
      <c r="G990" s="16"/>
      <c r="H990" s="14"/>
      <c r="K990" s="16">
        <f>IFERROR(__xludf.DUMMYFUNCTION("""COMPUTED_VALUE"""),361.0)</f>
        <v>361</v>
      </c>
      <c r="L990" s="16"/>
      <c r="M990" s="14"/>
    </row>
    <row r="991">
      <c r="A991" s="16" t="str">
        <f>IFERROR(__xludf.DUMMYFUNCTION("""COMPUTED_VALUE"""),"Larabou Chamsoudine")</f>
        <v>Larabou Chamsoudine</v>
      </c>
      <c r="B991" s="16"/>
      <c r="C991" s="14"/>
      <c r="F991" s="16" t="str">
        <f>IFERROR(__xludf.DUMMYFUNCTION("""COMPUTED_VALUE"""),"Rougga")</f>
        <v>Rougga</v>
      </c>
      <c r="G991" s="16"/>
      <c r="H991" s="14"/>
      <c r="K991" s="16">
        <f>IFERROR(__xludf.DUMMYFUNCTION("""COMPUTED_VALUE"""),662.0)</f>
        <v>662</v>
      </c>
      <c r="L991" s="16"/>
      <c r="M991" s="14"/>
    </row>
    <row r="992">
      <c r="A992" s="16" t="str">
        <f>IFERROR(__xludf.DUMMYFUNCTION("""COMPUTED_VALUE"""),"Amadou Tidjani Ousmane")</f>
        <v>Amadou Tidjani Ousmane</v>
      </c>
      <c r="B992" s="16"/>
      <c r="C992" s="14"/>
      <c r="F992" s="16" t="str">
        <f>IFERROR(__xludf.DUMMYFUNCTION("""COMPUTED_VALUE"""),"Rougga")</f>
        <v>Rougga</v>
      </c>
      <c r="G992" s="16"/>
      <c r="H992" s="14"/>
      <c r="K992" s="16">
        <f>IFERROR(__xludf.DUMMYFUNCTION("""COMPUTED_VALUE"""),2184.0)</f>
        <v>2184</v>
      </c>
      <c r="L992" s="16"/>
      <c r="M992" s="14"/>
    </row>
    <row r="993">
      <c r="A993" s="16" t="str">
        <f>IFERROR(__xludf.DUMMYFUNCTION("""COMPUTED_VALUE"""),"Amadou Tidjani Ousmane")</f>
        <v>Amadou Tidjani Ousmane</v>
      </c>
      <c r="B993" s="16"/>
      <c r="C993" s="14"/>
      <c r="F993" s="16" t="str">
        <f>IFERROR(__xludf.DUMMYFUNCTION("""COMPUTED_VALUE"""),"Dogon Gona")</f>
        <v>Dogon Gona</v>
      </c>
      <c r="G993" s="16"/>
      <c r="H993" s="14"/>
      <c r="K993" s="16">
        <f>IFERROR(__xludf.DUMMYFUNCTION("""COMPUTED_VALUE"""),1623.0)</f>
        <v>1623</v>
      </c>
      <c r="L993" s="16"/>
      <c r="M993" s="14"/>
    </row>
    <row r="994">
      <c r="A994" s="16" t="str">
        <f>IFERROR(__xludf.DUMMYFUNCTION("""COMPUTED_VALUE"""),"Razinatou Salissou")</f>
        <v>Razinatou Salissou</v>
      </c>
      <c r="B994" s="16"/>
      <c r="C994" s="14"/>
      <c r="F994" s="16" t="str">
        <f>IFERROR(__xludf.DUMMYFUNCTION("""COMPUTED_VALUE"""),"Dogon Gona")</f>
        <v>Dogon Gona</v>
      </c>
      <c r="G994" s="16"/>
      <c r="H994" s="14"/>
      <c r="K994" s="16">
        <f>IFERROR(__xludf.DUMMYFUNCTION("""COMPUTED_VALUE"""),2245.0)</f>
        <v>2245</v>
      </c>
      <c r="L994" s="16"/>
      <c r="M994" s="14"/>
    </row>
    <row r="995">
      <c r="A995" s="16" t="str">
        <f>IFERROR(__xludf.DUMMYFUNCTION("""COMPUTED_VALUE"""),"Amadou Tidjani Ousmane")</f>
        <v>Amadou Tidjani Ousmane</v>
      </c>
      <c r="B995" s="16"/>
      <c r="C995" s="14"/>
      <c r="F995" s="16" t="str">
        <f>IFERROR(__xludf.DUMMYFUNCTION("""COMPUTED_VALUE"""),"Dogon Gona")</f>
        <v>Dogon Gona</v>
      </c>
      <c r="G995" s="16"/>
      <c r="H995" s="14"/>
      <c r="K995" s="16">
        <f>IFERROR(__xludf.DUMMYFUNCTION("""COMPUTED_VALUE"""),434.0)</f>
        <v>434</v>
      </c>
      <c r="L995" s="16"/>
      <c r="M995" s="14"/>
    </row>
    <row r="996">
      <c r="A996" s="16" t="str">
        <f>IFERROR(__xludf.DUMMYFUNCTION("""COMPUTED_VALUE"""),"Amadou Tidjani Ousmane")</f>
        <v>Amadou Tidjani Ousmane</v>
      </c>
      <c r="B996" s="16"/>
      <c r="C996" s="14"/>
      <c r="F996" s="16" t="str">
        <f>IFERROR(__xludf.DUMMYFUNCTION("""COMPUTED_VALUE"""),"Dogon Gona")</f>
        <v>Dogon Gona</v>
      </c>
      <c r="G996" s="16"/>
      <c r="H996" s="14"/>
      <c r="K996" s="16">
        <f>IFERROR(__xludf.DUMMYFUNCTION("""COMPUTED_VALUE"""),804.0)</f>
        <v>804</v>
      </c>
      <c r="L996" s="16"/>
      <c r="M996" s="14"/>
    </row>
    <row r="997">
      <c r="A997" s="16" t="str">
        <f>IFERROR(__xludf.DUMMYFUNCTION("""COMPUTED_VALUE"""),"Amadou Tidjani Ousmane")</f>
        <v>Amadou Tidjani Ousmane</v>
      </c>
      <c r="B997" s="16"/>
      <c r="C997" s="14"/>
      <c r="F997" s="16" t="str">
        <f>IFERROR(__xludf.DUMMYFUNCTION("""COMPUTED_VALUE"""),"Dogon Gona")</f>
        <v>Dogon Gona</v>
      </c>
      <c r="G997" s="16"/>
      <c r="H997" s="14"/>
      <c r="K997" s="16">
        <f>IFERROR(__xludf.DUMMYFUNCTION("""COMPUTED_VALUE"""),1529.0)</f>
        <v>1529</v>
      </c>
      <c r="L997" s="16"/>
      <c r="M997" s="14"/>
    </row>
    <row r="998">
      <c r="A998" s="16" t="str">
        <f>IFERROR(__xludf.DUMMYFUNCTION("""COMPUTED_VALUE"""),"Gaoh Maazou")</f>
        <v>Gaoh Maazou</v>
      </c>
      <c r="B998" s="16"/>
      <c r="C998" s="14"/>
      <c r="F998" s="16" t="str">
        <f>IFERROR(__xludf.DUMMYFUNCTION("""COMPUTED_VALUE"""),"Dogon Gona")</f>
        <v>Dogon Gona</v>
      </c>
      <c r="G998" s="16"/>
      <c r="H998" s="14"/>
      <c r="K998" s="16">
        <f>IFERROR(__xludf.DUMMYFUNCTION("""COMPUTED_VALUE"""),526.0)</f>
        <v>526</v>
      </c>
      <c r="L998" s="16"/>
      <c r="M998" s="14"/>
    </row>
    <row r="999">
      <c r="A999" s="16" t="str">
        <f>IFERROR(__xludf.DUMMYFUNCTION("""COMPUTED_VALUE"""),"Gaoh Maazou")</f>
        <v>Gaoh Maazou</v>
      </c>
      <c r="B999" s="16"/>
      <c r="C999" s="14"/>
      <c r="F999" s="16" t="str">
        <f>IFERROR(__xludf.DUMMYFUNCTION("""COMPUTED_VALUE"""),"Dogon Gona")</f>
        <v>Dogon Gona</v>
      </c>
      <c r="G999" s="16"/>
      <c r="H999" s="14"/>
      <c r="K999" s="16">
        <f>IFERROR(__xludf.DUMMYFUNCTION("""COMPUTED_VALUE"""),1833.0)</f>
        <v>1833</v>
      </c>
      <c r="L999" s="16"/>
      <c r="M999" s="14"/>
    </row>
    <row r="1000">
      <c r="A1000" s="16" t="str">
        <f>IFERROR(__xludf.DUMMYFUNCTION("""COMPUTED_VALUE"""),"Gaoh Maazou")</f>
        <v>Gaoh Maazou</v>
      </c>
      <c r="B1000" s="16"/>
      <c r="C1000" s="14"/>
      <c r="F1000" s="16" t="str">
        <f>IFERROR(__xludf.DUMMYFUNCTION("""COMPUTED_VALUE"""),"Dogon Gona")</f>
        <v>Dogon Gona</v>
      </c>
      <c r="G1000" s="16"/>
      <c r="H1000" s="14"/>
      <c r="K1000" s="16">
        <f>IFERROR(__xludf.DUMMYFUNCTION("""COMPUTED_VALUE"""),1701.0)</f>
        <v>1701</v>
      </c>
      <c r="L1000" s="16"/>
      <c r="M1000" s="14"/>
    </row>
    <row r="1001">
      <c r="A1001" s="16" t="str">
        <f>IFERROR(__xludf.DUMMYFUNCTION("""COMPUTED_VALUE"""),"Zakari Aboubacar")</f>
        <v>Zakari Aboubacar</v>
      </c>
      <c r="B1001" s="16"/>
      <c r="C1001" s="14"/>
      <c r="F1001" s="16" t="str">
        <f>IFERROR(__xludf.DUMMYFUNCTION("""COMPUTED_VALUE"""),"Dogon Gona")</f>
        <v>Dogon Gona</v>
      </c>
      <c r="G1001" s="16"/>
      <c r="H1001" s="14"/>
      <c r="K1001" s="16">
        <f>IFERROR(__xludf.DUMMYFUNCTION("""COMPUTED_VALUE"""),516.0)</f>
        <v>516</v>
      </c>
      <c r="L1001" s="16"/>
      <c r="M1001" s="14"/>
    </row>
    <row r="1002">
      <c r="A1002" s="16" t="str">
        <f>IFERROR(__xludf.DUMMYFUNCTION("""COMPUTED_VALUE"""),"Gaoh Maazou")</f>
        <v>Gaoh Maazou</v>
      </c>
      <c r="B1002" s="16"/>
      <c r="C1002" s="14"/>
      <c r="F1002" s="16" t="str">
        <f>IFERROR(__xludf.DUMMYFUNCTION("""COMPUTED_VALUE"""),"Dogon Gona")</f>
        <v>Dogon Gona</v>
      </c>
      <c r="G1002" s="16"/>
      <c r="H1002" s="14"/>
      <c r="K1002" s="16">
        <f>IFERROR(__xludf.DUMMYFUNCTION("""COMPUTED_VALUE"""),766.0)</f>
        <v>766</v>
      </c>
      <c r="L1002" s="16"/>
      <c r="M1002" s="14"/>
    </row>
    <row r="1003">
      <c r="A1003" s="16" t="str">
        <f>IFERROR(__xludf.DUMMYFUNCTION("""COMPUTED_VALUE"""),"Gaoh Maazou")</f>
        <v>Gaoh Maazou</v>
      </c>
      <c r="B1003" s="16"/>
      <c r="C1003" s="14"/>
      <c r="F1003" s="16" t="str">
        <f>IFERROR(__xludf.DUMMYFUNCTION("""COMPUTED_VALUE"""),"Dogon Gona")</f>
        <v>Dogon Gona</v>
      </c>
      <c r="G1003" s="16"/>
      <c r="H1003" s="14"/>
      <c r="K1003" s="16">
        <f>IFERROR(__xludf.DUMMYFUNCTION("""COMPUTED_VALUE"""),4349.0)</f>
        <v>4349</v>
      </c>
      <c r="L1003" s="16"/>
      <c r="M1003" s="14"/>
    </row>
    <row r="1004">
      <c r="A1004" s="16" t="str">
        <f>IFERROR(__xludf.DUMMYFUNCTION("""COMPUTED_VALUE"""),"Zakari Aboubacar")</f>
        <v>Zakari Aboubacar</v>
      </c>
      <c r="B1004" s="16"/>
      <c r="C1004" s="14"/>
      <c r="F1004" s="16" t="str">
        <f>IFERROR(__xludf.DUMMYFUNCTION("""COMPUTED_VALUE"""),"Dogon Gona")</f>
        <v>Dogon Gona</v>
      </c>
      <c r="G1004" s="16"/>
      <c r="H1004" s="14"/>
      <c r="K1004" s="16">
        <f>IFERROR(__xludf.DUMMYFUNCTION("""COMPUTED_VALUE"""),862.0)</f>
        <v>862</v>
      </c>
      <c r="L1004" s="16"/>
      <c r="M1004" s="14"/>
    </row>
    <row r="1005">
      <c r="A1005" s="16" t="str">
        <f>IFERROR(__xludf.DUMMYFUNCTION("""COMPUTED_VALUE"""),"Zakari Aboubacar")</f>
        <v>Zakari Aboubacar</v>
      </c>
      <c r="B1005" s="16"/>
      <c r="C1005" s="14"/>
      <c r="F1005" s="16" t="str">
        <f>IFERROR(__xludf.DUMMYFUNCTION("""COMPUTED_VALUE"""),"Alibou Toudou")</f>
        <v>Alibou Toudou</v>
      </c>
      <c r="G1005" s="16"/>
      <c r="H1005" s="14"/>
      <c r="K1005" s="16">
        <f>IFERROR(__xludf.DUMMYFUNCTION("""COMPUTED_VALUE"""),1111.0)</f>
        <v>1111</v>
      </c>
      <c r="L1005" s="16"/>
      <c r="M1005" s="14"/>
    </row>
    <row r="1006">
      <c r="A1006" s="16" t="str">
        <f>IFERROR(__xludf.DUMMYFUNCTION("""COMPUTED_VALUE"""),"Asmaou Tanko Issa")</f>
        <v>Asmaou Tanko Issa</v>
      </c>
      <c r="B1006" s="16"/>
      <c r="C1006" s="14"/>
      <c r="F1006" s="16" t="str">
        <f>IFERROR(__xludf.DUMMYFUNCTION("""COMPUTED_VALUE"""),"Alibou Toudou")</f>
        <v>Alibou Toudou</v>
      </c>
      <c r="G1006" s="16"/>
      <c r="H1006" s="14"/>
      <c r="K1006" s="16">
        <f>IFERROR(__xludf.DUMMYFUNCTION("""COMPUTED_VALUE"""),539.0)</f>
        <v>539</v>
      </c>
      <c r="L1006" s="16"/>
      <c r="M1006" s="14"/>
    </row>
    <row r="1007">
      <c r="A1007" s="16" t="str">
        <f>IFERROR(__xludf.DUMMYFUNCTION("""COMPUTED_VALUE"""),"Asmaou Tanko Issa")</f>
        <v>Asmaou Tanko Issa</v>
      </c>
      <c r="B1007" s="16"/>
      <c r="C1007" s="14"/>
      <c r="F1007" s="16" t="str">
        <f>IFERROR(__xludf.DUMMYFUNCTION("""COMPUTED_VALUE"""),"Alibou Toudou")</f>
        <v>Alibou Toudou</v>
      </c>
      <c r="G1007" s="16"/>
      <c r="H1007" s="14"/>
      <c r="K1007" s="16">
        <f>IFERROR(__xludf.DUMMYFUNCTION("""COMPUTED_VALUE"""),1434.0)</f>
        <v>1434</v>
      </c>
      <c r="L1007" s="16"/>
      <c r="M1007" s="14"/>
    </row>
    <row r="1008">
      <c r="A1008" s="16" t="str">
        <f>IFERROR(__xludf.DUMMYFUNCTION("""COMPUTED_VALUE"""),"Zakari Aboubacar")</f>
        <v>Zakari Aboubacar</v>
      </c>
      <c r="B1008" s="16"/>
      <c r="C1008" s="14"/>
      <c r="F1008" s="16" t="str">
        <f>IFERROR(__xludf.DUMMYFUNCTION("""COMPUTED_VALUE"""),"Bouloum")</f>
        <v>Bouloum</v>
      </c>
      <c r="G1008" s="16"/>
      <c r="H1008" s="14"/>
      <c r="K1008" s="16">
        <f>IFERROR(__xludf.DUMMYFUNCTION("""COMPUTED_VALUE"""),939.0)</f>
        <v>939</v>
      </c>
      <c r="L1008" s="16"/>
      <c r="M1008" s="14"/>
    </row>
    <row r="1009">
      <c r="A1009" s="16" t="str">
        <f>IFERROR(__xludf.DUMMYFUNCTION("""COMPUTED_VALUE"""),"Zakari Aboubacar")</f>
        <v>Zakari Aboubacar</v>
      </c>
      <c r="B1009" s="16"/>
      <c r="C1009" s="14"/>
      <c r="F1009" s="16" t="str">
        <f>IFERROR(__xludf.DUMMYFUNCTION("""COMPUTED_VALUE"""),"Bouloum")</f>
        <v>Bouloum</v>
      </c>
      <c r="G1009" s="16"/>
      <c r="H1009" s="14"/>
      <c r="K1009" s="16">
        <f>IFERROR(__xludf.DUMMYFUNCTION("""COMPUTED_VALUE"""),1196.0)</f>
        <v>1196</v>
      </c>
      <c r="L1009" s="16"/>
      <c r="M1009" s="14"/>
    </row>
    <row r="1010">
      <c r="A1010" s="16" t="str">
        <f>IFERROR(__xludf.DUMMYFUNCTION("""COMPUTED_VALUE"""),"Zakari Aboubacar")</f>
        <v>Zakari Aboubacar</v>
      </c>
      <c r="B1010" s="16"/>
      <c r="C1010" s="14"/>
      <c r="F1010" s="16" t="str">
        <f>IFERROR(__xludf.DUMMYFUNCTION("""COMPUTED_VALUE"""),"Bouloum")</f>
        <v>Bouloum</v>
      </c>
      <c r="G1010" s="16"/>
      <c r="H1010" s="14"/>
      <c r="K1010" s="16">
        <f>IFERROR(__xludf.DUMMYFUNCTION("""COMPUTED_VALUE"""),1305.0)</f>
        <v>1305</v>
      </c>
      <c r="L1010" s="16"/>
      <c r="M1010" s="14"/>
    </row>
    <row r="1011">
      <c r="A1011" s="16" t="str">
        <f>IFERROR(__xludf.DUMMYFUNCTION("""COMPUTED_VALUE"""),"Zakari Aboubacar")</f>
        <v>Zakari Aboubacar</v>
      </c>
      <c r="B1011" s="16"/>
      <c r="C1011" s="14"/>
      <c r="F1011" s="16" t="str">
        <f>IFERROR(__xludf.DUMMYFUNCTION("""COMPUTED_VALUE"""),"Bouloum")</f>
        <v>Bouloum</v>
      </c>
      <c r="G1011" s="16"/>
      <c r="H1011" s="14"/>
      <c r="K1011" s="16">
        <f>IFERROR(__xludf.DUMMYFUNCTION("""COMPUTED_VALUE"""),481.0)</f>
        <v>481</v>
      </c>
      <c r="L1011" s="16"/>
      <c r="M1011" s="14"/>
    </row>
    <row r="1012">
      <c r="A1012" s="16" t="str">
        <f>IFERROR(__xludf.DUMMYFUNCTION("""COMPUTED_VALUE"""),"Zakari Aboubacar")</f>
        <v>Zakari Aboubacar</v>
      </c>
      <c r="B1012" s="16"/>
      <c r="C1012" s="14"/>
      <c r="F1012" s="16" t="str">
        <f>IFERROR(__xludf.DUMMYFUNCTION("""COMPUTED_VALUE"""),"Bouloum")</f>
        <v>Bouloum</v>
      </c>
      <c r="G1012" s="16"/>
      <c r="H1012" s="14"/>
      <c r="K1012" s="16">
        <f>IFERROR(__xludf.DUMMYFUNCTION("""COMPUTED_VALUE"""),654.0)</f>
        <v>654</v>
      </c>
      <c r="L1012" s="16"/>
      <c r="M1012" s="14"/>
    </row>
    <row r="1013">
      <c r="A1013" s="16" t="str">
        <f>IFERROR(__xludf.DUMMYFUNCTION("""COMPUTED_VALUE"""),"Maman Zayanou Harouna")</f>
        <v>Maman Zayanou Harouna</v>
      </c>
      <c r="B1013" s="16"/>
      <c r="C1013" s="14"/>
      <c r="F1013" s="16" t="str">
        <f>IFERROR(__xludf.DUMMYFUNCTION("""COMPUTED_VALUE"""),"Bouloum")</f>
        <v>Bouloum</v>
      </c>
      <c r="G1013" s="16"/>
      <c r="H1013" s="14"/>
      <c r="K1013" s="16">
        <f>IFERROR(__xludf.DUMMYFUNCTION("""COMPUTED_VALUE"""),666.0)</f>
        <v>666</v>
      </c>
      <c r="L1013" s="16"/>
      <c r="M1013" s="14"/>
    </row>
    <row r="1014">
      <c r="A1014" s="16" t="str">
        <f>IFERROR(__xludf.DUMMYFUNCTION("""COMPUTED_VALUE"""),"Maman Zayanou Harouna")</f>
        <v>Maman Zayanou Harouna</v>
      </c>
      <c r="B1014" s="16"/>
      <c r="C1014" s="14"/>
      <c r="F1014" s="16" t="str">
        <f>IFERROR(__xludf.DUMMYFUNCTION("""COMPUTED_VALUE"""),"Bouloum")</f>
        <v>Bouloum</v>
      </c>
      <c r="G1014" s="16"/>
      <c r="H1014" s="14"/>
      <c r="K1014" s="16">
        <f>IFERROR(__xludf.DUMMYFUNCTION("""COMPUTED_VALUE"""),1059.0)</f>
        <v>1059</v>
      </c>
      <c r="L1014" s="16"/>
      <c r="M1014" s="14"/>
    </row>
    <row r="1015">
      <c r="A1015" s="16" t="str">
        <f>IFERROR(__xludf.DUMMYFUNCTION("""COMPUTED_VALUE"""),"Maman Zayanou Harouna")</f>
        <v>Maman Zayanou Harouna</v>
      </c>
      <c r="B1015" s="16"/>
      <c r="C1015" s="14"/>
      <c r="F1015" s="16" t="str">
        <f>IFERROR(__xludf.DUMMYFUNCTION("""COMPUTED_VALUE"""),"Bouloum")</f>
        <v>Bouloum</v>
      </c>
      <c r="G1015" s="16"/>
      <c r="H1015" s="14"/>
      <c r="K1015" s="16">
        <f>IFERROR(__xludf.DUMMYFUNCTION("""COMPUTED_VALUE"""),2223.0)</f>
        <v>2223</v>
      </c>
      <c r="L1015" s="16"/>
      <c r="M1015" s="14"/>
    </row>
    <row r="1016">
      <c r="A1016" s="16" t="str">
        <f>IFERROR(__xludf.DUMMYFUNCTION("""COMPUTED_VALUE"""),"Maman Zayanou Harouna")</f>
        <v>Maman Zayanou Harouna</v>
      </c>
      <c r="B1016" s="16"/>
      <c r="C1016" s="14"/>
      <c r="F1016" s="16" t="str">
        <f>IFERROR(__xludf.DUMMYFUNCTION("""COMPUTED_VALUE"""),"Kamissa")</f>
        <v>Kamissa</v>
      </c>
      <c r="G1016" s="16"/>
      <c r="H1016" s="14"/>
      <c r="K1016" s="16">
        <f>IFERROR(__xludf.DUMMYFUNCTION("""COMPUTED_VALUE"""),1973.0)</f>
        <v>1973</v>
      </c>
      <c r="L1016" s="16"/>
      <c r="M1016" s="14"/>
    </row>
    <row r="1017">
      <c r="A1017" s="16" t="str">
        <f>IFERROR(__xludf.DUMMYFUNCTION("""COMPUTED_VALUE"""),"Maman Zayanou Harouna")</f>
        <v>Maman Zayanou Harouna</v>
      </c>
      <c r="B1017" s="16"/>
      <c r="C1017" s="14"/>
      <c r="F1017" s="16" t="str">
        <f>IFERROR(__xludf.DUMMYFUNCTION("""COMPUTED_VALUE"""),"Kamissa")</f>
        <v>Kamissa</v>
      </c>
      <c r="G1017" s="16"/>
      <c r="H1017" s="14"/>
      <c r="K1017" s="16">
        <f>IFERROR(__xludf.DUMMYFUNCTION("""COMPUTED_VALUE"""),384.0)</f>
        <v>384</v>
      </c>
      <c r="L1017" s="16"/>
      <c r="M1017" s="14"/>
    </row>
    <row r="1018">
      <c r="A1018" s="16" t="str">
        <f>IFERROR(__xludf.DUMMYFUNCTION("""COMPUTED_VALUE"""),"Maman Zayanou Harouna")</f>
        <v>Maman Zayanou Harouna</v>
      </c>
      <c r="B1018" s="16"/>
      <c r="C1018" s="14"/>
      <c r="F1018" s="16" t="str">
        <f>IFERROR(__xludf.DUMMYFUNCTION("""COMPUTED_VALUE"""),"Kamissa")</f>
        <v>Kamissa</v>
      </c>
      <c r="G1018" s="16"/>
      <c r="H1018" s="14"/>
      <c r="K1018" s="16">
        <f>IFERROR(__xludf.DUMMYFUNCTION("""COMPUTED_VALUE"""),668.0)</f>
        <v>668</v>
      </c>
      <c r="L1018" s="16"/>
      <c r="M1018" s="14"/>
    </row>
    <row r="1019">
      <c r="A1019" s="16" t="str">
        <f>IFERROR(__xludf.DUMMYFUNCTION("""COMPUTED_VALUE"""),"Maman Zayanou Harouna")</f>
        <v>Maman Zayanou Harouna</v>
      </c>
      <c r="B1019" s="16"/>
      <c r="C1019" s="14"/>
      <c r="F1019" s="16" t="str">
        <f>IFERROR(__xludf.DUMMYFUNCTION("""COMPUTED_VALUE"""),"Kamissa")</f>
        <v>Kamissa</v>
      </c>
      <c r="G1019" s="16"/>
      <c r="H1019" s="14"/>
      <c r="K1019" s="16">
        <f>IFERROR(__xludf.DUMMYFUNCTION("""COMPUTED_VALUE"""),420.0)</f>
        <v>420</v>
      </c>
      <c r="L1019" s="16"/>
      <c r="M1019" s="14"/>
    </row>
    <row r="1020">
      <c r="A1020" s="16" t="str">
        <f>IFERROR(__xludf.DUMMYFUNCTION("""COMPUTED_VALUE"""),"Maman Zayanou Harouna")</f>
        <v>Maman Zayanou Harouna</v>
      </c>
      <c r="B1020" s="16"/>
      <c r="C1020" s="14"/>
      <c r="F1020" s="16" t="str">
        <f>IFERROR(__xludf.DUMMYFUNCTION("""COMPUTED_VALUE"""),"Kamissa")</f>
        <v>Kamissa</v>
      </c>
      <c r="G1020" s="16"/>
      <c r="H1020" s="14"/>
      <c r="K1020" s="16">
        <f>IFERROR(__xludf.DUMMYFUNCTION("""COMPUTED_VALUE"""),534.0)</f>
        <v>534</v>
      </c>
      <c r="L1020" s="16"/>
      <c r="M1020" s="14"/>
    </row>
    <row r="1021">
      <c r="A1021" s="16" t="str">
        <f>IFERROR(__xludf.DUMMYFUNCTION("""COMPUTED_VALUE"""),"Maman Zayanou Harouna")</f>
        <v>Maman Zayanou Harouna</v>
      </c>
      <c r="B1021" s="16"/>
      <c r="C1021" s="14"/>
      <c r="F1021" s="16" t="str">
        <f>IFERROR(__xludf.DUMMYFUNCTION("""COMPUTED_VALUE"""),"Kamissa")</f>
        <v>Kamissa</v>
      </c>
      <c r="G1021" s="16"/>
      <c r="H1021" s="14"/>
      <c r="K1021" s="16">
        <f>IFERROR(__xludf.DUMMYFUNCTION("""COMPUTED_VALUE"""),655.0)</f>
        <v>655</v>
      </c>
      <c r="L1021" s="16"/>
      <c r="M1021" s="14"/>
    </row>
    <row r="1022">
      <c r="A1022" s="16" t="str">
        <f>IFERROR(__xludf.DUMMYFUNCTION("""COMPUTED_VALUE"""),"Maman Zayanou Harouna")</f>
        <v>Maman Zayanou Harouna</v>
      </c>
      <c r="B1022" s="16"/>
      <c r="C1022" s="14"/>
      <c r="F1022" s="16" t="str">
        <f>IFERROR(__xludf.DUMMYFUNCTION("""COMPUTED_VALUE"""),"Kamissa")</f>
        <v>Kamissa</v>
      </c>
      <c r="G1022" s="16"/>
      <c r="H1022" s="14"/>
      <c r="K1022" s="16">
        <f>IFERROR(__xludf.DUMMYFUNCTION("""COMPUTED_VALUE"""),438.0)</f>
        <v>438</v>
      </c>
      <c r="L1022" s="16"/>
      <c r="M1022" s="14"/>
    </row>
    <row r="1023">
      <c r="A1023" s="16" t="str">
        <f>IFERROR(__xludf.DUMMYFUNCTION("""COMPUTED_VALUE"""),"Mathieu Alphonse Rachida Juliette")</f>
        <v>Mathieu Alphonse Rachida Juliette</v>
      </c>
      <c r="B1023" s="16"/>
      <c r="C1023" s="14"/>
      <c r="F1023" s="16" t="str">
        <f>IFERROR(__xludf.DUMMYFUNCTION("""COMPUTED_VALUE"""),"Sanbo Ilyasou")</f>
        <v>Sanbo Ilyasou</v>
      </c>
      <c r="G1023" s="16"/>
      <c r="H1023" s="14"/>
      <c r="K1023" s="16">
        <f>IFERROR(__xludf.DUMMYFUNCTION("""COMPUTED_VALUE"""),326.0)</f>
        <v>326</v>
      </c>
      <c r="L1023" s="16"/>
      <c r="M1023" s="14"/>
    </row>
    <row r="1024">
      <c r="A1024" s="16" t="str">
        <f>IFERROR(__xludf.DUMMYFUNCTION("""COMPUTED_VALUE"""),"Mathieu Alphonse Rachida Juliette")</f>
        <v>Mathieu Alphonse Rachida Juliette</v>
      </c>
      <c r="B1024" s="16"/>
      <c r="C1024" s="14"/>
      <c r="F1024" s="16" t="str">
        <f>IFERROR(__xludf.DUMMYFUNCTION("""COMPUTED_VALUE"""),"Sanbo Ilyasou")</f>
        <v>Sanbo Ilyasou</v>
      </c>
      <c r="G1024" s="16"/>
      <c r="H1024" s="14"/>
      <c r="K1024" s="16">
        <f>IFERROR(__xludf.DUMMYFUNCTION("""COMPUTED_VALUE"""),406.0)</f>
        <v>406</v>
      </c>
      <c r="L1024" s="16"/>
      <c r="M1024" s="14"/>
    </row>
    <row r="1025">
      <c r="A1025" s="16" t="str">
        <f>IFERROR(__xludf.DUMMYFUNCTION("""COMPUTED_VALUE"""),"Mathieu Alphonse Rachida Juliette")</f>
        <v>Mathieu Alphonse Rachida Juliette</v>
      </c>
      <c r="B1025" s="16"/>
      <c r="C1025" s="14"/>
      <c r="F1025" s="16" t="str">
        <f>IFERROR(__xludf.DUMMYFUNCTION("""COMPUTED_VALUE"""),"Alibou Toudou")</f>
        <v>Alibou Toudou</v>
      </c>
      <c r="G1025" s="16"/>
      <c r="H1025" s="14"/>
      <c r="K1025" s="16">
        <f>IFERROR(__xludf.DUMMYFUNCTION("""COMPUTED_VALUE"""),403.0)</f>
        <v>403</v>
      </c>
      <c r="L1025" s="16"/>
      <c r="M1025" s="14"/>
    </row>
    <row r="1026">
      <c r="A1026" s="16" t="str">
        <f>IFERROR(__xludf.DUMMYFUNCTION("""COMPUTED_VALUE"""),"Haladou Boukar")</f>
        <v>Haladou Boukar</v>
      </c>
      <c r="B1026" s="16"/>
      <c r="C1026" s="14"/>
      <c r="F1026" s="16" t="str">
        <f>IFERROR(__xludf.DUMMYFUNCTION("""COMPUTED_VALUE"""),"Alibou Toudou")</f>
        <v>Alibou Toudou</v>
      </c>
      <c r="G1026" s="16"/>
      <c r="H1026" s="14"/>
      <c r="K1026" s="16">
        <f>IFERROR(__xludf.DUMMYFUNCTION("""COMPUTED_VALUE"""),466.0)</f>
        <v>466</v>
      </c>
      <c r="L1026" s="16"/>
      <c r="M1026" s="14"/>
    </row>
    <row r="1027">
      <c r="A1027" s="16" t="str">
        <f>IFERROR(__xludf.DUMMYFUNCTION("""COMPUTED_VALUE"""),"Haladou Boukar")</f>
        <v>Haladou Boukar</v>
      </c>
      <c r="B1027" s="16"/>
      <c r="C1027" s="14"/>
      <c r="F1027" s="16" t="str">
        <f>IFERROR(__xludf.DUMMYFUNCTION("""COMPUTED_VALUE"""),"Alibou Toudou")</f>
        <v>Alibou Toudou</v>
      </c>
      <c r="G1027" s="16"/>
      <c r="H1027" s="14"/>
      <c r="K1027" s="16">
        <f>IFERROR(__xludf.DUMMYFUNCTION("""COMPUTED_VALUE"""),605.0)</f>
        <v>605</v>
      </c>
      <c r="L1027" s="16"/>
      <c r="M1027" s="14"/>
    </row>
    <row r="1028">
      <c r="A1028" s="16" t="str">
        <f>IFERROR(__xludf.DUMMYFUNCTION("""COMPUTED_VALUE"""),"Haladou Boukar")</f>
        <v>Haladou Boukar</v>
      </c>
      <c r="B1028" s="16"/>
      <c r="C1028" s="14"/>
      <c r="F1028" s="16" t="str">
        <f>IFERROR(__xludf.DUMMYFUNCTION("""COMPUTED_VALUE"""),"Alibou Toudou")</f>
        <v>Alibou Toudou</v>
      </c>
      <c r="G1028" s="16"/>
      <c r="H1028" s="14"/>
      <c r="K1028" s="16">
        <f>IFERROR(__xludf.DUMMYFUNCTION("""COMPUTED_VALUE"""),1763.0)</f>
        <v>1763</v>
      </c>
      <c r="L1028" s="16"/>
      <c r="M1028" s="14"/>
    </row>
    <row r="1029">
      <c r="A1029" s="16" t="str">
        <f>IFERROR(__xludf.DUMMYFUNCTION("""COMPUTED_VALUE"""),"Haladou Boukar")</f>
        <v>Haladou Boukar</v>
      </c>
      <c r="B1029" s="16"/>
      <c r="C1029" s="14"/>
      <c r="F1029" s="16" t="str">
        <f>IFERROR(__xludf.DUMMYFUNCTION("""COMPUTED_VALUE"""),"Alibou Toudou")</f>
        <v>Alibou Toudou</v>
      </c>
      <c r="G1029" s="16"/>
      <c r="H1029" s="14"/>
      <c r="K1029" s="16">
        <f>IFERROR(__xludf.DUMMYFUNCTION("""COMPUTED_VALUE"""),2265.0)</f>
        <v>2265</v>
      </c>
      <c r="L1029" s="16"/>
      <c r="M1029" s="14"/>
    </row>
    <row r="1030">
      <c r="A1030" s="16" t="str">
        <f>IFERROR(__xludf.DUMMYFUNCTION("""COMPUTED_VALUE"""),"Haladou Boukar")</f>
        <v>Haladou Boukar</v>
      </c>
      <c r="B1030" s="16"/>
      <c r="C1030" s="14"/>
      <c r="F1030" s="16" t="str">
        <f>IFERROR(__xludf.DUMMYFUNCTION("""COMPUTED_VALUE"""),"Sanbo Ilyasou")</f>
        <v>Sanbo Ilyasou</v>
      </c>
      <c r="G1030" s="16"/>
      <c r="H1030" s="14"/>
      <c r="K1030" s="16">
        <f>IFERROR(__xludf.DUMMYFUNCTION("""COMPUTED_VALUE"""),565.0)</f>
        <v>565</v>
      </c>
      <c r="L1030" s="16"/>
      <c r="M1030" s="14"/>
    </row>
    <row r="1031">
      <c r="A1031" s="16" t="str">
        <f>IFERROR(__xludf.DUMMYFUNCTION("""COMPUTED_VALUE"""),"Haladou Boukar")</f>
        <v>Haladou Boukar</v>
      </c>
      <c r="B1031" s="16"/>
      <c r="C1031" s="14"/>
      <c r="F1031" s="16" t="str">
        <f>IFERROR(__xludf.DUMMYFUNCTION("""COMPUTED_VALUE"""),"Sanbo Ilyasou")</f>
        <v>Sanbo Ilyasou</v>
      </c>
      <c r="G1031" s="16"/>
      <c r="H1031" s="14"/>
      <c r="K1031" s="16">
        <f>IFERROR(__xludf.DUMMYFUNCTION("""COMPUTED_VALUE"""),392.0)</f>
        <v>392</v>
      </c>
      <c r="L1031" s="16"/>
      <c r="M1031" s="14"/>
    </row>
    <row r="1032">
      <c r="A1032" s="16" t="str">
        <f>IFERROR(__xludf.DUMMYFUNCTION("""COMPUTED_VALUE"""),"Haladou Boukar")</f>
        <v>Haladou Boukar</v>
      </c>
      <c r="B1032" s="16"/>
      <c r="C1032" s="14"/>
      <c r="F1032" s="16" t="str">
        <f>IFERROR(__xludf.DUMMYFUNCTION("""COMPUTED_VALUE"""),"Sanbo Ilyasou")</f>
        <v>Sanbo Ilyasou</v>
      </c>
      <c r="G1032" s="16"/>
      <c r="H1032" s="14"/>
      <c r="K1032" s="16">
        <f>IFERROR(__xludf.DUMMYFUNCTION("""COMPUTED_VALUE"""),403.0)</f>
        <v>403</v>
      </c>
      <c r="L1032" s="16"/>
      <c r="M1032" s="14"/>
    </row>
    <row r="1033">
      <c r="A1033" s="16" t="str">
        <f>IFERROR(__xludf.DUMMYFUNCTION("""COMPUTED_VALUE"""),"Haladou Boukar")</f>
        <v>Haladou Boukar</v>
      </c>
      <c r="B1033" s="16"/>
      <c r="C1033" s="14"/>
      <c r="F1033" s="16" t="str">
        <f>IFERROR(__xludf.DUMMYFUNCTION("""COMPUTED_VALUE"""),"Sanbo Ilyasou")</f>
        <v>Sanbo Ilyasou</v>
      </c>
      <c r="G1033" s="16"/>
      <c r="H1033" s="14"/>
      <c r="K1033" s="16">
        <f>IFERROR(__xludf.DUMMYFUNCTION("""COMPUTED_VALUE"""),322.0)</f>
        <v>322</v>
      </c>
      <c r="L1033" s="16"/>
      <c r="M1033" s="14"/>
    </row>
    <row r="1034">
      <c r="A1034" s="16" t="str">
        <f>IFERROR(__xludf.DUMMYFUNCTION("""COMPUTED_VALUE"""),"Ouhoumoudou Djannou Ibrahim")</f>
        <v>Ouhoumoudou Djannou Ibrahim</v>
      </c>
      <c r="B1034" s="16"/>
      <c r="C1034" s="14"/>
      <c r="F1034" s="16" t="str">
        <f>IFERROR(__xludf.DUMMYFUNCTION("""COMPUTED_VALUE"""),"Dogon Gona")</f>
        <v>Dogon Gona</v>
      </c>
      <c r="G1034" s="16"/>
      <c r="H1034" s="14"/>
      <c r="K1034" s="16">
        <f>IFERROR(__xludf.DUMMYFUNCTION("""COMPUTED_VALUE"""),543.0)</f>
        <v>543</v>
      </c>
      <c r="L1034" s="16"/>
      <c r="M1034" s="14"/>
    </row>
    <row r="1035">
      <c r="A1035" s="16" t="str">
        <f>IFERROR(__xludf.DUMMYFUNCTION("""COMPUTED_VALUE"""),"Ouhoumoudou Djannou Ibrahim")</f>
        <v>Ouhoumoudou Djannou Ibrahim</v>
      </c>
      <c r="B1035" s="16"/>
      <c r="C1035" s="14"/>
      <c r="F1035" s="16" t="str">
        <f>IFERROR(__xludf.DUMMYFUNCTION("""COMPUTED_VALUE"""),"Dogon Gona")</f>
        <v>Dogon Gona</v>
      </c>
      <c r="G1035" s="16"/>
      <c r="H1035" s="14"/>
      <c r="K1035" s="16">
        <f>IFERROR(__xludf.DUMMYFUNCTION("""COMPUTED_VALUE"""),2499.0)</f>
        <v>2499</v>
      </c>
      <c r="L1035" s="16"/>
      <c r="M1035" s="14"/>
    </row>
    <row r="1036">
      <c r="A1036" s="16" t="str">
        <f>IFERROR(__xludf.DUMMYFUNCTION("""COMPUTED_VALUE"""),"Ouhoumoudou Djannou Ibrahim")</f>
        <v>Ouhoumoudou Djannou Ibrahim</v>
      </c>
      <c r="B1036" s="16"/>
      <c r="C1036" s="14"/>
      <c r="F1036" s="16" t="str">
        <f>IFERROR(__xludf.DUMMYFUNCTION("""COMPUTED_VALUE"""),"Dogon Gona")</f>
        <v>Dogon Gona</v>
      </c>
      <c r="G1036" s="16"/>
      <c r="H1036" s="14"/>
      <c r="K1036" s="16">
        <f>IFERROR(__xludf.DUMMYFUNCTION("""COMPUTED_VALUE"""),1954.0)</f>
        <v>1954</v>
      </c>
      <c r="L1036" s="16"/>
      <c r="M1036" s="14"/>
    </row>
    <row r="1037">
      <c r="A1037" s="16" t="str">
        <f>IFERROR(__xludf.DUMMYFUNCTION("""COMPUTED_VALUE"""),"Issoufou Amadou Aichatou")</f>
        <v>Issoufou Amadou Aichatou</v>
      </c>
      <c r="B1037" s="16"/>
      <c r="C1037" s="14"/>
      <c r="F1037" s="16" t="str">
        <f>IFERROR(__xludf.DUMMYFUNCTION("""COMPUTED_VALUE"""),"Dogon Gona")</f>
        <v>Dogon Gona</v>
      </c>
      <c r="G1037" s="16"/>
      <c r="H1037" s="14"/>
      <c r="K1037" s="16">
        <f>IFERROR(__xludf.DUMMYFUNCTION("""COMPUTED_VALUE"""),459.0)</f>
        <v>459</v>
      </c>
      <c r="L1037" s="16"/>
      <c r="M1037" s="14"/>
    </row>
    <row r="1038">
      <c r="A1038" s="16" t="str">
        <f>IFERROR(__xludf.DUMMYFUNCTION("""COMPUTED_VALUE"""),"Hachimou Rabiou Mamoudou")</f>
        <v>Hachimou Rabiou Mamoudou</v>
      </c>
      <c r="B1038" s="16"/>
      <c r="C1038" s="14"/>
      <c r="F1038" s="16" t="str">
        <f>IFERROR(__xludf.DUMMYFUNCTION("""COMPUTED_VALUE"""),"Sanbo Ilyasou")</f>
        <v>Sanbo Ilyasou</v>
      </c>
      <c r="G1038" s="16"/>
      <c r="H1038" s="14"/>
      <c r="K1038" s="16">
        <f>IFERROR(__xludf.DUMMYFUNCTION("""COMPUTED_VALUE"""),398.0)</f>
        <v>398</v>
      </c>
      <c r="L1038" s="16"/>
      <c r="M1038" s="14"/>
    </row>
    <row r="1039">
      <c r="A1039" s="16" t="str">
        <f>IFERROR(__xludf.DUMMYFUNCTION("""COMPUTED_VALUE"""),"Hachimou Rabiou Mamoudou")</f>
        <v>Hachimou Rabiou Mamoudou</v>
      </c>
      <c r="B1039" s="16"/>
      <c r="C1039" s="14"/>
      <c r="F1039" s="16" t="str">
        <f>IFERROR(__xludf.DUMMYFUNCTION("""COMPUTED_VALUE"""),"Sanbo Ilyasou")</f>
        <v>Sanbo Ilyasou</v>
      </c>
      <c r="G1039" s="16"/>
      <c r="H1039" s="14"/>
      <c r="K1039" s="16">
        <f>IFERROR(__xludf.DUMMYFUNCTION("""COMPUTED_VALUE"""),408.0)</f>
        <v>408</v>
      </c>
      <c r="L1039" s="16"/>
      <c r="M1039" s="14"/>
    </row>
    <row r="1040">
      <c r="A1040" s="16" t="str">
        <f>IFERROR(__xludf.DUMMYFUNCTION("""COMPUTED_VALUE"""),"Hachimou Rabiou Mamoudou")</f>
        <v>Hachimou Rabiou Mamoudou</v>
      </c>
      <c r="B1040" s="16"/>
      <c r="C1040" s="14"/>
      <c r="F1040" s="16" t="str">
        <f>IFERROR(__xludf.DUMMYFUNCTION("""COMPUTED_VALUE"""),"Sanbo Ilyasou")</f>
        <v>Sanbo Ilyasou</v>
      </c>
      <c r="G1040" s="16"/>
      <c r="H1040" s="14"/>
      <c r="K1040" s="16">
        <f>IFERROR(__xludf.DUMMYFUNCTION("""COMPUTED_VALUE"""),874.0)</f>
        <v>874</v>
      </c>
      <c r="L1040" s="16"/>
      <c r="M1040" s="14"/>
    </row>
    <row r="1041">
      <c r="A1041" s="16" t="str">
        <f>IFERROR(__xludf.DUMMYFUNCTION("""COMPUTED_VALUE"""),"Hachimou Rabiou Mamoudou")</f>
        <v>Hachimou Rabiou Mamoudou</v>
      </c>
      <c r="B1041" s="16"/>
      <c r="C1041" s="14"/>
      <c r="F1041" s="16" t="str">
        <f>IFERROR(__xludf.DUMMYFUNCTION("""COMPUTED_VALUE"""),"Sanbo Ilyasou")</f>
        <v>Sanbo Ilyasou</v>
      </c>
      <c r="G1041" s="16"/>
      <c r="H1041" s="14"/>
      <c r="K1041" s="16">
        <f>IFERROR(__xludf.DUMMYFUNCTION("""COMPUTED_VALUE"""),888.0)</f>
        <v>888</v>
      </c>
      <c r="L1041" s="16"/>
      <c r="M1041" s="14"/>
    </row>
    <row r="1042">
      <c r="A1042" s="16" t="str">
        <f>IFERROR(__xludf.DUMMYFUNCTION("""COMPUTED_VALUE"""),"Hachimou Rabiou Mamoudou")</f>
        <v>Hachimou Rabiou Mamoudou</v>
      </c>
      <c r="B1042" s="16"/>
      <c r="C1042" s="14"/>
      <c r="F1042" s="16" t="str">
        <f>IFERROR(__xludf.DUMMYFUNCTION("""COMPUTED_VALUE"""),"Sanbo Ilyasou")</f>
        <v>Sanbo Ilyasou</v>
      </c>
      <c r="G1042" s="16"/>
      <c r="H1042" s="14"/>
      <c r="K1042" s="16">
        <f>IFERROR(__xludf.DUMMYFUNCTION("""COMPUTED_VALUE"""),368.0)</f>
        <v>368</v>
      </c>
      <c r="L1042" s="16"/>
      <c r="M1042" s="14"/>
    </row>
    <row r="1043">
      <c r="A1043" s="16" t="str">
        <f>IFERROR(__xludf.DUMMYFUNCTION("""COMPUTED_VALUE"""),"Issoufou Amadou Aichatou")</f>
        <v>Issoufou Amadou Aichatou</v>
      </c>
      <c r="B1043" s="16"/>
      <c r="C1043" s="14"/>
      <c r="F1043" s="16" t="str">
        <f>IFERROR(__xludf.DUMMYFUNCTION("""COMPUTED_VALUE"""),"Sanbo Ilyasou")</f>
        <v>Sanbo Ilyasou</v>
      </c>
      <c r="G1043" s="16"/>
      <c r="H1043" s="14"/>
      <c r="K1043" s="16">
        <f>IFERROR(__xludf.DUMMYFUNCTION("""COMPUTED_VALUE"""),571.0)</f>
        <v>571</v>
      </c>
      <c r="L1043" s="16"/>
      <c r="M1043" s="14"/>
    </row>
    <row r="1044">
      <c r="A1044" s="16" t="str">
        <f>IFERROR(__xludf.DUMMYFUNCTION("""COMPUTED_VALUE"""),"Sani Moussa Aboubacar")</f>
        <v>Sani Moussa Aboubacar</v>
      </c>
      <c r="B1044" s="16"/>
      <c r="C1044" s="14"/>
      <c r="F1044" s="16" t="str">
        <f>IFERROR(__xludf.DUMMYFUNCTION("""COMPUTED_VALUE"""),"Sanbo Ilyasou")</f>
        <v>Sanbo Ilyasou</v>
      </c>
      <c r="G1044" s="16"/>
      <c r="H1044" s="14"/>
      <c r="K1044" s="16">
        <f>IFERROR(__xludf.DUMMYFUNCTION("""COMPUTED_VALUE"""),1713.0)</f>
        <v>1713</v>
      </c>
      <c r="L1044" s="16"/>
      <c r="M1044" s="14"/>
    </row>
    <row r="1045">
      <c r="A1045" s="16" t="str">
        <f>IFERROR(__xludf.DUMMYFUNCTION("""COMPUTED_VALUE"""),"Sani Moussa Aboubacar")</f>
        <v>Sani Moussa Aboubacar</v>
      </c>
      <c r="B1045" s="16"/>
      <c r="C1045" s="14"/>
      <c r="F1045" s="16" t="str">
        <f>IFERROR(__xludf.DUMMYFUNCTION("""COMPUTED_VALUE"""),"Sanbo Tinga")</f>
        <v>Sanbo Tinga</v>
      </c>
      <c r="G1045" s="16"/>
      <c r="H1045" s="14"/>
      <c r="K1045" s="16">
        <f>IFERROR(__xludf.DUMMYFUNCTION("""COMPUTED_VALUE"""),1133.0)</f>
        <v>1133</v>
      </c>
      <c r="L1045" s="16"/>
      <c r="M1045" s="14"/>
    </row>
    <row r="1046">
      <c r="A1046" s="16" t="str">
        <f>IFERROR(__xludf.DUMMYFUNCTION("""COMPUTED_VALUE"""),"Sani Moussa Aboubacar")</f>
        <v>Sani Moussa Aboubacar</v>
      </c>
      <c r="B1046" s="16"/>
      <c r="C1046" s="14"/>
      <c r="F1046" s="16" t="str">
        <f>IFERROR(__xludf.DUMMYFUNCTION("""COMPUTED_VALUE"""),"Sanbo Ilyasou")</f>
        <v>Sanbo Ilyasou</v>
      </c>
      <c r="G1046" s="16"/>
      <c r="H1046" s="14"/>
      <c r="K1046" s="16">
        <f>IFERROR(__xludf.DUMMYFUNCTION("""COMPUTED_VALUE"""),865.0)</f>
        <v>865</v>
      </c>
      <c r="L1046" s="16"/>
      <c r="M1046" s="14"/>
    </row>
    <row r="1047">
      <c r="A1047" s="16" t="str">
        <f>IFERROR(__xludf.DUMMYFUNCTION("""COMPUTED_VALUE"""),"Sani Moussa Aboubacar")</f>
        <v>Sani Moussa Aboubacar</v>
      </c>
      <c r="B1047" s="16"/>
      <c r="C1047" s="14"/>
      <c r="F1047" s="16" t="str">
        <f>IFERROR(__xludf.DUMMYFUNCTION("""COMPUTED_VALUE"""),"Sanbo Tinga")</f>
        <v>Sanbo Tinga</v>
      </c>
      <c r="G1047" s="16"/>
      <c r="H1047" s="14"/>
      <c r="K1047" s="16">
        <f>IFERROR(__xludf.DUMMYFUNCTION("""COMPUTED_VALUE"""),411.0)</f>
        <v>411</v>
      </c>
      <c r="L1047" s="16"/>
      <c r="M1047" s="14"/>
    </row>
    <row r="1048">
      <c r="A1048" s="16" t="str">
        <f>IFERROR(__xludf.DUMMYFUNCTION("""COMPUTED_VALUE"""),"Sani Moussa Aboubacar")</f>
        <v>Sani Moussa Aboubacar</v>
      </c>
      <c r="B1048" s="16"/>
      <c r="C1048" s="14"/>
      <c r="F1048" s="16" t="str">
        <f>IFERROR(__xludf.DUMMYFUNCTION("""COMPUTED_VALUE"""),"Sanbo Ilyasou")</f>
        <v>Sanbo Ilyasou</v>
      </c>
      <c r="G1048" s="16"/>
      <c r="H1048" s="14"/>
      <c r="K1048" s="16">
        <f>IFERROR(__xludf.DUMMYFUNCTION("""COMPUTED_VALUE"""),322.0)</f>
        <v>322</v>
      </c>
      <c r="L1048" s="16"/>
      <c r="M1048" s="14"/>
    </row>
    <row r="1049">
      <c r="A1049" s="16" t="str">
        <f>IFERROR(__xludf.DUMMYFUNCTION("""COMPUTED_VALUE"""),"Sani Moussa Aboubacar")</f>
        <v>Sani Moussa Aboubacar</v>
      </c>
      <c r="B1049" s="16"/>
      <c r="C1049" s="14"/>
      <c r="F1049" s="16" t="str">
        <f>IFERROR(__xludf.DUMMYFUNCTION("""COMPUTED_VALUE"""),"Sanbo Tinga")</f>
        <v>Sanbo Tinga</v>
      </c>
      <c r="G1049" s="16"/>
      <c r="H1049" s="14"/>
      <c r="K1049" s="16">
        <f>IFERROR(__xludf.DUMMYFUNCTION("""COMPUTED_VALUE"""),250.0)</f>
        <v>250</v>
      </c>
      <c r="L1049" s="16"/>
      <c r="M1049" s="14"/>
    </row>
    <row r="1050">
      <c r="A1050" s="16" t="str">
        <f>IFERROR(__xludf.DUMMYFUNCTION("""COMPUTED_VALUE"""),"Sani Moussa Aboubacar")</f>
        <v>Sani Moussa Aboubacar</v>
      </c>
      <c r="B1050" s="16"/>
      <c r="C1050" s="14"/>
      <c r="F1050" s="16" t="str">
        <f>IFERROR(__xludf.DUMMYFUNCTION("""COMPUTED_VALUE"""),"Dogon Gona")</f>
        <v>Dogon Gona</v>
      </c>
      <c r="G1050" s="16"/>
      <c r="H1050" s="14"/>
      <c r="K1050" s="16">
        <f>IFERROR(__xludf.DUMMYFUNCTION("""COMPUTED_VALUE"""),973.0)</f>
        <v>973</v>
      </c>
      <c r="L1050" s="16"/>
      <c r="M1050" s="14"/>
    </row>
    <row r="1051">
      <c r="A1051" s="16" t="str">
        <f>IFERROR(__xludf.DUMMYFUNCTION("""COMPUTED_VALUE"""),"Moumouni Adamou Yahaya")</f>
        <v>Moumouni Adamou Yahaya</v>
      </c>
      <c r="B1051" s="16"/>
      <c r="C1051" s="14"/>
      <c r="F1051" s="16" t="str">
        <f>IFERROR(__xludf.DUMMYFUNCTION("""COMPUTED_VALUE"""),"Dogon Gona")</f>
        <v>Dogon Gona</v>
      </c>
      <c r="G1051" s="16"/>
      <c r="H1051" s="14"/>
      <c r="K1051" s="16">
        <f>IFERROR(__xludf.DUMMYFUNCTION("""COMPUTED_VALUE"""),1558.0)</f>
        <v>1558</v>
      </c>
      <c r="L1051" s="16"/>
      <c r="M1051" s="14"/>
    </row>
    <row r="1052">
      <c r="A1052" s="16" t="str">
        <f>IFERROR(__xludf.DUMMYFUNCTION("""COMPUTED_VALUE"""),"Larabou Chamsoudine")</f>
        <v>Larabou Chamsoudine</v>
      </c>
      <c r="B1052" s="16"/>
      <c r="C1052" s="14"/>
      <c r="F1052" s="16" t="str">
        <f>IFERROR(__xludf.DUMMYFUNCTION("""COMPUTED_VALUE"""),"Dogon Gona")</f>
        <v>Dogon Gona</v>
      </c>
      <c r="G1052" s="16"/>
      <c r="H1052" s="14"/>
      <c r="K1052" s="16">
        <f>IFERROR(__xludf.DUMMYFUNCTION("""COMPUTED_VALUE"""),1199.0)</f>
        <v>1199</v>
      </c>
      <c r="L1052" s="16"/>
      <c r="M1052" s="14"/>
    </row>
    <row r="1053">
      <c r="A1053" s="16" t="str">
        <f>IFERROR(__xludf.DUMMYFUNCTION("""COMPUTED_VALUE"""),"Hadjara Abdourahamane Tambari")</f>
        <v>Hadjara Abdourahamane Tambari</v>
      </c>
      <c r="B1053" s="16"/>
      <c r="C1053" s="14"/>
      <c r="F1053" s="16" t="str">
        <f>IFERROR(__xludf.DUMMYFUNCTION("""COMPUTED_VALUE"""),"Sanbo Ilyasou")</f>
        <v>Sanbo Ilyasou</v>
      </c>
      <c r="G1053" s="16"/>
      <c r="H1053" s="14"/>
      <c r="K1053" s="16">
        <f>IFERROR(__xludf.DUMMYFUNCTION("""COMPUTED_VALUE"""),457.0)</f>
        <v>457</v>
      </c>
      <c r="L1053" s="16"/>
      <c r="M1053" s="14"/>
    </row>
    <row r="1054">
      <c r="A1054" s="16" t="str">
        <f>IFERROR(__xludf.DUMMYFUNCTION("""COMPUTED_VALUE"""),"Achirou Malam Dan Maradi Nassirou")</f>
        <v>Achirou Malam Dan Maradi Nassirou</v>
      </c>
      <c r="B1054" s="16"/>
      <c r="C1054" s="14"/>
      <c r="F1054" s="16" t="str">
        <f>IFERROR(__xludf.DUMMYFUNCTION("""COMPUTED_VALUE"""),"Dogon Gona")</f>
        <v>Dogon Gona</v>
      </c>
      <c r="G1054" s="16"/>
      <c r="H1054" s="14"/>
      <c r="K1054" s="16">
        <f>IFERROR(__xludf.DUMMYFUNCTION("""COMPUTED_VALUE"""),1328.0)</f>
        <v>1328</v>
      </c>
      <c r="L1054" s="16"/>
      <c r="M1054" s="14"/>
    </row>
    <row r="1055">
      <c r="A1055" s="16" t="str">
        <f>IFERROR(__xludf.DUMMYFUNCTION("""COMPUTED_VALUE"""),"Achirou Malam Dan Maradi Nassirou")</f>
        <v>Achirou Malam Dan Maradi Nassirou</v>
      </c>
      <c r="B1055" s="16"/>
      <c r="C1055" s="14"/>
      <c r="F1055" s="16" t="str">
        <f>IFERROR(__xludf.DUMMYFUNCTION("""COMPUTED_VALUE"""),"Dogon Gona")</f>
        <v>Dogon Gona</v>
      </c>
      <c r="G1055" s="16"/>
      <c r="H1055" s="14"/>
      <c r="K1055" s="16">
        <f>IFERROR(__xludf.DUMMYFUNCTION("""COMPUTED_VALUE"""),1156.0)</f>
        <v>1156</v>
      </c>
      <c r="L1055" s="16"/>
      <c r="M1055" s="14"/>
    </row>
    <row r="1056">
      <c r="A1056" s="16" t="str">
        <f>IFERROR(__xludf.DUMMYFUNCTION("""COMPUTED_VALUE"""),"Achirou Malam Dan Maradi Nassirou")</f>
        <v>Achirou Malam Dan Maradi Nassirou</v>
      </c>
      <c r="B1056" s="16"/>
      <c r="C1056" s="14"/>
      <c r="F1056" s="16" t="str">
        <f>IFERROR(__xludf.DUMMYFUNCTION("""COMPUTED_VALUE"""),"Sanbo Ilyasou")</f>
        <v>Sanbo Ilyasou</v>
      </c>
      <c r="G1056" s="16"/>
      <c r="H1056" s="14"/>
      <c r="K1056" s="16">
        <f>IFERROR(__xludf.DUMMYFUNCTION("""COMPUTED_VALUE"""),420.0)</f>
        <v>420</v>
      </c>
      <c r="L1056" s="16"/>
      <c r="M1056" s="14"/>
    </row>
    <row r="1057">
      <c r="A1057" s="16" t="str">
        <f>IFERROR(__xludf.DUMMYFUNCTION("""COMPUTED_VALUE"""),"Mohamed Cherif")</f>
        <v>Mohamed Cherif</v>
      </c>
      <c r="B1057" s="16"/>
      <c r="C1057" s="14"/>
      <c r="F1057" s="16" t="str">
        <f>IFERROR(__xludf.DUMMYFUNCTION("""COMPUTED_VALUE"""),"Sanbo Ilyasou")</f>
        <v>Sanbo Ilyasou</v>
      </c>
      <c r="G1057" s="16"/>
      <c r="H1057" s="14"/>
      <c r="K1057" s="16">
        <f>IFERROR(__xludf.DUMMYFUNCTION("""COMPUTED_VALUE"""),516.0)</f>
        <v>516</v>
      </c>
      <c r="L1057" s="16"/>
      <c r="M1057" s="14"/>
    </row>
    <row r="1058">
      <c r="A1058" s="16" t="str">
        <f>IFERROR(__xludf.DUMMYFUNCTION("""COMPUTED_VALUE"""),"Mohamed Cherif")</f>
        <v>Mohamed Cherif</v>
      </c>
      <c r="B1058" s="16"/>
      <c r="C1058" s="14"/>
      <c r="F1058" s="16" t="str">
        <f>IFERROR(__xludf.DUMMYFUNCTION("""COMPUTED_VALUE"""),"Sanbo Ilyasou")</f>
        <v>Sanbo Ilyasou</v>
      </c>
      <c r="G1058" s="16"/>
      <c r="H1058" s="14"/>
      <c r="K1058" s="16">
        <f>IFERROR(__xludf.DUMMYFUNCTION("""COMPUTED_VALUE"""),1553.0)</f>
        <v>1553</v>
      </c>
      <c r="L1058" s="16"/>
      <c r="M1058" s="14"/>
    </row>
    <row r="1059">
      <c r="A1059" s="16" t="str">
        <f>IFERROR(__xludf.DUMMYFUNCTION("""COMPUTED_VALUE"""),"Mohamed Cherif")</f>
        <v>Mohamed Cherif</v>
      </c>
      <c r="B1059" s="16"/>
      <c r="C1059" s="14"/>
      <c r="F1059" s="16" t="str">
        <f>IFERROR(__xludf.DUMMYFUNCTION("""COMPUTED_VALUE"""),"Alibou Toudou")</f>
        <v>Alibou Toudou</v>
      </c>
      <c r="G1059" s="16"/>
      <c r="H1059" s="14"/>
      <c r="K1059" s="16">
        <f>IFERROR(__xludf.DUMMYFUNCTION("""COMPUTED_VALUE"""),1559.0)</f>
        <v>1559</v>
      </c>
      <c r="L1059" s="16"/>
      <c r="M1059" s="14"/>
    </row>
    <row r="1060">
      <c r="A1060" s="16" t="str">
        <f>IFERROR(__xludf.DUMMYFUNCTION("""COMPUTED_VALUE"""),"Mohamed Cherif")</f>
        <v>Mohamed Cherif</v>
      </c>
      <c r="B1060" s="16"/>
      <c r="C1060" s="14"/>
      <c r="F1060" s="16" t="str">
        <f>IFERROR(__xludf.DUMMYFUNCTION("""COMPUTED_VALUE"""),"Alibou Toudou")</f>
        <v>Alibou Toudou</v>
      </c>
      <c r="G1060" s="16"/>
      <c r="H1060" s="14"/>
      <c r="K1060" s="16">
        <f>IFERROR(__xludf.DUMMYFUNCTION("""COMPUTED_VALUE"""),460.0)</f>
        <v>460</v>
      </c>
      <c r="L1060" s="16"/>
      <c r="M1060" s="14"/>
    </row>
    <row r="1061">
      <c r="A1061" s="16" t="str">
        <f>IFERROR(__xludf.DUMMYFUNCTION("""COMPUTED_VALUE"""),"Mohamed Cherif")</f>
        <v>Mohamed Cherif</v>
      </c>
      <c r="B1061" s="16"/>
      <c r="C1061" s="14"/>
      <c r="F1061" s="16" t="str">
        <f>IFERROR(__xludf.DUMMYFUNCTION("""COMPUTED_VALUE"""),"Alibou Toudou")</f>
        <v>Alibou Toudou</v>
      </c>
      <c r="G1061" s="16"/>
      <c r="H1061" s="14"/>
      <c r="K1061" s="16">
        <f>IFERROR(__xludf.DUMMYFUNCTION("""COMPUTED_VALUE"""),2154.0)</f>
        <v>2154</v>
      </c>
      <c r="L1061" s="16"/>
      <c r="M1061" s="14"/>
    </row>
    <row r="1062">
      <c r="A1062" s="16" t="str">
        <f>IFERROR(__xludf.DUMMYFUNCTION("""COMPUTED_VALUE"""),"Mohamed Cherif")</f>
        <v>Mohamed Cherif</v>
      </c>
      <c r="B1062" s="16"/>
      <c r="C1062" s="14"/>
      <c r="F1062" s="16" t="str">
        <f>IFERROR(__xludf.DUMMYFUNCTION("""COMPUTED_VALUE"""),"Alibou Toudou")</f>
        <v>Alibou Toudou</v>
      </c>
      <c r="G1062" s="16"/>
      <c r="H1062" s="14"/>
      <c r="K1062" s="16">
        <f>IFERROR(__xludf.DUMMYFUNCTION("""COMPUTED_VALUE"""),1929.0)</f>
        <v>1929</v>
      </c>
      <c r="L1062" s="16"/>
      <c r="M1062" s="14"/>
    </row>
    <row r="1063">
      <c r="A1063" s="16" t="str">
        <f>IFERROR(__xludf.DUMMYFUNCTION("""COMPUTED_VALUE"""),"Mohamed Cherif")</f>
        <v>Mohamed Cherif</v>
      </c>
      <c r="B1063" s="16"/>
      <c r="C1063" s="14"/>
      <c r="F1063" s="16" t="str">
        <f>IFERROR(__xludf.DUMMYFUNCTION("""COMPUTED_VALUE"""),"Alibou Toudou")</f>
        <v>Alibou Toudou</v>
      </c>
      <c r="G1063" s="16"/>
      <c r="H1063" s="14"/>
      <c r="K1063" s="16">
        <f>IFERROR(__xludf.DUMMYFUNCTION("""COMPUTED_VALUE"""),1326.0)</f>
        <v>1326</v>
      </c>
      <c r="L1063" s="16"/>
      <c r="M1063" s="14"/>
    </row>
    <row r="1064">
      <c r="A1064" s="16" t="str">
        <f>IFERROR(__xludf.DUMMYFUNCTION("""COMPUTED_VALUE"""),"Aboubacar Hamadou Manga")</f>
        <v>Aboubacar Hamadou Manga</v>
      </c>
      <c r="B1064" s="16"/>
      <c r="C1064" s="14"/>
      <c r="F1064" s="16" t="str">
        <f>IFERROR(__xludf.DUMMYFUNCTION("""COMPUTED_VALUE"""),"Alibou Toudou")</f>
        <v>Alibou Toudou</v>
      </c>
      <c r="G1064" s="16"/>
      <c r="H1064" s="14"/>
      <c r="K1064" s="16">
        <f>IFERROR(__xludf.DUMMYFUNCTION("""COMPUTED_VALUE"""),579.0)</f>
        <v>579</v>
      </c>
      <c r="L1064" s="16"/>
      <c r="M1064" s="14"/>
    </row>
    <row r="1065">
      <c r="A1065" s="16" t="str">
        <f>IFERROR(__xludf.DUMMYFUNCTION("""COMPUTED_VALUE"""),"Aboubacar Hamadou Manga")</f>
        <v>Aboubacar Hamadou Manga</v>
      </c>
      <c r="B1065" s="16"/>
      <c r="C1065" s="14"/>
      <c r="F1065" s="16" t="str">
        <f>IFERROR(__xludf.DUMMYFUNCTION("""COMPUTED_VALUE"""),"Bagueye")</f>
        <v>Bagueye</v>
      </c>
      <c r="G1065" s="16"/>
      <c r="H1065" s="14"/>
      <c r="K1065" s="16">
        <f>IFERROR(__xludf.DUMMYFUNCTION("""COMPUTED_VALUE"""),316.0)</f>
        <v>316</v>
      </c>
      <c r="L1065" s="16"/>
      <c r="M1065" s="14"/>
    </row>
    <row r="1066">
      <c r="A1066" s="16" t="str">
        <f>IFERROR(__xludf.DUMMYFUNCTION("""COMPUTED_VALUE"""),"Aboubacar Hamadou Manga")</f>
        <v>Aboubacar Hamadou Manga</v>
      </c>
      <c r="B1066" s="16"/>
      <c r="C1066" s="14"/>
      <c r="F1066" s="16" t="str">
        <f>IFERROR(__xludf.DUMMYFUNCTION("""COMPUTED_VALUE"""),"Sanbo Ilyasou")</f>
        <v>Sanbo Ilyasou</v>
      </c>
      <c r="G1066" s="16"/>
      <c r="H1066" s="14"/>
      <c r="K1066" s="16">
        <f>IFERROR(__xludf.DUMMYFUNCTION("""COMPUTED_VALUE"""),369.0)</f>
        <v>369</v>
      </c>
      <c r="L1066" s="16"/>
      <c r="M1066" s="14"/>
    </row>
    <row r="1067">
      <c r="A1067" s="16" t="str">
        <f>IFERROR(__xludf.DUMMYFUNCTION("""COMPUTED_VALUE"""),"Elhaji Abdou Leilata")</f>
        <v>Elhaji Abdou Leilata</v>
      </c>
      <c r="B1067" s="16"/>
      <c r="C1067" s="14"/>
      <c r="F1067" s="16" t="str">
        <f>IFERROR(__xludf.DUMMYFUNCTION("""COMPUTED_VALUE"""),"Sanbo Ilyasou")</f>
        <v>Sanbo Ilyasou</v>
      </c>
      <c r="G1067" s="16"/>
      <c r="H1067" s="14"/>
      <c r="K1067" s="16">
        <f>IFERROR(__xludf.DUMMYFUNCTION("""COMPUTED_VALUE"""),1006.0)</f>
        <v>1006</v>
      </c>
      <c r="L1067" s="16"/>
      <c r="M1067" s="14"/>
    </row>
    <row r="1068">
      <c r="A1068" s="16" t="str">
        <f>IFERROR(__xludf.DUMMYFUNCTION("""COMPUTED_VALUE"""),"Elhaji Abdou Leilata")</f>
        <v>Elhaji Abdou Leilata</v>
      </c>
      <c r="B1068" s="16"/>
      <c r="C1068" s="14"/>
      <c r="F1068" s="16" t="str">
        <f>IFERROR(__xludf.DUMMYFUNCTION("""COMPUTED_VALUE"""),"Sanbo Ilyasou")</f>
        <v>Sanbo Ilyasou</v>
      </c>
      <c r="G1068" s="16"/>
      <c r="H1068" s="14"/>
      <c r="K1068" s="16">
        <f>IFERROR(__xludf.DUMMYFUNCTION("""COMPUTED_VALUE"""),2085.0)</f>
        <v>2085</v>
      </c>
      <c r="L1068" s="16"/>
      <c r="M1068" s="14"/>
    </row>
    <row r="1069">
      <c r="A1069" s="16" t="str">
        <f>IFERROR(__xludf.DUMMYFUNCTION("""COMPUTED_VALUE"""),"Elhaji Abdou Leilata")</f>
        <v>Elhaji Abdou Leilata</v>
      </c>
      <c r="B1069" s="16"/>
      <c r="C1069" s="14"/>
      <c r="F1069" s="16" t="str">
        <f>IFERROR(__xludf.DUMMYFUNCTION("""COMPUTED_VALUE"""),"Sanbo Ilyasou")</f>
        <v>Sanbo Ilyasou</v>
      </c>
      <c r="G1069" s="16"/>
      <c r="H1069" s="14"/>
      <c r="K1069" s="16">
        <f>IFERROR(__xludf.DUMMYFUNCTION("""COMPUTED_VALUE"""),1521.0)</f>
        <v>1521</v>
      </c>
      <c r="L1069" s="16"/>
      <c r="M1069" s="14"/>
    </row>
    <row r="1070">
      <c r="A1070" s="16" t="str">
        <f>IFERROR(__xludf.DUMMYFUNCTION("""COMPUTED_VALUE"""),"Maman Ado Abdourahamane")</f>
        <v>Maman Ado Abdourahamane</v>
      </c>
      <c r="B1070" s="16"/>
      <c r="C1070" s="14"/>
      <c r="F1070" s="16" t="str">
        <f>IFERROR(__xludf.DUMMYFUNCTION("""COMPUTED_VALUE"""),"Guiroua Almoumini")</f>
        <v>Guiroua Almoumini</v>
      </c>
      <c r="G1070" s="16"/>
      <c r="H1070" s="14"/>
      <c r="K1070" s="16">
        <f>IFERROR(__xludf.DUMMYFUNCTION("""COMPUTED_VALUE"""),1104.0)</f>
        <v>1104</v>
      </c>
      <c r="L1070" s="16"/>
      <c r="M1070" s="14"/>
    </row>
    <row r="1071">
      <c r="A1071" s="16" t="str">
        <f>IFERROR(__xludf.DUMMYFUNCTION("""COMPUTED_VALUE"""),"Maman Ado Abdourahamane")</f>
        <v>Maman Ado Abdourahamane</v>
      </c>
      <c r="B1071" s="16"/>
      <c r="C1071" s="14"/>
      <c r="F1071" s="16" t="str">
        <f>IFERROR(__xludf.DUMMYFUNCTION("""COMPUTED_VALUE"""),"Moullela Guidan FoKo")</f>
        <v>Moullela Guidan FoKo</v>
      </c>
      <c r="G1071" s="16"/>
      <c r="H1071" s="14"/>
      <c r="K1071" s="16">
        <f>IFERROR(__xludf.DUMMYFUNCTION("""COMPUTED_VALUE"""),477.0)</f>
        <v>477</v>
      </c>
      <c r="L1071" s="16"/>
      <c r="M1071" s="14"/>
    </row>
    <row r="1072">
      <c r="A1072" s="16" t="str">
        <f>IFERROR(__xludf.DUMMYFUNCTION("""COMPUTED_VALUE"""),"Maman Ado Abdourahamane")</f>
        <v>Maman Ado Abdourahamane</v>
      </c>
      <c r="B1072" s="16"/>
      <c r="C1072" s="14"/>
      <c r="F1072" s="16" t="str">
        <f>IFERROR(__xludf.DUMMYFUNCTION("""COMPUTED_VALUE"""),"Moullela Guidan FoKo")</f>
        <v>Moullela Guidan FoKo</v>
      </c>
      <c r="G1072" s="16"/>
      <c r="H1072" s="14"/>
      <c r="K1072" s="16">
        <f>IFERROR(__xludf.DUMMYFUNCTION("""COMPUTED_VALUE"""),606.0)</f>
        <v>606</v>
      </c>
      <c r="L1072" s="16"/>
      <c r="M1072" s="14"/>
    </row>
    <row r="1073">
      <c r="A1073" s="16" t="str">
        <f>IFERROR(__xludf.DUMMYFUNCTION("""COMPUTED_VALUE"""),"Maman Ado Abdourahamane")</f>
        <v>Maman Ado Abdourahamane</v>
      </c>
      <c r="B1073" s="16"/>
      <c r="C1073" s="14"/>
      <c r="F1073" s="16" t="str">
        <f>IFERROR(__xludf.DUMMYFUNCTION("""COMPUTED_VALUE"""),"Toudou Kiara")</f>
        <v>Toudou Kiara</v>
      </c>
      <c r="G1073" s="16"/>
      <c r="H1073" s="14"/>
      <c r="K1073" s="16">
        <f>IFERROR(__xludf.DUMMYFUNCTION("""COMPUTED_VALUE"""),190.0)</f>
        <v>190</v>
      </c>
      <c r="L1073" s="16"/>
      <c r="M1073" s="14"/>
    </row>
    <row r="1074">
      <c r="A1074" s="16" t="str">
        <f>IFERROR(__xludf.DUMMYFUNCTION("""COMPUTED_VALUE"""),"Maman Ado Abdourahamane")</f>
        <v>Maman Ado Abdourahamane</v>
      </c>
      <c r="B1074" s="16"/>
      <c r="C1074" s="14"/>
      <c r="F1074" s="16" t="str">
        <f>IFERROR(__xludf.DUMMYFUNCTION("""COMPUTED_VALUE"""),"Toudou Kiara")</f>
        <v>Toudou Kiara</v>
      </c>
      <c r="G1074" s="16"/>
      <c r="H1074" s="14"/>
      <c r="K1074" s="16">
        <f>IFERROR(__xludf.DUMMYFUNCTION("""COMPUTED_VALUE"""),329.0)</f>
        <v>329</v>
      </c>
      <c r="L1074" s="16"/>
      <c r="M1074" s="14"/>
    </row>
    <row r="1075">
      <c r="A1075" s="16" t="str">
        <f>IFERROR(__xludf.DUMMYFUNCTION("""COMPUTED_VALUE"""),"Maman Ado Abdourahamane")</f>
        <v>Maman Ado Abdourahamane</v>
      </c>
      <c r="B1075" s="16"/>
      <c r="C1075" s="14"/>
      <c r="F1075" s="16" t="str">
        <f>IFERROR(__xludf.DUMMYFUNCTION("""COMPUTED_VALUE"""),"Toudou Kiara")</f>
        <v>Toudou Kiara</v>
      </c>
      <c r="G1075" s="16"/>
      <c r="H1075" s="14"/>
      <c r="K1075" s="16">
        <f>IFERROR(__xludf.DUMMYFUNCTION("""COMPUTED_VALUE"""),407.0)</f>
        <v>407</v>
      </c>
      <c r="L1075" s="16"/>
      <c r="M1075" s="14"/>
    </row>
    <row r="1076">
      <c r="A1076" s="16" t="str">
        <f>IFERROR(__xludf.DUMMYFUNCTION("""COMPUTED_VALUE"""),"Maman Ado Abdourahamane")</f>
        <v>Maman Ado Abdourahamane</v>
      </c>
      <c r="B1076" s="16"/>
      <c r="C1076" s="14"/>
      <c r="F1076" s="16" t="str">
        <f>IFERROR(__xludf.DUMMYFUNCTION("""COMPUTED_VALUE"""),"Toudou Kiara")</f>
        <v>Toudou Kiara</v>
      </c>
      <c r="G1076" s="16"/>
      <c r="H1076" s="14"/>
      <c r="K1076" s="16">
        <f>IFERROR(__xludf.DUMMYFUNCTION("""COMPUTED_VALUE"""),1814.0)</f>
        <v>1814</v>
      </c>
      <c r="L1076" s="16"/>
      <c r="M1076" s="14"/>
    </row>
    <row r="1077">
      <c r="A1077" s="16" t="str">
        <f>IFERROR(__xludf.DUMMYFUNCTION("""COMPUTED_VALUE"""),"Halimatou Adamou Marafa")</f>
        <v>Halimatou Adamou Marafa</v>
      </c>
      <c r="B1077" s="16"/>
      <c r="C1077" s="14"/>
      <c r="F1077" s="16" t="str">
        <f>IFERROR(__xludf.DUMMYFUNCTION("""COMPUTED_VALUE"""),"Toudou Kiara")</f>
        <v>Toudou Kiara</v>
      </c>
      <c r="G1077" s="16"/>
      <c r="H1077" s="14"/>
      <c r="K1077" s="16">
        <f>IFERROR(__xludf.DUMMYFUNCTION("""COMPUTED_VALUE"""),474.0)</f>
        <v>474</v>
      </c>
      <c r="L1077" s="16"/>
      <c r="M1077" s="14"/>
    </row>
    <row r="1078">
      <c r="A1078" s="16" t="str">
        <f>IFERROR(__xludf.DUMMYFUNCTION("""COMPUTED_VALUE"""),"Moussa Ide Ibrahim")</f>
        <v>Moussa Ide Ibrahim</v>
      </c>
      <c r="B1078" s="16"/>
      <c r="C1078" s="14"/>
      <c r="F1078" s="16" t="str">
        <f>IFERROR(__xludf.DUMMYFUNCTION("""COMPUTED_VALUE"""),"Toudou Kiara")</f>
        <v>Toudou Kiara</v>
      </c>
      <c r="G1078" s="16"/>
      <c r="H1078" s="14"/>
      <c r="K1078" s="16">
        <f>IFERROR(__xludf.DUMMYFUNCTION("""COMPUTED_VALUE"""),673.0)</f>
        <v>673</v>
      </c>
      <c r="L1078" s="16"/>
      <c r="M1078" s="14"/>
    </row>
    <row r="1079">
      <c r="A1079" s="16" t="str">
        <f>IFERROR(__xludf.DUMMYFUNCTION("""COMPUTED_VALUE"""),"Moussa Ide Ibrahim")</f>
        <v>Moussa Ide Ibrahim</v>
      </c>
      <c r="B1079" s="16"/>
      <c r="C1079" s="14"/>
      <c r="F1079" s="16" t="str">
        <f>IFERROR(__xludf.DUMMYFUNCTION("""COMPUTED_VALUE"""),"Toudou Kiara")</f>
        <v>Toudou Kiara</v>
      </c>
      <c r="G1079" s="16"/>
      <c r="H1079" s="14"/>
      <c r="K1079" s="16">
        <f>IFERROR(__xludf.DUMMYFUNCTION("""COMPUTED_VALUE"""),520.0)</f>
        <v>520</v>
      </c>
      <c r="L1079" s="16"/>
      <c r="M1079" s="14"/>
    </row>
    <row r="1080">
      <c r="A1080" s="16" t="str">
        <f>IFERROR(__xludf.DUMMYFUNCTION("""COMPUTED_VALUE"""),"Moussa Ide Ibrahim")</f>
        <v>Moussa Ide Ibrahim</v>
      </c>
      <c r="B1080" s="16"/>
      <c r="C1080" s="14"/>
      <c r="F1080" s="16" t="str">
        <f>IFERROR(__xludf.DUMMYFUNCTION("""COMPUTED_VALUE"""),"Toudou Kiara")</f>
        <v>Toudou Kiara</v>
      </c>
      <c r="G1080" s="16"/>
      <c r="H1080" s="14"/>
      <c r="K1080" s="16">
        <f>IFERROR(__xludf.DUMMYFUNCTION("""COMPUTED_VALUE"""),1187.0)</f>
        <v>1187</v>
      </c>
      <c r="L1080" s="16"/>
      <c r="M1080" s="14"/>
    </row>
    <row r="1081">
      <c r="A1081" s="16" t="str">
        <f>IFERROR(__xludf.DUMMYFUNCTION("""COMPUTED_VALUE"""),"Kimba Issa Mamoudou")</f>
        <v>Kimba Issa Mamoudou</v>
      </c>
      <c r="B1081" s="16"/>
      <c r="C1081" s="14"/>
      <c r="F1081" s="16" t="str">
        <f>IFERROR(__xludf.DUMMYFUNCTION("""COMPUTED_VALUE"""),"Toudou Kiara")</f>
        <v>Toudou Kiara</v>
      </c>
      <c r="G1081" s="16"/>
      <c r="H1081" s="14"/>
      <c r="K1081" s="16">
        <f>IFERROR(__xludf.DUMMYFUNCTION("""COMPUTED_VALUE"""),2121.0)</f>
        <v>2121</v>
      </c>
      <c r="L1081" s="16"/>
      <c r="M1081" s="14"/>
    </row>
    <row r="1082">
      <c r="A1082" s="16" t="str">
        <f>IFERROR(__xludf.DUMMYFUNCTION("""COMPUTED_VALUE"""),"Moussa Ide Ibrahim")</f>
        <v>Moussa Ide Ibrahim</v>
      </c>
      <c r="B1082" s="16"/>
      <c r="C1082" s="14"/>
      <c r="F1082" s="16" t="str">
        <f>IFERROR(__xludf.DUMMYFUNCTION("""COMPUTED_VALUE"""),"Toudou Kiara")</f>
        <v>Toudou Kiara</v>
      </c>
      <c r="G1082" s="16"/>
      <c r="H1082" s="14"/>
      <c r="K1082" s="16">
        <f>IFERROR(__xludf.DUMMYFUNCTION("""COMPUTED_VALUE"""),235.0)</f>
        <v>235</v>
      </c>
      <c r="L1082" s="16"/>
      <c r="M1082" s="14"/>
    </row>
    <row r="1083">
      <c r="A1083" s="16" t="str">
        <f>IFERROR(__xludf.DUMMYFUNCTION("""COMPUTED_VALUE"""),"Kimba Issa Mamoudou")</f>
        <v>Kimba Issa Mamoudou</v>
      </c>
      <c r="B1083" s="16"/>
      <c r="C1083" s="14"/>
      <c r="F1083" s="16" t="str">
        <f>IFERROR(__xludf.DUMMYFUNCTION("""COMPUTED_VALUE"""),"Moullela Guidan FoKo")</f>
        <v>Moullela Guidan FoKo</v>
      </c>
      <c r="G1083" s="16"/>
      <c r="H1083" s="14"/>
      <c r="K1083" s="16">
        <f>IFERROR(__xludf.DUMMYFUNCTION("""COMPUTED_VALUE"""),519.0)</f>
        <v>519</v>
      </c>
      <c r="L1083" s="16"/>
      <c r="M1083" s="14"/>
    </row>
    <row r="1084">
      <c r="A1084" s="16" t="str">
        <f>IFERROR(__xludf.DUMMYFUNCTION("""COMPUTED_VALUE"""),"Hamissou Moussa Nana Mariama")</f>
        <v>Hamissou Moussa Nana Mariama</v>
      </c>
      <c r="B1084" s="16"/>
      <c r="C1084" s="14"/>
      <c r="F1084" s="16" t="str">
        <f>IFERROR(__xludf.DUMMYFUNCTION("""COMPUTED_VALUE"""),"Moullela Guidan FoKo")</f>
        <v>Moullela Guidan FoKo</v>
      </c>
      <c r="G1084" s="16"/>
      <c r="H1084" s="14"/>
      <c r="K1084" s="16">
        <f>IFERROR(__xludf.DUMMYFUNCTION("""COMPUTED_VALUE"""),688.0)</f>
        <v>688</v>
      </c>
      <c r="L1084" s="16"/>
      <c r="M1084" s="14"/>
    </row>
    <row r="1085">
      <c r="A1085" s="16" t="str">
        <f>IFERROR(__xludf.DUMMYFUNCTION("""COMPUTED_VALUE"""),"Achirou Malam Dan Maradi Nassirou")</f>
        <v>Achirou Malam Dan Maradi Nassirou</v>
      </c>
      <c r="B1085" s="16"/>
      <c r="C1085" s="14"/>
      <c r="F1085" s="16" t="str">
        <f>IFERROR(__xludf.DUMMYFUNCTION("""COMPUTED_VALUE"""),"Moullela Guidan FoKo")</f>
        <v>Moullela Guidan FoKo</v>
      </c>
      <c r="G1085" s="16"/>
      <c r="H1085" s="14"/>
      <c r="K1085" s="16">
        <f>IFERROR(__xludf.DUMMYFUNCTION("""COMPUTED_VALUE"""),2369.0)</f>
        <v>2369</v>
      </c>
      <c r="L1085" s="16"/>
      <c r="M1085" s="14"/>
    </row>
    <row r="1086">
      <c r="A1086" s="16" t="str">
        <f>IFERROR(__xludf.DUMMYFUNCTION("""COMPUTED_VALUE"""),"Achirou Malam Dan Maradi Nassirou")</f>
        <v>Achirou Malam Dan Maradi Nassirou</v>
      </c>
      <c r="B1086" s="16"/>
      <c r="C1086" s="14"/>
      <c r="F1086" s="16" t="str">
        <f>IFERROR(__xludf.DUMMYFUNCTION("""COMPUTED_VALUE"""),"Guiroua Almoumini")</f>
        <v>Guiroua Almoumini</v>
      </c>
      <c r="G1086" s="16"/>
      <c r="H1086" s="14"/>
      <c r="K1086" s="16">
        <f>IFERROR(__xludf.DUMMYFUNCTION("""COMPUTED_VALUE"""),1436.0)</f>
        <v>1436</v>
      </c>
      <c r="L1086" s="16"/>
      <c r="M1086" s="14"/>
    </row>
    <row r="1087">
      <c r="A1087" s="16" t="str">
        <f>IFERROR(__xludf.DUMMYFUNCTION("""COMPUTED_VALUE"""),"Achirou Malam Dan Maradi Nassirou")</f>
        <v>Achirou Malam Dan Maradi Nassirou</v>
      </c>
      <c r="B1087" s="16"/>
      <c r="C1087" s="14"/>
      <c r="F1087" s="16" t="str">
        <f>IFERROR(__xludf.DUMMYFUNCTION("""COMPUTED_VALUE"""),"Guiroua Almoumini")</f>
        <v>Guiroua Almoumini</v>
      </c>
      <c r="G1087" s="16"/>
      <c r="H1087" s="14"/>
      <c r="K1087" s="16">
        <f>IFERROR(__xludf.DUMMYFUNCTION("""COMPUTED_VALUE"""),358.0)</f>
        <v>358</v>
      </c>
      <c r="L1087" s="16"/>
      <c r="M1087" s="14"/>
    </row>
    <row r="1088">
      <c r="A1088" s="16" t="str">
        <f>IFERROR(__xludf.DUMMYFUNCTION("""COMPUTED_VALUE"""),"Achirou Malam Dan Maradi Nassirou")</f>
        <v>Achirou Malam Dan Maradi Nassirou</v>
      </c>
      <c r="B1088" s="16"/>
      <c r="C1088" s="14"/>
      <c r="F1088" s="16" t="str">
        <f>IFERROR(__xludf.DUMMYFUNCTION("""COMPUTED_VALUE"""),"Guiroua Almoumini")</f>
        <v>Guiroua Almoumini</v>
      </c>
      <c r="G1088" s="16"/>
      <c r="H1088" s="14"/>
      <c r="K1088" s="16">
        <f>IFERROR(__xludf.DUMMYFUNCTION("""COMPUTED_VALUE"""),375.0)</f>
        <v>375</v>
      </c>
      <c r="L1088" s="16"/>
      <c r="M1088" s="14"/>
    </row>
    <row r="1089">
      <c r="A1089" s="16" t="str">
        <f>IFERROR(__xludf.DUMMYFUNCTION("""COMPUTED_VALUE"""),"Achirou kane Abdoul Nasser")</f>
        <v>Achirou kane Abdoul Nasser</v>
      </c>
      <c r="B1089" s="16"/>
      <c r="C1089" s="14"/>
      <c r="F1089" s="16" t="str">
        <f>IFERROR(__xludf.DUMMYFUNCTION("""COMPUTED_VALUE"""),"Moullela Guidan FoKo")</f>
        <v>Moullela Guidan FoKo</v>
      </c>
      <c r="G1089" s="16"/>
      <c r="H1089" s="14"/>
      <c r="K1089" s="16">
        <f>IFERROR(__xludf.DUMMYFUNCTION("""COMPUTED_VALUE"""),174.0)</f>
        <v>174</v>
      </c>
      <c r="L1089" s="16"/>
      <c r="M1089" s="14"/>
    </row>
    <row r="1090">
      <c r="A1090" s="16" t="str">
        <f>IFERROR(__xludf.DUMMYFUNCTION("""COMPUTED_VALUE"""),"Rakia moussa")</f>
        <v>Rakia moussa</v>
      </c>
      <c r="B1090" s="16"/>
      <c r="C1090" s="14"/>
      <c r="F1090" s="16" t="str">
        <f>IFERROR(__xludf.DUMMYFUNCTION("""COMPUTED_VALUE"""),"Koutoulou-Badabeye")</f>
        <v>Koutoulou-Badabeye</v>
      </c>
      <c r="G1090" s="16"/>
      <c r="H1090" s="14"/>
      <c r="K1090" s="16">
        <f>IFERROR(__xludf.DUMMYFUNCTION("""COMPUTED_VALUE"""),1489.0)</f>
        <v>1489</v>
      </c>
      <c r="L1090" s="16"/>
      <c r="M1090" s="14"/>
    </row>
    <row r="1091">
      <c r="A1091" s="16" t="str">
        <f>IFERROR(__xludf.DUMMYFUNCTION("""COMPUTED_VALUE"""),"Rakia moussa")</f>
        <v>Rakia moussa</v>
      </c>
      <c r="B1091" s="16"/>
      <c r="C1091" s="14"/>
      <c r="F1091" s="16" t="str">
        <f>IFERROR(__xludf.DUMMYFUNCTION("""COMPUTED_VALUE"""),"Sanbo Ilyasou")</f>
        <v>Sanbo Ilyasou</v>
      </c>
      <c r="G1091" s="16"/>
      <c r="H1091" s="14"/>
      <c r="K1091" s="16">
        <f>IFERROR(__xludf.DUMMYFUNCTION("""COMPUTED_VALUE"""),1772.0)</f>
        <v>1772</v>
      </c>
      <c r="L1091" s="16"/>
      <c r="M1091" s="14"/>
    </row>
    <row r="1092">
      <c r="A1092" s="16" t="str">
        <f>IFERROR(__xludf.DUMMYFUNCTION("""COMPUTED_VALUE"""),"Rakia moussa")</f>
        <v>Rakia moussa</v>
      </c>
      <c r="B1092" s="16"/>
      <c r="C1092" s="14"/>
      <c r="F1092" s="16" t="str">
        <f>IFERROR(__xludf.DUMMYFUNCTION("""COMPUTED_VALUE"""),"Sanbo Ilyasou")</f>
        <v>Sanbo Ilyasou</v>
      </c>
      <c r="G1092" s="16"/>
      <c r="H1092" s="14"/>
      <c r="K1092" s="16">
        <f>IFERROR(__xludf.DUMMYFUNCTION("""COMPUTED_VALUE"""),516.0)</f>
        <v>516</v>
      </c>
      <c r="L1092" s="16"/>
      <c r="M1092" s="14"/>
    </row>
    <row r="1093">
      <c r="A1093" s="16" t="str">
        <f>IFERROR(__xludf.DUMMYFUNCTION("""COMPUTED_VALUE"""),"Achirou kane Abdoul Nasser")</f>
        <v>Achirou kane Abdoul Nasser</v>
      </c>
      <c r="B1093" s="16"/>
      <c r="C1093" s="14"/>
      <c r="F1093" s="16" t="str">
        <f>IFERROR(__xludf.DUMMYFUNCTION("""COMPUTED_VALUE"""),"Sanbo Ilyasou")</f>
        <v>Sanbo Ilyasou</v>
      </c>
      <c r="G1093" s="16"/>
      <c r="H1093" s="14"/>
      <c r="K1093" s="16">
        <f>IFERROR(__xludf.DUMMYFUNCTION("""COMPUTED_VALUE"""),609.0)</f>
        <v>609</v>
      </c>
      <c r="L1093" s="16"/>
      <c r="M1093" s="14"/>
    </row>
    <row r="1094">
      <c r="A1094" s="16" t="str">
        <f>IFERROR(__xludf.DUMMYFUNCTION("""COMPUTED_VALUE"""),"Rakia moussa")</f>
        <v>Rakia moussa</v>
      </c>
      <c r="B1094" s="16"/>
      <c r="C1094" s="14"/>
      <c r="F1094" s="16" t="str">
        <f>IFERROR(__xludf.DUMMYFUNCTION("""COMPUTED_VALUE"""),"Sanbo Ilyasou")</f>
        <v>Sanbo Ilyasou</v>
      </c>
      <c r="G1094" s="16"/>
      <c r="H1094" s="14"/>
      <c r="K1094" s="16">
        <f>IFERROR(__xludf.DUMMYFUNCTION("""COMPUTED_VALUE"""),369.0)</f>
        <v>369</v>
      </c>
      <c r="L1094" s="16"/>
      <c r="M1094" s="14"/>
    </row>
    <row r="1095">
      <c r="A1095" s="16" t="str">
        <f>IFERROR(__xludf.DUMMYFUNCTION("""COMPUTED_VALUE"""),"Rakia moussa")</f>
        <v>Rakia moussa</v>
      </c>
      <c r="B1095" s="16"/>
      <c r="C1095" s="14"/>
      <c r="F1095" s="16" t="str">
        <f>IFERROR(__xludf.DUMMYFUNCTION("""COMPUTED_VALUE"""),"Sanbo Ilyasou")</f>
        <v>Sanbo Ilyasou</v>
      </c>
      <c r="G1095" s="16"/>
      <c r="H1095" s="14"/>
      <c r="K1095" s="16">
        <f>IFERROR(__xludf.DUMMYFUNCTION("""COMPUTED_VALUE"""),1874.0)</f>
        <v>1874</v>
      </c>
      <c r="L1095" s="16"/>
      <c r="M1095" s="14"/>
    </row>
    <row r="1096">
      <c r="A1096" s="16" t="str">
        <f>IFERROR(__xludf.DUMMYFUNCTION("""COMPUTED_VALUE"""),"Rakia moussa")</f>
        <v>Rakia moussa</v>
      </c>
      <c r="B1096" s="16"/>
      <c r="C1096" s="14"/>
      <c r="F1096" s="16" t="str">
        <f>IFERROR(__xludf.DUMMYFUNCTION("""COMPUTED_VALUE"""),"Sanbo Ilyasou")</f>
        <v>Sanbo Ilyasou</v>
      </c>
      <c r="G1096" s="16"/>
      <c r="H1096" s="14"/>
      <c r="K1096" s="16">
        <f>IFERROR(__xludf.DUMMYFUNCTION("""COMPUTED_VALUE"""),1454.0)</f>
        <v>1454</v>
      </c>
      <c r="L1096" s="16"/>
      <c r="M1096" s="14"/>
    </row>
    <row r="1097">
      <c r="A1097" s="16" t="str">
        <f>IFERROR(__xludf.DUMMYFUNCTION("""COMPUTED_VALUE"""),"Rakia moussa")</f>
        <v>Rakia moussa</v>
      </c>
      <c r="B1097" s="16"/>
      <c r="C1097" s="14"/>
      <c r="F1097" s="16" t="str">
        <f>IFERROR(__xludf.DUMMYFUNCTION("""COMPUTED_VALUE"""),"Sanbo Ilyasou")</f>
        <v>Sanbo Ilyasou</v>
      </c>
      <c r="G1097" s="16"/>
      <c r="H1097" s="14"/>
      <c r="K1097" s="16">
        <f>IFERROR(__xludf.DUMMYFUNCTION("""COMPUTED_VALUE"""),1236.0)</f>
        <v>1236</v>
      </c>
      <c r="L1097" s="16"/>
      <c r="M1097" s="14"/>
    </row>
    <row r="1098">
      <c r="A1098" s="16" t="str">
        <f>IFERROR(__xludf.DUMMYFUNCTION("""COMPUTED_VALUE"""),"ALASSANE TAWEY AWALOU")</f>
        <v>ALASSANE TAWEY AWALOU</v>
      </c>
      <c r="B1098" s="16"/>
      <c r="C1098" s="14"/>
      <c r="F1098" s="16" t="str">
        <f>IFERROR(__xludf.DUMMYFUNCTION("""COMPUTED_VALUE"""),"Sanbo Ilyasou")</f>
        <v>Sanbo Ilyasou</v>
      </c>
      <c r="G1098" s="16"/>
      <c r="H1098" s="14"/>
      <c r="K1098" s="16">
        <f>IFERROR(__xludf.DUMMYFUNCTION("""COMPUTED_VALUE"""),262.0)</f>
        <v>262</v>
      </c>
      <c r="L1098" s="16"/>
      <c r="M1098" s="14"/>
    </row>
    <row r="1099">
      <c r="A1099" s="16" t="str">
        <f>IFERROR(__xludf.DUMMYFUNCTION("""COMPUTED_VALUE"""),"ALASSANE TAWEY AWALOU")</f>
        <v>ALASSANE TAWEY AWALOU</v>
      </c>
      <c r="B1099" s="16"/>
      <c r="C1099" s="14"/>
      <c r="F1099" s="16" t="str">
        <f>IFERROR(__xludf.DUMMYFUNCTION("""COMPUTED_VALUE"""),"Koutoulou-Badabeye")</f>
        <v>Koutoulou-Badabeye</v>
      </c>
      <c r="G1099" s="16"/>
      <c r="H1099" s="14"/>
      <c r="K1099" s="16">
        <f>IFERROR(__xludf.DUMMYFUNCTION("""COMPUTED_VALUE"""),532.0)</f>
        <v>532</v>
      </c>
      <c r="L1099" s="16"/>
      <c r="M1099" s="14"/>
    </row>
    <row r="1100">
      <c r="A1100" s="16" t="str">
        <f>IFERROR(__xludf.DUMMYFUNCTION("""COMPUTED_VALUE"""),"ALASSANE TAWEY AWALOU")</f>
        <v>ALASSANE TAWEY AWALOU</v>
      </c>
      <c r="B1100" s="16"/>
      <c r="C1100" s="14"/>
      <c r="F1100" s="16" t="str">
        <f>IFERROR(__xludf.DUMMYFUNCTION("""COMPUTED_VALUE"""),"Koutoulou-Badabeye")</f>
        <v>Koutoulou-Badabeye</v>
      </c>
      <c r="G1100" s="16"/>
      <c r="H1100" s="14"/>
      <c r="K1100" s="16">
        <f>IFERROR(__xludf.DUMMYFUNCTION("""COMPUTED_VALUE"""),1132.0)</f>
        <v>1132</v>
      </c>
      <c r="L1100" s="16"/>
      <c r="M1100" s="14"/>
    </row>
    <row r="1101">
      <c r="A1101" s="16" t="str">
        <f>IFERROR(__xludf.DUMMYFUNCTION("""COMPUTED_VALUE"""),"ALASSANE TAWEY AWALOU")</f>
        <v>ALASSANE TAWEY AWALOU</v>
      </c>
      <c r="B1101" s="16"/>
      <c r="C1101" s="14"/>
      <c r="F1101" s="16" t="str">
        <f>IFERROR(__xludf.DUMMYFUNCTION("""COMPUTED_VALUE"""),"Toudou Adoum Peuhl II")</f>
        <v>Toudou Adoum Peuhl II</v>
      </c>
      <c r="G1101" s="16"/>
      <c r="H1101" s="14"/>
      <c r="K1101" s="16">
        <f>IFERROR(__xludf.DUMMYFUNCTION("""COMPUTED_VALUE"""),1559.0)</f>
        <v>1559</v>
      </c>
      <c r="L1101" s="16"/>
      <c r="M1101" s="14"/>
    </row>
    <row r="1102">
      <c r="A1102" s="16" t="str">
        <f>IFERROR(__xludf.DUMMYFUNCTION("""COMPUTED_VALUE"""),"Halidou Tagaza Balkissa")</f>
        <v>Halidou Tagaza Balkissa</v>
      </c>
      <c r="B1102" s="16"/>
      <c r="C1102" s="14"/>
      <c r="F1102" s="16" t="str">
        <f>IFERROR(__xludf.DUMMYFUNCTION("""COMPUTED_VALUE"""),"Toudou Adoum Peuhl II")</f>
        <v>Toudou Adoum Peuhl II</v>
      </c>
      <c r="G1102" s="16"/>
      <c r="H1102" s="14"/>
      <c r="K1102" s="16">
        <f>IFERROR(__xludf.DUMMYFUNCTION("""COMPUTED_VALUE"""),853.0)</f>
        <v>853</v>
      </c>
      <c r="L1102" s="16"/>
      <c r="M1102" s="14"/>
    </row>
    <row r="1103">
      <c r="A1103" s="16" t="str">
        <f>IFERROR(__xludf.DUMMYFUNCTION("""COMPUTED_VALUE"""),"Ibrahim Dan Habou Larwana")</f>
        <v>Ibrahim Dan Habou Larwana</v>
      </c>
      <c r="B1103" s="16"/>
      <c r="C1103" s="14"/>
      <c r="F1103" s="16" t="str">
        <f>IFERROR(__xludf.DUMMYFUNCTION("""COMPUTED_VALUE"""),"Toudou Adoum Peuhl II")</f>
        <v>Toudou Adoum Peuhl II</v>
      </c>
      <c r="G1103" s="16"/>
      <c r="H1103" s="14"/>
      <c r="K1103" s="16">
        <f>IFERROR(__xludf.DUMMYFUNCTION("""COMPUTED_VALUE"""),1265.0)</f>
        <v>1265</v>
      </c>
      <c r="L1103" s="16"/>
      <c r="M1103" s="14"/>
    </row>
    <row r="1104">
      <c r="A1104" s="16" t="str">
        <f>IFERROR(__xludf.DUMMYFUNCTION("""COMPUTED_VALUE"""),"Ibrahim Dan Habou Larwana")</f>
        <v>Ibrahim Dan Habou Larwana</v>
      </c>
      <c r="B1104" s="16"/>
      <c r="C1104" s="14"/>
      <c r="F1104" s="16" t="str">
        <f>IFERROR(__xludf.DUMMYFUNCTION("""COMPUTED_VALUE"""),"Toudou Adoum Peuhl II")</f>
        <v>Toudou Adoum Peuhl II</v>
      </c>
      <c r="G1104" s="16"/>
      <c r="H1104" s="14"/>
      <c r="K1104" s="16">
        <f>IFERROR(__xludf.DUMMYFUNCTION("""COMPUTED_VALUE"""),264.0)</f>
        <v>264</v>
      </c>
      <c r="L1104" s="16"/>
      <c r="M1104" s="14"/>
    </row>
    <row r="1105">
      <c r="A1105" s="16" t="str">
        <f>IFERROR(__xludf.DUMMYFUNCTION("""COMPUTED_VALUE"""),"Ibrahim Dan Habou Larwana")</f>
        <v>Ibrahim Dan Habou Larwana</v>
      </c>
      <c r="B1105" s="16"/>
      <c r="C1105" s="14"/>
      <c r="F1105" s="16" t="str">
        <f>IFERROR(__xludf.DUMMYFUNCTION("""COMPUTED_VALUE"""),"Toudou Adoum Peuhl II")</f>
        <v>Toudou Adoum Peuhl II</v>
      </c>
      <c r="G1105" s="16"/>
      <c r="H1105" s="14"/>
      <c r="K1105" s="16">
        <f>IFERROR(__xludf.DUMMYFUNCTION("""COMPUTED_VALUE"""),1271.0)</f>
        <v>1271</v>
      </c>
      <c r="L1105" s="16"/>
      <c r="M1105" s="14"/>
    </row>
    <row r="1106">
      <c r="A1106" s="16" t="str">
        <f>IFERROR(__xludf.DUMMYFUNCTION("""COMPUTED_VALUE"""),"Aicha Noma")</f>
        <v>Aicha Noma</v>
      </c>
      <c r="B1106" s="16"/>
      <c r="C1106" s="14"/>
      <c r="F1106" s="16" t="str">
        <f>IFERROR(__xludf.DUMMYFUNCTION("""COMPUTED_VALUE"""),"Toudou Adoum Peuhl II")</f>
        <v>Toudou Adoum Peuhl II</v>
      </c>
      <c r="G1106" s="16"/>
      <c r="H1106" s="14"/>
      <c r="K1106" s="16">
        <f>IFERROR(__xludf.DUMMYFUNCTION("""COMPUTED_VALUE"""),455.0)</f>
        <v>455</v>
      </c>
      <c r="L1106" s="16"/>
      <c r="M1106" s="14"/>
    </row>
    <row r="1107">
      <c r="A1107" s="16" t="str">
        <f>IFERROR(__xludf.DUMMYFUNCTION("""COMPUTED_VALUE"""),"Achirou Malam Dan Maradi Nassirou")</f>
        <v>Achirou Malam Dan Maradi Nassirou</v>
      </c>
      <c r="B1107" s="16"/>
      <c r="C1107" s="14"/>
      <c r="F1107" s="16" t="str">
        <f>IFERROR(__xludf.DUMMYFUNCTION("""COMPUTED_VALUE"""),"Alibou Toudou")</f>
        <v>Alibou Toudou</v>
      </c>
      <c r="G1107" s="16"/>
      <c r="H1107" s="14"/>
      <c r="K1107" s="16">
        <f>IFERROR(__xludf.DUMMYFUNCTION("""COMPUTED_VALUE"""),260.0)</f>
        <v>260</v>
      </c>
      <c r="L1107" s="16"/>
      <c r="M1107" s="14"/>
    </row>
    <row r="1108">
      <c r="A1108" s="16" t="str">
        <f>IFERROR(__xludf.DUMMYFUNCTION("""COMPUTED_VALUE"""),"Achirou Malam Dan Maradi Nassirou")</f>
        <v>Achirou Malam Dan Maradi Nassirou</v>
      </c>
      <c r="B1108" s="16"/>
      <c r="C1108" s="14"/>
      <c r="F1108" s="16" t="str">
        <f>IFERROR(__xludf.DUMMYFUNCTION("""COMPUTED_VALUE"""),"Alibou Toudou")</f>
        <v>Alibou Toudou</v>
      </c>
      <c r="G1108" s="16"/>
      <c r="H1108" s="14"/>
      <c r="K1108" s="16">
        <f>IFERROR(__xludf.DUMMYFUNCTION("""COMPUTED_VALUE"""),1491.0)</f>
        <v>1491</v>
      </c>
      <c r="L1108" s="16"/>
      <c r="M1108" s="14"/>
    </row>
    <row r="1109">
      <c r="A1109" s="16" t="str">
        <f>IFERROR(__xludf.DUMMYFUNCTION("""COMPUTED_VALUE"""),"Achirou Malam Dan Maradi Nassirou")</f>
        <v>Achirou Malam Dan Maradi Nassirou</v>
      </c>
      <c r="B1109" s="16"/>
      <c r="C1109" s="14"/>
      <c r="F1109" s="16" t="str">
        <f>IFERROR(__xludf.DUMMYFUNCTION("""COMPUTED_VALUE"""),"Alibou Toudou")</f>
        <v>Alibou Toudou</v>
      </c>
      <c r="G1109" s="16"/>
      <c r="H1109" s="14"/>
      <c r="K1109" s="16">
        <f>IFERROR(__xludf.DUMMYFUNCTION("""COMPUTED_VALUE"""),1855.0)</f>
        <v>1855</v>
      </c>
      <c r="L1109" s="16"/>
      <c r="M1109" s="14"/>
    </row>
    <row r="1110">
      <c r="A1110" s="16" t="str">
        <f>IFERROR(__xludf.DUMMYFUNCTION("""COMPUTED_VALUE"""),"Achirou Malam Dan Maradi Nassirou")</f>
        <v>Achirou Malam Dan Maradi Nassirou</v>
      </c>
      <c r="B1110" s="16"/>
      <c r="C1110" s="14"/>
      <c r="F1110" s="16" t="str">
        <f>IFERROR(__xludf.DUMMYFUNCTION("""COMPUTED_VALUE"""),"Toudou Adoum Peuhl II")</f>
        <v>Toudou Adoum Peuhl II</v>
      </c>
      <c r="G1110" s="16"/>
      <c r="H1110" s="14"/>
      <c r="K1110" s="16">
        <f>IFERROR(__xludf.DUMMYFUNCTION("""COMPUTED_VALUE"""),1503.0)</f>
        <v>1503</v>
      </c>
      <c r="L1110" s="16"/>
      <c r="M1110" s="14"/>
    </row>
    <row r="1111">
      <c r="A1111" s="16" t="str">
        <f>IFERROR(__xludf.DUMMYFUNCTION("""COMPUTED_VALUE"""),"Achirou Malam Dan Maradi Nassirou")</f>
        <v>Achirou Malam Dan Maradi Nassirou</v>
      </c>
      <c r="B1111" s="16"/>
      <c r="C1111" s="14"/>
      <c r="F1111" s="16" t="str">
        <f>IFERROR(__xludf.DUMMYFUNCTION("""COMPUTED_VALUE"""),"Raya Sabon Gari")</f>
        <v>Raya Sabon Gari</v>
      </c>
      <c r="G1111" s="16"/>
      <c r="H1111" s="14"/>
      <c r="K1111" s="16">
        <f>IFERROR(__xludf.DUMMYFUNCTION("""COMPUTED_VALUE"""),926.0)</f>
        <v>926</v>
      </c>
      <c r="L1111" s="16"/>
      <c r="M1111" s="14"/>
    </row>
    <row r="1112">
      <c r="A1112" s="16" t="str">
        <f>IFERROR(__xludf.DUMMYFUNCTION("""COMPUTED_VALUE"""),"Saddy Youssouf")</f>
        <v>Saddy Youssouf</v>
      </c>
      <c r="B1112" s="16"/>
      <c r="C1112" s="14"/>
      <c r="F1112" s="16" t="str">
        <f>IFERROR(__xludf.DUMMYFUNCTION("""COMPUTED_VALUE"""),"Raya Sabon Gari")</f>
        <v>Raya Sabon Gari</v>
      </c>
      <c r="G1112" s="16"/>
      <c r="H1112" s="14"/>
      <c r="K1112" s="16">
        <f>IFERROR(__xludf.DUMMYFUNCTION("""COMPUTED_VALUE"""),559.0)</f>
        <v>559</v>
      </c>
      <c r="L1112" s="16"/>
      <c r="M1112" s="14"/>
    </row>
    <row r="1113">
      <c r="A1113" s="16" t="str">
        <f>IFERROR(__xludf.DUMMYFUNCTION("""COMPUTED_VALUE"""),"Saddy Youssouf")</f>
        <v>Saddy Youssouf</v>
      </c>
      <c r="B1113" s="16"/>
      <c r="C1113" s="14"/>
      <c r="F1113" s="16" t="str">
        <f>IFERROR(__xludf.DUMMYFUNCTION("""COMPUTED_VALUE"""),"Raya Sabon Gari")</f>
        <v>Raya Sabon Gari</v>
      </c>
      <c r="G1113" s="16"/>
      <c r="H1113" s="14"/>
      <c r="K1113" s="16">
        <f>IFERROR(__xludf.DUMMYFUNCTION("""COMPUTED_VALUE"""),2932.0)</f>
        <v>2932</v>
      </c>
      <c r="L1113" s="16"/>
      <c r="M1113" s="14"/>
    </row>
    <row r="1114">
      <c r="A1114" s="16" t="str">
        <f>IFERROR(__xludf.DUMMYFUNCTION("""COMPUTED_VALUE"""),"Saddy Youssouf")</f>
        <v>Saddy Youssouf</v>
      </c>
      <c r="B1114" s="16"/>
      <c r="C1114" s="14"/>
      <c r="F1114" s="16" t="str">
        <f>IFERROR(__xludf.DUMMYFUNCTION("""COMPUTED_VALUE"""),"Raya Sabon Gari")</f>
        <v>Raya Sabon Gari</v>
      </c>
      <c r="G1114" s="16"/>
      <c r="H1114" s="14"/>
      <c r="K1114" s="16">
        <f>IFERROR(__xludf.DUMMYFUNCTION("""COMPUTED_VALUE"""),3208.0)</f>
        <v>3208</v>
      </c>
      <c r="L1114" s="16"/>
      <c r="M1114" s="14"/>
    </row>
    <row r="1115">
      <c r="A1115" s="16" t="str">
        <f>IFERROR(__xludf.DUMMYFUNCTION("""COMPUTED_VALUE"""),"Saddy Youssouf")</f>
        <v>Saddy Youssouf</v>
      </c>
      <c r="B1115" s="16"/>
      <c r="C1115" s="14"/>
      <c r="F1115" s="16" t="str">
        <f>IFERROR(__xludf.DUMMYFUNCTION("""COMPUTED_VALUE"""),"Raya Sabon Gari")</f>
        <v>Raya Sabon Gari</v>
      </c>
      <c r="G1115" s="16"/>
      <c r="H1115" s="14"/>
      <c r="K1115" s="16">
        <f>IFERROR(__xludf.DUMMYFUNCTION("""COMPUTED_VALUE"""),2326.0)</f>
        <v>2326</v>
      </c>
      <c r="L1115" s="16"/>
      <c r="M1115" s="14"/>
    </row>
    <row r="1116">
      <c r="A1116" s="16" t="str">
        <f>IFERROR(__xludf.DUMMYFUNCTION("""COMPUTED_VALUE"""),"Saddy Youssouf")</f>
        <v>Saddy Youssouf</v>
      </c>
      <c r="B1116" s="16"/>
      <c r="C1116" s="14"/>
      <c r="F1116" s="16" t="str">
        <f>IFERROR(__xludf.DUMMYFUNCTION("""COMPUTED_VALUE"""),"Raya Sabon Gari")</f>
        <v>Raya Sabon Gari</v>
      </c>
      <c r="G1116" s="16"/>
      <c r="H1116" s="14"/>
      <c r="K1116" s="16">
        <f>IFERROR(__xludf.DUMMYFUNCTION("""COMPUTED_VALUE"""),3257.0)</f>
        <v>3257</v>
      </c>
      <c r="L1116" s="16"/>
      <c r="M1116" s="14"/>
    </row>
    <row r="1117">
      <c r="A1117" s="16" t="str">
        <f>IFERROR(__xludf.DUMMYFUNCTION("""COMPUTED_VALUE"""),"Mohamadou Amadou")</f>
        <v>Mohamadou Amadou</v>
      </c>
      <c r="B1117" s="16"/>
      <c r="C1117" s="14"/>
      <c r="F1117" s="16" t="str">
        <f>IFERROR(__xludf.DUMMYFUNCTION("""COMPUTED_VALUE"""),"Raya Sabon Gari")</f>
        <v>Raya Sabon Gari</v>
      </c>
      <c r="G1117" s="16"/>
      <c r="H1117" s="14"/>
      <c r="K1117" s="16">
        <f>IFERROR(__xludf.DUMMYFUNCTION("""COMPUTED_VALUE"""),2571.0)</f>
        <v>2571</v>
      </c>
      <c r="L1117" s="16"/>
      <c r="M1117" s="14"/>
    </row>
    <row r="1118">
      <c r="A1118" s="16" t="str">
        <f>IFERROR(__xludf.DUMMYFUNCTION("""COMPUTED_VALUE"""),"Rabi Boubacar Younoussa")</f>
        <v>Rabi Boubacar Younoussa</v>
      </c>
      <c r="B1118" s="16"/>
      <c r="C1118" s="14"/>
      <c r="F1118" s="16" t="str">
        <f>IFERROR(__xludf.DUMMYFUNCTION("""COMPUTED_VALUE"""),"Koutoulou-Badabeye")</f>
        <v>Koutoulou-Badabeye</v>
      </c>
      <c r="G1118" s="16"/>
      <c r="H1118" s="14"/>
      <c r="K1118" s="16">
        <f>IFERROR(__xludf.DUMMYFUNCTION("""COMPUTED_VALUE"""),462.0)</f>
        <v>462</v>
      </c>
      <c r="L1118" s="16"/>
      <c r="M1118" s="14"/>
    </row>
    <row r="1119">
      <c r="A1119" s="16" t="str">
        <f>IFERROR(__xludf.DUMMYFUNCTION("""COMPUTED_VALUE"""),"Adamou Halidou Daouda")</f>
        <v>Adamou Halidou Daouda</v>
      </c>
      <c r="B1119" s="16"/>
      <c r="C1119" s="14"/>
      <c r="F1119" s="16" t="str">
        <f>IFERROR(__xludf.DUMMYFUNCTION("""COMPUTED_VALUE"""),"Koutoulou-Badabeye")</f>
        <v>Koutoulou-Badabeye</v>
      </c>
      <c r="G1119" s="16"/>
      <c r="H1119" s="14"/>
      <c r="K1119" s="16">
        <f>IFERROR(__xludf.DUMMYFUNCTION("""COMPUTED_VALUE"""),1906.0)</f>
        <v>1906</v>
      </c>
      <c r="L1119" s="16"/>
      <c r="M1119" s="14"/>
    </row>
    <row r="1120">
      <c r="A1120" s="16" t="str">
        <f>IFERROR(__xludf.DUMMYFUNCTION("""COMPUTED_VALUE"""),"Adamou Halidou Daouda")</f>
        <v>Adamou Halidou Daouda</v>
      </c>
      <c r="B1120" s="16"/>
      <c r="C1120" s="14"/>
      <c r="F1120" s="16" t="str">
        <f>IFERROR(__xludf.DUMMYFUNCTION("""COMPUTED_VALUE"""),"Koutoulou-Badabeye")</f>
        <v>Koutoulou-Badabeye</v>
      </c>
      <c r="G1120" s="16"/>
      <c r="H1120" s="14"/>
      <c r="K1120" s="16">
        <f>IFERROR(__xludf.DUMMYFUNCTION("""COMPUTED_VALUE"""),759.0)</f>
        <v>759</v>
      </c>
      <c r="L1120" s="16"/>
      <c r="M1120" s="14"/>
    </row>
    <row r="1121">
      <c r="A1121" s="16" t="str">
        <f>IFERROR(__xludf.DUMMYFUNCTION("""COMPUTED_VALUE"""),"Adamou Halidou Daouda")</f>
        <v>Adamou Halidou Daouda</v>
      </c>
      <c r="B1121" s="16"/>
      <c r="C1121" s="14"/>
      <c r="F1121" s="16" t="str">
        <f>IFERROR(__xludf.DUMMYFUNCTION("""COMPUTED_VALUE"""),"Koutoulou-Badabeye")</f>
        <v>Koutoulou-Badabeye</v>
      </c>
      <c r="G1121" s="16"/>
      <c r="H1121" s="14"/>
      <c r="K1121" s="16">
        <f>IFERROR(__xludf.DUMMYFUNCTION("""COMPUTED_VALUE"""),441.0)</f>
        <v>441</v>
      </c>
      <c r="L1121" s="16"/>
      <c r="M1121" s="14"/>
    </row>
    <row r="1122">
      <c r="A1122" s="16" t="str">
        <f>IFERROR(__xludf.DUMMYFUNCTION("""COMPUTED_VALUE"""),"Adamou Halidou Daouda")</f>
        <v>Adamou Halidou Daouda</v>
      </c>
      <c r="B1122" s="16"/>
      <c r="C1122" s="14"/>
      <c r="F1122" s="16" t="str">
        <f>IFERROR(__xludf.DUMMYFUNCTION("""COMPUTED_VALUE"""),"Koutoulou-Badabeye")</f>
        <v>Koutoulou-Badabeye</v>
      </c>
      <c r="G1122" s="16"/>
      <c r="H1122" s="14"/>
      <c r="K1122" s="16">
        <f>IFERROR(__xludf.DUMMYFUNCTION("""COMPUTED_VALUE"""),842.0)</f>
        <v>842</v>
      </c>
      <c r="L1122" s="16"/>
      <c r="M1122" s="14"/>
    </row>
    <row r="1123">
      <c r="A1123" s="16" t="str">
        <f>IFERROR(__xludf.DUMMYFUNCTION("""COMPUTED_VALUE"""),"Inoussa Balkissou")</f>
        <v>Inoussa Balkissou</v>
      </c>
      <c r="B1123" s="16"/>
      <c r="C1123" s="14"/>
      <c r="F1123" s="16" t="str">
        <f>IFERROR(__xludf.DUMMYFUNCTION("""COMPUTED_VALUE"""),"Toudouni")</f>
        <v>Toudouni</v>
      </c>
      <c r="G1123" s="16"/>
      <c r="H1123" s="14"/>
      <c r="K1123" s="16">
        <f>IFERROR(__xludf.DUMMYFUNCTION("""COMPUTED_VALUE"""),1396.0)</f>
        <v>1396</v>
      </c>
      <c r="L1123" s="16"/>
      <c r="M1123" s="14"/>
    </row>
    <row r="1124">
      <c r="A1124" s="16" t="str">
        <f>IFERROR(__xludf.DUMMYFUNCTION("""COMPUTED_VALUE"""),"Abdoul Razak Mahamane Boukari")</f>
        <v>Abdoul Razak Mahamane Boukari</v>
      </c>
      <c r="B1124" s="16"/>
      <c r="C1124" s="14"/>
      <c r="F1124" s="16" t="str">
        <f>IFERROR(__xludf.DUMMYFUNCTION("""COMPUTED_VALUE"""),"Toudouni")</f>
        <v>Toudouni</v>
      </c>
      <c r="G1124" s="16"/>
      <c r="H1124" s="14"/>
      <c r="K1124" s="16">
        <f>IFERROR(__xludf.DUMMYFUNCTION("""COMPUTED_VALUE"""),1610.0)</f>
        <v>1610</v>
      </c>
      <c r="L1124" s="16"/>
      <c r="M1124" s="14"/>
    </row>
    <row r="1125">
      <c r="A1125" s="16" t="str">
        <f>IFERROR(__xludf.DUMMYFUNCTION("""COMPUTED_VALUE"""),"Abdoul Razak Mahamane Boukari")</f>
        <v>Abdoul Razak Mahamane Boukari</v>
      </c>
      <c r="B1125" s="16"/>
      <c r="C1125" s="14"/>
      <c r="F1125" s="16" t="str">
        <f>IFERROR(__xludf.DUMMYFUNCTION("""COMPUTED_VALUE"""),"Toudouni")</f>
        <v>Toudouni</v>
      </c>
      <c r="G1125" s="16"/>
      <c r="H1125" s="14"/>
      <c r="K1125" s="16">
        <f>IFERROR(__xludf.DUMMYFUNCTION("""COMPUTED_VALUE"""),1510.0)</f>
        <v>1510</v>
      </c>
      <c r="L1125" s="16"/>
      <c r="M1125" s="14"/>
    </row>
    <row r="1126">
      <c r="A1126" s="16" t="str">
        <f>IFERROR(__xludf.DUMMYFUNCTION("""COMPUTED_VALUE"""),"Gaoh Maazou")</f>
        <v>Gaoh Maazou</v>
      </c>
      <c r="B1126" s="16"/>
      <c r="C1126" s="14"/>
      <c r="F1126" s="16" t="str">
        <f>IFERROR(__xludf.DUMMYFUNCTION("""COMPUTED_VALUE"""),"Toudouni")</f>
        <v>Toudouni</v>
      </c>
      <c r="G1126" s="16"/>
      <c r="H1126" s="14"/>
      <c r="K1126" s="16">
        <f>IFERROR(__xludf.DUMMYFUNCTION("""COMPUTED_VALUE"""),958.0)</f>
        <v>958</v>
      </c>
      <c r="L1126" s="16"/>
      <c r="M1126" s="14"/>
    </row>
    <row r="1127">
      <c r="A1127" s="16" t="str">
        <f>IFERROR(__xludf.DUMMYFUNCTION("""COMPUTED_VALUE"""),"Gaoh Maazou")</f>
        <v>Gaoh Maazou</v>
      </c>
      <c r="B1127" s="16"/>
      <c r="C1127" s="14"/>
      <c r="F1127" s="16" t="str">
        <f>IFERROR(__xludf.DUMMYFUNCTION("""COMPUTED_VALUE"""),"Toudouni")</f>
        <v>Toudouni</v>
      </c>
      <c r="G1127" s="16"/>
      <c r="H1127" s="14"/>
      <c r="K1127" s="16">
        <f>IFERROR(__xludf.DUMMYFUNCTION("""COMPUTED_VALUE"""),959.0)</f>
        <v>959</v>
      </c>
      <c r="L1127" s="16"/>
      <c r="M1127" s="14"/>
    </row>
    <row r="1128">
      <c r="A1128" s="16" t="str">
        <f>IFERROR(__xludf.DUMMYFUNCTION("""COMPUTED_VALUE"""),"Razinatou Salissou")</f>
        <v>Razinatou Salissou</v>
      </c>
      <c r="B1128" s="16"/>
      <c r="C1128" s="14"/>
      <c r="F1128" s="16" t="str">
        <f>IFERROR(__xludf.DUMMYFUNCTION("""COMPUTED_VALUE"""),"Toudouni")</f>
        <v>Toudouni</v>
      </c>
      <c r="G1128" s="16"/>
      <c r="H1128" s="14"/>
      <c r="K1128" s="16">
        <f>IFERROR(__xludf.DUMMYFUNCTION("""COMPUTED_VALUE"""),1233.0)</f>
        <v>1233</v>
      </c>
      <c r="L1128" s="16"/>
      <c r="M1128" s="14"/>
    </row>
    <row r="1129">
      <c r="A1129" s="16" t="str">
        <f>IFERROR(__xludf.DUMMYFUNCTION("""COMPUTED_VALUE"""),"Razinatou Salissou")</f>
        <v>Razinatou Salissou</v>
      </c>
      <c r="B1129" s="16"/>
      <c r="C1129" s="14"/>
      <c r="F1129" s="16" t="str">
        <f>IFERROR(__xludf.DUMMYFUNCTION("""COMPUTED_VALUE"""),"Toudouni")</f>
        <v>Toudouni</v>
      </c>
      <c r="G1129" s="16"/>
      <c r="H1129" s="14"/>
      <c r="K1129" s="16">
        <f>IFERROR(__xludf.DUMMYFUNCTION("""COMPUTED_VALUE"""),266.0)</f>
        <v>266</v>
      </c>
      <c r="L1129" s="16"/>
      <c r="M1129" s="14"/>
    </row>
    <row r="1130">
      <c r="A1130" s="16" t="str">
        <f>IFERROR(__xludf.DUMMYFUNCTION("""COMPUTED_VALUE"""),"Gaoh Maazou")</f>
        <v>Gaoh Maazou</v>
      </c>
      <c r="B1130" s="16"/>
      <c r="C1130" s="14"/>
      <c r="F1130" s="16" t="str">
        <f>IFERROR(__xludf.DUMMYFUNCTION("""COMPUTED_VALUE"""),"Sanbo Tinga")</f>
        <v>Sanbo Tinga</v>
      </c>
      <c r="G1130" s="16"/>
      <c r="H1130" s="14"/>
      <c r="K1130" s="16">
        <f>IFERROR(__xludf.DUMMYFUNCTION("""COMPUTED_VALUE"""),995.0)</f>
        <v>995</v>
      </c>
      <c r="L1130" s="16"/>
      <c r="M1130" s="14"/>
    </row>
    <row r="1131">
      <c r="A1131" s="16" t="str">
        <f>IFERROR(__xludf.DUMMYFUNCTION("""COMPUTED_VALUE"""),"Asmaou Tanko Issa")</f>
        <v>Asmaou Tanko Issa</v>
      </c>
      <c r="B1131" s="16"/>
      <c r="C1131" s="14"/>
      <c r="F1131" s="16" t="str">
        <f>IFERROR(__xludf.DUMMYFUNCTION("""COMPUTED_VALUE"""),"Sanbo Tinga")</f>
        <v>Sanbo Tinga</v>
      </c>
      <c r="G1131" s="16"/>
      <c r="H1131" s="14"/>
      <c r="K1131" s="16">
        <f>IFERROR(__xludf.DUMMYFUNCTION("""COMPUTED_VALUE"""),966.0)</f>
        <v>966</v>
      </c>
      <c r="L1131" s="16"/>
      <c r="M1131" s="14"/>
    </row>
    <row r="1132">
      <c r="A1132" s="16" t="str">
        <f>IFERROR(__xludf.DUMMYFUNCTION("""COMPUTED_VALUE"""),"Asmaou Tanko Issa")</f>
        <v>Asmaou Tanko Issa</v>
      </c>
      <c r="B1132" s="16"/>
      <c r="C1132" s="14"/>
      <c r="F1132" s="16" t="str">
        <f>IFERROR(__xludf.DUMMYFUNCTION("""COMPUTED_VALUE"""),"Sanbo Tinga")</f>
        <v>Sanbo Tinga</v>
      </c>
      <c r="G1132" s="16"/>
      <c r="H1132" s="14"/>
      <c r="K1132" s="16">
        <f>IFERROR(__xludf.DUMMYFUNCTION("""COMPUTED_VALUE"""),1228.0)</f>
        <v>1228</v>
      </c>
      <c r="L1132" s="16"/>
      <c r="M1132" s="14"/>
    </row>
    <row r="1133">
      <c r="A1133" s="16" t="str">
        <f>IFERROR(__xludf.DUMMYFUNCTION("""COMPUTED_VALUE"""),"Asmaou Tanko Issa")</f>
        <v>Asmaou Tanko Issa</v>
      </c>
      <c r="B1133" s="16"/>
      <c r="C1133" s="14"/>
      <c r="F1133" s="16" t="str">
        <f>IFERROR(__xludf.DUMMYFUNCTION("""COMPUTED_VALUE"""),"Bagueye")</f>
        <v>Bagueye</v>
      </c>
      <c r="G1133" s="16"/>
      <c r="H1133" s="14"/>
      <c r="K1133" s="16">
        <f>IFERROR(__xludf.DUMMYFUNCTION("""COMPUTED_VALUE"""),382.0)</f>
        <v>382</v>
      </c>
      <c r="L1133" s="16"/>
      <c r="M1133" s="14"/>
    </row>
    <row r="1134">
      <c r="A1134" s="16" t="str">
        <f>IFERROR(__xludf.DUMMYFUNCTION("""COMPUTED_VALUE"""),"Abdoul Salami Ibrahim")</f>
        <v>Abdoul Salami Ibrahim</v>
      </c>
      <c r="B1134" s="16"/>
      <c r="C1134" s="14"/>
      <c r="F1134" s="16" t="str">
        <f>IFERROR(__xludf.DUMMYFUNCTION("""COMPUTED_VALUE"""),"Sanbo Tinga")</f>
        <v>Sanbo Tinga</v>
      </c>
      <c r="G1134" s="16"/>
      <c r="H1134" s="14"/>
      <c r="K1134" s="16">
        <f>IFERROR(__xludf.DUMMYFUNCTION("""COMPUTED_VALUE"""),531.0)</f>
        <v>531</v>
      </c>
      <c r="L1134" s="16"/>
      <c r="M1134" s="14"/>
    </row>
    <row r="1135">
      <c r="A1135" s="16" t="str">
        <f>IFERROR(__xludf.DUMMYFUNCTION("""COMPUTED_VALUE"""),"Abdoul Salami Ibrahim")</f>
        <v>Abdoul Salami Ibrahim</v>
      </c>
      <c r="B1135" s="16"/>
      <c r="C1135" s="14"/>
      <c r="F1135" s="16" t="str">
        <f>IFERROR(__xludf.DUMMYFUNCTION("""COMPUTED_VALUE"""),"Sanbo Tinga")</f>
        <v>Sanbo Tinga</v>
      </c>
      <c r="G1135" s="16"/>
      <c r="H1135" s="14"/>
      <c r="K1135" s="16">
        <f>IFERROR(__xludf.DUMMYFUNCTION("""COMPUTED_VALUE"""),527.0)</f>
        <v>527</v>
      </c>
      <c r="L1135" s="16"/>
      <c r="M1135" s="14"/>
    </row>
    <row r="1136">
      <c r="A1136" s="16" t="str">
        <f>IFERROR(__xludf.DUMMYFUNCTION("""COMPUTED_VALUE"""),"Abdoul Salami Ibrahim")</f>
        <v>Abdoul Salami Ibrahim</v>
      </c>
      <c r="B1136" s="16"/>
      <c r="C1136" s="14"/>
      <c r="F1136" s="16" t="str">
        <f>IFERROR(__xludf.DUMMYFUNCTION("""COMPUTED_VALUE"""),"Sanbo Tinga")</f>
        <v>Sanbo Tinga</v>
      </c>
      <c r="G1136" s="16"/>
      <c r="H1136" s="14"/>
      <c r="K1136" s="16">
        <f>IFERROR(__xludf.DUMMYFUNCTION("""COMPUTED_VALUE"""),338.0)</f>
        <v>338</v>
      </c>
      <c r="L1136" s="16"/>
      <c r="M1136" s="14"/>
    </row>
    <row r="1137">
      <c r="A1137" s="16" t="str">
        <f>IFERROR(__xludf.DUMMYFUNCTION("""COMPUTED_VALUE"""),"Abdoul Salami Ibrahim")</f>
        <v>Abdoul Salami Ibrahim</v>
      </c>
      <c r="B1137" s="16"/>
      <c r="C1137" s="14"/>
      <c r="F1137" s="16" t="str">
        <f>IFERROR(__xludf.DUMMYFUNCTION("""COMPUTED_VALUE"""),"Sanbo Tinga")</f>
        <v>Sanbo Tinga</v>
      </c>
      <c r="G1137" s="16"/>
      <c r="H1137" s="14"/>
      <c r="K1137" s="16">
        <f>IFERROR(__xludf.DUMMYFUNCTION("""COMPUTED_VALUE"""),474.0)</f>
        <v>474</v>
      </c>
      <c r="L1137" s="16"/>
      <c r="M1137" s="14"/>
    </row>
    <row r="1138">
      <c r="A1138" s="16" t="str">
        <f>IFERROR(__xludf.DUMMYFUNCTION("""COMPUTED_VALUE"""),"Yacouba Idé dit Lumana")</f>
        <v>Yacouba Idé dit Lumana</v>
      </c>
      <c r="B1138" s="16"/>
      <c r="C1138" s="14"/>
      <c r="F1138" s="16" t="str">
        <f>IFERROR(__xludf.DUMMYFUNCTION("""COMPUTED_VALUE"""),"Bagueye")</f>
        <v>Bagueye</v>
      </c>
      <c r="G1138" s="16"/>
      <c r="H1138" s="14"/>
      <c r="K1138" s="16">
        <f>IFERROR(__xludf.DUMMYFUNCTION("""COMPUTED_VALUE"""),1877.0)</f>
        <v>1877</v>
      </c>
      <c r="L1138" s="16"/>
      <c r="M1138" s="14"/>
    </row>
    <row r="1139">
      <c r="A1139" s="16" t="str">
        <f>IFERROR(__xludf.DUMMYFUNCTION("""COMPUTED_VALUE"""),"Yacouba Idé dit Lumana")</f>
        <v>Yacouba Idé dit Lumana</v>
      </c>
      <c r="B1139" s="16"/>
      <c r="C1139" s="14"/>
      <c r="F1139" s="16" t="str">
        <f>IFERROR(__xludf.DUMMYFUNCTION("""COMPUTED_VALUE"""),"Bagueye")</f>
        <v>Bagueye</v>
      </c>
      <c r="G1139" s="16"/>
      <c r="H1139" s="14"/>
      <c r="K1139" s="16">
        <f>IFERROR(__xludf.DUMMYFUNCTION("""COMPUTED_VALUE"""),1894.0)</f>
        <v>1894</v>
      </c>
      <c r="L1139" s="16"/>
      <c r="M1139" s="14"/>
    </row>
    <row r="1140">
      <c r="A1140" s="16" t="str">
        <f>IFERROR(__xludf.DUMMYFUNCTION("""COMPUTED_VALUE"""),"Amadou Hamidou Abdoul Karim")</f>
        <v>Amadou Hamidou Abdoul Karim</v>
      </c>
      <c r="B1140" s="16"/>
      <c r="C1140" s="14"/>
      <c r="F1140" s="16" t="str">
        <f>IFERROR(__xludf.DUMMYFUNCTION("""COMPUTED_VALUE"""),"Bagueye")</f>
        <v>Bagueye</v>
      </c>
      <c r="G1140" s="16"/>
      <c r="H1140" s="14"/>
      <c r="K1140" s="16">
        <f>IFERROR(__xludf.DUMMYFUNCTION("""COMPUTED_VALUE"""),431.0)</f>
        <v>431</v>
      </c>
      <c r="L1140" s="16"/>
      <c r="M1140" s="14"/>
    </row>
    <row r="1141">
      <c r="A1141" s="16" t="str">
        <f>IFERROR(__xludf.DUMMYFUNCTION("""COMPUTED_VALUE"""),"Amadou Hamidou Abdoul Karim")</f>
        <v>Amadou Hamidou Abdoul Karim</v>
      </c>
      <c r="B1141" s="16"/>
      <c r="C1141" s="14"/>
      <c r="F1141" s="16" t="str">
        <f>IFERROR(__xludf.DUMMYFUNCTION("""COMPUTED_VALUE"""),"Bagueye")</f>
        <v>Bagueye</v>
      </c>
      <c r="G1141" s="16"/>
      <c r="H1141" s="14"/>
      <c r="K1141" s="16">
        <f>IFERROR(__xludf.DUMMYFUNCTION("""COMPUTED_VALUE"""),650.0)</f>
        <v>650</v>
      </c>
      <c r="L1141" s="16"/>
      <c r="M1141" s="14"/>
    </row>
    <row r="1142">
      <c r="A1142" s="16" t="str">
        <f>IFERROR(__xludf.DUMMYFUNCTION("""COMPUTED_VALUE"""),"Yacouba Idé dit Lumana")</f>
        <v>Yacouba Idé dit Lumana</v>
      </c>
      <c r="B1142" s="16"/>
      <c r="C1142" s="14"/>
      <c r="F1142" s="16" t="str">
        <f>IFERROR(__xludf.DUMMYFUNCTION("""COMPUTED_VALUE"""),"Bagueye")</f>
        <v>Bagueye</v>
      </c>
      <c r="G1142" s="16"/>
      <c r="H1142" s="14"/>
      <c r="K1142" s="16">
        <f>IFERROR(__xludf.DUMMYFUNCTION("""COMPUTED_VALUE"""),459.0)</f>
        <v>459</v>
      </c>
      <c r="L1142" s="16"/>
      <c r="M1142" s="14"/>
    </row>
    <row r="1143">
      <c r="A1143" s="16" t="str">
        <f>IFERROR(__xludf.DUMMYFUNCTION("""COMPUTED_VALUE"""),"Ouhoumoudou Djannou Ibrahim")</f>
        <v>Ouhoumoudou Djannou Ibrahim</v>
      </c>
      <c r="B1143" s="16"/>
      <c r="C1143" s="14"/>
      <c r="F1143" s="16" t="str">
        <f>IFERROR(__xludf.DUMMYFUNCTION("""COMPUTED_VALUE"""),"Bagueye")</f>
        <v>Bagueye</v>
      </c>
      <c r="G1143" s="16"/>
      <c r="H1143" s="14"/>
      <c r="K1143" s="16">
        <f>IFERROR(__xludf.DUMMYFUNCTION("""COMPUTED_VALUE"""),1918.0)</f>
        <v>1918</v>
      </c>
      <c r="L1143" s="16"/>
      <c r="M1143" s="14"/>
    </row>
    <row r="1144">
      <c r="A1144" s="16" t="str">
        <f>IFERROR(__xludf.DUMMYFUNCTION("""COMPUTED_VALUE"""),"Ouhoumoudou Djannou Ibrahim")</f>
        <v>Ouhoumoudou Djannou Ibrahim</v>
      </c>
      <c r="B1144" s="16"/>
      <c r="C1144" s="14"/>
      <c r="F1144" s="16" t="str">
        <f>IFERROR(__xludf.DUMMYFUNCTION("""COMPUTED_VALUE"""),"Bagueye")</f>
        <v>Bagueye</v>
      </c>
      <c r="G1144" s="16"/>
      <c r="H1144" s="14"/>
      <c r="K1144" s="16">
        <f>IFERROR(__xludf.DUMMYFUNCTION("""COMPUTED_VALUE"""),319.0)</f>
        <v>319</v>
      </c>
      <c r="L1144" s="16"/>
      <c r="M1144" s="14"/>
    </row>
    <row r="1145">
      <c r="A1145" s="16" t="str">
        <f>IFERROR(__xludf.DUMMYFUNCTION("""COMPUTED_VALUE"""),"Ouhoumoudou Djannou Ibrahim")</f>
        <v>Ouhoumoudou Djannou Ibrahim</v>
      </c>
      <c r="B1145" s="16"/>
      <c r="C1145" s="14"/>
      <c r="F1145" s="16" t="str">
        <f>IFERROR(__xludf.DUMMYFUNCTION("""COMPUTED_VALUE"""),"Bagueye")</f>
        <v>Bagueye</v>
      </c>
      <c r="G1145" s="16"/>
      <c r="H1145" s="14"/>
      <c r="K1145" s="16">
        <f>IFERROR(__xludf.DUMMYFUNCTION("""COMPUTED_VALUE"""),1039.0)</f>
        <v>1039</v>
      </c>
      <c r="L1145" s="16"/>
      <c r="M1145" s="14"/>
    </row>
    <row r="1146">
      <c r="A1146" s="16" t="str">
        <f>IFERROR(__xludf.DUMMYFUNCTION("""COMPUTED_VALUE"""),"Ouhoumoudou Djannou Ibrahim")</f>
        <v>Ouhoumoudou Djannou Ibrahim</v>
      </c>
      <c r="B1146" s="16"/>
      <c r="C1146" s="14"/>
      <c r="F1146" s="16" t="str">
        <f>IFERROR(__xludf.DUMMYFUNCTION("""COMPUTED_VALUE"""),"Bagueye")</f>
        <v>Bagueye</v>
      </c>
      <c r="G1146" s="16"/>
      <c r="H1146" s="14"/>
      <c r="K1146" s="16">
        <f>IFERROR(__xludf.DUMMYFUNCTION("""COMPUTED_VALUE"""),244.0)</f>
        <v>244</v>
      </c>
      <c r="L1146" s="16"/>
      <c r="M1146" s="14"/>
    </row>
    <row r="1147">
      <c r="A1147" s="16" t="str">
        <f>IFERROR(__xludf.DUMMYFUNCTION("""COMPUTED_VALUE"""),"Ouhoumoudou Djannou Ibrahim")</f>
        <v>Ouhoumoudou Djannou Ibrahim</v>
      </c>
      <c r="B1147" s="16"/>
      <c r="C1147" s="14"/>
      <c r="F1147" s="16" t="str">
        <f>IFERROR(__xludf.DUMMYFUNCTION("""COMPUTED_VALUE"""),"Bagueye")</f>
        <v>Bagueye</v>
      </c>
      <c r="G1147" s="16"/>
      <c r="H1147" s="14"/>
      <c r="K1147" s="16">
        <f>IFERROR(__xludf.DUMMYFUNCTION("""COMPUTED_VALUE"""),843.0)</f>
        <v>843</v>
      </c>
      <c r="L1147" s="16"/>
      <c r="M1147" s="14"/>
    </row>
    <row r="1148">
      <c r="A1148" s="16" t="str">
        <f>IFERROR(__xludf.DUMMYFUNCTION("""COMPUTED_VALUE"""),"Hachimou Rabiou Mamoudou")</f>
        <v>Hachimou Rabiou Mamoudou</v>
      </c>
      <c r="B1148" s="16"/>
      <c r="C1148" s="14"/>
      <c r="F1148" s="16" t="str">
        <f>IFERROR(__xludf.DUMMYFUNCTION("""COMPUTED_VALUE"""),"Bagueye")</f>
        <v>Bagueye</v>
      </c>
      <c r="G1148" s="16"/>
      <c r="H1148" s="14"/>
      <c r="K1148" s="16">
        <f>IFERROR(__xludf.DUMMYFUNCTION("""COMPUTED_VALUE"""),1848.0)</f>
        <v>1848</v>
      </c>
      <c r="L1148" s="16"/>
      <c r="M1148" s="14"/>
    </row>
    <row r="1149">
      <c r="A1149" s="16" t="str">
        <f>IFERROR(__xludf.DUMMYFUNCTION("""COMPUTED_VALUE"""),"Hachimou Rabiou Mamoudou")</f>
        <v>Hachimou Rabiou Mamoudou</v>
      </c>
      <c r="B1149" s="16"/>
      <c r="C1149" s="14"/>
      <c r="F1149" s="16" t="str">
        <f>IFERROR(__xludf.DUMMYFUNCTION("""COMPUTED_VALUE"""),"Bagueye")</f>
        <v>Bagueye</v>
      </c>
      <c r="G1149" s="16"/>
      <c r="H1149" s="14"/>
      <c r="K1149" s="16">
        <f>IFERROR(__xludf.DUMMYFUNCTION("""COMPUTED_VALUE"""),1428.0)</f>
        <v>1428</v>
      </c>
      <c r="L1149" s="16"/>
      <c r="M1149" s="14"/>
    </row>
    <row r="1150">
      <c r="A1150" s="16" t="str">
        <f>IFERROR(__xludf.DUMMYFUNCTION("""COMPUTED_VALUE"""),"Hachimou Rabiou Mamoudou")</f>
        <v>Hachimou Rabiou Mamoudou</v>
      </c>
      <c r="B1150" s="16"/>
      <c r="C1150" s="14"/>
      <c r="F1150" s="16" t="str">
        <f>IFERROR(__xludf.DUMMYFUNCTION("""COMPUTED_VALUE"""),"Alibou Toudou")</f>
        <v>Alibou Toudou</v>
      </c>
      <c r="G1150" s="16"/>
      <c r="H1150" s="14"/>
      <c r="K1150" s="16">
        <f>IFERROR(__xludf.DUMMYFUNCTION("""COMPUTED_VALUE"""),1291.0)</f>
        <v>1291</v>
      </c>
      <c r="L1150" s="16"/>
      <c r="M1150" s="14"/>
    </row>
    <row r="1151">
      <c r="A1151" s="16" t="str">
        <f>IFERROR(__xludf.DUMMYFUNCTION("""COMPUTED_VALUE"""),"Rabeika Ide Mabeye")</f>
        <v>Rabeika Ide Mabeye</v>
      </c>
      <c r="B1151" s="16"/>
      <c r="C1151" s="14"/>
      <c r="F1151" s="16" t="str">
        <f>IFERROR(__xludf.DUMMYFUNCTION("""COMPUTED_VALUE"""),"Bagueye")</f>
        <v>Bagueye</v>
      </c>
      <c r="G1151" s="16"/>
      <c r="H1151" s="14"/>
      <c r="K1151" s="16">
        <f>IFERROR(__xludf.DUMMYFUNCTION("""COMPUTED_VALUE"""),1473.0)</f>
        <v>1473</v>
      </c>
      <c r="L1151" s="16"/>
      <c r="M1151" s="14"/>
    </row>
    <row r="1152">
      <c r="A1152" s="16" t="str">
        <f>IFERROR(__xludf.DUMMYFUNCTION("""COMPUTED_VALUE"""),"Aboubacar Hamadou Manga")</f>
        <v>Aboubacar Hamadou Manga</v>
      </c>
      <c r="B1152" s="16"/>
      <c r="C1152" s="14"/>
      <c r="F1152" s="16" t="str">
        <f>IFERROR(__xludf.DUMMYFUNCTION("""COMPUTED_VALUE"""),"Koutoulou-Badabeye")</f>
        <v>Koutoulou-Badabeye</v>
      </c>
      <c r="G1152" s="16"/>
      <c r="H1152" s="14"/>
      <c r="K1152" s="16">
        <f>IFERROR(__xludf.DUMMYFUNCTION("""COMPUTED_VALUE"""),2194.0)</f>
        <v>2194</v>
      </c>
      <c r="L1152" s="16"/>
      <c r="M1152" s="14"/>
    </row>
    <row r="1153">
      <c r="A1153" s="16" t="str">
        <f>IFERROR(__xludf.DUMMYFUNCTION("""COMPUTED_VALUE"""),"Aboubacar Hamadou Manga")</f>
        <v>Aboubacar Hamadou Manga</v>
      </c>
      <c r="B1153" s="16"/>
      <c r="C1153" s="14"/>
      <c r="F1153" s="16" t="str">
        <f>IFERROR(__xludf.DUMMYFUNCTION("""COMPUTED_VALUE"""),"Koutoulou-Badabeye")</f>
        <v>Koutoulou-Badabeye</v>
      </c>
      <c r="G1153" s="16"/>
      <c r="H1153" s="14"/>
      <c r="K1153" s="16">
        <f>IFERROR(__xludf.DUMMYFUNCTION("""COMPUTED_VALUE"""),2516.0)</f>
        <v>2516</v>
      </c>
      <c r="L1153" s="16"/>
      <c r="M1153" s="14"/>
    </row>
    <row r="1154">
      <c r="A1154" s="16" t="str">
        <f>IFERROR(__xludf.DUMMYFUNCTION("""COMPUTED_VALUE"""),"Maman Ado Abdourahamane")</f>
        <v>Maman Ado Abdourahamane</v>
      </c>
      <c r="B1154" s="16"/>
      <c r="C1154" s="14"/>
      <c r="F1154" s="16" t="str">
        <f>IFERROR(__xludf.DUMMYFUNCTION("""COMPUTED_VALUE"""),"Koutoulou-Badabeye")</f>
        <v>Koutoulou-Badabeye</v>
      </c>
      <c r="G1154" s="16"/>
      <c r="H1154" s="14"/>
      <c r="K1154" s="16">
        <f>IFERROR(__xludf.DUMMYFUNCTION("""COMPUTED_VALUE"""),310.0)</f>
        <v>310</v>
      </c>
      <c r="L1154" s="16"/>
      <c r="M1154" s="14"/>
    </row>
    <row r="1155">
      <c r="A1155" s="16" t="str">
        <f>IFERROR(__xludf.DUMMYFUNCTION("""COMPUTED_VALUE"""),"Aboubacar Hamadou Manga")</f>
        <v>Aboubacar Hamadou Manga</v>
      </c>
      <c r="B1155" s="16"/>
      <c r="C1155" s="14"/>
      <c r="F1155" s="16" t="str">
        <f>IFERROR(__xludf.DUMMYFUNCTION("""COMPUTED_VALUE"""),"Koutoulou-Badabeye")</f>
        <v>Koutoulou-Badabeye</v>
      </c>
      <c r="G1155" s="16"/>
      <c r="H1155" s="14"/>
      <c r="K1155" s="16">
        <f>IFERROR(__xludf.DUMMYFUNCTION("""COMPUTED_VALUE"""),349.0)</f>
        <v>349</v>
      </c>
      <c r="L1155" s="16"/>
      <c r="M1155" s="14"/>
    </row>
    <row r="1156">
      <c r="A1156" s="16" t="str">
        <f>IFERROR(__xludf.DUMMYFUNCTION("""COMPUTED_VALUE"""),"Maman Ado Abdourahamane")</f>
        <v>Maman Ado Abdourahamane</v>
      </c>
      <c r="B1156" s="16"/>
      <c r="C1156" s="14"/>
      <c r="F1156" s="16" t="str">
        <f>IFERROR(__xludf.DUMMYFUNCTION("""COMPUTED_VALUE"""),"Hiro")</f>
        <v>Hiro</v>
      </c>
      <c r="G1156" s="16"/>
      <c r="H1156" s="14"/>
      <c r="K1156" s="16">
        <f>IFERROR(__xludf.DUMMYFUNCTION("""COMPUTED_VALUE"""),422.0)</f>
        <v>422</v>
      </c>
      <c r="L1156" s="16"/>
      <c r="M1156" s="14"/>
    </row>
    <row r="1157">
      <c r="A1157" s="16" t="str">
        <f>IFERROR(__xludf.DUMMYFUNCTION("""COMPUTED_VALUE"""),"Maman Ado Abdourahamane")</f>
        <v>Maman Ado Abdourahamane</v>
      </c>
      <c r="B1157" s="16"/>
      <c r="C1157" s="14"/>
      <c r="F1157" s="16" t="str">
        <f>IFERROR(__xludf.DUMMYFUNCTION("""COMPUTED_VALUE"""),"Hiro")</f>
        <v>Hiro</v>
      </c>
      <c r="G1157" s="16"/>
      <c r="H1157" s="14"/>
      <c r="K1157" s="16">
        <f>IFERROR(__xludf.DUMMYFUNCTION("""COMPUTED_VALUE"""),896.0)</f>
        <v>896</v>
      </c>
      <c r="L1157" s="16"/>
      <c r="M1157" s="14"/>
    </row>
    <row r="1158">
      <c r="A1158" s="16" t="str">
        <f>IFERROR(__xludf.DUMMYFUNCTION("""COMPUTED_VALUE"""),"Elhaji Abdou Leilata")</f>
        <v>Elhaji Abdou Leilata</v>
      </c>
      <c r="B1158" s="16"/>
      <c r="C1158" s="14"/>
      <c r="F1158" s="16" t="str">
        <f>IFERROR(__xludf.DUMMYFUNCTION("""COMPUTED_VALUE"""),"Hiro")</f>
        <v>Hiro</v>
      </c>
      <c r="G1158" s="16"/>
      <c r="H1158" s="14"/>
      <c r="K1158" s="16">
        <f>IFERROR(__xludf.DUMMYFUNCTION("""COMPUTED_VALUE"""),1336.0)</f>
        <v>1336</v>
      </c>
      <c r="L1158" s="16"/>
      <c r="M1158" s="14"/>
    </row>
    <row r="1159">
      <c r="A1159" s="16" t="str">
        <f>IFERROR(__xludf.DUMMYFUNCTION("""COMPUTED_VALUE"""),"Maman Ado Abdourahamane")</f>
        <v>Maman Ado Abdourahamane</v>
      </c>
      <c r="B1159" s="16"/>
      <c r="C1159" s="14"/>
      <c r="F1159" s="16" t="str">
        <f>IFERROR(__xludf.DUMMYFUNCTION("""COMPUTED_VALUE"""),"Koutoulou-Badabeye")</f>
        <v>Koutoulou-Badabeye</v>
      </c>
      <c r="G1159" s="16"/>
      <c r="H1159" s="14"/>
      <c r="K1159" s="16">
        <f>IFERROR(__xludf.DUMMYFUNCTION("""COMPUTED_VALUE"""),1195.0)</f>
        <v>1195</v>
      </c>
      <c r="L1159" s="16"/>
      <c r="M1159" s="14"/>
    </row>
    <row r="1160">
      <c r="A1160" s="16" t="str">
        <f>IFERROR(__xludf.DUMMYFUNCTION("""COMPUTED_VALUE"""),"Maman Ado Abdourahamane")</f>
        <v>Maman Ado Abdourahamane</v>
      </c>
      <c r="B1160" s="16"/>
      <c r="C1160" s="14"/>
      <c r="F1160" s="16" t="str">
        <f>IFERROR(__xludf.DUMMYFUNCTION("""COMPUTED_VALUE"""),"Koutoulou-Badabeye")</f>
        <v>Koutoulou-Badabeye</v>
      </c>
      <c r="G1160" s="16"/>
      <c r="H1160" s="14"/>
      <c r="K1160" s="16">
        <f>IFERROR(__xludf.DUMMYFUNCTION("""COMPUTED_VALUE"""),1207.0)</f>
        <v>1207</v>
      </c>
      <c r="L1160" s="16"/>
      <c r="M1160" s="14"/>
    </row>
    <row r="1161">
      <c r="A1161" s="16" t="str">
        <f>IFERROR(__xludf.DUMMYFUNCTION("""COMPUTED_VALUE"""),"Maman Ado Abdourahamane")</f>
        <v>Maman Ado Abdourahamane</v>
      </c>
      <c r="B1161" s="16"/>
      <c r="C1161" s="14"/>
      <c r="F1161" s="16" t="str">
        <f>IFERROR(__xludf.DUMMYFUNCTION("""COMPUTED_VALUE"""),"Koutoulou-Badabeye")</f>
        <v>Koutoulou-Badabeye</v>
      </c>
      <c r="G1161" s="16"/>
      <c r="H1161" s="14"/>
      <c r="K1161" s="16">
        <f>IFERROR(__xludf.DUMMYFUNCTION("""COMPUTED_VALUE"""),289.0)</f>
        <v>289</v>
      </c>
      <c r="L1161" s="16"/>
      <c r="M1161" s="14"/>
    </row>
    <row r="1162">
      <c r="A1162" s="16" t="str">
        <f>IFERROR(__xludf.DUMMYFUNCTION("""COMPUTED_VALUE"""),"Hamissou Moussa Nana Mariama")</f>
        <v>Hamissou Moussa Nana Mariama</v>
      </c>
      <c r="B1162" s="16"/>
      <c r="C1162" s="14"/>
      <c r="F1162" s="16" t="str">
        <f>IFERROR(__xludf.DUMMYFUNCTION("""COMPUTED_VALUE"""),"Moullela Guidan FoKo")</f>
        <v>Moullela Guidan FoKo</v>
      </c>
      <c r="G1162" s="16"/>
      <c r="H1162" s="14"/>
      <c r="K1162" s="16">
        <f>IFERROR(__xludf.DUMMYFUNCTION("""COMPUTED_VALUE"""),261.0)</f>
        <v>261</v>
      </c>
      <c r="L1162" s="16"/>
      <c r="M1162" s="14"/>
    </row>
    <row r="1163">
      <c r="A1163" s="16" t="str">
        <f>IFERROR(__xludf.DUMMYFUNCTION("""COMPUTED_VALUE"""),"Elhaji Abdou Leilata")</f>
        <v>Elhaji Abdou Leilata</v>
      </c>
      <c r="B1163" s="16"/>
      <c r="C1163" s="14"/>
      <c r="F1163" s="16" t="str">
        <f>IFERROR(__xludf.DUMMYFUNCTION("""COMPUTED_VALUE"""),"Koutoulou-Badabeye")</f>
        <v>Koutoulou-Badabeye</v>
      </c>
      <c r="G1163" s="16"/>
      <c r="H1163" s="14"/>
      <c r="K1163" s="16">
        <f>IFERROR(__xludf.DUMMYFUNCTION("""COMPUTED_VALUE"""),901.0)</f>
        <v>901</v>
      </c>
      <c r="L1163" s="16"/>
      <c r="M1163" s="14"/>
    </row>
    <row r="1164">
      <c r="A1164" s="16" t="str">
        <f>IFERROR(__xludf.DUMMYFUNCTION("""COMPUTED_VALUE"""),"Maman Ado Abdourahamane")</f>
        <v>Maman Ado Abdourahamane</v>
      </c>
      <c r="B1164" s="16"/>
      <c r="C1164" s="14"/>
      <c r="F1164" s="16" t="str">
        <f>IFERROR(__xludf.DUMMYFUNCTION("""COMPUTED_VALUE"""),"Moullela Guidan FoKo")</f>
        <v>Moullela Guidan FoKo</v>
      </c>
      <c r="G1164" s="16"/>
      <c r="H1164" s="14"/>
      <c r="K1164" s="16">
        <f>IFERROR(__xludf.DUMMYFUNCTION("""COMPUTED_VALUE"""),602.0)</f>
        <v>602</v>
      </c>
      <c r="L1164" s="16"/>
      <c r="M1164" s="14"/>
    </row>
    <row r="1165">
      <c r="A1165" s="16" t="str">
        <f>IFERROR(__xludf.DUMMYFUNCTION("""COMPUTED_VALUE"""),"Elhaji Abdou Leilata")</f>
        <v>Elhaji Abdou Leilata</v>
      </c>
      <c r="B1165" s="16"/>
      <c r="C1165" s="14"/>
      <c r="F1165" s="16" t="str">
        <f>IFERROR(__xludf.DUMMYFUNCTION("""COMPUTED_VALUE"""),"Moullela Guidan FoKo")</f>
        <v>Moullela Guidan FoKo</v>
      </c>
      <c r="G1165" s="16"/>
      <c r="H1165" s="14"/>
      <c r="K1165" s="16">
        <f>IFERROR(__xludf.DUMMYFUNCTION("""COMPUTED_VALUE"""),1935.0)</f>
        <v>1935</v>
      </c>
      <c r="L1165" s="16"/>
      <c r="M1165" s="14"/>
    </row>
    <row r="1166">
      <c r="A1166" s="16" t="str">
        <f>IFERROR(__xludf.DUMMYFUNCTION("""COMPUTED_VALUE"""),"Maman Ado Abdourahamane")</f>
        <v>Maman Ado Abdourahamane</v>
      </c>
      <c r="B1166" s="16"/>
      <c r="C1166" s="14"/>
      <c r="F1166" s="16" t="str">
        <f>IFERROR(__xludf.DUMMYFUNCTION("""COMPUTED_VALUE"""),"Moullela Guidan FoKo")</f>
        <v>Moullela Guidan FoKo</v>
      </c>
      <c r="G1166" s="16"/>
      <c r="H1166" s="14"/>
      <c r="K1166" s="16">
        <f>IFERROR(__xludf.DUMMYFUNCTION("""COMPUTED_VALUE"""),795.0)</f>
        <v>795</v>
      </c>
      <c r="L1166" s="16"/>
      <c r="M1166" s="14"/>
    </row>
    <row r="1167">
      <c r="A1167" s="16" t="str">
        <f>IFERROR(__xludf.DUMMYFUNCTION("""COMPUTED_VALUE"""),"Kadidja Issaka Hamidou")</f>
        <v>Kadidja Issaka Hamidou</v>
      </c>
      <c r="B1167" s="16"/>
      <c r="C1167" s="14"/>
      <c r="F1167" s="16" t="str">
        <f>IFERROR(__xludf.DUMMYFUNCTION("""COMPUTED_VALUE"""),"Bilbis I")</f>
        <v>Bilbis I</v>
      </c>
      <c r="G1167" s="16"/>
      <c r="H1167" s="14"/>
      <c r="K1167" s="16">
        <f>IFERROR(__xludf.DUMMYFUNCTION("""COMPUTED_VALUE"""),833.0)</f>
        <v>833</v>
      </c>
      <c r="L1167" s="16"/>
      <c r="M1167" s="14"/>
    </row>
    <row r="1168">
      <c r="A1168" s="16" t="str">
        <f>IFERROR(__xludf.DUMMYFUNCTION("""COMPUTED_VALUE"""),"Binta Maman")</f>
        <v>Binta Maman</v>
      </c>
      <c r="B1168" s="16"/>
      <c r="C1168" s="14"/>
      <c r="F1168" s="16" t="str">
        <f>IFERROR(__xludf.DUMMYFUNCTION("""COMPUTED_VALUE"""),"Bilbis I")</f>
        <v>Bilbis I</v>
      </c>
      <c r="G1168" s="16"/>
      <c r="H1168" s="14"/>
      <c r="K1168" s="16">
        <f>IFERROR(__xludf.DUMMYFUNCTION("""COMPUTED_VALUE"""),442.0)</f>
        <v>442</v>
      </c>
      <c r="L1168" s="16"/>
      <c r="M1168" s="14"/>
    </row>
    <row r="1169">
      <c r="A1169" s="16" t="str">
        <f>IFERROR(__xludf.DUMMYFUNCTION("""COMPUTED_VALUE"""),"Binta Maman")</f>
        <v>Binta Maman</v>
      </c>
      <c r="B1169" s="16"/>
      <c r="C1169" s="14"/>
      <c r="F1169" s="16" t="str">
        <f>IFERROR(__xludf.DUMMYFUNCTION("""COMPUTED_VALUE"""),"Bilbis I")</f>
        <v>Bilbis I</v>
      </c>
      <c r="G1169" s="16"/>
      <c r="H1169" s="14"/>
      <c r="K1169" s="16">
        <f>IFERROR(__xludf.DUMMYFUNCTION("""COMPUTED_VALUE"""),2334.0)</f>
        <v>2334</v>
      </c>
      <c r="L1169" s="16"/>
      <c r="M1169" s="14"/>
    </row>
    <row r="1170">
      <c r="A1170" s="16" t="str">
        <f>IFERROR(__xludf.DUMMYFUNCTION("""COMPUTED_VALUE"""),"Larabou Chamsoudine")</f>
        <v>Larabou Chamsoudine</v>
      </c>
      <c r="B1170" s="16"/>
      <c r="C1170" s="14"/>
      <c r="F1170" s="16" t="str">
        <f>IFERROR(__xludf.DUMMYFUNCTION("""COMPUTED_VALUE"""),"Bilbis I")</f>
        <v>Bilbis I</v>
      </c>
      <c r="G1170" s="16"/>
      <c r="H1170" s="14"/>
      <c r="K1170" s="16">
        <f>IFERROR(__xludf.DUMMYFUNCTION("""COMPUTED_VALUE"""),1853.0)</f>
        <v>1853</v>
      </c>
      <c r="L1170" s="16"/>
      <c r="M1170" s="14"/>
    </row>
    <row r="1171">
      <c r="A1171" s="16" t="str">
        <f>IFERROR(__xludf.DUMMYFUNCTION("""COMPUTED_VALUE"""),"Larabou Chamsoudine")</f>
        <v>Larabou Chamsoudine</v>
      </c>
      <c r="B1171" s="16"/>
      <c r="C1171" s="14"/>
      <c r="F1171" s="16" t="str">
        <f>IFERROR(__xludf.DUMMYFUNCTION("""COMPUTED_VALUE"""),"Hiro")</f>
        <v>Hiro</v>
      </c>
      <c r="G1171" s="16"/>
      <c r="H1171" s="14"/>
      <c r="K1171" s="16">
        <f>IFERROR(__xludf.DUMMYFUNCTION("""COMPUTED_VALUE"""),1640.0)</f>
        <v>1640</v>
      </c>
      <c r="L1171" s="16"/>
      <c r="M1171" s="14"/>
    </row>
    <row r="1172">
      <c r="A1172" s="16" t="str">
        <f>IFERROR(__xludf.DUMMYFUNCTION("""COMPUTED_VALUE"""),"Larabou Chamsoudine")</f>
        <v>Larabou Chamsoudine</v>
      </c>
      <c r="B1172" s="16"/>
      <c r="C1172" s="14"/>
      <c r="F1172" s="16" t="str">
        <f>IFERROR(__xludf.DUMMYFUNCTION("""COMPUTED_VALUE"""),"Bilbis I")</f>
        <v>Bilbis I</v>
      </c>
      <c r="G1172" s="16"/>
      <c r="H1172" s="14"/>
      <c r="K1172" s="16">
        <f>IFERROR(__xludf.DUMMYFUNCTION("""COMPUTED_VALUE"""),1356.0)</f>
        <v>1356</v>
      </c>
      <c r="L1172" s="16"/>
      <c r="M1172" s="14"/>
    </row>
    <row r="1173">
      <c r="A1173" s="16" t="str">
        <f>IFERROR(__xludf.DUMMYFUNCTION("""COMPUTED_VALUE"""),"Mohamed Cherif")</f>
        <v>Mohamed Cherif</v>
      </c>
      <c r="B1173" s="16"/>
      <c r="C1173" s="14"/>
      <c r="F1173" s="16" t="str">
        <f>IFERROR(__xludf.DUMMYFUNCTION("""COMPUTED_VALUE"""),"Bilbis I")</f>
        <v>Bilbis I</v>
      </c>
      <c r="G1173" s="16"/>
      <c r="H1173" s="14"/>
      <c r="K1173" s="16">
        <f>IFERROR(__xludf.DUMMYFUNCTION("""COMPUTED_VALUE"""),1801.0)</f>
        <v>1801</v>
      </c>
      <c r="L1173" s="16"/>
      <c r="M1173" s="14"/>
    </row>
    <row r="1174">
      <c r="A1174" s="16" t="str">
        <f>IFERROR(__xludf.DUMMYFUNCTION("""COMPUTED_VALUE"""),"Mohamed Cherif")</f>
        <v>Mohamed Cherif</v>
      </c>
      <c r="B1174" s="16"/>
      <c r="C1174" s="14"/>
      <c r="F1174" s="16" t="str">
        <f>IFERROR(__xludf.DUMMYFUNCTION("""COMPUTED_VALUE"""),"Bilbis I")</f>
        <v>Bilbis I</v>
      </c>
      <c r="G1174" s="16"/>
      <c r="H1174" s="14"/>
      <c r="K1174" s="16">
        <f>IFERROR(__xludf.DUMMYFUNCTION("""COMPUTED_VALUE"""),1825.0)</f>
        <v>1825</v>
      </c>
      <c r="L1174" s="16"/>
      <c r="M1174" s="14"/>
    </row>
    <row r="1175">
      <c r="A1175" s="16" t="str">
        <f>IFERROR(__xludf.DUMMYFUNCTION("""COMPUTED_VALUE"""),"Mohamed Cherif")</f>
        <v>Mohamed Cherif</v>
      </c>
      <c r="B1175" s="16"/>
      <c r="C1175" s="14"/>
      <c r="F1175" s="16" t="str">
        <f>IFERROR(__xludf.DUMMYFUNCTION("""COMPUTED_VALUE"""),"Moullela Guidan FoKo")</f>
        <v>Moullela Guidan FoKo</v>
      </c>
      <c r="G1175" s="16"/>
      <c r="H1175" s="14"/>
      <c r="K1175" s="16">
        <f>IFERROR(__xludf.DUMMYFUNCTION("""COMPUTED_VALUE"""),496.0)</f>
        <v>496</v>
      </c>
      <c r="L1175" s="16"/>
      <c r="M1175" s="14"/>
    </row>
    <row r="1176">
      <c r="A1176" s="16" t="str">
        <f>IFERROR(__xludf.DUMMYFUNCTION("""COMPUTED_VALUE"""),"Mohamed Cherif")</f>
        <v>Mohamed Cherif</v>
      </c>
      <c r="B1176" s="16"/>
      <c r="C1176" s="14"/>
      <c r="F1176" s="16" t="str">
        <f>IFERROR(__xludf.DUMMYFUNCTION("""COMPUTED_VALUE"""),"Moullela Guidan FoKo")</f>
        <v>Moullela Guidan FoKo</v>
      </c>
      <c r="G1176" s="16"/>
      <c r="H1176" s="14"/>
      <c r="K1176" s="16">
        <f>IFERROR(__xludf.DUMMYFUNCTION("""COMPUTED_VALUE"""),1787.0)</f>
        <v>1787</v>
      </c>
      <c r="L1176" s="16"/>
      <c r="M1176" s="14"/>
    </row>
    <row r="1177">
      <c r="A1177" s="16" t="str">
        <f>IFERROR(__xludf.DUMMYFUNCTION("""COMPUTED_VALUE"""),"Mohamadou Amadou")</f>
        <v>Mohamadou Amadou</v>
      </c>
      <c r="B1177" s="16"/>
      <c r="C1177" s="14"/>
      <c r="F1177" s="16" t="str">
        <f>IFERROR(__xludf.DUMMYFUNCTION("""COMPUTED_VALUE"""),"Koutoulou-Badabeye")</f>
        <v>Koutoulou-Badabeye</v>
      </c>
      <c r="G1177" s="16"/>
      <c r="H1177" s="14"/>
      <c r="K1177" s="16">
        <f>IFERROR(__xludf.DUMMYFUNCTION("""COMPUTED_VALUE"""),437.0)</f>
        <v>437</v>
      </c>
      <c r="L1177" s="16"/>
      <c r="M1177" s="14"/>
    </row>
    <row r="1178">
      <c r="A1178" s="16" t="str">
        <f>IFERROR(__xludf.DUMMYFUNCTION("""COMPUTED_VALUE"""),"Mohamadou Amadou")</f>
        <v>Mohamadou Amadou</v>
      </c>
      <c r="B1178" s="16"/>
      <c r="C1178" s="14"/>
      <c r="F1178" s="16" t="str">
        <f>IFERROR(__xludf.DUMMYFUNCTION("""COMPUTED_VALUE"""),"Sanbo Tinga")</f>
        <v>Sanbo Tinga</v>
      </c>
      <c r="G1178" s="16"/>
      <c r="H1178" s="14"/>
      <c r="K1178" s="16">
        <f>IFERROR(__xludf.DUMMYFUNCTION("""COMPUTED_VALUE"""),382.0)</f>
        <v>382</v>
      </c>
      <c r="L1178" s="16"/>
      <c r="M1178" s="14"/>
    </row>
    <row r="1179">
      <c r="A1179" s="16" t="str">
        <f>IFERROR(__xludf.DUMMYFUNCTION("""COMPUTED_VALUE"""),"Rabi Boubacar Younoussa")</f>
        <v>Rabi Boubacar Younoussa</v>
      </c>
      <c r="B1179" s="16"/>
      <c r="C1179" s="14"/>
      <c r="F1179" s="16" t="str">
        <f>IFERROR(__xludf.DUMMYFUNCTION("""COMPUTED_VALUE"""),"Sanbo Tinga")</f>
        <v>Sanbo Tinga</v>
      </c>
      <c r="G1179" s="16"/>
      <c r="H1179" s="14"/>
      <c r="K1179" s="16">
        <f>IFERROR(__xludf.DUMMYFUNCTION("""COMPUTED_VALUE"""),1619.0)</f>
        <v>1619</v>
      </c>
      <c r="L1179" s="16"/>
      <c r="M1179" s="14"/>
    </row>
    <row r="1180">
      <c r="A1180" s="16" t="str">
        <f>IFERROR(__xludf.DUMMYFUNCTION("""COMPUTED_VALUE"""),"Maman Ado Abdourahamane")</f>
        <v>Maman Ado Abdourahamane</v>
      </c>
      <c r="B1180" s="16"/>
      <c r="C1180" s="14"/>
      <c r="F1180" s="16" t="str">
        <f>IFERROR(__xludf.DUMMYFUNCTION("""COMPUTED_VALUE"""),"Sanbo Tinga")</f>
        <v>Sanbo Tinga</v>
      </c>
      <c r="G1180" s="16"/>
      <c r="H1180" s="14"/>
      <c r="K1180" s="16">
        <f>IFERROR(__xludf.DUMMYFUNCTION("""COMPUTED_VALUE"""),390.0)</f>
        <v>390</v>
      </c>
      <c r="L1180" s="16"/>
      <c r="M1180" s="14"/>
    </row>
    <row r="1181">
      <c r="A1181" s="16" t="str">
        <f>IFERROR(__xludf.DUMMYFUNCTION("""COMPUTED_VALUE"""),"Halimatou Adamou Marafa")</f>
        <v>Halimatou Adamou Marafa</v>
      </c>
      <c r="B1181" s="16"/>
      <c r="C1181" s="14"/>
      <c r="F1181" s="16" t="str">
        <f>IFERROR(__xludf.DUMMYFUNCTION("""COMPUTED_VALUE"""),"Sanbo Tinga")</f>
        <v>Sanbo Tinga</v>
      </c>
      <c r="G1181" s="16"/>
      <c r="H1181" s="14"/>
      <c r="K1181" s="16">
        <f>IFERROR(__xludf.DUMMYFUNCTION("""COMPUTED_VALUE"""),351.0)</f>
        <v>351</v>
      </c>
      <c r="L1181" s="16"/>
      <c r="M1181" s="14"/>
    </row>
    <row r="1182">
      <c r="A1182" s="16" t="str">
        <f>IFERROR(__xludf.DUMMYFUNCTION("""COMPUTED_VALUE"""),"Kimba Issa Mamoudou")</f>
        <v>Kimba Issa Mamoudou</v>
      </c>
      <c r="B1182" s="16"/>
      <c r="C1182" s="14"/>
      <c r="F1182" s="16" t="str">
        <f>IFERROR(__xludf.DUMMYFUNCTION("""COMPUTED_VALUE"""),"Sanbo Tinga")</f>
        <v>Sanbo Tinga</v>
      </c>
      <c r="G1182" s="16"/>
      <c r="H1182" s="14"/>
      <c r="K1182" s="16">
        <f>IFERROR(__xludf.DUMMYFUNCTION("""COMPUTED_VALUE"""),1351.0)</f>
        <v>1351</v>
      </c>
      <c r="L1182" s="16"/>
      <c r="M1182" s="14"/>
    </row>
    <row r="1183">
      <c r="A1183" s="16" t="str">
        <f>IFERROR(__xludf.DUMMYFUNCTION("""COMPUTED_VALUE"""),"Kimba Issa Mamoudou")</f>
        <v>Kimba Issa Mamoudou</v>
      </c>
      <c r="B1183" s="16"/>
      <c r="C1183" s="14"/>
      <c r="F1183" s="16" t="str">
        <f>IFERROR(__xludf.DUMMYFUNCTION("""COMPUTED_VALUE"""),"Sanbo Tinga")</f>
        <v>Sanbo Tinga</v>
      </c>
      <c r="G1183" s="16"/>
      <c r="H1183" s="14"/>
      <c r="K1183" s="16">
        <f>IFERROR(__xludf.DUMMYFUNCTION("""COMPUTED_VALUE"""),2402.0)</f>
        <v>2402</v>
      </c>
      <c r="L1183" s="16"/>
      <c r="M1183" s="14"/>
    </row>
    <row r="1184">
      <c r="A1184" s="16" t="str">
        <f>IFERROR(__xludf.DUMMYFUNCTION("""COMPUTED_VALUE"""),"Kimba Issa Mamoudou")</f>
        <v>Kimba Issa Mamoudou</v>
      </c>
      <c r="B1184" s="16"/>
      <c r="C1184" s="14"/>
      <c r="F1184" s="16" t="str">
        <f>IFERROR(__xludf.DUMMYFUNCTION("""COMPUTED_VALUE"""),"Sanbo Tinga")</f>
        <v>Sanbo Tinga</v>
      </c>
      <c r="G1184" s="16"/>
      <c r="H1184" s="14"/>
      <c r="K1184" s="16">
        <f>IFERROR(__xludf.DUMMYFUNCTION("""COMPUTED_VALUE"""),1438.0)</f>
        <v>1438</v>
      </c>
      <c r="L1184" s="16"/>
      <c r="M1184" s="14"/>
    </row>
    <row r="1185">
      <c r="A1185" s="16" t="str">
        <f>IFERROR(__xludf.DUMMYFUNCTION("""COMPUTED_VALUE"""),"Moussa Ide Ibrahim")</f>
        <v>Moussa Ide Ibrahim</v>
      </c>
      <c r="B1185" s="16"/>
      <c r="C1185" s="14"/>
      <c r="F1185" s="16" t="str">
        <f>IFERROR(__xludf.DUMMYFUNCTION("""COMPUTED_VALUE"""),"Sanbo Tinga")</f>
        <v>Sanbo Tinga</v>
      </c>
      <c r="G1185" s="16"/>
      <c r="H1185" s="14"/>
      <c r="K1185" s="16">
        <f>IFERROR(__xludf.DUMMYFUNCTION("""COMPUTED_VALUE"""),1473.0)</f>
        <v>1473</v>
      </c>
      <c r="L1185" s="16"/>
      <c r="M1185" s="14"/>
    </row>
    <row r="1186">
      <c r="A1186" s="16" t="str">
        <f>IFERROR(__xludf.DUMMYFUNCTION("""COMPUTED_VALUE"""),"Moussa Ide Ibrahim")</f>
        <v>Moussa Ide Ibrahim</v>
      </c>
      <c r="B1186" s="16"/>
      <c r="C1186" s="14"/>
      <c r="F1186" s="16" t="str">
        <f>IFERROR(__xludf.DUMMYFUNCTION("""COMPUTED_VALUE"""),"Koutoulou-Badabeye")</f>
        <v>Koutoulou-Badabeye</v>
      </c>
      <c r="G1186" s="16"/>
      <c r="H1186" s="14"/>
      <c r="K1186" s="16">
        <f>IFERROR(__xludf.DUMMYFUNCTION("""COMPUTED_VALUE"""),270.0)</f>
        <v>270</v>
      </c>
      <c r="L1186" s="16"/>
      <c r="M1186" s="14"/>
    </row>
    <row r="1187">
      <c r="A1187" s="16" t="str">
        <f>IFERROR(__xludf.DUMMYFUNCTION("""COMPUTED_VALUE"""),"Moussa Ide Ibrahim")</f>
        <v>Moussa Ide Ibrahim</v>
      </c>
      <c r="B1187" s="16"/>
      <c r="C1187" s="14"/>
      <c r="F1187" s="16" t="str">
        <f>IFERROR(__xludf.DUMMYFUNCTION("""COMPUTED_VALUE"""),"Koweit")</f>
        <v>Koweit</v>
      </c>
      <c r="G1187" s="16"/>
      <c r="H1187" s="14"/>
      <c r="K1187" s="16">
        <f>IFERROR(__xludf.DUMMYFUNCTION("""COMPUTED_VALUE"""),204.0)</f>
        <v>204</v>
      </c>
      <c r="L1187" s="16"/>
      <c r="M1187" s="14"/>
    </row>
    <row r="1188">
      <c r="A1188" s="16" t="str">
        <f>IFERROR(__xludf.DUMMYFUNCTION("""COMPUTED_VALUE"""),"Hadjara Abdourahamane Tambari")</f>
        <v>Hadjara Abdourahamane Tambari</v>
      </c>
      <c r="B1188" s="16"/>
      <c r="C1188" s="14"/>
      <c r="F1188" s="16" t="str">
        <f>IFERROR(__xludf.DUMMYFUNCTION("""COMPUTED_VALUE"""),"Toudou Moré")</f>
        <v>Toudou Moré</v>
      </c>
      <c r="G1188" s="16"/>
      <c r="H1188" s="14"/>
      <c r="K1188" s="16">
        <f>IFERROR(__xludf.DUMMYFUNCTION("""COMPUTED_VALUE"""),810.0)</f>
        <v>810</v>
      </c>
      <c r="L1188" s="16"/>
      <c r="M1188" s="14"/>
    </row>
    <row r="1189">
      <c r="A1189" s="16" t="str">
        <f>IFERROR(__xludf.DUMMYFUNCTION("""COMPUTED_VALUE"""),"Achirou Malam Dan Maradi Nassirou")</f>
        <v>Achirou Malam Dan Maradi Nassirou</v>
      </c>
      <c r="B1189" s="16"/>
      <c r="C1189" s="14"/>
      <c r="F1189" s="16" t="str">
        <f>IFERROR(__xludf.DUMMYFUNCTION("""COMPUTED_VALUE"""),"Koutoulou-Badabeye")</f>
        <v>Koutoulou-Badabeye</v>
      </c>
      <c r="G1189" s="16"/>
      <c r="H1189" s="14"/>
      <c r="K1189" s="16">
        <f>IFERROR(__xludf.DUMMYFUNCTION("""COMPUTED_VALUE"""),987.0)</f>
        <v>987</v>
      </c>
      <c r="L1189" s="16"/>
      <c r="M1189" s="14"/>
    </row>
    <row r="1190">
      <c r="A1190" s="16" t="str">
        <f>IFERROR(__xludf.DUMMYFUNCTION("""COMPUTED_VALUE"""),"Halidou Tagaza Balkissa")</f>
        <v>Halidou Tagaza Balkissa</v>
      </c>
      <c r="B1190" s="16"/>
      <c r="C1190" s="14"/>
      <c r="F1190" s="16" t="str">
        <f>IFERROR(__xludf.DUMMYFUNCTION("""COMPUTED_VALUE"""),"Koutoulou-Badabeye")</f>
        <v>Koutoulou-Badabeye</v>
      </c>
      <c r="G1190" s="16"/>
      <c r="H1190" s="14"/>
      <c r="K1190" s="16">
        <f>IFERROR(__xludf.DUMMYFUNCTION("""COMPUTED_VALUE"""),1243.0)</f>
        <v>1243</v>
      </c>
      <c r="L1190" s="16"/>
      <c r="M1190" s="14"/>
    </row>
    <row r="1191">
      <c r="A1191" s="16" t="str">
        <f>IFERROR(__xludf.DUMMYFUNCTION("""COMPUTED_VALUE"""),"Ibrahim Dan Habou Larwana")</f>
        <v>Ibrahim Dan Habou Larwana</v>
      </c>
      <c r="B1191" s="16"/>
      <c r="C1191" s="14"/>
      <c r="F1191" s="16" t="str">
        <f>IFERROR(__xludf.DUMMYFUNCTION("""COMPUTED_VALUE"""),"Koweit")</f>
        <v>Koweit</v>
      </c>
      <c r="G1191" s="16"/>
      <c r="H1191" s="14"/>
      <c r="K1191" s="16">
        <f>IFERROR(__xludf.DUMMYFUNCTION("""COMPUTED_VALUE"""),1755.0)</f>
        <v>1755</v>
      </c>
      <c r="L1191" s="16"/>
      <c r="M1191" s="14"/>
    </row>
    <row r="1192">
      <c r="A1192" s="16" t="str">
        <f>IFERROR(__xludf.DUMMYFUNCTION("""COMPUTED_VALUE"""),"Ibrahim Dan Habou Larwana")</f>
        <v>Ibrahim Dan Habou Larwana</v>
      </c>
      <c r="B1192" s="16"/>
      <c r="C1192" s="14"/>
      <c r="F1192" s="16" t="str">
        <f>IFERROR(__xludf.DUMMYFUNCTION("""COMPUTED_VALUE"""),"Koweit")</f>
        <v>Koweit</v>
      </c>
      <c r="G1192" s="16"/>
      <c r="H1192" s="14"/>
      <c r="K1192" s="16">
        <f>IFERROR(__xludf.DUMMYFUNCTION("""COMPUTED_VALUE"""),1373.0)</f>
        <v>1373</v>
      </c>
      <c r="L1192" s="16"/>
      <c r="M1192" s="14"/>
    </row>
    <row r="1193">
      <c r="A1193" s="16" t="str">
        <f>IFERROR(__xludf.DUMMYFUNCTION("""COMPUTED_VALUE"""),"Ibrahim Dan Habou Larwana")</f>
        <v>Ibrahim Dan Habou Larwana</v>
      </c>
      <c r="B1193" s="16"/>
      <c r="C1193" s="14"/>
      <c r="F1193" s="16" t="str">
        <f>IFERROR(__xludf.DUMMYFUNCTION("""COMPUTED_VALUE"""),"Toudou Moré")</f>
        <v>Toudou Moré</v>
      </c>
      <c r="G1193" s="16"/>
      <c r="H1193" s="14"/>
      <c r="K1193" s="16">
        <f>IFERROR(__xludf.DUMMYFUNCTION("""COMPUTED_VALUE"""),453.0)</f>
        <v>453</v>
      </c>
      <c r="L1193" s="16"/>
      <c r="M1193" s="14"/>
    </row>
    <row r="1194">
      <c r="A1194" s="16" t="str">
        <f>IFERROR(__xludf.DUMMYFUNCTION("""COMPUTED_VALUE"""),"ALASSANE TAWEY AWALOU")</f>
        <v>ALASSANE TAWEY AWALOU</v>
      </c>
      <c r="B1194" s="16"/>
      <c r="C1194" s="14"/>
      <c r="F1194" s="16" t="str">
        <f>IFERROR(__xludf.DUMMYFUNCTION("""COMPUTED_VALUE"""),"Toudou Moré")</f>
        <v>Toudou Moré</v>
      </c>
      <c r="G1194" s="16"/>
      <c r="H1194" s="14"/>
      <c r="K1194" s="16">
        <f>IFERROR(__xludf.DUMMYFUNCTION("""COMPUTED_VALUE"""),1760.0)</f>
        <v>1760</v>
      </c>
      <c r="L1194" s="16"/>
      <c r="M1194" s="14"/>
    </row>
    <row r="1195">
      <c r="A1195" s="16" t="str">
        <f>IFERROR(__xludf.DUMMYFUNCTION("""COMPUTED_VALUE"""),"ALASSANE TAWEY AWALOU")</f>
        <v>ALASSANE TAWEY AWALOU</v>
      </c>
      <c r="B1195" s="16"/>
      <c r="C1195" s="14"/>
      <c r="F1195" s="16" t="str">
        <f>IFERROR(__xludf.DUMMYFUNCTION("""COMPUTED_VALUE"""),"Koweit")</f>
        <v>Koweit</v>
      </c>
      <c r="G1195" s="16"/>
      <c r="H1195" s="14"/>
      <c r="K1195" s="16">
        <f>IFERROR(__xludf.DUMMYFUNCTION("""COMPUTED_VALUE"""),1436.0)</f>
        <v>1436</v>
      </c>
      <c r="L1195" s="16"/>
      <c r="M1195" s="14"/>
    </row>
    <row r="1196">
      <c r="A1196" s="16" t="str">
        <f>IFERROR(__xludf.DUMMYFUNCTION("""COMPUTED_VALUE"""),"ALASSANE TAWEY AWALOU")</f>
        <v>ALASSANE TAWEY AWALOU</v>
      </c>
      <c r="B1196" s="16"/>
      <c r="C1196" s="14"/>
      <c r="F1196" s="16" t="str">
        <f>IFERROR(__xludf.DUMMYFUNCTION("""COMPUTED_VALUE"""),"Koutoulou-Badabeye")</f>
        <v>Koutoulou-Badabeye</v>
      </c>
      <c r="G1196" s="16"/>
      <c r="H1196" s="14"/>
      <c r="K1196" s="16">
        <f>IFERROR(__xludf.DUMMYFUNCTION("""COMPUTED_VALUE"""),850.0)</f>
        <v>850</v>
      </c>
      <c r="L1196" s="16"/>
      <c r="M1196" s="14"/>
    </row>
    <row r="1197">
      <c r="A1197" s="16" t="str">
        <f>IFERROR(__xludf.DUMMYFUNCTION("""COMPUTED_VALUE"""),"ALASSANE TAWEY AWALOU")</f>
        <v>ALASSANE TAWEY AWALOU</v>
      </c>
      <c r="B1197" s="16"/>
      <c r="C1197" s="14"/>
      <c r="F1197" s="16" t="str">
        <f>IFERROR(__xludf.DUMMYFUNCTION("""COMPUTED_VALUE"""),"Toumboulana")</f>
        <v>Toumboulana</v>
      </c>
      <c r="G1197" s="16"/>
      <c r="H1197" s="14"/>
      <c r="K1197" s="16">
        <f>IFERROR(__xludf.DUMMYFUNCTION("""COMPUTED_VALUE"""),638.0)</f>
        <v>638</v>
      </c>
      <c r="L1197" s="16"/>
      <c r="M1197" s="14"/>
    </row>
    <row r="1198">
      <c r="A1198" s="16" t="str">
        <f>IFERROR(__xludf.DUMMYFUNCTION("""COMPUTED_VALUE"""),"Halimatou Adamou Marafa")</f>
        <v>Halimatou Adamou Marafa</v>
      </c>
      <c r="B1198" s="16"/>
      <c r="C1198" s="14"/>
      <c r="F1198" s="16" t="str">
        <f>IFERROR(__xludf.DUMMYFUNCTION("""COMPUTED_VALUE"""),"Toumboulana")</f>
        <v>Toumboulana</v>
      </c>
      <c r="G1198" s="16"/>
      <c r="H1198" s="14"/>
      <c r="K1198" s="16">
        <f>IFERROR(__xludf.DUMMYFUNCTION("""COMPUTED_VALUE"""),685.0)</f>
        <v>685</v>
      </c>
      <c r="L1198" s="16"/>
      <c r="M1198" s="14"/>
    </row>
    <row r="1199">
      <c r="A1199" s="16" t="str">
        <f>IFERROR(__xludf.DUMMYFUNCTION("""COMPUTED_VALUE"""),"Moussa Ide Ibrahim")</f>
        <v>Moussa Ide Ibrahim</v>
      </c>
      <c r="B1199" s="16"/>
      <c r="C1199" s="14"/>
      <c r="F1199" s="16" t="str">
        <f>IFERROR(__xludf.DUMMYFUNCTION("""COMPUTED_VALUE"""),"Bagueye")</f>
        <v>Bagueye</v>
      </c>
      <c r="G1199" s="16"/>
      <c r="H1199" s="14"/>
      <c r="K1199" s="16">
        <f>IFERROR(__xludf.DUMMYFUNCTION("""COMPUTED_VALUE"""),677.0)</f>
        <v>677</v>
      </c>
      <c r="L1199" s="16"/>
      <c r="M1199" s="14"/>
    </row>
    <row r="1200">
      <c r="A1200" s="16" t="str">
        <f>IFERROR(__xludf.DUMMYFUNCTION("""COMPUTED_VALUE"""),"Moussa Ide Ibrahim")</f>
        <v>Moussa Ide Ibrahim</v>
      </c>
      <c r="B1200" s="16"/>
      <c r="C1200" s="14"/>
      <c r="F1200" s="16" t="str">
        <f>IFERROR(__xludf.DUMMYFUNCTION("""COMPUTED_VALUE"""),"Bagueye")</f>
        <v>Bagueye</v>
      </c>
      <c r="G1200" s="16"/>
      <c r="H1200" s="14"/>
      <c r="K1200" s="16">
        <f>IFERROR(__xludf.DUMMYFUNCTION("""COMPUTED_VALUE"""),936.0)</f>
        <v>936</v>
      </c>
      <c r="L1200" s="16"/>
      <c r="M1200" s="14"/>
    </row>
    <row r="1201">
      <c r="A1201" s="16" t="str">
        <f>IFERROR(__xludf.DUMMYFUNCTION("""COMPUTED_VALUE"""),"Moussa Ide Ibrahim")</f>
        <v>Moussa Ide Ibrahim</v>
      </c>
      <c r="B1201" s="16"/>
      <c r="C1201" s="14"/>
      <c r="F1201" s="16" t="str">
        <f>IFERROR(__xludf.DUMMYFUNCTION("""COMPUTED_VALUE"""),"Bagueye")</f>
        <v>Bagueye</v>
      </c>
      <c r="G1201" s="16"/>
      <c r="H1201" s="14"/>
      <c r="K1201" s="16">
        <f>IFERROR(__xludf.DUMMYFUNCTION("""COMPUTED_VALUE"""),367.0)</f>
        <v>367</v>
      </c>
      <c r="L1201" s="16"/>
      <c r="M1201" s="14"/>
    </row>
    <row r="1202">
      <c r="A1202" s="16" t="str">
        <f>IFERROR(__xludf.DUMMYFUNCTION("""COMPUTED_VALUE"""),"Moussa Ide Ibrahim")</f>
        <v>Moussa Ide Ibrahim</v>
      </c>
      <c r="B1202" s="16"/>
      <c r="C1202" s="14"/>
      <c r="F1202" s="16" t="str">
        <f>IFERROR(__xludf.DUMMYFUNCTION("""COMPUTED_VALUE"""),"Bagueye")</f>
        <v>Bagueye</v>
      </c>
      <c r="G1202" s="16"/>
      <c r="H1202" s="14"/>
      <c r="K1202" s="16">
        <f>IFERROR(__xludf.DUMMYFUNCTION("""COMPUTED_VALUE"""),1689.0)</f>
        <v>1689</v>
      </c>
      <c r="L1202" s="16"/>
      <c r="M1202" s="14"/>
    </row>
    <row r="1203">
      <c r="A1203" s="16" t="str">
        <f>IFERROR(__xludf.DUMMYFUNCTION("""COMPUTED_VALUE"""),"Kimba Issa Mamoudou")</f>
        <v>Kimba Issa Mamoudou</v>
      </c>
      <c r="B1203" s="16"/>
      <c r="C1203" s="14"/>
      <c r="F1203" s="16" t="str">
        <f>IFERROR(__xludf.DUMMYFUNCTION("""COMPUTED_VALUE"""),"Sanbo Tinga")</f>
        <v>Sanbo Tinga</v>
      </c>
      <c r="G1203" s="16"/>
      <c r="H1203" s="14"/>
      <c r="K1203" s="16">
        <f>IFERROR(__xludf.DUMMYFUNCTION("""COMPUTED_VALUE"""),428.0)</f>
        <v>428</v>
      </c>
      <c r="L1203" s="16"/>
      <c r="M1203" s="14"/>
    </row>
    <row r="1204">
      <c r="A1204" s="16" t="str">
        <f>IFERROR(__xludf.DUMMYFUNCTION("""COMPUTED_VALUE"""),"Kimba Issa Mamoudou")</f>
        <v>Kimba Issa Mamoudou</v>
      </c>
      <c r="B1204" s="16"/>
      <c r="C1204" s="14"/>
      <c r="F1204" s="16" t="str">
        <f>IFERROR(__xludf.DUMMYFUNCTION("""COMPUTED_VALUE"""),"Koweit")</f>
        <v>Koweit</v>
      </c>
      <c r="G1204" s="16"/>
      <c r="H1204" s="14"/>
      <c r="K1204" s="16">
        <f>IFERROR(__xludf.DUMMYFUNCTION("""COMPUTED_VALUE"""),1424.0)</f>
        <v>1424</v>
      </c>
      <c r="L1204" s="16"/>
      <c r="M1204" s="14"/>
    </row>
    <row r="1205">
      <c r="A1205" s="16" t="str">
        <f>IFERROR(__xludf.DUMMYFUNCTION("""COMPUTED_VALUE"""),"Kimba Issa Mamoudou")</f>
        <v>Kimba Issa Mamoudou</v>
      </c>
      <c r="B1205" s="16"/>
      <c r="C1205" s="14"/>
      <c r="F1205" s="16" t="str">
        <f>IFERROR(__xludf.DUMMYFUNCTION("""COMPUTED_VALUE"""),"Koweit")</f>
        <v>Koweit</v>
      </c>
      <c r="G1205" s="16"/>
      <c r="H1205" s="14"/>
      <c r="K1205" s="16">
        <f>IFERROR(__xludf.DUMMYFUNCTION("""COMPUTED_VALUE"""),419.0)</f>
        <v>419</v>
      </c>
      <c r="L1205" s="16"/>
      <c r="M1205" s="14"/>
    </row>
    <row r="1206">
      <c r="A1206" s="16" t="str">
        <f>IFERROR(__xludf.DUMMYFUNCTION("""COMPUTED_VALUE"""),"Aicha Noma")</f>
        <v>Aicha Noma</v>
      </c>
      <c r="B1206" s="16"/>
      <c r="C1206" s="14"/>
      <c r="F1206" s="16" t="str">
        <f>IFERROR(__xludf.DUMMYFUNCTION("""COMPUTED_VALUE"""),"Toudou Moré")</f>
        <v>Toudou Moré</v>
      </c>
      <c r="G1206" s="16"/>
      <c r="H1206" s="14"/>
      <c r="K1206" s="16">
        <f>IFERROR(__xludf.DUMMYFUNCTION("""COMPUTED_VALUE"""),943.0)</f>
        <v>943</v>
      </c>
      <c r="L1206" s="16"/>
      <c r="M1206" s="14"/>
    </row>
    <row r="1207">
      <c r="A1207" s="16" t="str">
        <f>IFERROR(__xludf.DUMMYFUNCTION("""COMPUTED_VALUE"""),"Abdoul Razak Mahamane Boukari")</f>
        <v>Abdoul Razak Mahamane Boukari</v>
      </c>
      <c r="B1207" s="16"/>
      <c r="C1207" s="14"/>
      <c r="F1207" s="16" t="str">
        <f>IFERROR(__xludf.DUMMYFUNCTION("""COMPUTED_VALUE"""),"Toudou Moré")</f>
        <v>Toudou Moré</v>
      </c>
      <c r="G1207" s="16"/>
      <c r="H1207" s="14"/>
      <c r="K1207" s="16">
        <f>IFERROR(__xludf.DUMMYFUNCTION("""COMPUTED_VALUE"""),548.0)</f>
        <v>548</v>
      </c>
      <c r="L1207" s="16"/>
      <c r="M1207" s="14"/>
    </row>
    <row r="1208">
      <c r="A1208" s="16" t="str">
        <f>IFERROR(__xludf.DUMMYFUNCTION("""COMPUTED_VALUE"""),"Abdoul Razak Mahamane Boukari")</f>
        <v>Abdoul Razak Mahamane Boukari</v>
      </c>
      <c r="B1208" s="16"/>
      <c r="C1208" s="14"/>
      <c r="F1208" s="16" t="str">
        <f>IFERROR(__xludf.DUMMYFUNCTION("""COMPUTED_VALUE"""),"Koweit")</f>
        <v>Koweit</v>
      </c>
      <c r="G1208" s="16"/>
      <c r="H1208" s="14"/>
      <c r="K1208" s="16">
        <f>IFERROR(__xludf.DUMMYFUNCTION("""COMPUTED_VALUE"""),1942.0)</f>
        <v>1942</v>
      </c>
      <c r="L1208" s="16"/>
      <c r="M1208" s="14"/>
    </row>
    <row r="1209">
      <c r="A1209" s="16" t="str">
        <f>IFERROR(__xludf.DUMMYFUNCTION("""COMPUTED_VALUE"""),"Abdoul Razak Mahamane Boukari")</f>
        <v>Abdoul Razak Mahamane Boukari</v>
      </c>
      <c r="B1209" s="16"/>
      <c r="C1209" s="14"/>
      <c r="F1209" s="16" t="str">
        <f>IFERROR(__xludf.DUMMYFUNCTION("""COMPUTED_VALUE"""),"Sanbo Tinga")</f>
        <v>Sanbo Tinga</v>
      </c>
      <c r="G1209" s="16"/>
      <c r="H1209" s="14"/>
      <c r="K1209" s="16">
        <f>IFERROR(__xludf.DUMMYFUNCTION("""COMPUTED_VALUE"""),434.0)</f>
        <v>434</v>
      </c>
      <c r="L1209" s="16"/>
      <c r="M1209" s="14"/>
    </row>
    <row r="1210">
      <c r="A1210" s="16" t="str">
        <f>IFERROR(__xludf.DUMMYFUNCTION("""COMPUTED_VALUE"""),"Abdoul Razak Mahamane Boukari")</f>
        <v>Abdoul Razak Mahamane Boukari</v>
      </c>
      <c r="B1210" s="16"/>
      <c r="C1210" s="14"/>
      <c r="F1210" s="16" t="str">
        <f>IFERROR(__xludf.DUMMYFUNCTION("""COMPUTED_VALUE"""),"Sanbo Tinga")</f>
        <v>Sanbo Tinga</v>
      </c>
      <c r="G1210" s="16"/>
      <c r="H1210" s="14"/>
      <c r="K1210" s="16">
        <f>IFERROR(__xludf.DUMMYFUNCTION("""COMPUTED_VALUE"""),579.0)</f>
        <v>579</v>
      </c>
      <c r="L1210" s="16"/>
      <c r="M1210" s="14"/>
    </row>
    <row r="1211">
      <c r="A1211" s="16" t="str">
        <f>IFERROR(__xludf.DUMMYFUNCTION("""COMPUTED_VALUE"""),"Abdoul Razak Mahamane Boukari")</f>
        <v>Abdoul Razak Mahamane Boukari</v>
      </c>
      <c r="B1211" s="16"/>
      <c r="C1211" s="14"/>
      <c r="F1211" s="16" t="str">
        <f>IFERROR(__xludf.DUMMYFUNCTION("""COMPUTED_VALUE"""),"Sanbo Tinga")</f>
        <v>Sanbo Tinga</v>
      </c>
      <c r="G1211" s="16"/>
      <c r="H1211" s="14"/>
      <c r="K1211" s="16">
        <f>IFERROR(__xludf.DUMMYFUNCTION("""COMPUTED_VALUE"""),425.0)</f>
        <v>425</v>
      </c>
      <c r="L1211" s="16"/>
      <c r="M1211" s="14"/>
    </row>
    <row r="1212">
      <c r="A1212" s="16" t="str">
        <f>IFERROR(__xludf.DUMMYFUNCTION("""COMPUTED_VALUE"""),"Abdoul Razak Mahamane Boukari")</f>
        <v>Abdoul Razak Mahamane Boukari</v>
      </c>
      <c r="B1212" s="16"/>
      <c r="C1212" s="14"/>
      <c r="F1212" s="16" t="str">
        <f>IFERROR(__xludf.DUMMYFUNCTION("""COMPUTED_VALUE"""),"Sanbo Tinga")</f>
        <v>Sanbo Tinga</v>
      </c>
      <c r="G1212" s="16"/>
      <c r="H1212" s="14"/>
      <c r="K1212" s="16">
        <f>IFERROR(__xludf.DUMMYFUNCTION("""COMPUTED_VALUE"""),1326.0)</f>
        <v>1326</v>
      </c>
      <c r="L1212" s="16"/>
      <c r="M1212" s="14"/>
    </row>
    <row r="1213">
      <c r="A1213" s="16" t="str">
        <f>IFERROR(__xludf.DUMMYFUNCTION("""COMPUTED_VALUE"""),"Abdoul Razak Mahamane Boukari")</f>
        <v>Abdoul Razak Mahamane Boukari</v>
      </c>
      <c r="B1213" s="16"/>
      <c r="C1213" s="14"/>
      <c r="F1213" s="16" t="str">
        <f>IFERROR(__xludf.DUMMYFUNCTION("""COMPUTED_VALUE"""),"Sanbo Tinga")</f>
        <v>Sanbo Tinga</v>
      </c>
      <c r="G1213" s="16"/>
      <c r="H1213" s="14"/>
      <c r="K1213" s="16">
        <f>IFERROR(__xludf.DUMMYFUNCTION("""COMPUTED_VALUE"""),411.0)</f>
        <v>411</v>
      </c>
      <c r="L1213" s="16"/>
      <c r="M1213" s="14"/>
    </row>
    <row r="1214">
      <c r="A1214" s="16" t="str">
        <f>IFERROR(__xludf.DUMMYFUNCTION("""COMPUTED_VALUE"""),"Abdoul Razak Mahamane Boukari")</f>
        <v>Abdoul Razak Mahamane Boukari</v>
      </c>
      <c r="B1214" s="16"/>
      <c r="C1214" s="14"/>
      <c r="F1214" s="16" t="str">
        <f>IFERROR(__xludf.DUMMYFUNCTION("""COMPUTED_VALUE"""),"Sanbo Tinga")</f>
        <v>Sanbo Tinga</v>
      </c>
      <c r="G1214" s="16"/>
      <c r="H1214" s="14"/>
      <c r="K1214" s="16">
        <f>IFERROR(__xludf.DUMMYFUNCTION("""COMPUTED_VALUE"""),520.0)</f>
        <v>520</v>
      </c>
      <c r="L1214" s="16"/>
      <c r="M1214" s="14"/>
    </row>
    <row r="1215">
      <c r="A1215" s="16" t="str">
        <f>IFERROR(__xludf.DUMMYFUNCTION("""COMPUTED_VALUE"""),"Achirou kane Abdoul Nasser")</f>
        <v>Achirou kane Abdoul Nasser</v>
      </c>
      <c r="B1215" s="16"/>
      <c r="C1215" s="14"/>
      <c r="F1215" s="16" t="str">
        <f>IFERROR(__xludf.DUMMYFUNCTION("""COMPUTED_VALUE"""),"Sanbo Tinga")</f>
        <v>Sanbo Tinga</v>
      </c>
      <c r="G1215" s="16"/>
      <c r="H1215" s="14"/>
      <c r="K1215" s="16">
        <f>IFERROR(__xludf.DUMMYFUNCTION("""COMPUTED_VALUE"""),1613.0)</f>
        <v>1613</v>
      </c>
      <c r="L1215" s="16"/>
      <c r="M1215" s="14"/>
    </row>
    <row r="1216">
      <c r="A1216" s="16" t="str">
        <f>IFERROR(__xludf.DUMMYFUNCTION("""COMPUTED_VALUE"""),"Achirou kane Abdoul Nasser")</f>
        <v>Achirou kane Abdoul Nasser</v>
      </c>
      <c r="B1216" s="16"/>
      <c r="C1216" s="14"/>
      <c r="F1216" s="16" t="str">
        <f>IFERROR(__xludf.DUMMYFUNCTION("""COMPUTED_VALUE"""),"Sanbo Tinga")</f>
        <v>Sanbo Tinga</v>
      </c>
      <c r="G1216" s="16"/>
      <c r="H1216" s="14"/>
      <c r="K1216" s="16">
        <f>IFERROR(__xludf.DUMMYFUNCTION("""COMPUTED_VALUE"""),1290.0)</f>
        <v>1290</v>
      </c>
      <c r="L1216" s="16"/>
      <c r="M1216" s="14"/>
    </row>
    <row r="1217">
      <c r="A1217" s="16" t="str">
        <f>IFERROR(__xludf.DUMMYFUNCTION("""COMPUTED_VALUE"""),"Rakia moussa")</f>
        <v>Rakia moussa</v>
      </c>
      <c r="B1217" s="16"/>
      <c r="C1217" s="14"/>
      <c r="F1217" s="16" t="str">
        <f>IFERROR(__xludf.DUMMYFUNCTION("""COMPUTED_VALUE"""),"Toudou Moré")</f>
        <v>Toudou Moré</v>
      </c>
      <c r="G1217" s="16"/>
      <c r="H1217" s="14"/>
      <c r="K1217" s="16">
        <f>IFERROR(__xludf.DUMMYFUNCTION("""COMPUTED_VALUE"""),687.0)</f>
        <v>687</v>
      </c>
      <c r="L1217" s="16"/>
      <c r="M1217" s="14"/>
    </row>
    <row r="1218">
      <c r="A1218" s="16" t="str">
        <f>IFERROR(__xludf.DUMMYFUNCTION("""COMPUTED_VALUE"""),"Rakia moussa")</f>
        <v>Rakia moussa</v>
      </c>
      <c r="B1218" s="16"/>
      <c r="C1218" s="14"/>
      <c r="F1218" s="16" t="str">
        <f>IFERROR(__xludf.DUMMYFUNCTION("""COMPUTED_VALUE"""),"Kaoura goga")</f>
        <v>Kaoura goga</v>
      </c>
      <c r="G1218" s="16"/>
      <c r="H1218" s="14"/>
      <c r="K1218" s="16">
        <f>IFERROR(__xludf.DUMMYFUNCTION("""COMPUTED_VALUE"""),270.0)</f>
        <v>270</v>
      </c>
      <c r="L1218" s="16"/>
      <c r="M1218" s="14"/>
    </row>
    <row r="1219">
      <c r="A1219" s="16" t="str">
        <f>IFERROR(__xludf.DUMMYFUNCTION("""COMPUTED_VALUE"""),"Sani Moussa Aboubacar")</f>
        <v>Sani Moussa Aboubacar</v>
      </c>
      <c r="B1219" s="16"/>
      <c r="C1219" s="14"/>
      <c r="F1219" s="16" t="str">
        <f>IFERROR(__xludf.DUMMYFUNCTION("""COMPUTED_VALUE"""),"Kaoura goga")</f>
        <v>Kaoura goga</v>
      </c>
      <c r="G1219" s="16"/>
      <c r="H1219" s="14"/>
      <c r="K1219" s="16">
        <f>IFERROR(__xludf.DUMMYFUNCTION("""COMPUTED_VALUE"""),462.0)</f>
        <v>462</v>
      </c>
      <c r="L1219" s="16"/>
      <c r="M1219" s="14"/>
    </row>
    <row r="1220">
      <c r="A1220" s="16" t="str">
        <f>IFERROR(__xludf.DUMMYFUNCTION("""COMPUTED_VALUE"""),"Sani Moussa Aboubacar")</f>
        <v>Sani Moussa Aboubacar</v>
      </c>
      <c r="B1220" s="16"/>
      <c r="C1220" s="14"/>
      <c r="F1220" s="16" t="str">
        <f>IFERROR(__xludf.DUMMYFUNCTION("""COMPUTED_VALUE"""),"Kaoura goga")</f>
        <v>Kaoura goga</v>
      </c>
      <c r="G1220" s="16"/>
      <c r="H1220" s="14"/>
      <c r="K1220" s="16">
        <f>IFERROR(__xludf.DUMMYFUNCTION("""COMPUTED_VALUE"""),1157.0)</f>
        <v>1157</v>
      </c>
      <c r="L1220" s="16"/>
      <c r="M1220" s="14"/>
    </row>
    <row r="1221">
      <c r="A1221" s="16" t="str">
        <f>IFERROR(__xludf.DUMMYFUNCTION("""COMPUTED_VALUE"""),"Sani Moussa Aboubacar")</f>
        <v>Sani Moussa Aboubacar</v>
      </c>
      <c r="B1221" s="16"/>
      <c r="C1221" s="14"/>
      <c r="F1221" s="16" t="str">
        <f>IFERROR(__xludf.DUMMYFUNCTION("""COMPUTED_VALUE"""),"Kaoura goga")</f>
        <v>Kaoura goga</v>
      </c>
      <c r="G1221" s="16"/>
      <c r="H1221" s="14"/>
      <c r="K1221" s="16">
        <f>IFERROR(__xludf.DUMMYFUNCTION("""COMPUTED_VALUE"""),272.0)</f>
        <v>272</v>
      </c>
      <c r="L1221" s="16"/>
      <c r="M1221" s="14"/>
    </row>
    <row r="1222">
      <c r="A1222" s="16" t="str">
        <f>IFERROR(__xludf.DUMMYFUNCTION("""COMPUTED_VALUE"""),"Sani Moussa Aboubacar")</f>
        <v>Sani Moussa Aboubacar</v>
      </c>
      <c r="B1222" s="16"/>
      <c r="C1222" s="14"/>
      <c r="F1222" s="16" t="str">
        <f>IFERROR(__xludf.DUMMYFUNCTION("""COMPUTED_VALUE"""),"Sanbo Tinga")</f>
        <v>Sanbo Tinga</v>
      </c>
      <c r="G1222" s="16"/>
      <c r="H1222" s="14"/>
      <c r="K1222" s="16">
        <f>IFERROR(__xludf.DUMMYFUNCTION("""COMPUTED_VALUE"""),1384.0)</f>
        <v>1384</v>
      </c>
      <c r="L1222" s="16"/>
      <c r="M1222" s="14"/>
    </row>
    <row r="1223">
      <c r="A1223" s="16" t="str">
        <f>IFERROR(__xludf.DUMMYFUNCTION("""COMPUTED_VALUE"""),"Sani Moussa Aboubacar")</f>
        <v>Sani Moussa Aboubacar</v>
      </c>
      <c r="B1223" s="16"/>
      <c r="C1223" s="14"/>
      <c r="F1223" s="16" t="str">
        <f>IFERROR(__xludf.DUMMYFUNCTION("""COMPUTED_VALUE"""),"Sanbo Tinga")</f>
        <v>Sanbo Tinga</v>
      </c>
      <c r="G1223" s="16"/>
      <c r="H1223" s="14"/>
      <c r="K1223" s="16">
        <f>IFERROR(__xludf.DUMMYFUNCTION("""COMPUTED_VALUE"""),348.0)</f>
        <v>348</v>
      </c>
      <c r="L1223" s="16"/>
      <c r="M1223" s="14"/>
    </row>
    <row r="1224">
      <c r="A1224" s="16" t="str">
        <f>IFERROR(__xludf.DUMMYFUNCTION("""COMPUTED_VALUE"""),"Issoufou Amadou Aichatou")</f>
        <v>Issoufou Amadou Aichatou</v>
      </c>
      <c r="B1224" s="16"/>
      <c r="C1224" s="14"/>
      <c r="F1224" s="16" t="str">
        <f>IFERROR(__xludf.DUMMYFUNCTION("""COMPUTED_VALUE"""),"Sanbo Tinga")</f>
        <v>Sanbo Tinga</v>
      </c>
      <c r="G1224" s="16"/>
      <c r="H1224" s="14"/>
      <c r="K1224" s="16">
        <f>IFERROR(__xludf.DUMMYFUNCTION("""COMPUTED_VALUE"""),1457.0)</f>
        <v>1457</v>
      </c>
      <c r="L1224" s="16"/>
      <c r="M1224" s="14"/>
    </row>
    <row r="1225">
      <c r="A1225" s="16" t="str">
        <f>IFERROR(__xludf.DUMMYFUNCTION("""COMPUTED_VALUE"""),"Issoufou Amadou Aichatou")</f>
        <v>Issoufou Amadou Aichatou</v>
      </c>
      <c r="B1225" s="16"/>
      <c r="C1225" s="14"/>
      <c r="F1225" s="16" t="str">
        <f>IFERROR(__xludf.DUMMYFUNCTION("""COMPUTED_VALUE"""),"Sanbo Tinga")</f>
        <v>Sanbo Tinga</v>
      </c>
      <c r="G1225" s="16"/>
      <c r="H1225" s="14"/>
      <c r="K1225" s="16">
        <f>IFERROR(__xludf.DUMMYFUNCTION("""COMPUTED_VALUE"""),1518.0)</f>
        <v>1518</v>
      </c>
      <c r="L1225" s="16"/>
      <c r="M1225" s="14"/>
    </row>
    <row r="1226">
      <c r="A1226" s="16" t="str">
        <f>IFERROR(__xludf.DUMMYFUNCTION("""COMPUTED_VALUE"""),"Issoufou Amadou Aichatou")</f>
        <v>Issoufou Amadou Aichatou</v>
      </c>
      <c r="B1226" s="16"/>
      <c r="C1226" s="14"/>
      <c r="F1226" s="16" t="str">
        <f>IFERROR(__xludf.DUMMYFUNCTION("""COMPUTED_VALUE"""),"Kaoura goga")</f>
        <v>Kaoura goga</v>
      </c>
      <c r="G1226" s="16"/>
      <c r="H1226" s="14"/>
      <c r="K1226" s="16">
        <f>IFERROR(__xludf.DUMMYFUNCTION("""COMPUTED_VALUE"""),1435.0)</f>
        <v>1435</v>
      </c>
      <c r="L1226" s="16"/>
      <c r="M1226" s="14"/>
    </row>
    <row r="1227">
      <c r="A1227" s="16" t="str">
        <f>IFERROR(__xludf.DUMMYFUNCTION("""COMPUTED_VALUE"""),"Ouhoumoudou Djannou Ibrahim")</f>
        <v>Ouhoumoudou Djannou Ibrahim</v>
      </c>
      <c r="B1227" s="16"/>
      <c r="C1227" s="14"/>
      <c r="F1227" s="16" t="str">
        <f>IFERROR(__xludf.DUMMYFUNCTION("""COMPUTED_VALUE"""),"Kaoura goga")</f>
        <v>Kaoura goga</v>
      </c>
      <c r="G1227" s="16"/>
      <c r="H1227" s="14"/>
      <c r="K1227" s="16">
        <f>IFERROR(__xludf.DUMMYFUNCTION("""COMPUTED_VALUE"""),1313.0)</f>
        <v>1313</v>
      </c>
      <c r="L1227" s="16"/>
      <c r="M1227" s="14"/>
    </row>
    <row r="1228">
      <c r="A1228" s="16" t="str">
        <f>IFERROR(__xludf.DUMMYFUNCTION("""COMPUTED_VALUE"""),"Ouhoumoudou Djannou Ibrahim")</f>
        <v>Ouhoumoudou Djannou Ibrahim</v>
      </c>
      <c r="B1228" s="16"/>
      <c r="C1228" s="14"/>
      <c r="F1228" s="16" t="str">
        <f>IFERROR(__xludf.DUMMYFUNCTION("""COMPUTED_VALUE"""),"Kaoura goga")</f>
        <v>Kaoura goga</v>
      </c>
      <c r="G1228" s="16"/>
      <c r="H1228" s="14"/>
      <c r="K1228" s="16">
        <f>IFERROR(__xludf.DUMMYFUNCTION("""COMPUTED_VALUE"""),766.0)</f>
        <v>766</v>
      </c>
      <c r="L1228" s="16"/>
      <c r="M1228" s="14"/>
    </row>
    <row r="1229">
      <c r="A1229" s="16" t="str">
        <f>IFERROR(__xludf.DUMMYFUNCTION("""COMPUTED_VALUE"""),"Ouhoumoudou Djannou Ibrahim")</f>
        <v>Ouhoumoudou Djannou Ibrahim</v>
      </c>
      <c r="B1229" s="16"/>
      <c r="C1229" s="14"/>
      <c r="F1229" s="16" t="str">
        <f>IFERROR(__xludf.DUMMYFUNCTION("""COMPUTED_VALUE"""),"Kaoura goga")</f>
        <v>Kaoura goga</v>
      </c>
      <c r="G1229" s="16"/>
      <c r="H1229" s="14"/>
      <c r="K1229" s="16">
        <f>IFERROR(__xludf.DUMMYFUNCTION("""COMPUTED_VALUE"""),1313.0)</f>
        <v>1313</v>
      </c>
      <c r="L1229" s="16"/>
      <c r="M1229" s="14"/>
    </row>
    <row r="1230">
      <c r="A1230" s="16" t="str">
        <f>IFERROR(__xludf.DUMMYFUNCTION("""COMPUTED_VALUE"""),"Ouhoumoudou Djannou Ibrahim")</f>
        <v>Ouhoumoudou Djannou Ibrahim</v>
      </c>
      <c r="B1230" s="16"/>
      <c r="C1230" s="14"/>
      <c r="F1230" s="16" t="str">
        <f>IFERROR(__xludf.DUMMYFUNCTION("""COMPUTED_VALUE"""),"Kaoura goga")</f>
        <v>Kaoura goga</v>
      </c>
      <c r="G1230" s="16"/>
      <c r="H1230" s="14"/>
      <c r="K1230" s="16">
        <f>IFERROR(__xludf.DUMMYFUNCTION("""COMPUTED_VALUE"""),1137.0)</f>
        <v>1137</v>
      </c>
      <c r="L1230" s="16"/>
      <c r="M1230" s="14"/>
    </row>
    <row r="1231">
      <c r="A1231" s="16" t="str">
        <f>IFERROR(__xludf.DUMMYFUNCTION("""COMPUTED_VALUE"""),"Haladou Boukar")</f>
        <v>Haladou Boukar</v>
      </c>
      <c r="B1231" s="16"/>
      <c r="C1231" s="14"/>
      <c r="F1231" s="16" t="str">
        <f>IFERROR(__xludf.DUMMYFUNCTION("""COMPUTED_VALUE"""),"Kaoura goga")</f>
        <v>Kaoura goga</v>
      </c>
      <c r="G1231" s="16"/>
      <c r="H1231" s="14"/>
      <c r="K1231" s="16">
        <f>IFERROR(__xludf.DUMMYFUNCTION("""COMPUTED_VALUE"""),686.0)</f>
        <v>686</v>
      </c>
      <c r="L1231" s="16"/>
      <c r="M1231" s="14"/>
    </row>
    <row r="1232">
      <c r="A1232" s="16" t="str">
        <f>IFERROR(__xludf.DUMMYFUNCTION("""COMPUTED_VALUE"""),"Haladou Boukar")</f>
        <v>Haladou Boukar</v>
      </c>
      <c r="B1232" s="16"/>
      <c r="C1232" s="14"/>
      <c r="F1232" s="16" t="str">
        <f>IFERROR(__xludf.DUMMYFUNCTION("""COMPUTED_VALUE"""),"Kaoura goga")</f>
        <v>Kaoura goga</v>
      </c>
      <c r="G1232" s="16"/>
      <c r="H1232" s="14"/>
      <c r="K1232" s="16">
        <f>IFERROR(__xludf.DUMMYFUNCTION("""COMPUTED_VALUE"""),1691.0)</f>
        <v>1691</v>
      </c>
      <c r="L1232" s="16"/>
      <c r="M1232" s="14"/>
    </row>
    <row r="1233">
      <c r="A1233" s="16" t="str">
        <f>IFERROR(__xludf.DUMMYFUNCTION("""COMPUTED_VALUE"""),"Haladou Boukar")</f>
        <v>Haladou Boukar</v>
      </c>
      <c r="B1233" s="16"/>
      <c r="C1233" s="14"/>
      <c r="F1233" s="16" t="str">
        <f>IFERROR(__xludf.DUMMYFUNCTION("""COMPUTED_VALUE"""),"Moullela Guidan FoKo")</f>
        <v>Moullela Guidan FoKo</v>
      </c>
      <c r="G1233" s="16"/>
      <c r="H1233" s="14"/>
      <c r="K1233" s="16">
        <f>IFERROR(__xludf.DUMMYFUNCTION("""COMPUTED_VALUE"""),795.0)</f>
        <v>795</v>
      </c>
      <c r="L1233" s="16"/>
      <c r="M1233" s="14"/>
    </row>
    <row r="1234">
      <c r="A1234" s="16" t="str">
        <f>IFERROR(__xludf.DUMMYFUNCTION("""COMPUTED_VALUE"""),"Haladou Boukar")</f>
        <v>Haladou Boukar</v>
      </c>
      <c r="B1234" s="16"/>
      <c r="C1234" s="14"/>
      <c r="F1234" s="16" t="str">
        <f>IFERROR(__xludf.DUMMYFUNCTION("""COMPUTED_VALUE"""),"Guiroua Almoumini")</f>
        <v>Guiroua Almoumini</v>
      </c>
      <c r="G1234" s="16"/>
      <c r="H1234" s="14"/>
      <c r="K1234" s="16">
        <f>IFERROR(__xludf.DUMMYFUNCTION("""COMPUTED_VALUE"""),1128.0)</f>
        <v>1128</v>
      </c>
      <c r="L1234" s="16"/>
      <c r="M1234" s="14"/>
    </row>
    <row r="1235">
      <c r="A1235" s="16" t="str">
        <f>IFERROR(__xludf.DUMMYFUNCTION("""COMPUTED_VALUE"""),"Haladou Boukar")</f>
        <v>Haladou Boukar</v>
      </c>
      <c r="B1235" s="16"/>
      <c r="C1235" s="14"/>
      <c r="F1235" s="16" t="str">
        <f>IFERROR(__xludf.DUMMYFUNCTION("""COMPUTED_VALUE"""),"Guiroua Almoumini")</f>
        <v>Guiroua Almoumini</v>
      </c>
      <c r="G1235" s="16"/>
      <c r="H1235" s="14"/>
      <c r="K1235" s="16">
        <f>IFERROR(__xludf.DUMMYFUNCTION("""COMPUTED_VALUE"""),1637.0)</f>
        <v>1637</v>
      </c>
      <c r="L1235" s="16"/>
      <c r="M1235" s="14"/>
    </row>
    <row r="1236">
      <c r="A1236" s="16" t="str">
        <f>IFERROR(__xludf.DUMMYFUNCTION("""COMPUTED_VALUE"""),"Hachimou Rabiou Mamoudou")</f>
        <v>Hachimou Rabiou Mamoudou</v>
      </c>
      <c r="B1236" s="16"/>
      <c r="C1236" s="14"/>
      <c r="F1236" s="16" t="str">
        <f>IFERROR(__xludf.DUMMYFUNCTION("""COMPUTED_VALUE"""),"Guiroua Almoumini")</f>
        <v>Guiroua Almoumini</v>
      </c>
      <c r="G1236" s="16"/>
      <c r="H1236" s="14"/>
      <c r="K1236" s="16">
        <f>IFERROR(__xludf.DUMMYFUNCTION("""COMPUTED_VALUE"""),2029.0)</f>
        <v>2029</v>
      </c>
      <c r="L1236" s="16"/>
      <c r="M1236" s="14"/>
    </row>
    <row r="1237">
      <c r="A1237" s="16" t="str">
        <f>IFERROR(__xludf.DUMMYFUNCTION("""COMPUTED_VALUE"""),"Hachimou Rabiou Mamoudou")</f>
        <v>Hachimou Rabiou Mamoudou</v>
      </c>
      <c r="B1237" s="16"/>
      <c r="C1237" s="14"/>
      <c r="F1237" s="16" t="str">
        <f>IFERROR(__xludf.DUMMYFUNCTION("""COMPUTED_VALUE"""),"Moullela Guidan FoKo")</f>
        <v>Moullela Guidan FoKo</v>
      </c>
      <c r="G1237" s="16"/>
      <c r="H1237" s="14"/>
      <c r="K1237" s="16">
        <f>IFERROR(__xludf.DUMMYFUNCTION("""COMPUTED_VALUE"""),577.0)</f>
        <v>577</v>
      </c>
      <c r="L1237" s="16"/>
      <c r="M1237" s="14"/>
    </row>
    <row r="1238">
      <c r="A1238" s="16" t="str">
        <f>IFERROR(__xludf.DUMMYFUNCTION("""COMPUTED_VALUE"""),"Hachimou Rabiou Mamoudou")</f>
        <v>Hachimou Rabiou Mamoudou</v>
      </c>
      <c r="B1238" s="16"/>
      <c r="C1238" s="14"/>
      <c r="F1238" s="16" t="str">
        <f>IFERROR(__xludf.DUMMYFUNCTION("""COMPUTED_VALUE"""),"Moullela Guidan FoKo")</f>
        <v>Moullela Guidan FoKo</v>
      </c>
      <c r="G1238" s="16"/>
      <c r="H1238" s="14"/>
      <c r="K1238" s="16">
        <f>IFERROR(__xludf.DUMMYFUNCTION("""COMPUTED_VALUE"""),514.0)</f>
        <v>514</v>
      </c>
      <c r="L1238" s="16"/>
      <c r="M1238" s="14"/>
    </row>
    <row r="1239">
      <c r="A1239" s="16" t="str">
        <f>IFERROR(__xludf.DUMMYFUNCTION("""COMPUTED_VALUE"""),"Hachimou Rabiou Mamoudou")</f>
        <v>Hachimou Rabiou Mamoudou</v>
      </c>
      <c r="B1239" s="16"/>
      <c r="C1239" s="14"/>
      <c r="F1239" s="16" t="str">
        <f>IFERROR(__xludf.DUMMYFUNCTION("""COMPUTED_VALUE"""),"Moullela Guidan FoKo")</f>
        <v>Moullela Guidan FoKo</v>
      </c>
      <c r="G1239" s="16"/>
      <c r="H1239" s="14"/>
      <c r="K1239" s="16">
        <f>IFERROR(__xludf.DUMMYFUNCTION("""COMPUTED_VALUE"""),506.0)</f>
        <v>506</v>
      </c>
      <c r="L1239" s="16"/>
      <c r="M1239" s="14"/>
    </row>
    <row r="1240">
      <c r="A1240" s="16" t="str">
        <f>IFERROR(__xludf.DUMMYFUNCTION("""COMPUTED_VALUE"""),"Hachimou Rabiou Mamoudou")</f>
        <v>Hachimou Rabiou Mamoudou</v>
      </c>
      <c r="B1240" s="16"/>
      <c r="C1240" s="14"/>
      <c r="F1240" s="16" t="str">
        <f>IFERROR(__xludf.DUMMYFUNCTION("""COMPUTED_VALUE"""),"Moullela Guidan FoKo")</f>
        <v>Moullela Guidan FoKo</v>
      </c>
      <c r="G1240" s="16"/>
      <c r="H1240" s="14"/>
      <c r="K1240" s="16">
        <f>IFERROR(__xludf.DUMMYFUNCTION("""COMPUTED_VALUE"""),1335.0)</f>
        <v>1335</v>
      </c>
      <c r="L1240" s="16"/>
      <c r="M1240" s="14"/>
    </row>
    <row r="1241">
      <c r="A1241" s="16" t="str">
        <f>IFERROR(__xludf.DUMMYFUNCTION("""COMPUTED_VALUE"""),"Haladou Boukar")</f>
        <v>Haladou Boukar</v>
      </c>
      <c r="B1241" s="16"/>
      <c r="C1241" s="14"/>
      <c r="F1241" s="16" t="str">
        <f>IFERROR(__xludf.DUMMYFUNCTION("""COMPUTED_VALUE"""),"Moullela Guidan FoKo")</f>
        <v>Moullela Guidan FoKo</v>
      </c>
      <c r="G1241" s="16"/>
      <c r="H1241" s="14"/>
      <c r="K1241" s="16">
        <f>IFERROR(__xludf.DUMMYFUNCTION("""COMPUTED_VALUE"""),454.0)</f>
        <v>454</v>
      </c>
      <c r="L1241" s="16"/>
      <c r="M1241" s="14"/>
    </row>
    <row r="1242">
      <c r="A1242" s="16" t="str">
        <f>IFERROR(__xludf.DUMMYFUNCTION("""COMPUTED_VALUE"""),"Haladou Boukar")</f>
        <v>Haladou Boukar</v>
      </c>
      <c r="B1242" s="16"/>
      <c r="C1242" s="14"/>
      <c r="F1242" s="16" t="str">
        <f>IFERROR(__xludf.DUMMYFUNCTION("""COMPUTED_VALUE"""),"Karadji Gangawa")</f>
        <v>Karadji Gangawa</v>
      </c>
      <c r="G1242" s="16"/>
      <c r="H1242" s="14"/>
      <c r="K1242" s="16">
        <f>IFERROR(__xludf.DUMMYFUNCTION("""COMPUTED_VALUE"""),457.0)</f>
        <v>457</v>
      </c>
      <c r="L1242" s="16"/>
      <c r="M1242" s="14"/>
    </row>
    <row r="1243">
      <c r="A1243" s="16" t="str">
        <f>IFERROR(__xludf.DUMMYFUNCTION("""COMPUTED_VALUE"""),"Abdoul Salami Ibrahim")</f>
        <v>Abdoul Salami Ibrahim</v>
      </c>
      <c r="B1243" s="16"/>
      <c r="C1243" s="14"/>
      <c r="F1243" s="16" t="str">
        <f>IFERROR(__xludf.DUMMYFUNCTION("""COMPUTED_VALUE"""),"Sabon Sara")</f>
        <v>Sabon Sara</v>
      </c>
      <c r="G1243" s="16"/>
      <c r="H1243" s="14"/>
      <c r="K1243" s="16">
        <f>IFERROR(__xludf.DUMMYFUNCTION("""COMPUTED_VALUE"""),2278.0)</f>
        <v>2278</v>
      </c>
      <c r="L1243" s="16"/>
      <c r="M1243" s="14"/>
    </row>
    <row r="1244">
      <c r="A1244" s="16" t="str">
        <f>IFERROR(__xludf.DUMMYFUNCTION("""COMPUTED_VALUE"""),"Abdoul Salami Ibrahim")</f>
        <v>Abdoul Salami Ibrahim</v>
      </c>
      <c r="B1244" s="16"/>
      <c r="C1244" s="14"/>
      <c r="F1244" s="16" t="str">
        <f>IFERROR(__xludf.DUMMYFUNCTION("""COMPUTED_VALUE"""),"Sabon Sara")</f>
        <v>Sabon Sara</v>
      </c>
      <c r="G1244" s="16"/>
      <c r="H1244" s="14"/>
      <c r="K1244" s="16">
        <f>IFERROR(__xludf.DUMMYFUNCTION("""COMPUTED_VALUE"""),2171.0)</f>
        <v>2171</v>
      </c>
      <c r="L1244" s="16"/>
      <c r="M1244" s="14"/>
    </row>
    <row r="1245">
      <c r="A1245" s="16" t="str">
        <f>IFERROR(__xludf.DUMMYFUNCTION("""COMPUTED_VALUE"""),"Abdoul Salami Ibrahim")</f>
        <v>Abdoul Salami Ibrahim</v>
      </c>
      <c r="B1245" s="16"/>
      <c r="C1245" s="14"/>
      <c r="F1245" s="16" t="str">
        <f>IFERROR(__xludf.DUMMYFUNCTION("""COMPUTED_VALUE"""),"Karadji Gangawa")</f>
        <v>Karadji Gangawa</v>
      </c>
      <c r="G1245" s="16"/>
      <c r="H1245" s="14"/>
      <c r="K1245" s="16">
        <f>IFERROR(__xludf.DUMMYFUNCTION("""COMPUTED_VALUE"""),431.0)</f>
        <v>431</v>
      </c>
      <c r="L1245" s="16"/>
      <c r="M1245" s="14"/>
    </row>
    <row r="1246">
      <c r="A1246" s="16" t="str">
        <f>IFERROR(__xludf.DUMMYFUNCTION("""COMPUTED_VALUE"""),"Abdoul Salami Ibrahim")</f>
        <v>Abdoul Salami Ibrahim</v>
      </c>
      <c r="B1246" s="16"/>
      <c r="C1246" s="14"/>
      <c r="F1246" s="16" t="str">
        <f>IFERROR(__xludf.DUMMYFUNCTION("""COMPUTED_VALUE"""),"Karadji Gangawa")</f>
        <v>Karadji Gangawa</v>
      </c>
      <c r="G1246" s="16"/>
      <c r="H1246" s="14"/>
      <c r="K1246" s="16">
        <f>IFERROR(__xludf.DUMMYFUNCTION("""COMPUTED_VALUE"""),414.0)</f>
        <v>414</v>
      </c>
      <c r="L1246" s="16"/>
      <c r="M1246" s="14"/>
    </row>
    <row r="1247">
      <c r="A1247" s="16" t="str">
        <f>IFERROR(__xludf.DUMMYFUNCTION("""COMPUTED_VALUE"""),"Amadou Hamidou Abdoul Karim")</f>
        <v>Amadou Hamidou Abdoul Karim</v>
      </c>
      <c r="B1247" s="16"/>
      <c r="C1247" s="14"/>
      <c r="F1247" s="16" t="str">
        <f>IFERROR(__xludf.DUMMYFUNCTION("""COMPUTED_VALUE"""),"Sabon Sara")</f>
        <v>Sabon Sara</v>
      </c>
      <c r="G1247" s="16"/>
      <c r="H1247" s="14"/>
      <c r="K1247" s="16">
        <f>IFERROR(__xludf.DUMMYFUNCTION("""COMPUTED_VALUE"""),1264.0)</f>
        <v>1264</v>
      </c>
      <c r="L1247" s="16"/>
      <c r="M1247" s="14"/>
    </row>
    <row r="1248">
      <c r="A1248" s="16" t="str">
        <f>IFERROR(__xludf.DUMMYFUNCTION("""COMPUTED_VALUE"""),"Amadou Hamidou Abdoul Karim")</f>
        <v>Amadou Hamidou Abdoul Karim</v>
      </c>
      <c r="B1248" s="16"/>
      <c r="C1248" s="14"/>
      <c r="F1248" s="16" t="str">
        <f>IFERROR(__xludf.DUMMYFUNCTION("""COMPUTED_VALUE"""),"Sabon Sara")</f>
        <v>Sabon Sara</v>
      </c>
      <c r="G1248" s="16"/>
      <c r="H1248" s="14"/>
      <c r="K1248" s="16">
        <f>IFERROR(__xludf.DUMMYFUNCTION("""COMPUTED_VALUE"""),1485.0)</f>
        <v>1485</v>
      </c>
      <c r="L1248" s="16"/>
      <c r="M1248" s="14"/>
    </row>
    <row r="1249">
      <c r="A1249" s="16" t="str">
        <f>IFERROR(__xludf.DUMMYFUNCTION("""COMPUTED_VALUE"""),"Amadou Hamidou Abdoul Karim")</f>
        <v>Amadou Hamidou Abdoul Karim</v>
      </c>
      <c r="B1249" s="16"/>
      <c r="C1249" s="14"/>
      <c r="F1249" s="16" t="str">
        <f>IFERROR(__xludf.DUMMYFUNCTION("""COMPUTED_VALUE"""),"Moullela Guidan FoKo")</f>
        <v>Moullela Guidan FoKo</v>
      </c>
      <c r="G1249" s="16"/>
      <c r="H1249" s="14"/>
      <c r="K1249" s="16">
        <f>IFERROR(__xludf.DUMMYFUNCTION("""COMPUTED_VALUE"""),668.0)</f>
        <v>668</v>
      </c>
      <c r="L1249" s="16"/>
      <c r="M1249" s="14"/>
    </row>
    <row r="1250">
      <c r="A1250" s="16" t="str">
        <f>IFERROR(__xludf.DUMMYFUNCTION("""COMPUTED_VALUE"""),"Amadou Hamidou Abdoul Karim")</f>
        <v>Amadou Hamidou Abdoul Karim</v>
      </c>
      <c r="B1250" s="16"/>
      <c r="C1250" s="14"/>
      <c r="F1250" s="16" t="str">
        <f>IFERROR(__xludf.DUMMYFUNCTION("""COMPUTED_VALUE"""),"Toudou Moré")</f>
        <v>Toudou Moré</v>
      </c>
      <c r="G1250" s="16"/>
      <c r="H1250" s="14"/>
      <c r="K1250" s="16">
        <f>IFERROR(__xludf.DUMMYFUNCTION("""COMPUTED_VALUE"""),460.0)</f>
        <v>460</v>
      </c>
      <c r="L1250" s="16"/>
      <c r="M1250" s="14"/>
    </row>
    <row r="1251">
      <c r="A1251" s="16" t="str">
        <f>IFERROR(__xludf.DUMMYFUNCTION("""COMPUTED_VALUE"""),"Binta Maman")</f>
        <v>Binta Maman</v>
      </c>
      <c r="B1251" s="16"/>
      <c r="C1251" s="14"/>
      <c r="F1251" s="16" t="str">
        <f>IFERROR(__xludf.DUMMYFUNCTION("""COMPUTED_VALUE"""),"Toudou Moré")</f>
        <v>Toudou Moré</v>
      </c>
      <c r="G1251" s="16"/>
      <c r="H1251" s="14"/>
      <c r="K1251" s="16">
        <f>IFERROR(__xludf.DUMMYFUNCTION("""COMPUTED_VALUE"""),1642.0)</f>
        <v>1642</v>
      </c>
      <c r="L1251" s="16"/>
      <c r="M1251" s="14"/>
    </row>
    <row r="1252">
      <c r="A1252" s="16" t="str">
        <f>IFERROR(__xludf.DUMMYFUNCTION("""COMPUTED_VALUE"""),"Kadidja Issaka Hamidou")</f>
        <v>Kadidja Issaka Hamidou</v>
      </c>
      <c r="B1252" s="16"/>
      <c r="C1252" s="14"/>
      <c r="F1252" s="16" t="str">
        <f>IFERROR(__xludf.DUMMYFUNCTION("""COMPUTED_VALUE"""),"Kaoura goga")</f>
        <v>Kaoura goga</v>
      </c>
      <c r="G1252" s="16"/>
      <c r="H1252" s="14"/>
      <c r="K1252" s="16">
        <f>IFERROR(__xludf.DUMMYFUNCTION("""COMPUTED_VALUE"""),448.0)</f>
        <v>448</v>
      </c>
      <c r="L1252" s="16"/>
      <c r="M1252" s="14"/>
    </row>
    <row r="1253">
      <c r="A1253" s="16" t="str">
        <f>IFERROR(__xludf.DUMMYFUNCTION("""COMPUTED_VALUE"""),"Saddy Youssouf")</f>
        <v>Saddy Youssouf</v>
      </c>
      <c r="B1253" s="16"/>
      <c r="C1253" s="14"/>
      <c r="F1253" s="16" t="str">
        <f>IFERROR(__xludf.DUMMYFUNCTION("""COMPUTED_VALUE"""),"Kaoura goga")</f>
        <v>Kaoura goga</v>
      </c>
      <c r="G1253" s="16"/>
      <c r="H1253" s="14"/>
      <c r="K1253" s="16">
        <f>IFERROR(__xludf.DUMMYFUNCTION("""COMPUTED_VALUE"""),494.0)</f>
        <v>494</v>
      </c>
      <c r="L1253" s="16"/>
      <c r="M1253" s="14"/>
    </row>
    <row r="1254">
      <c r="A1254" s="16" t="str">
        <f>IFERROR(__xludf.DUMMYFUNCTION("""COMPUTED_VALUE"""),"Saddy Youssouf")</f>
        <v>Saddy Youssouf</v>
      </c>
      <c r="B1254" s="16"/>
      <c r="C1254" s="14"/>
      <c r="F1254" s="16" t="str">
        <f>IFERROR(__xludf.DUMMYFUNCTION("""COMPUTED_VALUE"""),"Kaoura goga")</f>
        <v>Kaoura goga</v>
      </c>
      <c r="G1254" s="16"/>
      <c r="H1254" s="14"/>
      <c r="K1254" s="16">
        <f>IFERROR(__xludf.DUMMYFUNCTION("""COMPUTED_VALUE"""),1578.0)</f>
        <v>1578</v>
      </c>
      <c r="L1254" s="16"/>
      <c r="M1254" s="14"/>
    </row>
    <row r="1255">
      <c r="A1255" s="16" t="str">
        <f>IFERROR(__xludf.DUMMYFUNCTION("""COMPUTED_VALUE"""),"Saddy Youssouf")</f>
        <v>Saddy Youssouf</v>
      </c>
      <c r="B1255" s="16"/>
      <c r="C1255" s="14"/>
      <c r="F1255" s="16" t="str">
        <f>IFERROR(__xludf.DUMMYFUNCTION("""COMPUTED_VALUE"""),"Kaoura goga")</f>
        <v>Kaoura goga</v>
      </c>
      <c r="G1255" s="16"/>
      <c r="H1255" s="14"/>
      <c r="K1255" s="16">
        <f>IFERROR(__xludf.DUMMYFUNCTION("""COMPUTED_VALUE"""),1347.0)</f>
        <v>1347</v>
      </c>
      <c r="L1255" s="16"/>
      <c r="M1255" s="14"/>
    </row>
    <row r="1256">
      <c r="A1256" s="16" t="str">
        <f>IFERROR(__xludf.DUMMYFUNCTION("""COMPUTED_VALUE"""),"Saddy Youssouf")</f>
        <v>Saddy Youssouf</v>
      </c>
      <c r="B1256" s="16"/>
      <c r="C1256" s="14"/>
      <c r="F1256" s="16" t="str">
        <f>IFERROR(__xludf.DUMMYFUNCTION("""COMPUTED_VALUE"""),"Bilbis I")</f>
        <v>Bilbis I</v>
      </c>
      <c r="G1256" s="16"/>
      <c r="H1256" s="14"/>
      <c r="K1256" s="16">
        <f>IFERROR(__xludf.DUMMYFUNCTION("""COMPUTED_VALUE"""),1486.0)</f>
        <v>1486</v>
      </c>
      <c r="L1256" s="16"/>
      <c r="M1256" s="14"/>
    </row>
    <row r="1257">
      <c r="A1257" s="16" t="str">
        <f>IFERROR(__xludf.DUMMYFUNCTION("""COMPUTED_VALUE"""),"Rabi Boubacar Younoussa")</f>
        <v>Rabi Boubacar Younoussa</v>
      </c>
      <c r="B1257" s="16"/>
      <c r="C1257" s="14"/>
      <c r="F1257" s="16" t="str">
        <f>IFERROR(__xludf.DUMMYFUNCTION("""COMPUTED_VALUE"""),"Bilbis I")</f>
        <v>Bilbis I</v>
      </c>
      <c r="G1257" s="16"/>
      <c r="H1257" s="14"/>
      <c r="K1257" s="16">
        <f>IFERROR(__xludf.DUMMYFUNCTION("""COMPUTED_VALUE"""),1762.0)</f>
        <v>1762</v>
      </c>
      <c r="L1257" s="16"/>
      <c r="M1257" s="14"/>
    </row>
    <row r="1258">
      <c r="A1258" s="16" t="str">
        <f>IFERROR(__xludf.DUMMYFUNCTION("""COMPUTED_VALUE"""),"Rabi Boubacar Younoussa")</f>
        <v>Rabi Boubacar Younoussa</v>
      </c>
      <c r="B1258" s="16"/>
      <c r="C1258" s="14"/>
      <c r="F1258" s="16" t="str">
        <f>IFERROR(__xludf.DUMMYFUNCTION("""COMPUTED_VALUE"""),"Bilbis I")</f>
        <v>Bilbis I</v>
      </c>
      <c r="G1258" s="16"/>
      <c r="H1258" s="14"/>
      <c r="K1258" s="16">
        <f>IFERROR(__xludf.DUMMYFUNCTION("""COMPUTED_VALUE"""),382.0)</f>
        <v>382</v>
      </c>
      <c r="L1258" s="16"/>
      <c r="M1258" s="14"/>
    </row>
    <row r="1259">
      <c r="A1259" s="16" t="str">
        <f>IFERROR(__xludf.DUMMYFUNCTION("""COMPUTED_VALUE"""),"Rabi Boubacar Younoussa")</f>
        <v>Rabi Boubacar Younoussa</v>
      </c>
      <c r="B1259" s="16"/>
      <c r="C1259" s="14"/>
      <c r="F1259" s="16" t="str">
        <f>IFERROR(__xludf.DUMMYFUNCTION("""COMPUTED_VALUE"""),"Bilbis I")</f>
        <v>Bilbis I</v>
      </c>
      <c r="G1259" s="16"/>
      <c r="H1259" s="14"/>
      <c r="K1259" s="16">
        <f>IFERROR(__xludf.DUMMYFUNCTION("""COMPUTED_VALUE"""),781.0)</f>
        <v>781</v>
      </c>
      <c r="L1259" s="16"/>
      <c r="M1259" s="14"/>
    </row>
    <row r="1260">
      <c r="A1260" s="16" t="str">
        <f>IFERROR(__xludf.DUMMYFUNCTION("""COMPUTED_VALUE"""),"Gaoh Maazou")</f>
        <v>Gaoh Maazou</v>
      </c>
      <c r="B1260" s="16"/>
      <c r="C1260" s="14"/>
      <c r="F1260" s="16" t="str">
        <f>IFERROR(__xludf.DUMMYFUNCTION("""COMPUTED_VALUE"""),"Moullela Guidan FoKo")</f>
        <v>Moullela Guidan FoKo</v>
      </c>
      <c r="G1260" s="16"/>
      <c r="H1260" s="14"/>
      <c r="K1260" s="16">
        <f>IFERROR(__xludf.DUMMYFUNCTION("""COMPUTED_VALUE"""),1321.0)</f>
        <v>1321</v>
      </c>
      <c r="L1260" s="16"/>
      <c r="M1260" s="14"/>
    </row>
    <row r="1261">
      <c r="A1261" s="16" t="str">
        <f>IFERROR(__xludf.DUMMYFUNCTION("""COMPUTED_VALUE"""),"Gaoh Maazou")</f>
        <v>Gaoh Maazou</v>
      </c>
      <c r="B1261" s="16"/>
      <c r="C1261" s="14"/>
      <c r="F1261" s="16" t="str">
        <f>IFERROR(__xludf.DUMMYFUNCTION("""COMPUTED_VALUE"""),"Moullela Guidan FoKo")</f>
        <v>Moullela Guidan FoKo</v>
      </c>
      <c r="G1261" s="16"/>
      <c r="H1261" s="14"/>
      <c r="K1261" s="16">
        <f>IFERROR(__xludf.DUMMYFUNCTION("""COMPUTED_VALUE"""),455.0)</f>
        <v>455</v>
      </c>
      <c r="L1261" s="16"/>
      <c r="M1261" s="14"/>
    </row>
    <row r="1262">
      <c r="A1262" s="16" t="str">
        <f>IFERROR(__xludf.DUMMYFUNCTION("""COMPUTED_VALUE"""),"Gaoh Maazou")</f>
        <v>Gaoh Maazou</v>
      </c>
      <c r="B1262" s="16"/>
      <c r="C1262" s="14"/>
      <c r="F1262" s="16" t="str">
        <f>IFERROR(__xludf.DUMMYFUNCTION("""COMPUTED_VALUE"""),"Moullela Guidan FoKo")</f>
        <v>Moullela Guidan FoKo</v>
      </c>
      <c r="G1262" s="16"/>
      <c r="H1262" s="14"/>
      <c r="K1262" s="16">
        <f>IFERROR(__xludf.DUMMYFUNCTION("""COMPUTED_VALUE"""),602.0)</f>
        <v>602</v>
      </c>
      <c r="L1262" s="16"/>
      <c r="M1262" s="14"/>
    </row>
    <row r="1263">
      <c r="A1263" s="16" t="str">
        <f>IFERROR(__xludf.DUMMYFUNCTION("""COMPUTED_VALUE"""),"Gaoh Maazou")</f>
        <v>Gaoh Maazou</v>
      </c>
      <c r="B1263" s="16"/>
      <c r="C1263" s="14"/>
      <c r="F1263" s="16" t="str">
        <f>IFERROR(__xludf.DUMMYFUNCTION("""COMPUTED_VALUE"""),"Bilbis I")</f>
        <v>Bilbis I</v>
      </c>
      <c r="G1263" s="16"/>
      <c r="H1263" s="14"/>
      <c r="K1263" s="16">
        <f>IFERROR(__xludf.DUMMYFUNCTION("""COMPUTED_VALUE"""),740.0)</f>
        <v>740</v>
      </c>
      <c r="L1263" s="16"/>
      <c r="M1263" s="14"/>
    </row>
    <row r="1264">
      <c r="A1264" s="16" t="str">
        <f>IFERROR(__xludf.DUMMYFUNCTION("""COMPUTED_VALUE"""),"Gaoh Maazou")</f>
        <v>Gaoh Maazou</v>
      </c>
      <c r="B1264" s="16"/>
      <c r="C1264" s="14"/>
      <c r="F1264" s="16" t="str">
        <f>IFERROR(__xludf.DUMMYFUNCTION("""COMPUTED_VALUE"""),"Bilbis I")</f>
        <v>Bilbis I</v>
      </c>
      <c r="G1264" s="16"/>
      <c r="H1264" s="14"/>
      <c r="K1264" s="16">
        <f>IFERROR(__xludf.DUMMYFUNCTION("""COMPUTED_VALUE"""),643.0)</f>
        <v>643</v>
      </c>
      <c r="L1264" s="16"/>
      <c r="M1264" s="14"/>
    </row>
    <row r="1265">
      <c r="A1265" s="16" t="str">
        <f>IFERROR(__xludf.DUMMYFUNCTION("""COMPUTED_VALUE"""),"Gaoh Maazou")</f>
        <v>Gaoh Maazou</v>
      </c>
      <c r="B1265" s="16"/>
      <c r="C1265" s="14"/>
      <c r="F1265" s="16" t="str">
        <f>IFERROR(__xludf.DUMMYFUNCTION("""COMPUTED_VALUE"""),"Bilbis I")</f>
        <v>Bilbis I</v>
      </c>
      <c r="G1265" s="16"/>
      <c r="H1265" s="14"/>
      <c r="K1265" s="16">
        <f>IFERROR(__xludf.DUMMYFUNCTION("""COMPUTED_VALUE"""),1643.0)</f>
        <v>1643</v>
      </c>
      <c r="L1265" s="16"/>
      <c r="M1265" s="14"/>
    </row>
    <row r="1266">
      <c r="A1266" s="16" t="str">
        <f>IFERROR(__xludf.DUMMYFUNCTION("""COMPUTED_VALUE"""),"Kadidja Issaka Hamidou")</f>
        <v>Kadidja Issaka Hamidou</v>
      </c>
      <c r="B1266" s="16"/>
      <c r="C1266" s="14"/>
      <c r="F1266" s="16" t="str">
        <f>IFERROR(__xludf.DUMMYFUNCTION("""COMPUTED_VALUE"""),"Bilbis I")</f>
        <v>Bilbis I</v>
      </c>
      <c r="G1266" s="16"/>
      <c r="H1266" s="14"/>
      <c r="K1266" s="16">
        <f>IFERROR(__xludf.DUMMYFUNCTION("""COMPUTED_VALUE"""),1184.0)</f>
        <v>1184</v>
      </c>
      <c r="L1266" s="16"/>
      <c r="M1266" s="14"/>
    </row>
    <row r="1267">
      <c r="A1267" s="16" t="str">
        <f>IFERROR(__xludf.DUMMYFUNCTION("""COMPUTED_VALUE"""),"Asmaou Tanko Issa")</f>
        <v>Asmaou Tanko Issa</v>
      </c>
      <c r="B1267" s="16"/>
      <c r="C1267" s="14"/>
      <c r="F1267" s="16" t="str">
        <f>IFERROR(__xludf.DUMMYFUNCTION("""COMPUTED_VALUE"""),"Bilbis I")</f>
        <v>Bilbis I</v>
      </c>
      <c r="G1267" s="16"/>
      <c r="H1267" s="14"/>
      <c r="K1267" s="16">
        <f>IFERROR(__xludf.DUMMYFUNCTION("""COMPUTED_VALUE"""),502.0)</f>
        <v>502</v>
      </c>
      <c r="L1267" s="16"/>
      <c r="M1267" s="14"/>
    </row>
    <row r="1268">
      <c r="A1268" s="16" t="str">
        <f>IFERROR(__xludf.DUMMYFUNCTION("""COMPUTED_VALUE"""),"Yacouba Idé dit Lumana")</f>
        <v>Yacouba Idé dit Lumana</v>
      </c>
      <c r="B1268" s="16"/>
      <c r="C1268" s="14"/>
      <c r="F1268" s="16" t="str">
        <f>IFERROR(__xludf.DUMMYFUNCTION("""COMPUTED_VALUE"""),"Toudou Moré")</f>
        <v>Toudou Moré</v>
      </c>
      <c r="G1268" s="16"/>
      <c r="H1268" s="14"/>
      <c r="K1268" s="16">
        <f>IFERROR(__xludf.DUMMYFUNCTION("""COMPUTED_VALUE"""),358.0)</f>
        <v>358</v>
      </c>
      <c r="L1268" s="16"/>
      <c r="M1268" s="14"/>
    </row>
    <row r="1269">
      <c r="A1269" s="16" t="str">
        <f>IFERROR(__xludf.DUMMYFUNCTION("""COMPUTED_VALUE"""),"Razinatou Salissou")</f>
        <v>Razinatou Salissou</v>
      </c>
      <c r="B1269" s="16"/>
      <c r="C1269" s="14"/>
      <c r="F1269" s="16" t="str">
        <f>IFERROR(__xludf.DUMMYFUNCTION("""COMPUTED_VALUE"""),"Toudou Moré")</f>
        <v>Toudou Moré</v>
      </c>
      <c r="G1269" s="16"/>
      <c r="H1269" s="14"/>
      <c r="K1269" s="16">
        <f>IFERROR(__xludf.DUMMYFUNCTION("""COMPUTED_VALUE"""),1924.0)</f>
        <v>1924</v>
      </c>
      <c r="L1269" s="16"/>
      <c r="M1269" s="14"/>
    </row>
    <row r="1270">
      <c r="A1270" s="16" t="str">
        <f>IFERROR(__xludf.DUMMYFUNCTION("""COMPUTED_VALUE"""),"Razinatou Salissou")</f>
        <v>Razinatou Salissou</v>
      </c>
      <c r="B1270" s="16"/>
      <c r="C1270" s="14"/>
      <c r="F1270" s="16" t="str">
        <f>IFERROR(__xludf.DUMMYFUNCTION("""COMPUTED_VALUE"""),"Toudou Moré")</f>
        <v>Toudou Moré</v>
      </c>
      <c r="G1270" s="16"/>
      <c r="H1270" s="14"/>
      <c r="K1270" s="16">
        <f>IFERROR(__xludf.DUMMYFUNCTION("""COMPUTED_VALUE"""),1647.0)</f>
        <v>1647</v>
      </c>
      <c r="L1270" s="16"/>
      <c r="M1270" s="14"/>
    </row>
    <row r="1271">
      <c r="A1271" s="16" t="str">
        <f>IFERROR(__xludf.DUMMYFUNCTION("""COMPUTED_VALUE"""),"Maman Zayanou Harouna")</f>
        <v>Maman Zayanou Harouna</v>
      </c>
      <c r="B1271" s="16"/>
      <c r="C1271" s="14"/>
      <c r="F1271" s="16" t="str">
        <f>IFERROR(__xludf.DUMMYFUNCTION("""COMPUTED_VALUE"""),"Kouréya")</f>
        <v>Kouréya</v>
      </c>
      <c r="G1271" s="16"/>
      <c r="H1271" s="14"/>
      <c r="K1271" s="16">
        <f>IFERROR(__xludf.DUMMYFUNCTION("""COMPUTED_VALUE"""),1540.0)</f>
        <v>1540</v>
      </c>
      <c r="L1271" s="16"/>
      <c r="M1271" s="14"/>
    </row>
    <row r="1272">
      <c r="A1272" s="16" t="str">
        <f>IFERROR(__xludf.DUMMYFUNCTION("""COMPUTED_VALUE"""),"Maman Zayanou Harouna")</f>
        <v>Maman Zayanou Harouna</v>
      </c>
      <c r="B1272" s="16"/>
      <c r="C1272" s="14"/>
      <c r="F1272" s="16" t="str">
        <f>IFERROR(__xludf.DUMMYFUNCTION("""COMPUTED_VALUE"""),"Kouréya")</f>
        <v>Kouréya</v>
      </c>
      <c r="G1272" s="16"/>
      <c r="H1272" s="14"/>
      <c r="K1272" s="16">
        <f>IFERROR(__xludf.DUMMYFUNCTION("""COMPUTED_VALUE"""),276.0)</f>
        <v>276</v>
      </c>
      <c r="L1272" s="16"/>
      <c r="M1272" s="14"/>
    </row>
    <row r="1273">
      <c r="A1273" s="16" t="str">
        <f>IFERROR(__xludf.DUMMYFUNCTION("""COMPUTED_VALUE"""),"Larabou Chamsoudine")</f>
        <v>Larabou Chamsoudine</v>
      </c>
      <c r="B1273" s="16"/>
      <c r="C1273" s="14"/>
      <c r="F1273" s="16" t="str">
        <f>IFERROR(__xludf.DUMMYFUNCTION("""COMPUTED_VALUE"""),"Kouréya")</f>
        <v>Kouréya</v>
      </c>
      <c r="G1273" s="16"/>
      <c r="H1273" s="14"/>
      <c r="K1273" s="16">
        <f>IFERROR(__xludf.DUMMYFUNCTION("""COMPUTED_VALUE"""),272.0)</f>
        <v>272</v>
      </c>
      <c r="L1273" s="16"/>
      <c r="M1273" s="14"/>
    </row>
    <row r="1274">
      <c r="A1274" s="16" t="str">
        <f>IFERROR(__xludf.DUMMYFUNCTION("""COMPUTED_VALUE"""),"Larabou Chamsoudine")</f>
        <v>Larabou Chamsoudine</v>
      </c>
      <c r="B1274" s="16"/>
      <c r="C1274" s="14"/>
      <c r="F1274" s="16" t="str">
        <f>IFERROR(__xludf.DUMMYFUNCTION("""COMPUTED_VALUE"""),"Kouréya")</f>
        <v>Kouréya</v>
      </c>
      <c r="G1274" s="16"/>
      <c r="H1274" s="14"/>
      <c r="K1274" s="16">
        <f>IFERROR(__xludf.DUMMYFUNCTION("""COMPUTED_VALUE"""),514.0)</f>
        <v>514</v>
      </c>
      <c r="L1274" s="16"/>
      <c r="M1274" s="14"/>
    </row>
    <row r="1275">
      <c r="A1275" s="16" t="str">
        <f>IFERROR(__xludf.DUMMYFUNCTION("""COMPUTED_VALUE"""),"Maman Zayanou Harouna")</f>
        <v>Maman Zayanou Harouna</v>
      </c>
      <c r="B1275" s="16"/>
      <c r="C1275" s="14"/>
      <c r="F1275" s="16" t="str">
        <f>IFERROR(__xludf.DUMMYFUNCTION("""COMPUTED_VALUE"""),"Kouréya")</f>
        <v>Kouréya</v>
      </c>
      <c r="G1275" s="16"/>
      <c r="H1275" s="14"/>
      <c r="K1275" s="16">
        <f>IFERROR(__xludf.DUMMYFUNCTION("""COMPUTED_VALUE"""),865.0)</f>
        <v>865</v>
      </c>
      <c r="L1275" s="16"/>
      <c r="M1275" s="14"/>
    </row>
    <row r="1276">
      <c r="A1276" s="16" t="str">
        <f>IFERROR(__xludf.DUMMYFUNCTION("""COMPUTED_VALUE"""),"Larabou Chamsoudine")</f>
        <v>Larabou Chamsoudine</v>
      </c>
      <c r="B1276" s="16"/>
      <c r="C1276" s="14"/>
      <c r="F1276" s="16" t="str">
        <f>IFERROR(__xludf.DUMMYFUNCTION("""COMPUTED_VALUE"""),"Kouréya")</f>
        <v>Kouréya</v>
      </c>
      <c r="G1276" s="16"/>
      <c r="H1276" s="14"/>
      <c r="K1276" s="16">
        <f>IFERROR(__xludf.DUMMYFUNCTION("""COMPUTED_VALUE"""),470.0)</f>
        <v>470</v>
      </c>
      <c r="L1276" s="16"/>
      <c r="M1276" s="14"/>
    </row>
    <row r="1277">
      <c r="A1277" s="16" t="str">
        <f>IFERROR(__xludf.DUMMYFUNCTION("""COMPUTED_VALUE"""),"Maman Zayanou Harouna")</f>
        <v>Maman Zayanou Harouna</v>
      </c>
      <c r="B1277" s="16"/>
      <c r="C1277" s="14"/>
      <c r="F1277" s="16" t="str">
        <f>IFERROR(__xludf.DUMMYFUNCTION("""COMPUTED_VALUE"""),"Bagueye")</f>
        <v>Bagueye</v>
      </c>
      <c r="G1277" s="16"/>
      <c r="H1277" s="14"/>
      <c r="K1277" s="16">
        <f>IFERROR(__xludf.DUMMYFUNCTION("""COMPUTED_VALUE"""),601.0)</f>
        <v>601</v>
      </c>
      <c r="L1277" s="16"/>
      <c r="M1277" s="14"/>
    </row>
    <row r="1278">
      <c r="A1278" s="16" t="str">
        <f>IFERROR(__xludf.DUMMYFUNCTION("""COMPUTED_VALUE"""),"Maman Zayanou Harouna")</f>
        <v>Maman Zayanou Harouna</v>
      </c>
      <c r="B1278" s="16"/>
      <c r="C1278" s="14"/>
      <c r="F1278" s="16" t="str">
        <f>IFERROR(__xludf.DUMMYFUNCTION("""COMPUTED_VALUE"""),"Bagueye")</f>
        <v>Bagueye</v>
      </c>
      <c r="G1278" s="16"/>
      <c r="H1278" s="14"/>
      <c r="K1278" s="16">
        <f>IFERROR(__xludf.DUMMYFUNCTION("""COMPUTED_VALUE"""),1170.0)</f>
        <v>1170</v>
      </c>
      <c r="L1278" s="16"/>
      <c r="M1278" s="14"/>
    </row>
    <row r="1279">
      <c r="A1279" s="16" t="str">
        <f>IFERROR(__xludf.DUMMYFUNCTION("""COMPUTED_VALUE"""),"Maman Zayanou Harouna")</f>
        <v>Maman Zayanou Harouna</v>
      </c>
      <c r="B1279" s="16"/>
      <c r="C1279" s="14"/>
      <c r="F1279" s="16" t="str">
        <f>IFERROR(__xludf.DUMMYFUNCTION("""COMPUTED_VALUE"""),"Bagueye")</f>
        <v>Bagueye</v>
      </c>
      <c r="G1279" s="16"/>
      <c r="H1279" s="14"/>
      <c r="K1279" s="16">
        <f>IFERROR(__xludf.DUMMYFUNCTION("""COMPUTED_VALUE"""),371.0)</f>
        <v>371</v>
      </c>
      <c r="L1279" s="16"/>
      <c r="M1279" s="14"/>
    </row>
    <row r="1280">
      <c r="A1280" s="16" t="str">
        <f>IFERROR(__xludf.DUMMYFUNCTION("""COMPUTED_VALUE"""),"Maman Zayanou Harouna")</f>
        <v>Maman Zayanou Harouna</v>
      </c>
      <c r="B1280" s="16"/>
      <c r="C1280" s="14"/>
      <c r="F1280" s="16" t="str">
        <f>IFERROR(__xludf.DUMMYFUNCTION("""COMPUTED_VALUE"""),"Toudou Moré")</f>
        <v>Toudou Moré</v>
      </c>
      <c r="G1280" s="16"/>
      <c r="H1280" s="14"/>
      <c r="K1280" s="16">
        <f>IFERROR(__xludf.DUMMYFUNCTION("""COMPUTED_VALUE"""),290.0)</f>
        <v>290</v>
      </c>
      <c r="L1280" s="16"/>
      <c r="M1280" s="14"/>
    </row>
    <row r="1281">
      <c r="A1281" s="16" t="str">
        <f>IFERROR(__xludf.DUMMYFUNCTION("""COMPUTED_VALUE"""),"Maman Zayanou Harouna")</f>
        <v>Maman Zayanou Harouna</v>
      </c>
      <c r="B1281" s="16"/>
      <c r="C1281" s="14"/>
      <c r="F1281" s="16" t="str">
        <f>IFERROR(__xludf.DUMMYFUNCTION("""COMPUTED_VALUE"""),"Toudou Moré")</f>
        <v>Toudou Moré</v>
      </c>
      <c r="G1281" s="16"/>
      <c r="H1281" s="14"/>
      <c r="K1281" s="16">
        <f>IFERROR(__xludf.DUMMYFUNCTION("""COMPUTED_VALUE"""),407.0)</f>
        <v>407</v>
      </c>
      <c r="L1281" s="16"/>
      <c r="M1281" s="14"/>
    </row>
    <row r="1282">
      <c r="A1282" s="16" t="str">
        <f>IFERROR(__xludf.DUMMYFUNCTION("""COMPUTED_VALUE"""),"Kailou Hamidou Rainatou")</f>
        <v>Kailou Hamidou Rainatou</v>
      </c>
      <c r="B1282" s="16"/>
      <c r="C1282" s="14"/>
      <c r="F1282" s="16" t="str">
        <f>IFERROR(__xludf.DUMMYFUNCTION("""COMPUTED_VALUE"""),"Toudou Moré")</f>
        <v>Toudou Moré</v>
      </c>
      <c r="G1282" s="16"/>
      <c r="H1282" s="14"/>
      <c r="K1282" s="16">
        <f>IFERROR(__xludf.DUMMYFUNCTION("""COMPUTED_VALUE"""),300.0)</f>
        <v>300</v>
      </c>
      <c r="L1282" s="16"/>
      <c r="M1282" s="14"/>
    </row>
    <row r="1283">
      <c r="A1283" s="16" t="str">
        <f>IFERROR(__xludf.DUMMYFUNCTION("""COMPUTED_VALUE"""),"Aboubacar Hamadou Manga")</f>
        <v>Aboubacar Hamadou Manga</v>
      </c>
      <c r="B1283" s="16"/>
      <c r="C1283" s="14"/>
      <c r="F1283" s="16" t="str">
        <f>IFERROR(__xludf.DUMMYFUNCTION("""COMPUTED_VALUE"""),"Toudou Moré")</f>
        <v>Toudou Moré</v>
      </c>
      <c r="G1283" s="16"/>
      <c r="H1283" s="14"/>
      <c r="K1283" s="16">
        <f>IFERROR(__xludf.DUMMYFUNCTION("""COMPUTED_VALUE"""),1020.0)</f>
        <v>1020</v>
      </c>
      <c r="L1283" s="16"/>
      <c r="M1283" s="14"/>
    </row>
    <row r="1284">
      <c r="A1284" s="16" t="str">
        <f>IFERROR(__xludf.DUMMYFUNCTION("""COMPUTED_VALUE"""),"Maman Ado Abdourahamane")</f>
        <v>Maman Ado Abdourahamane</v>
      </c>
      <c r="B1284" s="16"/>
      <c r="C1284" s="14"/>
      <c r="F1284" s="16" t="str">
        <f>IFERROR(__xludf.DUMMYFUNCTION("""COMPUTED_VALUE"""),"Toudou Moré")</f>
        <v>Toudou Moré</v>
      </c>
      <c r="G1284" s="16"/>
      <c r="H1284" s="14"/>
      <c r="K1284" s="16">
        <f>IFERROR(__xludf.DUMMYFUNCTION("""COMPUTED_VALUE"""),844.0)</f>
        <v>844</v>
      </c>
      <c r="L1284" s="16"/>
      <c r="M1284" s="14"/>
    </row>
    <row r="1285">
      <c r="A1285" s="16" t="str">
        <f>IFERROR(__xludf.DUMMYFUNCTION("""COMPUTED_VALUE"""),"Maman Ado Abdourahamane")</f>
        <v>Maman Ado Abdourahamane</v>
      </c>
      <c r="B1285" s="16"/>
      <c r="C1285" s="14"/>
      <c r="F1285" s="16" t="str">
        <f>IFERROR(__xludf.DUMMYFUNCTION("""COMPUTED_VALUE"""),"Toudou Moré")</f>
        <v>Toudou Moré</v>
      </c>
      <c r="G1285" s="16"/>
      <c r="H1285" s="14"/>
      <c r="K1285" s="16">
        <f>IFERROR(__xludf.DUMMYFUNCTION("""COMPUTED_VALUE"""),546.0)</f>
        <v>546</v>
      </c>
      <c r="L1285" s="16"/>
      <c r="M1285" s="14"/>
    </row>
    <row r="1286">
      <c r="A1286" s="16" t="str">
        <f>IFERROR(__xludf.DUMMYFUNCTION("""COMPUTED_VALUE"""),"Maman Ado Abdourahamane")</f>
        <v>Maman Ado Abdourahamane</v>
      </c>
      <c r="B1286" s="16"/>
      <c r="C1286" s="14"/>
      <c r="F1286" s="16" t="str">
        <f>IFERROR(__xludf.DUMMYFUNCTION("""COMPUTED_VALUE"""),"Bagueye")</f>
        <v>Bagueye</v>
      </c>
      <c r="G1286" s="16"/>
      <c r="H1286" s="14"/>
      <c r="K1286" s="16">
        <f>IFERROR(__xludf.DUMMYFUNCTION("""COMPUTED_VALUE"""),1024.0)</f>
        <v>1024</v>
      </c>
      <c r="L1286" s="16"/>
      <c r="M1286" s="14"/>
    </row>
    <row r="1287">
      <c r="A1287" s="16" t="str">
        <f>IFERROR(__xludf.DUMMYFUNCTION("""COMPUTED_VALUE"""),"Achirou Malam Dan Maradi Nassirou")</f>
        <v>Achirou Malam Dan Maradi Nassirou</v>
      </c>
      <c r="B1287" s="16"/>
      <c r="C1287" s="14"/>
      <c r="F1287" s="16" t="str">
        <f>IFERROR(__xludf.DUMMYFUNCTION("""COMPUTED_VALUE"""),"Bagueye")</f>
        <v>Bagueye</v>
      </c>
      <c r="G1287" s="16"/>
      <c r="H1287" s="14"/>
      <c r="K1287" s="16">
        <f>IFERROR(__xludf.DUMMYFUNCTION("""COMPUTED_VALUE"""),195.0)</f>
        <v>195</v>
      </c>
      <c r="L1287" s="16"/>
      <c r="M1287" s="14"/>
    </row>
    <row r="1288">
      <c r="A1288" s="16" t="str">
        <f>IFERROR(__xludf.DUMMYFUNCTION("""COMPUTED_VALUE"""),"Achirou Malam Dan Maradi Nassirou")</f>
        <v>Achirou Malam Dan Maradi Nassirou</v>
      </c>
      <c r="B1288" s="16"/>
      <c r="C1288" s="14"/>
      <c r="F1288" s="16" t="str">
        <f>IFERROR(__xludf.DUMMYFUNCTION("""COMPUTED_VALUE"""),"Bagueye")</f>
        <v>Bagueye</v>
      </c>
      <c r="G1288" s="16"/>
      <c r="H1288" s="14"/>
      <c r="K1288" s="16">
        <f>IFERROR(__xludf.DUMMYFUNCTION("""COMPUTED_VALUE"""),504.0)</f>
        <v>504</v>
      </c>
      <c r="L1288" s="16"/>
      <c r="M1288" s="14"/>
    </row>
    <row r="1289">
      <c r="A1289" s="16" t="str">
        <f>IFERROR(__xludf.DUMMYFUNCTION("""COMPUTED_VALUE"""),"Achirou Malam Dan Maradi Nassirou")</f>
        <v>Achirou Malam Dan Maradi Nassirou</v>
      </c>
      <c r="B1289" s="16"/>
      <c r="C1289" s="14"/>
      <c r="F1289" s="16" t="str">
        <f>IFERROR(__xludf.DUMMYFUNCTION("""COMPUTED_VALUE"""),"Toudou Moré")</f>
        <v>Toudou Moré</v>
      </c>
      <c r="G1289" s="16"/>
      <c r="H1289" s="14"/>
      <c r="K1289" s="16">
        <f>IFERROR(__xludf.DUMMYFUNCTION("""COMPUTED_VALUE"""),572.0)</f>
        <v>572</v>
      </c>
      <c r="L1289" s="16"/>
      <c r="M1289" s="14"/>
    </row>
    <row r="1290">
      <c r="A1290" s="16" t="str">
        <f>IFERROR(__xludf.DUMMYFUNCTION("""COMPUTED_VALUE"""),"Maman Ado Abdourahamane")</f>
        <v>Maman Ado Abdourahamane</v>
      </c>
      <c r="B1290" s="16"/>
      <c r="C1290" s="14"/>
      <c r="F1290" s="16" t="str">
        <f>IFERROR(__xludf.DUMMYFUNCTION("""COMPUTED_VALUE"""),"Toudou Moré")</f>
        <v>Toudou Moré</v>
      </c>
      <c r="G1290" s="16"/>
      <c r="H1290" s="14"/>
      <c r="K1290" s="16">
        <f>IFERROR(__xludf.DUMMYFUNCTION("""COMPUTED_VALUE"""),1326.0)</f>
        <v>1326</v>
      </c>
      <c r="L1290" s="16"/>
      <c r="M1290" s="14"/>
    </row>
    <row r="1291">
      <c r="A1291" s="16" t="str">
        <f>IFERROR(__xludf.DUMMYFUNCTION("""COMPUTED_VALUE"""),"Maman Ado Abdourahamane")</f>
        <v>Maman Ado Abdourahamane</v>
      </c>
      <c r="B1291" s="16"/>
      <c r="C1291" s="14"/>
      <c r="F1291" s="16" t="str">
        <f>IFERROR(__xludf.DUMMYFUNCTION("""COMPUTED_VALUE"""),"Toudou Moré")</f>
        <v>Toudou Moré</v>
      </c>
      <c r="G1291" s="16"/>
      <c r="H1291" s="14"/>
      <c r="K1291" s="16">
        <f>IFERROR(__xludf.DUMMYFUNCTION("""COMPUTED_VALUE"""),1362.0)</f>
        <v>1362</v>
      </c>
      <c r="L1291" s="16"/>
      <c r="M1291" s="14"/>
    </row>
    <row r="1292">
      <c r="A1292" s="16" t="str">
        <f>IFERROR(__xludf.DUMMYFUNCTION("""COMPUTED_VALUE"""),"Hamissou Moussa Nana Mariama")</f>
        <v>Hamissou Moussa Nana Mariama</v>
      </c>
      <c r="B1292" s="16"/>
      <c r="C1292" s="14"/>
      <c r="F1292" s="16" t="str">
        <f>IFERROR(__xludf.DUMMYFUNCTION("""COMPUTED_VALUE"""),"Toudou Moré")</f>
        <v>Toudou Moré</v>
      </c>
      <c r="G1292" s="16"/>
      <c r="H1292" s="14"/>
      <c r="K1292" s="16">
        <f>IFERROR(__xludf.DUMMYFUNCTION("""COMPUTED_VALUE"""),948.0)</f>
        <v>948</v>
      </c>
      <c r="L1292" s="16"/>
      <c r="M1292" s="14"/>
    </row>
    <row r="1293">
      <c r="A1293" s="16" t="str">
        <f>IFERROR(__xludf.DUMMYFUNCTION("""COMPUTED_VALUE"""),"Aboubacar Hamadou Manga")</f>
        <v>Aboubacar Hamadou Manga</v>
      </c>
      <c r="B1293" s="16"/>
      <c r="C1293" s="14"/>
      <c r="F1293" s="16" t="str">
        <f>IFERROR(__xludf.DUMMYFUNCTION("""COMPUTED_VALUE"""),"Toudou Moré")</f>
        <v>Toudou Moré</v>
      </c>
      <c r="G1293" s="16"/>
      <c r="H1293" s="14"/>
      <c r="K1293" s="16">
        <f>IFERROR(__xludf.DUMMYFUNCTION("""COMPUTED_VALUE"""),1923.0)</f>
        <v>1923</v>
      </c>
      <c r="L1293" s="16"/>
      <c r="M1293" s="14"/>
    </row>
    <row r="1294">
      <c r="A1294" s="16" t="str">
        <f>IFERROR(__xludf.DUMMYFUNCTION("""COMPUTED_VALUE"""),"Aboubacar Hamadou Manga")</f>
        <v>Aboubacar Hamadou Manga</v>
      </c>
      <c r="B1294" s="16"/>
      <c r="C1294" s="14"/>
      <c r="F1294" s="16" t="str">
        <f>IFERROR(__xludf.DUMMYFUNCTION("""COMPUTED_VALUE"""),"Toudou Moré")</f>
        <v>Toudou Moré</v>
      </c>
      <c r="G1294" s="16"/>
      <c r="H1294" s="14"/>
      <c r="K1294" s="16">
        <f>IFERROR(__xludf.DUMMYFUNCTION("""COMPUTED_VALUE"""),1389.0)</f>
        <v>1389</v>
      </c>
      <c r="L1294" s="16"/>
      <c r="M1294" s="14"/>
    </row>
    <row r="1295">
      <c r="A1295" s="16" t="str">
        <f>IFERROR(__xludf.DUMMYFUNCTION("""COMPUTED_VALUE"""),"Aboubacar Hamadou Manga")</f>
        <v>Aboubacar Hamadou Manga</v>
      </c>
      <c r="B1295" s="16"/>
      <c r="C1295" s="14"/>
      <c r="F1295" s="16" t="str">
        <f>IFERROR(__xludf.DUMMYFUNCTION("""COMPUTED_VALUE"""),"Toudou Moré")</f>
        <v>Toudou Moré</v>
      </c>
      <c r="G1295" s="16"/>
      <c r="H1295" s="14"/>
      <c r="K1295" s="16">
        <f>IFERROR(__xludf.DUMMYFUNCTION("""COMPUTED_VALUE"""),426.0)</f>
        <v>426</v>
      </c>
      <c r="L1295" s="16"/>
      <c r="M1295" s="14"/>
    </row>
    <row r="1296">
      <c r="A1296" s="16" t="str">
        <f>IFERROR(__xludf.DUMMYFUNCTION("""COMPUTED_VALUE"""),"Mohamed Cherif")</f>
        <v>Mohamed Cherif</v>
      </c>
      <c r="B1296" s="16"/>
      <c r="C1296" s="14"/>
      <c r="F1296" s="16" t="str">
        <f>IFERROR(__xludf.DUMMYFUNCTION("""COMPUTED_VALUE"""),"Toudou Moré")</f>
        <v>Toudou Moré</v>
      </c>
      <c r="G1296" s="16"/>
      <c r="H1296" s="14"/>
      <c r="K1296" s="16">
        <f>IFERROR(__xludf.DUMMYFUNCTION("""COMPUTED_VALUE"""),391.0)</f>
        <v>391</v>
      </c>
      <c r="L1296" s="16"/>
      <c r="M1296" s="14"/>
    </row>
    <row r="1297">
      <c r="A1297" s="16" t="str">
        <f>IFERROR(__xludf.DUMMYFUNCTION("""COMPUTED_VALUE"""),"Mohamed Cherif")</f>
        <v>Mohamed Cherif</v>
      </c>
      <c r="B1297" s="16"/>
      <c r="C1297" s="14"/>
      <c r="F1297" s="16" t="str">
        <f>IFERROR(__xludf.DUMMYFUNCTION("""COMPUTED_VALUE"""),"Toudou Moré")</f>
        <v>Toudou Moré</v>
      </c>
      <c r="G1297" s="16"/>
      <c r="H1297" s="14"/>
      <c r="K1297" s="16">
        <f>IFERROR(__xludf.DUMMYFUNCTION("""COMPUTED_VALUE"""),716.0)</f>
        <v>716</v>
      </c>
      <c r="L1297" s="16"/>
      <c r="M1297" s="14"/>
    </row>
    <row r="1298">
      <c r="A1298" s="16" t="str">
        <f>IFERROR(__xludf.DUMMYFUNCTION("""COMPUTED_VALUE"""),"Mohamed Cherif")</f>
        <v>Mohamed Cherif</v>
      </c>
      <c r="B1298" s="16"/>
      <c r="C1298" s="14"/>
      <c r="F1298" s="16" t="str">
        <f>IFERROR(__xludf.DUMMYFUNCTION("""COMPUTED_VALUE"""),"Guidan Bado")</f>
        <v>Guidan Bado</v>
      </c>
      <c r="G1298" s="16"/>
      <c r="H1298" s="14"/>
      <c r="K1298" s="16">
        <f>IFERROR(__xludf.DUMMYFUNCTION("""COMPUTED_VALUE"""),710.0)</f>
        <v>710</v>
      </c>
      <c r="L1298" s="16"/>
      <c r="M1298" s="14"/>
    </row>
    <row r="1299">
      <c r="A1299" s="16" t="str">
        <f>IFERROR(__xludf.DUMMYFUNCTION("""COMPUTED_VALUE"""),"Mohamed Cherif")</f>
        <v>Mohamed Cherif</v>
      </c>
      <c r="B1299" s="16"/>
      <c r="C1299" s="14"/>
      <c r="F1299" s="16" t="str">
        <f>IFERROR(__xludf.DUMMYFUNCTION("""COMPUTED_VALUE"""),"Kaoura goga")</f>
        <v>Kaoura goga</v>
      </c>
      <c r="G1299" s="16"/>
      <c r="H1299" s="14"/>
      <c r="K1299" s="16">
        <f>IFERROR(__xludf.DUMMYFUNCTION("""COMPUTED_VALUE"""),1066.0)</f>
        <v>1066</v>
      </c>
      <c r="L1299" s="16"/>
      <c r="M1299" s="14"/>
    </row>
    <row r="1300">
      <c r="A1300" s="16" t="str">
        <f>IFERROR(__xludf.DUMMYFUNCTION("""COMPUTED_VALUE"""),"Mohamed Cherif")</f>
        <v>Mohamed Cherif</v>
      </c>
      <c r="B1300" s="16"/>
      <c r="C1300" s="14"/>
      <c r="F1300" s="16" t="str">
        <f>IFERROR(__xludf.DUMMYFUNCTION("""COMPUTED_VALUE"""),"Guidan Bado")</f>
        <v>Guidan Bado</v>
      </c>
      <c r="G1300" s="16"/>
      <c r="H1300" s="14"/>
      <c r="K1300" s="16">
        <f>IFERROR(__xludf.DUMMYFUNCTION("""COMPUTED_VALUE"""),1127.0)</f>
        <v>1127</v>
      </c>
      <c r="L1300" s="16"/>
      <c r="M1300" s="14"/>
    </row>
    <row r="1301">
      <c r="A1301" s="16" t="str">
        <f>IFERROR(__xludf.DUMMYFUNCTION("""COMPUTED_VALUE"""),"Adamou Halidou Daouda")</f>
        <v>Adamou Halidou Daouda</v>
      </c>
      <c r="B1301" s="16"/>
      <c r="C1301" s="14"/>
      <c r="F1301" s="16" t="str">
        <f>IFERROR(__xludf.DUMMYFUNCTION("""COMPUTED_VALUE"""),"Guidan Bado")</f>
        <v>Guidan Bado</v>
      </c>
      <c r="G1301" s="16"/>
      <c r="H1301" s="14"/>
      <c r="K1301" s="16">
        <f>IFERROR(__xludf.DUMMYFUNCTION("""COMPUTED_VALUE"""),490.0)</f>
        <v>490</v>
      </c>
      <c r="L1301" s="16"/>
      <c r="M1301" s="14"/>
    </row>
    <row r="1302">
      <c r="A1302" s="16" t="str">
        <f>IFERROR(__xludf.DUMMYFUNCTION("""COMPUTED_VALUE"""),"Adamou Halidou Daouda")</f>
        <v>Adamou Halidou Daouda</v>
      </c>
      <c r="B1302" s="16"/>
      <c r="C1302" s="14"/>
      <c r="F1302" s="16" t="str">
        <f>IFERROR(__xludf.DUMMYFUNCTION("""COMPUTED_VALUE"""),"Guidan Bado")</f>
        <v>Guidan Bado</v>
      </c>
      <c r="G1302" s="16"/>
      <c r="H1302" s="14"/>
      <c r="K1302" s="16">
        <f>IFERROR(__xludf.DUMMYFUNCTION("""COMPUTED_VALUE"""),786.0)</f>
        <v>786</v>
      </c>
      <c r="L1302" s="16"/>
      <c r="M1302" s="14"/>
    </row>
    <row r="1303">
      <c r="A1303" s="16" t="str">
        <f>IFERROR(__xludf.DUMMYFUNCTION("""COMPUTED_VALUE"""),"Adamou Halidou Daouda")</f>
        <v>Adamou Halidou Daouda</v>
      </c>
      <c r="B1303" s="16"/>
      <c r="C1303" s="14"/>
      <c r="F1303" s="16" t="str">
        <f>IFERROR(__xludf.DUMMYFUNCTION("""COMPUTED_VALUE"""),"Guidan Bado")</f>
        <v>Guidan Bado</v>
      </c>
      <c r="G1303" s="16"/>
      <c r="H1303" s="14"/>
      <c r="K1303" s="16">
        <f>IFERROR(__xludf.DUMMYFUNCTION("""COMPUTED_VALUE"""),346.0)</f>
        <v>346</v>
      </c>
      <c r="L1303" s="16"/>
      <c r="M1303" s="14"/>
    </row>
    <row r="1304">
      <c r="A1304" s="16" t="str">
        <f>IFERROR(__xludf.DUMMYFUNCTION("""COMPUTED_VALUE"""),"Achirou Malam Dan Maradi Nassirou")</f>
        <v>Achirou Malam Dan Maradi Nassirou</v>
      </c>
      <c r="B1304" s="16"/>
      <c r="C1304" s="14"/>
      <c r="F1304" s="16" t="str">
        <f>IFERROR(__xludf.DUMMYFUNCTION("""COMPUTED_VALUE"""),"Guidan Bado")</f>
        <v>Guidan Bado</v>
      </c>
      <c r="G1304" s="16"/>
      <c r="H1304" s="14"/>
      <c r="K1304" s="16">
        <f>IFERROR(__xludf.DUMMYFUNCTION("""COMPUTED_VALUE"""),446.0)</f>
        <v>446</v>
      </c>
      <c r="L1304" s="16"/>
      <c r="M1304" s="14"/>
    </row>
    <row r="1305">
      <c r="A1305" s="16" t="str">
        <f>IFERROR(__xludf.DUMMYFUNCTION("""COMPUTED_VALUE"""),"Achirou Malam Dan Maradi Nassirou")</f>
        <v>Achirou Malam Dan Maradi Nassirou</v>
      </c>
      <c r="B1305" s="16"/>
      <c r="C1305" s="14"/>
      <c r="F1305" s="16" t="str">
        <f>IFERROR(__xludf.DUMMYFUNCTION("""COMPUTED_VALUE"""),"Guidan Bado")</f>
        <v>Guidan Bado</v>
      </c>
      <c r="G1305" s="16"/>
      <c r="H1305" s="14"/>
      <c r="K1305" s="16">
        <f>IFERROR(__xludf.DUMMYFUNCTION("""COMPUTED_VALUE"""),432.0)</f>
        <v>432</v>
      </c>
      <c r="L1305" s="16"/>
      <c r="M1305" s="14"/>
    </row>
    <row r="1306">
      <c r="A1306" s="16" t="str">
        <f>IFERROR(__xludf.DUMMYFUNCTION("""COMPUTED_VALUE"""),"Achirou Malam Dan Maradi Nassirou")</f>
        <v>Achirou Malam Dan Maradi Nassirou</v>
      </c>
      <c r="B1306" s="16"/>
      <c r="C1306" s="14"/>
      <c r="F1306" s="16" t="str">
        <f>IFERROR(__xludf.DUMMYFUNCTION("""COMPUTED_VALUE"""),"Guidan Bado")</f>
        <v>Guidan Bado</v>
      </c>
      <c r="G1306" s="16"/>
      <c r="H1306" s="14"/>
      <c r="K1306" s="16">
        <f>IFERROR(__xludf.DUMMYFUNCTION("""COMPUTED_VALUE"""),1633.0)</f>
        <v>1633</v>
      </c>
      <c r="L1306" s="16"/>
      <c r="M1306" s="14"/>
    </row>
    <row r="1307">
      <c r="A1307" s="16" t="str">
        <f>IFERROR(__xludf.DUMMYFUNCTION("""COMPUTED_VALUE"""),"Mohamadou Amadou")</f>
        <v>Mohamadou Amadou</v>
      </c>
      <c r="B1307" s="16"/>
      <c r="C1307" s="14"/>
      <c r="F1307" s="16" t="str">
        <f>IFERROR(__xludf.DUMMYFUNCTION("""COMPUTED_VALUE"""),"Guidan Bado")</f>
        <v>Guidan Bado</v>
      </c>
      <c r="G1307" s="16"/>
      <c r="H1307" s="14"/>
      <c r="K1307" s="16">
        <f>IFERROR(__xludf.DUMMYFUNCTION("""COMPUTED_VALUE"""),370.0)</f>
        <v>370</v>
      </c>
      <c r="L1307" s="16"/>
      <c r="M1307" s="14"/>
    </row>
    <row r="1308">
      <c r="A1308" s="16" t="str">
        <f>IFERROR(__xludf.DUMMYFUNCTION("""COMPUTED_VALUE"""),"Mohamadou Amadou")</f>
        <v>Mohamadou Amadou</v>
      </c>
      <c r="B1308" s="16"/>
      <c r="C1308" s="14"/>
      <c r="F1308" s="16" t="str">
        <f>IFERROR(__xludf.DUMMYFUNCTION("""COMPUTED_VALUE"""),"Guidan Bado")</f>
        <v>Guidan Bado</v>
      </c>
      <c r="G1308" s="16"/>
      <c r="H1308" s="14"/>
      <c r="K1308" s="16">
        <f>IFERROR(__xludf.DUMMYFUNCTION("""COMPUTED_VALUE"""),314.0)</f>
        <v>314</v>
      </c>
      <c r="L1308" s="16"/>
      <c r="M1308" s="14"/>
    </row>
    <row r="1309">
      <c r="A1309" s="16" t="str">
        <f>IFERROR(__xludf.DUMMYFUNCTION("""COMPUTED_VALUE"""),"Mohamadou Amadou")</f>
        <v>Mohamadou Amadou</v>
      </c>
      <c r="B1309" s="16"/>
      <c r="C1309" s="14"/>
      <c r="F1309" s="16" t="str">
        <f>IFERROR(__xludf.DUMMYFUNCTION("""COMPUTED_VALUE"""),"Guidan Bado")</f>
        <v>Guidan Bado</v>
      </c>
      <c r="G1309" s="16"/>
      <c r="H1309" s="14"/>
      <c r="K1309" s="16">
        <f>IFERROR(__xludf.DUMMYFUNCTION("""COMPUTED_VALUE"""),493.0)</f>
        <v>493</v>
      </c>
      <c r="L1309" s="16"/>
      <c r="M1309" s="14"/>
    </row>
    <row r="1310">
      <c r="A1310" s="16" t="str">
        <f>IFERROR(__xludf.DUMMYFUNCTION("""COMPUTED_VALUE"""),"Mohamadou Amadou")</f>
        <v>Mohamadou Amadou</v>
      </c>
      <c r="B1310" s="16"/>
      <c r="C1310" s="14"/>
      <c r="F1310" s="16" t="str">
        <f>IFERROR(__xludf.DUMMYFUNCTION("""COMPUTED_VALUE"""),"Guidan Bado")</f>
        <v>Guidan Bado</v>
      </c>
      <c r="G1310" s="16"/>
      <c r="H1310" s="14"/>
      <c r="K1310" s="16">
        <f>IFERROR(__xludf.DUMMYFUNCTION("""COMPUTED_VALUE"""),1633.0)</f>
        <v>1633</v>
      </c>
      <c r="L1310" s="16"/>
      <c r="M1310" s="14"/>
    </row>
    <row r="1311">
      <c r="A1311" s="16" t="str">
        <f>IFERROR(__xludf.DUMMYFUNCTION("""COMPUTED_VALUE"""),"Mathieu Alphonse Rachida Juliette")</f>
        <v>Mathieu Alphonse Rachida Juliette</v>
      </c>
      <c r="B1311" s="16"/>
      <c r="C1311" s="14"/>
      <c r="F1311" s="16" t="str">
        <f>IFERROR(__xludf.DUMMYFUNCTION("""COMPUTED_VALUE"""),"Hiro")</f>
        <v>Hiro</v>
      </c>
      <c r="G1311" s="16"/>
      <c r="H1311" s="14"/>
      <c r="K1311" s="16">
        <f>IFERROR(__xludf.DUMMYFUNCTION("""COMPUTED_VALUE"""),1479.0)</f>
        <v>1479</v>
      </c>
      <c r="L1311" s="16"/>
      <c r="M1311" s="14"/>
    </row>
    <row r="1312">
      <c r="A1312" s="16" t="str">
        <f>IFERROR(__xludf.DUMMYFUNCTION("""COMPUTED_VALUE"""),"Mathieu Alphonse Rachida Juliette")</f>
        <v>Mathieu Alphonse Rachida Juliette</v>
      </c>
      <c r="B1312" s="16"/>
      <c r="C1312" s="14"/>
      <c r="F1312" s="16" t="str">
        <f>IFERROR(__xludf.DUMMYFUNCTION("""COMPUTED_VALUE"""),"Hiro")</f>
        <v>Hiro</v>
      </c>
      <c r="G1312" s="16"/>
      <c r="H1312" s="14"/>
      <c r="K1312" s="16">
        <f>IFERROR(__xludf.DUMMYFUNCTION("""COMPUTED_VALUE"""),1422.0)</f>
        <v>1422</v>
      </c>
      <c r="L1312" s="16"/>
      <c r="M1312" s="14"/>
    </row>
    <row r="1313">
      <c r="A1313" s="16" t="str">
        <f>IFERROR(__xludf.DUMMYFUNCTION("""COMPUTED_VALUE"""),"Moumouni Adamou Yahaya")</f>
        <v>Moumouni Adamou Yahaya</v>
      </c>
      <c r="B1313" s="16"/>
      <c r="C1313" s="14"/>
      <c r="F1313" s="16" t="str">
        <f>IFERROR(__xludf.DUMMYFUNCTION("""COMPUTED_VALUE"""),"Sabon Sara")</f>
        <v>Sabon Sara</v>
      </c>
      <c r="G1313" s="16"/>
      <c r="H1313" s="14"/>
      <c r="K1313" s="16">
        <f>IFERROR(__xludf.DUMMYFUNCTION("""COMPUTED_VALUE"""),1636.0)</f>
        <v>1636</v>
      </c>
      <c r="L1313" s="16"/>
      <c r="M1313" s="14"/>
    </row>
    <row r="1314">
      <c r="A1314" s="16" t="str">
        <f>IFERROR(__xludf.DUMMYFUNCTION("""COMPUTED_VALUE"""),"Moumouni Adamou Yahaya")</f>
        <v>Moumouni Adamou Yahaya</v>
      </c>
      <c r="B1314" s="16"/>
      <c r="C1314" s="14"/>
      <c r="F1314" s="16" t="str">
        <f>IFERROR(__xludf.DUMMYFUNCTION("""COMPUTED_VALUE"""),"Sabon Sara")</f>
        <v>Sabon Sara</v>
      </c>
      <c r="G1314" s="16"/>
      <c r="H1314" s="14"/>
      <c r="K1314" s="16">
        <f>IFERROR(__xludf.DUMMYFUNCTION("""COMPUTED_VALUE"""),1150.0)</f>
        <v>1150</v>
      </c>
      <c r="L1314" s="16"/>
      <c r="M1314" s="14"/>
    </row>
    <row r="1315">
      <c r="A1315" s="16" t="str">
        <f>IFERROR(__xludf.DUMMYFUNCTION("""COMPUTED_VALUE"""),"Moumouni Adamou Yahaya")</f>
        <v>Moumouni Adamou Yahaya</v>
      </c>
      <c r="B1315" s="16"/>
      <c r="C1315" s="14"/>
      <c r="F1315" s="16" t="str">
        <f>IFERROR(__xludf.DUMMYFUNCTION("""COMPUTED_VALUE"""),"Sabon Sara")</f>
        <v>Sabon Sara</v>
      </c>
      <c r="G1315" s="16"/>
      <c r="H1315" s="14"/>
      <c r="K1315" s="16">
        <f>IFERROR(__xludf.DUMMYFUNCTION("""COMPUTED_VALUE"""),632.0)</f>
        <v>632</v>
      </c>
      <c r="L1315" s="16"/>
      <c r="M1315" s="14"/>
    </row>
    <row r="1316">
      <c r="A1316" s="16" t="str">
        <f>IFERROR(__xludf.DUMMYFUNCTION("""COMPUTED_VALUE"""),"Kaltoume Kimba")</f>
        <v>Kaltoume Kimba</v>
      </c>
      <c r="B1316" s="16"/>
      <c r="C1316" s="14"/>
      <c r="F1316" s="16" t="str">
        <f>IFERROR(__xludf.DUMMYFUNCTION("""COMPUTED_VALUE"""),"Hiro")</f>
        <v>Hiro</v>
      </c>
      <c r="G1316" s="16"/>
      <c r="H1316" s="14"/>
      <c r="K1316" s="16">
        <f>IFERROR(__xludf.DUMMYFUNCTION("""COMPUTED_VALUE"""),833.0)</f>
        <v>833</v>
      </c>
      <c r="L1316" s="16"/>
      <c r="M1316" s="14"/>
    </row>
    <row r="1317">
      <c r="A1317" s="16" t="str">
        <f>IFERROR(__xludf.DUMMYFUNCTION("""COMPUTED_VALUE"""),"Kaltoume Kimba")</f>
        <v>Kaltoume Kimba</v>
      </c>
      <c r="B1317" s="16"/>
      <c r="C1317" s="14"/>
      <c r="F1317" s="16" t="str">
        <f>IFERROR(__xludf.DUMMYFUNCTION("""COMPUTED_VALUE"""),"Samo II")</f>
        <v>Samo II</v>
      </c>
      <c r="G1317" s="16"/>
      <c r="H1317" s="14"/>
      <c r="K1317" s="16">
        <f>IFERROR(__xludf.DUMMYFUNCTION("""COMPUTED_VALUE"""),909.0)</f>
        <v>909</v>
      </c>
      <c r="L1317" s="16"/>
      <c r="M1317" s="14"/>
    </row>
    <row r="1318">
      <c r="A1318" s="16" t="str">
        <f>IFERROR(__xludf.DUMMYFUNCTION("""COMPUTED_VALUE"""),"Kaltoume Kimba")</f>
        <v>Kaltoume Kimba</v>
      </c>
      <c r="B1318" s="16"/>
      <c r="C1318" s="14"/>
      <c r="F1318" s="16" t="str">
        <f>IFERROR(__xludf.DUMMYFUNCTION("""COMPUTED_VALUE"""),"Samo II")</f>
        <v>Samo II</v>
      </c>
      <c r="G1318" s="16"/>
      <c r="H1318" s="14"/>
      <c r="K1318" s="16">
        <f>IFERROR(__xludf.DUMMYFUNCTION("""COMPUTED_VALUE"""),876.0)</f>
        <v>876</v>
      </c>
      <c r="L1318" s="16"/>
      <c r="M1318" s="14"/>
    </row>
    <row r="1319">
      <c r="A1319" s="16" t="str">
        <f>IFERROR(__xludf.DUMMYFUNCTION("""COMPUTED_VALUE"""),"Amadou Tidjani Ousmane")</f>
        <v>Amadou Tidjani Ousmane</v>
      </c>
      <c r="B1319" s="16"/>
      <c r="C1319" s="14"/>
      <c r="F1319" s="16" t="str">
        <f>IFERROR(__xludf.DUMMYFUNCTION("""COMPUTED_VALUE"""),"Samo II")</f>
        <v>Samo II</v>
      </c>
      <c r="G1319" s="16"/>
      <c r="H1319" s="14"/>
      <c r="K1319" s="16">
        <f>IFERROR(__xludf.DUMMYFUNCTION("""COMPUTED_VALUE"""),428.0)</f>
        <v>428</v>
      </c>
      <c r="L1319" s="16"/>
      <c r="M1319" s="14"/>
    </row>
    <row r="1320">
      <c r="A1320" s="16" t="str">
        <f>IFERROR(__xludf.DUMMYFUNCTION("""COMPUTED_VALUE"""),"Amadou Tidjani Ousmane")</f>
        <v>Amadou Tidjani Ousmane</v>
      </c>
      <c r="B1320" s="16"/>
      <c r="C1320" s="14"/>
      <c r="F1320" s="16" t="str">
        <f>IFERROR(__xludf.DUMMYFUNCTION("""COMPUTED_VALUE"""),"Samo II")</f>
        <v>Samo II</v>
      </c>
      <c r="G1320" s="16"/>
      <c r="H1320" s="14"/>
      <c r="K1320" s="16">
        <f>IFERROR(__xludf.DUMMYFUNCTION("""COMPUTED_VALUE"""),389.0)</f>
        <v>389</v>
      </c>
      <c r="L1320" s="16"/>
      <c r="M1320" s="14"/>
    </row>
    <row r="1321">
      <c r="A1321" s="16" t="str">
        <f>IFERROR(__xludf.DUMMYFUNCTION("""COMPUTED_VALUE"""),"Amadou Tidjani Ousmane")</f>
        <v>Amadou Tidjani Ousmane</v>
      </c>
      <c r="B1321" s="16"/>
      <c r="C1321" s="14"/>
      <c r="F1321" s="16" t="str">
        <f>IFERROR(__xludf.DUMMYFUNCTION("""COMPUTED_VALUE"""),"Samo II")</f>
        <v>Samo II</v>
      </c>
      <c r="G1321" s="16"/>
      <c r="H1321" s="14"/>
      <c r="K1321" s="16">
        <f>IFERROR(__xludf.DUMMYFUNCTION("""COMPUTED_VALUE"""),1849.0)</f>
        <v>1849</v>
      </c>
      <c r="L1321" s="16"/>
      <c r="M1321" s="14"/>
    </row>
    <row r="1322">
      <c r="A1322" s="16" t="str">
        <f>IFERROR(__xludf.DUMMYFUNCTION("""COMPUTED_VALUE"""),"Amadou Tidjani Ousmane")</f>
        <v>Amadou Tidjani Ousmane</v>
      </c>
      <c r="B1322" s="16"/>
      <c r="C1322" s="14"/>
      <c r="F1322" s="16" t="str">
        <f>IFERROR(__xludf.DUMMYFUNCTION("""COMPUTED_VALUE"""),"Samo II")</f>
        <v>Samo II</v>
      </c>
      <c r="G1322" s="16"/>
      <c r="H1322" s="14"/>
      <c r="K1322" s="16">
        <f>IFERROR(__xludf.DUMMYFUNCTION("""COMPUTED_VALUE"""),1389.0)</f>
        <v>1389</v>
      </c>
      <c r="L1322" s="16"/>
      <c r="M1322" s="14"/>
    </row>
    <row r="1323">
      <c r="A1323" s="16" t="str">
        <f>IFERROR(__xludf.DUMMYFUNCTION("""COMPUTED_VALUE"""),"Amadou Tidjani Ousmane")</f>
        <v>Amadou Tidjani Ousmane</v>
      </c>
      <c r="B1323" s="16"/>
      <c r="C1323" s="14"/>
      <c r="F1323" s="16" t="str">
        <f>IFERROR(__xludf.DUMMYFUNCTION("""COMPUTED_VALUE"""),"Samo II")</f>
        <v>Samo II</v>
      </c>
      <c r="G1323" s="16"/>
      <c r="H1323" s="14"/>
      <c r="K1323" s="16">
        <f>IFERROR(__xludf.DUMMYFUNCTION("""COMPUTED_VALUE"""),312.0)</f>
        <v>312</v>
      </c>
      <c r="L1323" s="16"/>
      <c r="M1323" s="14"/>
    </row>
    <row r="1324">
      <c r="A1324" s="16" t="str">
        <f>IFERROR(__xludf.DUMMYFUNCTION("""COMPUTED_VALUE"""),"Zakari Aboubacar")</f>
        <v>Zakari Aboubacar</v>
      </c>
      <c r="B1324" s="16"/>
      <c r="C1324" s="14"/>
      <c r="F1324" s="16" t="str">
        <f>IFERROR(__xludf.DUMMYFUNCTION("""COMPUTED_VALUE"""),"Samo II")</f>
        <v>Samo II</v>
      </c>
      <c r="G1324" s="16"/>
      <c r="H1324" s="14"/>
      <c r="K1324" s="16">
        <f>IFERROR(__xludf.DUMMYFUNCTION("""COMPUTED_VALUE"""),363.0)</f>
        <v>363</v>
      </c>
      <c r="L1324" s="16"/>
      <c r="M1324" s="14"/>
    </row>
    <row r="1325">
      <c r="A1325" s="16" t="str">
        <f>IFERROR(__xludf.DUMMYFUNCTION("""COMPUTED_VALUE"""),"Zakari Aboubacar")</f>
        <v>Zakari Aboubacar</v>
      </c>
      <c r="B1325" s="16"/>
      <c r="C1325" s="14"/>
      <c r="F1325" s="16" t="str">
        <f>IFERROR(__xludf.DUMMYFUNCTION("""COMPUTED_VALUE"""),"Samo II")</f>
        <v>Samo II</v>
      </c>
      <c r="G1325" s="16"/>
      <c r="H1325" s="14"/>
      <c r="K1325" s="16">
        <f>IFERROR(__xludf.DUMMYFUNCTION("""COMPUTED_VALUE"""),349.0)</f>
        <v>349</v>
      </c>
      <c r="L1325" s="16"/>
      <c r="M1325" s="14"/>
    </row>
    <row r="1326">
      <c r="A1326" s="16" t="str">
        <f>IFERROR(__xludf.DUMMYFUNCTION("""COMPUTED_VALUE"""),"Zakari Aboubacar")</f>
        <v>Zakari Aboubacar</v>
      </c>
      <c r="B1326" s="16"/>
      <c r="C1326" s="14"/>
      <c r="F1326" s="16" t="str">
        <f>IFERROR(__xludf.DUMMYFUNCTION("""COMPUTED_VALUE"""),"Samo II")</f>
        <v>Samo II</v>
      </c>
      <c r="G1326" s="16"/>
      <c r="H1326" s="14"/>
      <c r="K1326" s="16">
        <f>IFERROR(__xludf.DUMMYFUNCTION("""COMPUTED_VALUE"""),1618.0)</f>
        <v>1618</v>
      </c>
      <c r="L1326" s="16"/>
      <c r="M1326" s="14"/>
    </row>
    <row r="1327">
      <c r="A1327" s="16" t="str">
        <f>IFERROR(__xludf.DUMMYFUNCTION("""COMPUTED_VALUE"""),"Zakari Aboubacar")</f>
        <v>Zakari Aboubacar</v>
      </c>
      <c r="B1327" s="16"/>
      <c r="C1327" s="14"/>
      <c r="F1327" s="16" t="str">
        <f>IFERROR(__xludf.DUMMYFUNCTION("""COMPUTED_VALUE"""),"Toudou Moré")</f>
        <v>Toudou Moré</v>
      </c>
      <c r="G1327" s="16"/>
      <c r="H1327" s="14"/>
      <c r="K1327" s="16">
        <f>IFERROR(__xludf.DUMMYFUNCTION("""COMPUTED_VALUE"""),420.0)</f>
        <v>420</v>
      </c>
      <c r="L1327" s="16"/>
      <c r="M1327" s="14"/>
    </row>
    <row r="1328">
      <c r="A1328" s="16" t="str">
        <f>IFERROR(__xludf.DUMMYFUNCTION("""COMPUTED_VALUE"""),"Zakari Aboubacar")</f>
        <v>Zakari Aboubacar</v>
      </c>
      <c r="B1328" s="16"/>
      <c r="C1328" s="14"/>
      <c r="F1328" s="16" t="str">
        <f>IFERROR(__xludf.DUMMYFUNCTION("""COMPUTED_VALUE"""),"Bagueye")</f>
        <v>Bagueye</v>
      </c>
      <c r="G1328" s="16"/>
      <c r="H1328" s="14"/>
      <c r="K1328" s="16">
        <f>IFERROR(__xludf.DUMMYFUNCTION("""COMPUTED_VALUE"""),526.0)</f>
        <v>526</v>
      </c>
      <c r="L1328" s="16"/>
      <c r="M1328" s="14"/>
    </row>
    <row r="1329">
      <c r="A1329" s="16" t="str">
        <f>IFERROR(__xludf.DUMMYFUNCTION("""COMPUTED_VALUE"""),"Zakari Aboubacar")</f>
        <v>Zakari Aboubacar</v>
      </c>
      <c r="B1329" s="16"/>
      <c r="C1329" s="14"/>
      <c r="F1329" s="16" t="str">
        <f>IFERROR(__xludf.DUMMYFUNCTION("""COMPUTED_VALUE"""),"Bagueye")</f>
        <v>Bagueye</v>
      </c>
      <c r="G1329" s="16"/>
      <c r="H1329" s="14"/>
      <c r="K1329" s="16">
        <f>IFERROR(__xludf.DUMMYFUNCTION("""COMPUTED_VALUE"""),597.0)</f>
        <v>597</v>
      </c>
      <c r="L1329" s="16"/>
      <c r="M1329" s="14"/>
    </row>
    <row r="1330">
      <c r="A1330" s="16" t="str">
        <f>IFERROR(__xludf.DUMMYFUNCTION("""COMPUTED_VALUE"""),"Zakari Aboubacar")</f>
        <v>Zakari Aboubacar</v>
      </c>
      <c r="B1330" s="16"/>
      <c r="C1330" s="14"/>
      <c r="F1330" s="16" t="str">
        <f>IFERROR(__xludf.DUMMYFUNCTION("""COMPUTED_VALUE"""),"Bagueye")</f>
        <v>Bagueye</v>
      </c>
      <c r="G1330" s="16"/>
      <c r="H1330" s="14"/>
      <c r="K1330" s="16">
        <f>IFERROR(__xludf.DUMMYFUNCTION("""COMPUTED_VALUE"""),2577.0)</f>
        <v>2577</v>
      </c>
      <c r="L1330" s="16"/>
      <c r="M1330" s="14"/>
    </row>
    <row r="1331">
      <c r="A1331" s="16" t="str">
        <f>IFERROR(__xludf.DUMMYFUNCTION("""COMPUTED_VALUE"""),"Zakari Aboubacar")</f>
        <v>Zakari Aboubacar</v>
      </c>
      <c r="B1331" s="16"/>
      <c r="C1331" s="14"/>
      <c r="F1331" s="16" t="str">
        <f>IFERROR(__xludf.DUMMYFUNCTION("""COMPUTED_VALUE"""),"Bagueye")</f>
        <v>Bagueye</v>
      </c>
      <c r="G1331" s="16"/>
      <c r="H1331" s="14"/>
      <c r="K1331" s="16">
        <f>IFERROR(__xludf.DUMMYFUNCTION("""COMPUTED_VALUE"""),1235.0)</f>
        <v>1235</v>
      </c>
      <c r="L1331" s="16"/>
      <c r="M1331" s="14"/>
    </row>
    <row r="1332">
      <c r="A1332" s="16" t="str">
        <f>IFERROR(__xludf.DUMMYFUNCTION("""COMPUTED_VALUE"""),"Zakari Aboubacar")</f>
        <v>Zakari Aboubacar</v>
      </c>
      <c r="B1332" s="16"/>
      <c r="C1332" s="14"/>
      <c r="F1332" s="16" t="str">
        <f>IFERROR(__xludf.DUMMYFUNCTION("""COMPUTED_VALUE"""),"Galmaoua")</f>
        <v>Galmaoua</v>
      </c>
      <c r="G1332" s="16"/>
      <c r="H1332" s="14"/>
      <c r="K1332" s="16">
        <f>IFERROR(__xludf.DUMMYFUNCTION("""COMPUTED_VALUE"""),1373.0)</f>
        <v>1373</v>
      </c>
      <c r="L1332" s="16"/>
      <c r="M1332" s="14"/>
    </row>
    <row r="1333">
      <c r="A1333" s="16" t="str">
        <f>IFERROR(__xludf.DUMMYFUNCTION("""COMPUTED_VALUE"""),"Zakari Aboubacar")</f>
        <v>Zakari Aboubacar</v>
      </c>
      <c r="B1333" s="16"/>
      <c r="C1333" s="14"/>
      <c r="F1333" s="16" t="str">
        <f>IFERROR(__xludf.DUMMYFUNCTION("""COMPUTED_VALUE"""),"Galmaoua")</f>
        <v>Galmaoua</v>
      </c>
      <c r="G1333" s="16"/>
      <c r="H1333" s="14"/>
      <c r="K1333" s="16">
        <f>IFERROR(__xludf.DUMMYFUNCTION("""COMPUTED_VALUE"""),1817.0)</f>
        <v>1817</v>
      </c>
      <c r="L1333" s="16"/>
      <c r="M1333" s="14"/>
    </row>
    <row r="1334">
      <c r="A1334" s="16" t="str">
        <f>IFERROR(__xludf.DUMMYFUNCTION("""COMPUTED_VALUE"""),"Zakari Aboubacar")</f>
        <v>Zakari Aboubacar</v>
      </c>
      <c r="B1334" s="16"/>
      <c r="C1334" s="14"/>
      <c r="F1334" s="16" t="str">
        <f>IFERROR(__xludf.DUMMYFUNCTION("""COMPUTED_VALUE"""),"Galmaoua")</f>
        <v>Galmaoua</v>
      </c>
      <c r="G1334" s="16"/>
      <c r="H1334" s="14"/>
      <c r="K1334" s="16">
        <f>IFERROR(__xludf.DUMMYFUNCTION("""COMPUTED_VALUE"""),1245.0)</f>
        <v>1245</v>
      </c>
      <c r="L1334" s="16"/>
      <c r="M1334" s="14"/>
    </row>
    <row r="1335">
      <c r="A1335" s="16" t="str">
        <f>IFERROR(__xludf.DUMMYFUNCTION("""COMPUTED_VALUE"""),"Zakari Aboubacar")</f>
        <v>Zakari Aboubacar</v>
      </c>
      <c r="B1335" s="16"/>
      <c r="C1335" s="14"/>
      <c r="F1335" s="16" t="str">
        <f>IFERROR(__xludf.DUMMYFUNCTION("""COMPUTED_VALUE"""),"Bilbis I")</f>
        <v>Bilbis I</v>
      </c>
      <c r="G1335" s="16"/>
      <c r="H1335" s="14"/>
      <c r="K1335" s="16">
        <f>IFERROR(__xludf.DUMMYFUNCTION("""COMPUTED_VALUE"""),1476.0)</f>
        <v>1476</v>
      </c>
      <c r="L1335" s="16"/>
      <c r="M1335" s="14"/>
    </row>
    <row r="1336">
      <c r="A1336" s="16" t="str">
        <f>IFERROR(__xludf.DUMMYFUNCTION("""COMPUTED_VALUE"""),"Halimatou Adamou Marafa")</f>
        <v>Halimatou Adamou Marafa</v>
      </c>
      <c r="B1336" s="16"/>
      <c r="C1336" s="14"/>
      <c r="F1336" s="16" t="str">
        <f>IFERROR(__xludf.DUMMYFUNCTION("""COMPUTED_VALUE"""),"Bilbis I")</f>
        <v>Bilbis I</v>
      </c>
      <c r="G1336" s="16"/>
      <c r="H1336" s="14"/>
      <c r="K1336" s="16">
        <f>IFERROR(__xludf.DUMMYFUNCTION("""COMPUTED_VALUE"""),810.0)</f>
        <v>810</v>
      </c>
      <c r="L1336" s="16"/>
      <c r="M1336" s="14"/>
    </row>
    <row r="1337">
      <c r="A1337" s="16" t="str">
        <f>IFERROR(__xludf.DUMMYFUNCTION("""COMPUTED_VALUE"""),"Moussa Ide Ibrahim")</f>
        <v>Moussa Ide Ibrahim</v>
      </c>
      <c r="B1337" s="16"/>
      <c r="C1337" s="14"/>
      <c r="F1337" s="16" t="str">
        <f>IFERROR(__xludf.DUMMYFUNCTION("""COMPUTED_VALUE"""),"Bilbis I")</f>
        <v>Bilbis I</v>
      </c>
      <c r="G1337" s="16"/>
      <c r="H1337" s="14"/>
      <c r="K1337" s="16">
        <f>IFERROR(__xludf.DUMMYFUNCTION("""COMPUTED_VALUE"""),1234.0)</f>
        <v>1234</v>
      </c>
      <c r="L1337" s="16"/>
      <c r="M1337" s="14"/>
    </row>
    <row r="1338">
      <c r="A1338" s="16" t="str">
        <f>IFERROR(__xludf.DUMMYFUNCTION("""COMPUTED_VALUE"""),"Moussa Ide Ibrahim")</f>
        <v>Moussa Ide Ibrahim</v>
      </c>
      <c r="B1338" s="16"/>
      <c r="C1338" s="14"/>
      <c r="F1338" s="16" t="str">
        <f>IFERROR(__xludf.DUMMYFUNCTION("""COMPUTED_VALUE"""),"Bilbis I")</f>
        <v>Bilbis I</v>
      </c>
      <c r="G1338" s="16"/>
      <c r="H1338" s="14"/>
      <c r="K1338" s="16">
        <f>IFERROR(__xludf.DUMMYFUNCTION("""COMPUTED_VALUE"""),896.0)</f>
        <v>896</v>
      </c>
      <c r="L1338" s="16"/>
      <c r="M1338" s="14"/>
    </row>
    <row r="1339">
      <c r="A1339" s="16" t="str">
        <f>IFERROR(__xludf.DUMMYFUNCTION("""COMPUTED_VALUE"""),"Moussa Ide Ibrahim")</f>
        <v>Moussa Ide Ibrahim</v>
      </c>
      <c r="B1339" s="16"/>
      <c r="C1339" s="14"/>
      <c r="F1339" s="16" t="str">
        <f>IFERROR(__xludf.DUMMYFUNCTION("""COMPUTED_VALUE"""),"Kaoura goga")</f>
        <v>Kaoura goga</v>
      </c>
      <c r="G1339" s="16"/>
      <c r="H1339" s="14"/>
      <c r="K1339" s="16">
        <f>IFERROR(__xludf.DUMMYFUNCTION("""COMPUTED_VALUE"""),705.0)</f>
        <v>705</v>
      </c>
      <c r="L1339" s="16"/>
      <c r="M1339" s="14"/>
    </row>
    <row r="1340">
      <c r="A1340" s="16" t="str">
        <f>IFERROR(__xludf.DUMMYFUNCTION("""COMPUTED_VALUE"""),"Moussa Ide Ibrahim")</f>
        <v>Moussa Ide Ibrahim</v>
      </c>
      <c r="B1340" s="16"/>
      <c r="C1340" s="14"/>
      <c r="F1340" s="16" t="str">
        <f>IFERROR(__xludf.DUMMYFUNCTION("""COMPUTED_VALUE"""),"Kaoura goga")</f>
        <v>Kaoura goga</v>
      </c>
      <c r="G1340" s="16"/>
      <c r="H1340" s="14"/>
      <c r="K1340" s="16">
        <f>IFERROR(__xludf.DUMMYFUNCTION("""COMPUTED_VALUE"""),789.0)</f>
        <v>789</v>
      </c>
      <c r="L1340" s="16"/>
      <c r="M1340" s="14"/>
    </row>
    <row r="1341">
      <c r="A1341" s="16" t="str">
        <f>IFERROR(__xludf.DUMMYFUNCTION("""COMPUTED_VALUE"""),"Kimba Issa Mamoudou")</f>
        <v>Kimba Issa Mamoudou</v>
      </c>
      <c r="B1341" s="16"/>
      <c r="C1341" s="14"/>
      <c r="F1341" s="16" t="str">
        <f>IFERROR(__xludf.DUMMYFUNCTION("""COMPUTED_VALUE"""),"Kaoura goga")</f>
        <v>Kaoura goga</v>
      </c>
      <c r="G1341" s="16"/>
      <c r="H1341" s="14"/>
      <c r="K1341" s="16">
        <f>IFERROR(__xludf.DUMMYFUNCTION("""COMPUTED_VALUE"""),1283.0)</f>
        <v>1283</v>
      </c>
      <c r="L1341" s="16"/>
      <c r="M1341" s="14"/>
    </row>
    <row r="1342">
      <c r="A1342" s="16" t="str">
        <f>IFERROR(__xludf.DUMMYFUNCTION("""COMPUTED_VALUE"""),"Kimba Issa Mamoudou")</f>
        <v>Kimba Issa Mamoudou</v>
      </c>
      <c r="B1342" s="16"/>
      <c r="C1342" s="14"/>
      <c r="F1342" s="16" t="str">
        <f>IFERROR(__xludf.DUMMYFUNCTION("""COMPUTED_VALUE"""),"Kaoura goga")</f>
        <v>Kaoura goga</v>
      </c>
      <c r="G1342" s="16"/>
      <c r="H1342" s="14"/>
      <c r="K1342" s="16">
        <f>IFERROR(__xludf.DUMMYFUNCTION("""COMPUTED_VALUE"""),1764.0)</f>
        <v>1764</v>
      </c>
      <c r="L1342" s="16"/>
      <c r="M1342" s="14"/>
    </row>
    <row r="1343">
      <c r="A1343" s="16" t="str">
        <f>IFERROR(__xludf.DUMMYFUNCTION("""COMPUTED_VALUE"""),"Saddy Youssouf")</f>
        <v>Saddy Youssouf</v>
      </c>
      <c r="B1343" s="16"/>
      <c r="C1343" s="14"/>
      <c r="F1343" s="16" t="str">
        <f>IFERROR(__xludf.DUMMYFUNCTION("""COMPUTED_VALUE"""),"Bilbis I")</f>
        <v>Bilbis I</v>
      </c>
      <c r="G1343" s="16"/>
      <c r="H1343" s="14"/>
      <c r="K1343" s="16">
        <f>IFERROR(__xludf.DUMMYFUNCTION("""COMPUTED_VALUE"""),1316.0)</f>
        <v>1316</v>
      </c>
      <c r="L1343" s="16"/>
      <c r="M1343" s="14"/>
    </row>
    <row r="1344">
      <c r="A1344" s="16" t="str">
        <f>IFERROR(__xludf.DUMMYFUNCTION("""COMPUTED_VALUE"""),"Mohamadou Amadou")</f>
        <v>Mohamadou Amadou</v>
      </c>
      <c r="B1344" s="16"/>
      <c r="C1344" s="14"/>
      <c r="F1344" s="16" t="str">
        <f>IFERROR(__xludf.DUMMYFUNCTION("""COMPUTED_VALUE"""),"Bilbis I")</f>
        <v>Bilbis I</v>
      </c>
      <c r="G1344" s="16"/>
      <c r="H1344" s="14"/>
      <c r="K1344" s="16">
        <f>IFERROR(__xludf.DUMMYFUNCTION("""COMPUTED_VALUE"""),706.0)</f>
        <v>706</v>
      </c>
      <c r="L1344" s="16"/>
      <c r="M1344" s="14"/>
    </row>
    <row r="1345">
      <c r="A1345" s="16" t="str">
        <f>IFERROR(__xludf.DUMMYFUNCTION("""COMPUTED_VALUE"""),"Mohamadou Amadou")</f>
        <v>Mohamadou Amadou</v>
      </c>
      <c r="B1345" s="16"/>
      <c r="C1345" s="14"/>
      <c r="F1345" s="16" t="str">
        <f>IFERROR(__xludf.DUMMYFUNCTION("""COMPUTED_VALUE"""),"Bilbis I")</f>
        <v>Bilbis I</v>
      </c>
      <c r="G1345" s="16"/>
      <c r="H1345" s="14"/>
      <c r="K1345" s="16">
        <f>IFERROR(__xludf.DUMMYFUNCTION("""COMPUTED_VALUE"""),2348.0)</f>
        <v>2348</v>
      </c>
      <c r="L1345" s="16"/>
      <c r="M1345" s="14"/>
    </row>
    <row r="1346">
      <c r="A1346" s="16" t="str">
        <f>IFERROR(__xludf.DUMMYFUNCTION("""COMPUTED_VALUE"""),"Mohamadou Amadou")</f>
        <v>Mohamadou Amadou</v>
      </c>
      <c r="B1346" s="16"/>
      <c r="C1346" s="14"/>
      <c r="F1346" s="16" t="str">
        <f>IFERROR(__xludf.DUMMYFUNCTION("""COMPUTED_VALUE"""),"Bilbis I")</f>
        <v>Bilbis I</v>
      </c>
      <c r="G1346" s="16"/>
      <c r="H1346" s="14"/>
      <c r="K1346" s="16">
        <f>IFERROR(__xludf.DUMMYFUNCTION("""COMPUTED_VALUE"""),769.0)</f>
        <v>769</v>
      </c>
      <c r="L1346" s="16"/>
      <c r="M1346" s="14"/>
    </row>
    <row r="1347">
      <c r="A1347" s="16" t="str">
        <f>IFERROR(__xludf.DUMMYFUNCTION("""COMPUTED_VALUE"""),"Mohamadou Amadou")</f>
        <v>Mohamadou Amadou</v>
      </c>
      <c r="B1347" s="16"/>
      <c r="C1347" s="14"/>
      <c r="F1347" s="16" t="str">
        <f>IFERROR(__xludf.DUMMYFUNCTION("""COMPUTED_VALUE"""),"Samo I")</f>
        <v>Samo I</v>
      </c>
      <c r="G1347" s="16"/>
      <c r="H1347" s="14"/>
      <c r="K1347" s="16">
        <f>IFERROR(__xludf.DUMMYFUNCTION("""COMPUTED_VALUE"""),757.0)</f>
        <v>757</v>
      </c>
      <c r="L1347" s="16"/>
      <c r="M1347" s="14"/>
    </row>
    <row r="1348">
      <c r="A1348" s="16" t="str">
        <f>IFERROR(__xludf.DUMMYFUNCTION("""COMPUTED_VALUE"""),"Ouhoumoudou Djannou Ibrahim")</f>
        <v>Ouhoumoudou Djannou Ibrahim</v>
      </c>
      <c r="B1348" s="16"/>
      <c r="C1348" s="14"/>
      <c r="F1348" s="16" t="str">
        <f>IFERROR(__xludf.DUMMYFUNCTION("""COMPUTED_VALUE"""),"Samo I")</f>
        <v>Samo I</v>
      </c>
      <c r="G1348" s="16"/>
      <c r="H1348" s="14"/>
      <c r="K1348" s="16">
        <f>IFERROR(__xludf.DUMMYFUNCTION("""COMPUTED_VALUE"""),1124.0)</f>
        <v>1124</v>
      </c>
      <c r="L1348" s="16"/>
      <c r="M1348" s="14"/>
    </row>
    <row r="1349">
      <c r="A1349" s="16" t="str">
        <f>IFERROR(__xludf.DUMMYFUNCTION("""COMPUTED_VALUE"""),"Ouhoumoudou Djannou Ibrahim")</f>
        <v>Ouhoumoudou Djannou Ibrahim</v>
      </c>
      <c r="B1349" s="16"/>
      <c r="C1349" s="14"/>
      <c r="F1349" s="16" t="str">
        <f>IFERROR(__xludf.DUMMYFUNCTION("""COMPUTED_VALUE"""),"Samo I")</f>
        <v>Samo I</v>
      </c>
      <c r="G1349" s="16"/>
      <c r="H1349" s="14"/>
      <c r="K1349" s="16">
        <f>IFERROR(__xludf.DUMMYFUNCTION("""COMPUTED_VALUE"""),1274.0)</f>
        <v>1274</v>
      </c>
      <c r="L1349" s="16"/>
      <c r="M1349" s="14"/>
    </row>
    <row r="1350">
      <c r="A1350" s="16" t="str">
        <f>IFERROR(__xludf.DUMMYFUNCTION("""COMPUTED_VALUE"""),"Ouhoumoudou Djannou Ibrahim")</f>
        <v>Ouhoumoudou Djannou Ibrahim</v>
      </c>
      <c r="B1350" s="16"/>
      <c r="C1350" s="14"/>
      <c r="F1350" s="16" t="str">
        <f>IFERROR(__xludf.DUMMYFUNCTION("""COMPUTED_VALUE"""),"Samo I")</f>
        <v>Samo I</v>
      </c>
      <c r="G1350" s="16"/>
      <c r="H1350" s="14"/>
      <c r="K1350" s="16">
        <f>IFERROR(__xludf.DUMMYFUNCTION("""COMPUTED_VALUE"""),387.0)</f>
        <v>387</v>
      </c>
      <c r="L1350" s="16"/>
      <c r="M1350" s="14"/>
    </row>
    <row r="1351">
      <c r="A1351" s="16" t="str">
        <f>IFERROR(__xludf.DUMMYFUNCTION("""COMPUTED_VALUE"""),"Ouhoumoudou Djannou Ibrahim")</f>
        <v>Ouhoumoudou Djannou Ibrahim</v>
      </c>
      <c r="B1351" s="16"/>
      <c r="C1351" s="14"/>
      <c r="F1351" s="16" t="str">
        <f>IFERROR(__xludf.DUMMYFUNCTION("""COMPUTED_VALUE"""),"Samo I")</f>
        <v>Samo I</v>
      </c>
      <c r="G1351" s="16"/>
      <c r="H1351" s="14"/>
      <c r="K1351" s="16">
        <f>IFERROR(__xludf.DUMMYFUNCTION("""COMPUTED_VALUE"""),659.0)</f>
        <v>659</v>
      </c>
      <c r="L1351" s="16"/>
      <c r="M1351" s="14"/>
    </row>
    <row r="1352">
      <c r="A1352" s="16" t="str">
        <f>IFERROR(__xludf.DUMMYFUNCTION("""COMPUTED_VALUE"""),"Ouhoumoudou Djannou Ibrahim")</f>
        <v>Ouhoumoudou Djannou Ibrahim</v>
      </c>
      <c r="B1352" s="16"/>
      <c r="C1352" s="14"/>
      <c r="F1352" s="16" t="str">
        <f>IFERROR(__xludf.DUMMYFUNCTION("""COMPUTED_VALUE"""),"Samo I")</f>
        <v>Samo I</v>
      </c>
      <c r="G1352" s="16"/>
      <c r="H1352" s="14"/>
      <c r="K1352" s="16">
        <f>IFERROR(__xludf.DUMMYFUNCTION("""COMPUTED_VALUE"""),612.0)</f>
        <v>612</v>
      </c>
      <c r="L1352" s="16"/>
      <c r="M1352" s="14"/>
    </row>
    <row r="1353">
      <c r="A1353" s="16" t="str">
        <f>IFERROR(__xludf.DUMMYFUNCTION("""COMPUTED_VALUE"""),"Ouhoumoudou Djannou Ibrahim")</f>
        <v>Ouhoumoudou Djannou Ibrahim</v>
      </c>
      <c r="B1353" s="16"/>
      <c r="C1353" s="14"/>
      <c r="F1353" s="16" t="str">
        <f>IFERROR(__xludf.DUMMYFUNCTION("""COMPUTED_VALUE"""),"Samo I")</f>
        <v>Samo I</v>
      </c>
      <c r="G1353" s="16"/>
      <c r="H1353" s="14"/>
      <c r="K1353" s="16">
        <f>IFERROR(__xludf.DUMMYFUNCTION("""COMPUTED_VALUE"""),395.0)</f>
        <v>395</v>
      </c>
      <c r="L1353" s="16"/>
      <c r="M1353" s="14"/>
    </row>
    <row r="1354">
      <c r="A1354" s="16" t="str">
        <f>IFERROR(__xludf.DUMMYFUNCTION("""COMPUTED_VALUE"""),"Hachimou Rabiou Mamoudou")</f>
        <v>Hachimou Rabiou Mamoudou</v>
      </c>
      <c r="B1354" s="16"/>
      <c r="C1354" s="14"/>
      <c r="F1354" s="16" t="str">
        <f>IFERROR(__xludf.DUMMYFUNCTION("""COMPUTED_VALUE"""),"Samo I")</f>
        <v>Samo I</v>
      </c>
      <c r="G1354" s="16"/>
      <c r="H1354" s="14"/>
      <c r="K1354" s="16">
        <f>IFERROR(__xludf.DUMMYFUNCTION("""COMPUTED_VALUE"""),617.0)</f>
        <v>617</v>
      </c>
      <c r="L1354" s="16"/>
      <c r="M1354" s="14"/>
    </row>
    <row r="1355">
      <c r="A1355" s="16" t="str">
        <f>IFERROR(__xludf.DUMMYFUNCTION("""COMPUTED_VALUE"""),"Hachimou Rabiou Mamoudou")</f>
        <v>Hachimou Rabiou Mamoudou</v>
      </c>
      <c r="B1355" s="16"/>
      <c r="C1355" s="14"/>
      <c r="F1355" s="16" t="str">
        <f>IFERROR(__xludf.DUMMYFUNCTION("""COMPUTED_VALUE"""),"Samo I")</f>
        <v>Samo I</v>
      </c>
      <c r="G1355" s="16"/>
      <c r="H1355" s="14"/>
      <c r="K1355" s="16">
        <f>IFERROR(__xludf.DUMMYFUNCTION("""COMPUTED_VALUE"""),1649.0)</f>
        <v>1649</v>
      </c>
      <c r="L1355" s="16"/>
      <c r="M1355" s="14"/>
    </row>
    <row r="1356">
      <c r="A1356" s="16" t="str">
        <f>IFERROR(__xludf.DUMMYFUNCTION("""COMPUTED_VALUE"""),"Hachimou Rabiou Mamoudou")</f>
        <v>Hachimou Rabiou Mamoudou</v>
      </c>
      <c r="B1356" s="16"/>
      <c r="C1356" s="14"/>
      <c r="F1356" s="16" t="str">
        <f>IFERROR(__xludf.DUMMYFUNCTION("""COMPUTED_VALUE"""),"Samo I")</f>
        <v>Samo I</v>
      </c>
      <c r="G1356" s="16"/>
      <c r="H1356" s="14"/>
      <c r="K1356" s="16">
        <f>IFERROR(__xludf.DUMMYFUNCTION("""COMPUTED_VALUE"""),370.0)</f>
        <v>370</v>
      </c>
      <c r="L1356" s="16"/>
      <c r="M1356" s="14"/>
    </row>
    <row r="1357">
      <c r="A1357" s="16" t="str">
        <f>IFERROR(__xludf.DUMMYFUNCTION("""COMPUTED_VALUE"""),"Hachimou Rabiou Mamoudou")</f>
        <v>Hachimou Rabiou Mamoudou</v>
      </c>
      <c r="B1357" s="16"/>
      <c r="C1357" s="14"/>
      <c r="F1357" s="16" t="str">
        <f>IFERROR(__xludf.DUMMYFUNCTION("""COMPUTED_VALUE"""),"Samo I")</f>
        <v>Samo I</v>
      </c>
      <c r="G1357" s="16"/>
      <c r="H1357" s="14"/>
      <c r="K1357" s="16">
        <f>IFERROR(__xludf.DUMMYFUNCTION("""COMPUTED_VALUE"""),2202.0)</f>
        <v>2202</v>
      </c>
      <c r="L1357" s="16"/>
      <c r="M1357" s="14"/>
    </row>
    <row r="1358">
      <c r="A1358" s="16" t="str">
        <f>IFERROR(__xludf.DUMMYFUNCTION("""COMPUTED_VALUE"""),"Hachimou Rabiou Mamoudou")</f>
        <v>Hachimou Rabiou Mamoudou</v>
      </c>
      <c r="B1358" s="16"/>
      <c r="C1358" s="14"/>
      <c r="F1358" s="16" t="str">
        <f>IFERROR(__xludf.DUMMYFUNCTION("""COMPUTED_VALUE"""),"Samo I")</f>
        <v>Samo I</v>
      </c>
      <c r="G1358" s="16"/>
      <c r="H1358" s="14"/>
      <c r="K1358" s="16">
        <f>IFERROR(__xludf.DUMMYFUNCTION("""COMPUTED_VALUE"""),1051.0)</f>
        <v>1051</v>
      </c>
      <c r="L1358" s="16"/>
      <c r="M1358" s="14"/>
    </row>
    <row r="1359">
      <c r="A1359" s="16" t="str">
        <f>IFERROR(__xludf.DUMMYFUNCTION("""COMPUTED_VALUE"""),"Hachimou Rabiou Mamoudou")</f>
        <v>Hachimou Rabiou Mamoudou</v>
      </c>
      <c r="B1359" s="16"/>
      <c r="C1359" s="14"/>
      <c r="F1359" s="16" t="str">
        <f>IFERROR(__xludf.DUMMYFUNCTION("""COMPUTED_VALUE"""),"Samo I")</f>
        <v>Samo I</v>
      </c>
      <c r="G1359" s="16"/>
      <c r="H1359" s="14"/>
      <c r="K1359" s="16">
        <f>IFERROR(__xludf.DUMMYFUNCTION("""COMPUTED_VALUE"""),2113.0)</f>
        <v>2113</v>
      </c>
      <c r="L1359" s="16"/>
      <c r="M1359" s="14"/>
    </row>
    <row r="1360">
      <c r="A1360" s="16" t="str">
        <f>IFERROR(__xludf.DUMMYFUNCTION("""COMPUTED_VALUE"""),"Hachimou Rabiou Mamoudou")</f>
        <v>Hachimou Rabiou Mamoudou</v>
      </c>
      <c r="B1360" s="16"/>
      <c r="C1360" s="14"/>
      <c r="F1360" s="16" t="str">
        <f>IFERROR(__xludf.DUMMYFUNCTION("""COMPUTED_VALUE"""),"Samo I")</f>
        <v>Samo I</v>
      </c>
      <c r="G1360" s="16"/>
      <c r="H1360" s="14"/>
      <c r="K1360" s="16">
        <f>IFERROR(__xludf.DUMMYFUNCTION("""COMPUTED_VALUE"""),600.0)</f>
        <v>600</v>
      </c>
      <c r="L1360" s="16"/>
      <c r="M1360" s="14"/>
    </row>
    <row r="1361">
      <c r="A1361" s="16" t="str">
        <f>IFERROR(__xludf.DUMMYFUNCTION("""COMPUTED_VALUE"""),"Mohamed Cherif")</f>
        <v>Mohamed Cherif</v>
      </c>
      <c r="B1361" s="16"/>
      <c r="C1361" s="14"/>
      <c r="F1361" s="16" t="str">
        <f>IFERROR(__xludf.DUMMYFUNCTION("""COMPUTED_VALUE"""),"Gradoumé Toudou")</f>
        <v>Gradoumé Toudou</v>
      </c>
      <c r="G1361" s="16"/>
      <c r="H1361" s="14"/>
      <c r="K1361" s="16">
        <f>IFERROR(__xludf.DUMMYFUNCTION("""COMPUTED_VALUE"""),1840.0)</f>
        <v>1840</v>
      </c>
      <c r="L1361" s="16"/>
      <c r="M1361" s="14"/>
    </row>
    <row r="1362">
      <c r="A1362" s="16" t="str">
        <f>IFERROR(__xludf.DUMMYFUNCTION("""COMPUTED_VALUE"""),"Mohamed Cherif")</f>
        <v>Mohamed Cherif</v>
      </c>
      <c r="B1362" s="16"/>
      <c r="C1362" s="14"/>
      <c r="F1362" s="16" t="str">
        <f>IFERROR(__xludf.DUMMYFUNCTION("""COMPUTED_VALUE"""),"Gradoumé Toudou")</f>
        <v>Gradoumé Toudou</v>
      </c>
      <c r="G1362" s="16"/>
      <c r="H1362" s="14"/>
      <c r="K1362" s="16">
        <f>IFERROR(__xludf.DUMMYFUNCTION("""COMPUTED_VALUE"""),1123.0)</f>
        <v>1123</v>
      </c>
      <c r="L1362" s="16"/>
      <c r="M1362" s="14"/>
    </row>
    <row r="1363">
      <c r="A1363" s="16" t="str">
        <f>IFERROR(__xludf.DUMMYFUNCTION("""COMPUTED_VALUE"""),"Mohamed Cherif")</f>
        <v>Mohamed Cherif</v>
      </c>
      <c r="B1363" s="16"/>
      <c r="C1363" s="14"/>
      <c r="F1363" s="16" t="str">
        <f>IFERROR(__xludf.DUMMYFUNCTION("""COMPUTED_VALUE"""),"Gradoumé Toudou")</f>
        <v>Gradoumé Toudou</v>
      </c>
      <c r="G1363" s="16"/>
      <c r="H1363" s="14"/>
      <c r="K1363" s="16">
        <f>IFERROR(__xludf.DUMMYFUNCTION("""COMPUTED_VALUE"""),611.0)</f>
        <v>611</v>
      </c>
      <c r="L1363" s="16"/>
      <c r="M1363" s="14"/>
    </row>
    <row r="1364">
      <c r="A1364" s="16" t="str">
        <f>IFERROR(__xludf.DUMMYFUNCTION("""COMPUTED_VALUE"""),"Mohamed Cherif")</f>
        <v>Mohamed Cherif</v>
      </c>
      <c r="B1364" s="16"/>
      <c r="C1364" s="14"/>
      <c r="F1364" s="16" t="str">
        <f>IFERROR(__xludf.DUMMYFUNCTION("""COMPUTED_VALUE"""),"Kaoura goga")</f>
        <v>Kaoura goga</v>
      </c>
      <c r="G1364" s="16"/>
      <c r="H1364" s="14"/>
      <c r="K1364" s="16">
        <f>IFERROR(__xludf.DUMMYFUNCTION("""COMPUTED_VALUE"""),1112.0)</f>
        <v>1112</v>
      </c>
      <c r="L1364" s="16"/>
      <c r="M1364" s="14"/>
    </row>
    <row r="1365">
      <c r="A1365" s="16" t="str">
        <f>IFERROR(__xludf.DUMMYFUNCTION("""COMPUTED_VALUE"""),"Achirou Malam Dan Maradi Nassirou")</f>
        <v>Achirou Malam Dan Maradi Nassirou</v>
      </c>
      <c r="B1365" s="16"/>
      <c r="C1365" s="14"/>
      <c r="F1365" s="16" t="str">
        <f>IFERROR(__xludf.DUMMYFUNCTION("""COMPUTED_VALUE"""),"Kaoura goga")</f>
        <v>Kaoura goga</v>
      </c>
      <c r="G1365" s="16"/>
      <c r="H1365" s="14"/>
      <c r="K1365" s="16">
        <f>IFERROR(__xludf.DUMMYFUNCTION("""COMPUTED_VALUE"""),757.0)</f>
        <v>757</v>
      </c>
      <c r="L1365" s="16"/>
      <c r="M1365" s="14"/>
    </row>
    <row r="1366">
      <c r="A1366" s="16" t="str">
        <f>IFERROR(__xludf.DUMMYFUNCTION("""COMPUTED_VALUE"""),"Achirou Malam Dan Maradi Nassirou")</f>
        <v>Achirou Malam Dan Maradi Nassirou</v>
      </c>
      <c r="B1366" s="16"/>
      <c r="C1366" s="14"/>
      <c r="F1366" s="16" t="str">
        <f>IFERROR(__xludf.DUMMYFUNCTION("""COMPUTED_VALUE"""),"Kaoura goga")</f>
        <v>Kaoura goga</v>
      </c>
      <c r="G1366" s="16"/>
      <c r="H1366" s="14"/>
      <c r="K1366" s="16">
        <f>IFERROR(__xludf.DUMMYFUNCTION("""COMPUTED_VALUE"""),507.0)</f>
        <v>507</v>
      </c>
      <c r="L1366" s="16"/>
      <c r="M1366" s="14"/>
    </row>
    <row r="1367">
      <c r="A1367" s="16" t="str">
        <f>IFERROR(__xludf.DUMMYFUNCTION("""COMPUTED_VALUE"""),"Abdoul Salami Ibrahim")</f>
        <v>Abdoul Salami Ibrahim</v>
      </c>
      <c r="B1367" s="16"/>
      <c r="C1367" s="14"/>
      <c r="F1367" s="16" t="str">
        <f>IFERROR(__xludf.DUMMYFUNCTION("""COMPUTED_VALUE"""),"Kaoura goga")</f>
        <v>Kaoura goga</v>
      </c>
      <c r="G1367" s="16"/>
      <c r="H1367" s="14"/>
      <c r="K1367" s="16">
        <f>IFERROR(__xludf.DUMMYFUNCTION("""COMPUTED_VALUE"""),548.0)</f>
        <v>548</v>
      </c>
      <c r="L1367" s="16"/>
      <c r="M1367" s="14"/>
    </row>
    <row r="1368">
      <c r="A1368" s="16" t="str">
        <f>IFERROR(__xludf.DUMMYFUNCTION("""COMPUTED_VALUE"""),"Abdoul Salami Ibrahim")</f>
        <v>Abdoul Salami Ibrahim</v>
      </c>
      <c r="B1368" s="16"/>
      <c r="C1368" s="14"/>
      <c r="F1368" s="16" t="str">
        <f>IFERROR(__xludf.DUMMYFUNCTION("""COMPUTED_VALUE"""),"Gradoumé Toudou")</f>
        <v>Gradoumé Toudou</v>
      </c>
      <c r="G1368" s="16"/>
      <c r="H1368" s="14"/>
      <c r="K1368" s="16">
        <f>IFERROR(__xludf.DUMMYFUNCTION("""COMPUTED_VALUE"""),1693.0)</f>
        <v>1693</v>
      </c>
      <c r="L1368" s="16"/>
      <c r="M1368" s="14"/>
    </row>
    <row r="1369">
      <c r="A1369" s="16" t="str">
        <f>IFERROR(__xludf.DUMMYFUNCTION("""COMPUTED_VALUE"""),"Abdoul Salami Ibrahim")</f>
        <v>Abdoul Salami Ibrahim</v>
      </c>
      <c r="B1369" s="16"/>
      <c r="C1369" s="14"/>
      <c r="F1369" s="16" t="str">
        <f>IFERROR(__xludf.DUMMYFUNCTION("""COMPUTED_VALUE"""),"Bagueye")</f>
        <v>Bagueye</v>
      </c>
      <c r="G1369" s="16"/>
      <c r="H1369" s="14"/>
      <c r="K1369" s="16">
        <f>IFERROR(__xludf.DUMMYFUNCTION("""COMPUTED_VALUE"""),1346.0)</f>
        <v>1346</v>
      </c>
      <c r="L1369" s="16"/>
      <c r="M1369" s="14"/>
    </row>
    <row r="1370">
      <c r="A1370" s="16" t="str">
        <f>IFERROR(__xludf.DUMMYFUNCTION("""COMPUTED_VALUE"""),"Abdoul Salami Ibrahim")</f>
        <v>Abdoul Salami Ibrahim</v>
      </c>
      <c r="B1370" s="16"/>
      <c r="C1370" s="14"/>
      <c r="F1370" s="16" t="str">
        <f>IFERROR(__xludf.DUMMYFUNCTION("""COMPUTED_VALUE"""),"Bagueye")</f>
        <v>Bagueye</v>
      </c>
      <c r="G1370" s="16"/>
      <c r="H1370" s="14"/>
      <c r="K1370" s="16">
        <f>IFERROR(__xludf.DUMMYFUNCTION("""COMPUTED_VALUE"""),697.0)</f>
        <v>697</v>
      </c>
      <c r="L1370" s="16"/>
      <c r="M1370" s="14"/>
    </row>
    <row r="1371">
      <c r="A1371" s="16" t="str">
        <f>IFERROR(__xludf.DUMMYFUNCTION("""COMPUTED_VALUE"""),"Amadou Hamidou Abdoul Karim")</f>
        <v>Amadou Hamidou Abdoul Karim</v>
      </c>
      <c r="B1371" s="16"/>
      <c r="C1371" s="14"/>
      <c r="F1371" s="16" t="str">
        <f>IFERROR(__xludf.DUMMYFUNCTION("""COMPUTED_VALUE"""),"Galmaoua")</f>
        <v>Galmaoua</v>
      </c>
      <c r="G1371" s="16"/>
      <c r="H1371" s="14"/>
      <c r="K1371" s="16">
        <f>IFERROR(__xludf.DUMMYFUNCTION("""COMPUTED_VALUE"""),569.0)</f>
        <v>569</v>
      </c>
      <c r="L1371" s="16"/>
      <c r="M1371" s="14"/>
    </row>
    <row r="1372">
      <c r="A1372" s="16" t="str">
        <f>IFERROR(__xludf.DUMMYFUNCTION("""COMPUTED_VALUE"""),"Amadou Hamidou Abdoul Karim")</f>
        <v>Amadou Hamidou Abdoul Karim</v>
      </c>
      <c r="B1372" s="16"/>
      <c r="C1372" s="14"/>
      <c r="F1372" s="16" t="str">
        <f>IFERROR(__xludf.DUMMYFUNCTION("""COMPUTED_VALUE"""),"Galmaoua")</f>
        <v>Galmaoua</v>
      </c>
      <c r="G1372" s="16"/>
      <c r="H1372" s="14"/>
      <c r="K1372" s="16">
        <f>IFERROR(__xludf.DUMMYFUNCTION("""COMPUTED_VALUE"""),608.0)</f>
        <v>608</v>
      </c>
      <c r="L1372" s="16"/>
      <c r="M1372" s="14"/>
    </row>
    <row r="1373">
      <c r="A1373" s="16" t="str">
        <f>IFERROR(__xludf.DUMMYFUNCTION("""COMPUTED_VALUE"""),"Binta Maman")</f>
        <v>Binta Maman</v>
      </c>
      <c r="B1373" s="16"/>
      <c r="C1373" s="14"/>
      <c r="F1373" s="16" t="str">
        <f>IFERROR(__xludf.DUMMYFUNCTION("""COMPUTED_VALUE"""),"Galmaoua")</f>
        <v>Galmaoua</v>
      </c>
      <c r="G1373" s="16"/>
      <c r="H1373" s="14"/>
      <c r="K1373" s="16">
        <f>IFERROR(__xludf.DUMMYFUNCTION("""COMPUTED_VALUE"""),1792.0)</f>
        <v>1792</v>
      </c>
      <c r="L1373" s="16"/>
      <c r="M1373" s="14"/>
    </row>
    <row r="1374">
      <c r="A1374" s="16" t="str">
        <f>IFERROR(__xludf.DUMMYFUNCTION("""COMPUTED_VALUE"""),"Binta Maman")</f>
        <v>Binta Maman</v>
      </c>
      <c r="B1374" s="16"/>
      <c r="C1374" s="14"/>
      <c r="F1374" s="16" t="str">
        <f>IFERROR(__xludf.DUMMYFUNCTION("""COMPUTED_VALUE"""),"Karadji Gangawa")</f>
        <v>Karadji Gangawa</v>
      </c>
      <c r="G1374" s="16"/>
      <c r="H1374" s="14"/>
      <c r="K1374" s="16">
        <f>IFERROR(__xludf.DUMMYFUNCTION("""COMPUTED_VALUE"""),425.0)</f>
        <v>425</v>
      </c>
      <c r="L1374" s="16"/>
      <c r="M1374" s="14"/>
    </row>
    <row r="1375">
      <c r="A1375" s="16" t="str">
        <f>IFERROR(__xludf.DUMMYFUNCTION("""COMPUTED_VALUE"""),"Larabou Chamsoudine")</f>
        <v>Larabou Chamsoudine</v>
      </c>
      <c r="B1375" s="16"/>
      <c r="C1375" s="14"/>
      <c r="F1375" s="16" t="str">
        <f>IFERROR(__xludf.DUMMYFUNCTION("""COMPUTED_VALUE"""),"Karadji Gangawa")</f>
        <v>Karadji Gangawa</v>
      </c>
      <c r="G1375" s="16"/>
      <c r="H1375" s="14"/>
      <c r="K1375" s="16">
        <f>IFERROR(__xludf.DUMMYFUNCTION("""COMPUTED_VALUE"""),504.0)</f>
        <v>504</v>
      </c>
      <c r="L1375" s="16"/>
      <c r="M1375" s="14"/>
    </row>
    <row r="1376">
      <c r="A1376" s="16" t="str">
        <f>IFERROR(__xludf.DUMMYFUNCTION("""COMPUTED_VALUE"""),"Larabou Chamsoudine")</f>
        <v>Larabou Chamsoudine</v>
      </c>
      <c r="B1376" s="16"/>
      <c r="C1376" s="14"/>
      <c r="F1376" s="16" t="str">
        <f>IFERROR(__xludf.DUMMYFUNCTION("""COMPUTED_VALUE"""),"Sabon Sara")</f>
        <v>Sabon Sara</v>
      </c>
      <c r="G1376" s="16"/>
      <c r="H1376" s="14"/>
      <c r="K1376" s="16">
        <f>IFERROR(__xludf.DUMMYFUNCTION("""COMPUTED_VALUE"""),1540.0)</f>
        <v>1540</v>
      </c>
      <c r="L1376" s="16"/>
      <c r="M1376" s="14"/>
    </row>
    <row r="1377">
      <c r="A1377" s="16" t="str">
        <f>IFERROR(__xludf.DUMMYFUNCTION("""COMPUTED_VALUE"""),"Kadidja Issaka Hamidou")</f>
        <v>Kadidja Issaka Hamidou</v>
      </c>
      <c r="B1377" s="16"/>
      <c r="C1377" s="14"/>
      <c r="F1377" s="16" t="str">
        <f>IFERROR(__xludf.DUMMYFUNCTION("""COMPUTED_VALUE"""),"Karadji Gangawa")</f>
        <v>Karadji Gangawa</v>
      </c>
      <c r="G1377" s="16"/>
      <c r="H1377" s="14"/>
      <c r="K1377" s="16">
        <f>IFERROR(__xludf.DUMMYFUNCTION("""COMPUTED_VALUE"""),1412.0)</f>
        <v>1412</v>
      </c>
      <c r="L1377" s="16"/>
      <c r="M1377" s="14"/>
    </row>
    <row r="1378">
      <c r="A1378" s="16" t="str">
        <f>IFERROR(__xludf.DUMMYFUNCTION("""COMPUTED_VALUE"""),"Kadidja Issaka Hamidou")</f>
        <v>Kadidja Issaka Hamidou</v>
      </c>
      <c r="B1378" s="16"/>
      <c r="C1378" s="14"/>
      <c r="F1378" s="16" t="str">
        <f>IFERROR(__xludf.DUMMYFUNCTION("""COMPUTED_VALUE"""),"Sabon Sara")</f>
        <v>Sabon Sara</v>
      </c>
      <c r="G1378" s="16"/>
      <c r="H1378" s="14"/>
      <c r="K1378" s="16">
        <f>IFERROR(__xludf.DUMMYFUNCTION("""COMPUTED_VALUE"""),357.0)</f>
        <v>357</v>
      </c>
      <c r="L1378" s="16"/>
      <c r="M1378" s="14"/>
    </row>
    <row r="1379">
      <c r="A1379" s="16" t="str">
        <f>IFERROR(__xludf.DUMMYFUNCTION("""COMPUTED_VALUE"""),"Maman Ado Abdourahamane")</f>
        <v>Maman Ado Abdourahamane</v>
      </c>
      <c r="B1379" s="16"/>
      <c r="C1379" s="14"/>
      <c r="F1379" s="16" t="str">
        <f>IFERROR(__xludf.DUMMYFUNCTION("""COMPUTED_VALUE"""),"Sabon Sara")</f>
        <v>Sabon Sara</v>
      </c>
      <c r="G1379" s="16"/>
      <c r="H1379" s="14"/>
      <c r="K1379" s="16">
        <f>IFERROR(__xludf.DUMMYFUNCTION("""COMPUTED_VALUE"""),376.0)</f>
        <v>376</v>
      </c>
      <c r="L1379" s="16"/>
      <c r="M1379" s="14"/>
    </row>
    <row r="1380">
      <c r="A1380" s="16" t="str">
        <f>IFERROR(__xludf.DUMMYFUNCTION("""COMPUTED_VALUE"""),"Maman Ado Abdourahamane")</f>
        <v>Maman Ado Abdourahamane</v>
      </c>
      <c r="B1380" s="16"/>
      <c r="C1380" s="14"/>
      <c r="F1380" s="16" t="str">
        <f>IFERROR(__xludf.DUMMYFUNCTION("""COMPUTED_VALUE"""),"Sabon Sara")</f>
        <v>Sabon Sara</v>
      </c>
      <c r="G1380" s="16"/>
      <c r="H1380" s="14"/>
      <c r="K1380" s="16">
        <f>IFERROR(__xludf.DUMMYFUNCTION("""COMPUTED_VALUE"""),343.0)</f>
        <v>343</v>
      </c>
      <c r="L1380" s="16"/>
      <c r="M1380" s="14"/>
    </row>
    <row r="1381">
      <c r="A1381" s="16" t="str">
        <f>IFERROR(__xludf.DUMMYFUNCTION("""COMPUTED_VALUE"""),"Maman Ado Abdourahamane")</f>
        <v>Maman Ado Abdourahamane</v>
      </c>
      <c r="B1381" s="16"/>
      <c r="C1381" s="14"/>
      <c r="F1381" s="16" t="str">
        <f>IFERROR(__xludf.DUMMYFUNCTION("""COMPUTED_VALUE"""),"Gradoumé kori")</f>
        <v>Gradoumé kori</v>
      </c>
      <c r="G1381" s="16"/>
      <c r="H1381" s="14"/>
      <c r="K1381" s="16">
        <f>IFERROR(__xludf.DUMMYFUNCTION("""COMPUTED_VALUE"""),468.0)</f>
        <v>468</v>
      </c>
      <c r="L1381" s="16"/>
      <c r="M1381" s="14"/>
    </row>
    <row r="1382">
      <c r="A1382" s="16" t="str">
        <f>IFERROR(__xludf.DUMMYFUNCTION("""COMPUTED_VALUE"""),"Aboubacar Hamadou Manga")</f>
        <v>Aboubacar Hamadou Manga</v>
      </c>
      <c r="B1382" s="16"/>
      <c r="C1382" s="14"/>
      <c r="F1382" s="16" t="str">
        <f>IFERROR(__xludf.DUMMYFUNCTION("""COMPUTED_VALUE"""),"Gradoumé kori")</f>
        <v>Gradoumé kori</v>
      </c>
      <c r="G1382" s="16"/>
      <c r="H1382" s="14"/>
      <c r="K1382" s="16">
        <f>IFERROR(__xludf.DUMMYFUNCTION("""COMPUTED_VALUE"""),539.0)</f>
        <v>539</v>
      </c>
      <c r="L1382" s="16"/>
      <c r="M1382" s="14"/>
    </row>
    <row r="1383">
      <c r="A1383" s="16" t="str">
        <f>IFERROR(__xludf.DUMMYFUNCTION("""COMPUTED_VALUE"""),"Hamissou Moussa Nana Mariama")</f>
        <v>Hamissou Moussa Nana Mariama</v>
      </c>
      <c r="B1383" s="16"/>
      <c r="C1383" s="14"/>
      <c r="F1383" s="16" t="str">
        <f>IFERROR(__xludf.DUMMYFUNCTION("""COMPUTED_VALUE"""),"Kaoura goga")</f>
        <v>Kaoura goga</v>
      </c>
      <c r="G1383" s="16"/>
      <c r="H1383" s="14"/>
      <c r="K1383" s="16">
        <f>IFERROR(__xludf.DUMMYFUNCTION("""COMPUTED_VALUE"""),473.0)</f>
        <v>473</v>
      </c>
      <c r="L1383" s="16"/>
      <c r="M1383" s="14"/>
    </row>
    <row r="1384">
      <c r="A1384" s="16" t="str">
        <f>IFERROR(__xludf.DUMMYFUNCTION("""COMPUTED_VALUE"""),"Elhaji Abdou Leilata")</f>
        <v>Elhaji Abdou Leilata</v>
      </c>
      <c r="B1384" s="16"/>
      <c r="C1384" s="14"/>
      <c r="F1384" s="16" t="str">
        <f>IFERROR(__xludf.DUMMYFUNCTION("""COMPUTED_VALUE"""),"Kaoura goga")</f>
        <v>Kaoura goga</v>
      </c>
      <c r="G1384" s="16"/>
      <c r="H1384" s="14"/>
      <c r="K1384" s="16">
        <f>IFERROR(__xludf.DUMMYFUNCTION("""COMPUTED_VALUE"""),978.0)</f>
        <v>978</v>
      </c>
      <c r="L1384" s="16"/>
      <c r="M1384" s="14"/>
    </row>
    <row r="1385">
      <c r="A1385" s="16" t="str">
        <f>IFERROR(__xludf.DUMMYFUNCTION("""COMPUTED_VALUE"""),"Elhaji Abdou Leilata")</f>
        <v>Elhaji Abdou Leilata</v>
      </c>
      <c r="B1385" s="16"/>
      <c r="C1385" s="14"/>
      <c r="F1385" s="16" t="str">
        <f>IFERROR(__xludf.DUMMYFUNCTION("""COMPUTED_VALUE"""),"Kaoura goga")</f>
        <v>Kaoura goga</v>
      </c>
      <c r="G1385" s="16"/>
      <c r="H1385" s="14"/>
      <c r="K1385" s="16">
        <f>IFERROR(__xludf.DUMMYFUNCTION("""COMPUTED_VALUE"""),2021.0)</f>
        <v>2021</v>
      </c>
      <c r="L1385" s="16"/>
      <c r="M1385" s="14"/>
    </row>
    <row r="1386">
      <c r="A1386" s="16" t="str">
        <f>IFERROR(__xludf.DUMMYFUNCTION("""COMPUTED_VALUE"""),"Aboubacar Hamadou Manga")</f>
        <v>Aboubacar Hamadou Manga</v>
      </c>
      <c r="B1386" s="16"/>
      <c r="C1386" s="14"/>
      <c r="F1386" s="16" t="str">
        <f>IFERROR(__xludf.DUMMYFUNCTION("""COMPUTED_VALUE"""),"Kaoura goga")</f>
        <v>Kaoura goga</v>
      </c>
      <c r="G1386" s="16"/>
      <c r="H1386" s="14"/>
      <c r="K1386" s="16">
        <f>IFERROR(__xludf.DUMMYFUNCTION("""COMPUTED_VALUE"""),264.0)</f>
        <v>264</v>
      </c>
      <c r="L1386" s="16"/>
      <c r="M1386" s="14"/>
    </row>
    <row r="1387">
      <c r="A1387" s="16" t="str">
        <f>IFERROR(__xludf.DUMMYFUNCTION("""COMPUTED_VALUE"""),"Elhaji Abdou Leilata")</f>
        <v>Elhaji Abdou Leilata</v>
      </c>
      <c r="B1387" s="16"/>
      <c r="C1387" s="14"/>
      <c r="F1387" s="16" t="str">
        <f>IFERROR(__xludf.DUMMYFUNCTION("""COMPUTED_VALUE"""),"Kaoura goga")</f>
        <v>Kaoura goga</v>
      </c>
      <c r="G1387" s="16"/>
      <c r="H1387" s="14"/>
      <c r="K1387" s="16">
        <f>IFERROR(__xludf.DUMMYFUNCTION("""COMPUTED_VALUE"""),248.0)</f>
        <v>248</v>
      </c>
      <c r="L1387" s="16"/>
      <c r="M1387" s="14"/>
    </row>
    <row r="1388">
      <c r="A1388" s="16" t="str">
        <f>IFERROR(__xludf.DUMMYFUNCTION("""COMPUTED_VALUE"""),"Achirou Malam Dan Maradi Nassirou")</f>
        <v>Achirou Malam Dan Maradi Nassirou</v>
      </c>
      <c r="B1388" s="16"/>
      <c r="C1388" s="14"/>
      <c r="F1388" s="16" t="str">
        <f>IFERROR(__xludf.DUMMYFUNCTION("""COMPUTED_VALUE"""),"Kaoura goga")</f>
        <v>Kaoura goga</v>
      </c>
      <c r="G1388" s="16"/>
      <c r="H1388" s="14"/>
      <c r="K1388" s="16">
        <f>IFERROR(__xludf.DUMMYFUNCTION("""COMPUTED_VALUE"""),569.0)</f>
        <v>569</v>
      </c>
      <c r="L1388" s="16"/>
      <c r="M1388" s="14"/>
    </row>
    <row r="1389">
      <c r="A1389" s="16" t="str">
        <f>IFERROR(__xludf.DUMMYFUNCTION("""COMPUTED_VALUE"""),"Halimatou Adamou Marafa")</f>
        <v>Halimatou Adamou Marafa</v>
      </c>
      <c r="B1389" s="16"/>
      <c r="C1389" s="14"/>
      <c r="F1389" s="16" t="str">
        <f>IFERROR(__xludf.DUMMYFUNCTION("""COMPUTED_VALUE"""),"Guébin Zogui")</f>
        <v>Guébin Zogui</v>
      </c>
      <c r="G1389" s="16"/>
      <c r="H1389" s="14"/>
      <c r="K1389" s="16">
        <f>IFERROR(__xludf.DUMMYFUNCTION("""COMPUTED_VALUE"""),2919.0)</f>
        <v>2919</v>
      </c>
      <c r="L1389" s="16"/>
      <c r="M1389" s="14"/>
    </row>
    <row r="1390">
      <c r="A1390" s="16" t="str">
        <f>IFERROR(__xludf.DUMMYFUNCTION("""COMPUTED_VALUE"""),"Kimba Issa Mamoudou")</f>
        <v>Kimba Issa Mamoudou</v>
      </c>
      <c r="B1390" s="16"/>
      <c r="C1390" s="14"/>
      <c r="F1390" s="16" t="str">
        <f>IFERROR(__xludf.DUMMYFUNCTION("""COMPUTED_VALUE"""),"Guébin Zogui")</f>
        <v>Guébin Zogui</v>
      </c>
      <c r="G1390" s="16"/>
      <c r="H1390" s="14"/>
      <c r="K1390" s="16">
        <f>IFERROR(__xludf.DUMMYFUNCTION("""COMPUTED_VALUE"""),435.0)</f>
        <v>435</v>
      </c>
      <c r="L1390" s="16"/>
      <c r="M1390" s="14"/>
    </row>
    <row r="1391">
      <c r="A1391" s="16" t="str">
        <f>IFERROR(__xludf.DUMMYFUNCTION("""COMPUTED_VALUE"""),"Kimba Issa Mamoudou")</f>
        <v>Kimba Issa Mamoudou</v>
      </c>
      <c r="B1391" s="16"/>
      <c r="C1391" s="14"/>
      <c r="F1391" s="16" t="str">
        <f>IFERROR(__xludf.DUMMYFUNCTION("""COMPUTED_VALUE"""),"Sabon Sara")</f>
        <v>Sabon Sara</v>
      </c>
      <c r="G1391" s="16"/>
      <c r="H1391" s="14"/>
      <c r="K1391" s="16">
        <f>IFERROR(__xludf.DUMMYFUNCTION("""COMPUTED_VALUE"""),984.0)</f>
        <v>984</v>
      </c>
      <c r="L1391" s="16"/>
      <c r="M1391" s="14"/>
    </row>
    <row r="1392">
      <c r="A1392" s="16" t="str">
        <f>IFERROR(__xludf.DUMMYFUNCTION("""COMPUTED_VALUE"""),"Kimba Issa Mamoudou")</f>
        <v>Kimba Issa Mamoudou</v>
      </c>
      <c r="B1392" s="16"/>
      <c r="C1392" s="14"/>
      <c r="F1392" s="16" t="str">
        <f>IFERROR(__xludf.DUMMYFUNCTION("""COMPUTED_VALUE"""),"Sabon Sara")</f>
        <v>Sabon Sara</v>
      </c>
      <c r="G1392" s="16"/>
      <c r="H1392" s="14"/>
      <c r="K1392" s="16">
        <f>IFERROR(__xludf.DUMMYFUNCTION("""COMPUTED_VALUE"""),335.0)</f>
        <v>335</v>
      </c>
      <c r="L1392" s="16"/>
      <c r="M1392" s="14"/>
    </row>
    <row r="1393">
      <c r="A1393" s="16" t="str">
        <f>IFERROR(__xludf.DUMMYFUNCTION("""COMPUTED_VALUE"""),"Kimba Issa Mamoudou")</f>
        <v>Kimba Issa Mamoudou</v>
      </c>
      <c r="B1393" s="16"/>
      <c r="C1393" s="14"/>
      <c r="F1393" s="16" t="str">
        <f>IFERROR(__xludf.DUMMYFUNCTION("""COMPUTED_VALUE"""),"Sabon Sara")</f>
        <v>Sabon Sara</v>
      </c>
      <c r="G1393" s="16"/>
      <c r="H1393" s="14"/>
      <c r="K1393" s="16">
        <f>IFERROR(__xludf.DUMMYFUNCTION("""COMPUTED_VALUE"""),462.0)</f>
        <v>462</v>
      </c>
      <c r="L1393" s="16"/>
      <c r="M1393" s="14"/>
    </row>
    <row r="1394">
      <c r="A1394" s="16" t="str">
        <f>IFERROR(__xludf.DUMMYFUNCTION("""COMPUTED_VALUE"""),"Amadou Mariama")</f>
        <v>Amadou Mariama</v>
      </c>
      <c r="B1394" s="16"/>
      <c r="C1394" s="14"/>
      <c r="F1394" s="16" t="str">
        <f>IFERROR(__xludf.DUMMYFUNCTION("""COMPUTED_VALUE"""),"Guébin Zogui")</f>
        <v>Guébin Zogui</v>
      </c>
      <c r="G1394" s="16"/>
      <c r="H1394" s="14"/>
      <c r="K1394" s="16">
        <f>IFERROR(__xludf.DUMMYFUNCTION("""COMPUTED_VALUE"""),319.0)</f>
        <v>319</v>
      </c>
      <c r="L1394" s="16"/>
      <c r="M1394" s="14"/>
    </row>
    <row r="1395">
      <c r="A1395" s="16" t="str">
        <f>IFERROR(__xludf.DUMMYFUNCTION("""COMPUTED_VALUE"""),"Moussa Ide Ibrahim")</f>
        <v>Moussa Ide Ibrahim</v>
      </c>
      <c r="B1395" s="16"/>
      <c r="C1395" s="14"/>
      <c r="F1395" s="16" t="str">
        <f>IFERROR(__xludf.DUMMYFUNCTION("""COMPUTED_VALUE"""),"Guébin Zogui")</f>
        <v>Guébin Zogui</v>
      </c>
      <c r="G1395" s="16"/>
      <c r="H1395" s="14"/>
      <c r="K1395" s="16">
        <f>IFERROR(__xludf.DUMMYFUNCTION("""COMPUTED_VALUE"""),1039.0)</f>
        <v>1039</v>
      </c>
      <c r="L1395" s="16"/>
      <c r="M1395" s="14"/>
    </row>
    <row r="1396">
      <c r="A1396" s="16" t="str">
        <f>IFERROR(__xludf.DUMMYFUNCTION("""COMPUTED_VALUE"""),"Moussa Ide Ibrahim")</f>
        <v>Moussa Ide Ibrahim</v>
      </c>
      <c r="B1396" s="16"/>
      <c r="C1396" s="14"/>
      <c r="F1396" s="16" t="str">
        <f>IFERROR(__xludf.DUMMYFUNCTION("""COMPUTED_VALUE"""),"Sokolé Guidan Gaba Mahalba")</f>
        <v>Sokolé Guidan Gaba Mahalba</v>
      </c>
      <c r="G1396" s="16"/>
      <c r="H1396" s="14"/>
      <c r="K1396" s="16">
        <f>IFERROR(__xludf.DUMMYFUNCTION("""COMPUTED_VALUE"""),1121.0)</f>
        <v>1121</v>
      </c>
      <c r="L1396" s="16"/>
      <c r="M1396" s="14"/>
    </row>
    <row r="1397">
      <c r="A1397" s="16" t="str">
        <f>IFERROR(__xludf.DUMMYFUNCTION("""COMPUTED_VALUE"""),"Moussa Ide Ibrahim")</f>
        <v>Moussa Ide Ibrahim</v>
      </c>
      <c r="B1397" s="16"/>
      <c r="C1397" s="14"/>
      <c r="F1397" s="16" t="str">
        <f>IFERROR(__xludf.DUMMYFUNCTION("""COMPUTED_VALUE"""),"Satourou")</f>
        <v>Satourou</v>
      </c>
      <c r="G1397" s="16"/>
      <c r="H1397" s="14"/>
      <c r="K1397" s="16">
        <f>IFERROR(__xludf.DUMMYFUNCTION("""COMPUTED_VALUE"""),917.0)</f>
        <v>917</v>
      </c>
      <c r="L1397" s="16"/>
      <c r="M1397" s="14"/>
    </row>
    <row r="1398">
      <c r="A1398" s="16" t="str">
        <f>IFERROR(__xludf.DUMMYFUNCTION("""COMPUTED_VALUE"""),"Moussa Ide Ibrahim")</f>
        <v>Moussa Ide Ibrahim</v>
      </c>
      <c r="B1398" s="16"/>
      <c r="C1398" s="14"/>
      <c r="F1398" s="16" t="str">
        <f>IFERROR(__xludf.DUMMYFUNCTION("""COMPUTED_VALUE"""),"Galmaoua")</f>
        <v>Galmaoua</v>
      </c>
      <c r="G1398" s="16"/>
      <c r="H1398" s="14"/>
      <c r="K1398" s="16">
        <f>IFERROR(__xludf.DUMMYFUNCTION("""COMPUTED_VALUE"""),394.0)</f>
        <v>394</v>
      </c>
      <c r="L1398" s="16"/>
      <c r="M1398" s="14"/>
    </row>
    <row r="1399">
      <c r="A1399" s="16" t="str">
        <f>IFERROR(__xludf.DUMMYFUNCTION("""COMPUTED_VALUE"""),"Moussa Ide Ibrahim")</f>
        <v>Moussa Ide Ibrahim</v>
      </c>
      <c r="B1399" s="16"/>
      <c r="C1399" s="14"/>
      <c r="F1399" s="16" t="str">
        <f>IFERROR(__xludf.DUMMYFUNCTION("""COMPUTED_VALUE"""),"Galmaoua")</f>
        <v>Galmaoua</v>
      </c>
      <c r="G1399" s="16"/>
      <c r="H1399" s="14"/>
      <c r="K1399" s="16">
        <f>IFERROR(__xludf.DUMMYFUNCTION("""COMPUTED_VALUE"""),524.0)</f>
        <v>524</v>
      </c>
      <c r="L1399" s="16"/>
      <c r="M1399" s="14"/>
    </row>
    <row r="1400">
      <c r="A1400" s="16" t="str">
        <f>IFERROR(__xludf.DUMMYFUNCTION("""COMPUTED_VALUE"""),"Moussa Ide Ibrahim")</f>
        <v>Moussa Ide Ibrahim</v>
      </c>
      <c r="B1400" s="16"/>
      <c r="C1400" s="14"/>
      <c r="F1400" s="16" t="str">
        <f>IFERROR(__xludf.DUMMYFUNCTION("""COMPUTED_VALUE"""),"Satourou")</f>
        <v>Satourou</v>
      </c>
      <c r="G1400" s="16"/>
      <c r="H1400" s="14"/>
      <c r="K1400" s="16">
        <f>IFERROR(__xludf.DUMMYFUNCTION("""COMPUTED_VALUE"""),1289.0)</f>
        <v>1289</v>
      </c>
      <c r="L1400" s="16"/>
      <c r="M1400" s="14"/>
    </row>
    <row r="1401">
      <c r="A1401" s="16" t="str">
        <f>IFERROR(__xludf.DUMMYFUNCTION("""COMPUTED_VALUE"""),"Mohamadou Amadou")</f>
        <v>Mohamadou Amadou</v>
      </c>
      <c r="B1401" s="16"/>
      <c r="C1401" s="14"/>
      <c r="F1401" s="16" t="str">
        <f>IFERROR(__xludf.DUMMYFUNCTION("""COMPUTED_VALUE"""),"Bagueye")</f>
        <v>Bagueye</v>
      </c>
      <c r="G1401" s="16"/>
      <c r="H1401" s="14"/>
      <c r="K1401" s="16">
        <f>IFERROR(__xludf.DUMMYFUNCTION("""COMPUTED_VALUE"""),843.0)</f>
        <v>843</v>
      </c>
      <c r="L1401" s="16"/>
      <c r="M1401" s="14"/>
    </row>
    <row r="1402">
      <c r="A1402" s="16" t="str">
        <f>IFERROR(__xludf.DUMMYFUNCTION("""COMPUTED_VALUE"""),"Mohamadou Amadou")</f>
        <v>Mohamadou Amadou</v>
      </c>
      <c r="B1402" s="16"/>
      <c r="C1402" s="14"/>
      <c r="F1402" s="16" t="str">
        <f>IFERROR(__xludf.DUMMYFUNCTION("""COMPUTED_VALUE"""),"Galmaoua")</f>
        <v>Galmaoua</v>
      </c>
      <c r="G1402" s="16"/>
      <c r="H1402" s="14"/>
      <c r="K1402" s="16">
        <f>IFERROR(__xludf.DUMMYFUNCTION("""COMPUTED_VALUE"""),1717.0)</f>
        <v>1717</v>
      </c>
      <c r="L1402" s="16"/>
      <c r="M1402" s="14"/>
    </row>
    <row r="1403">
      <c r="A1403" s="16" t="str">
        <f>IFERROR(__xludf.DUMMYFUNCTION("""COMPUTED_VALUE"""),"Mohamadou Amadou")</f>
        <v>Mohamadou Amadou</v>
      </c>
      <c r="B1403" s="16"/>
      <c r="C1403" s="14"/>
      <c r="F1403" s="16" t="str">
        <f>IFERROR(__xludf.DUMMYFUNCTION("""COMPUTED_VALUE"""),"Moullela Guidan FoKo")</f>
        <v>Moullela Guidan FoKo</v>
      </c>
      <c r="G1403" s="16"/>
      <c r="H1403" s="14"/>
      <c r="K1403" s="16">
        <f>IFERROR(__xludf.DUMMYFUNCTION("""COMPUTED_VALUE"""),506.0)</f>
        <v>506</v>
      </c>
      <c r="L1403" s="16"/>
      <c r="M1403" s="14"/>
    </row>
    <row r="1404">
      <c r="A1404" s="16" t="str">
        <f>IFERROR(__xludf.DUMMYFUNCTION("""COMPUTED_VALUE"""),"Mohamadou Amadou")</f>
        <v>Mohamadou Amadou</v>
      </c>
      <c r="B1404" s="16"/>
      <c r="C1404" s="14"/>
      <c r="F1404" s="16" t="str">
        <f>IFERROR(__xludf.DUMMYFUNCTION("""COMPUTED_VALUE"""),"Gradoumé kori")</f>
        <v>Gradoumé kori</v>
      </c>
      <c r="G1404" s="16"/>
      <c r="H1404" s="14"/>
      <c r="K1404" s="16">
        <f>IFERROR(__xludf.DUMMYFUNCTION("""COMPUTED_VALUE"""),355.0)</f>
        <v>355</v>
      </c>
      <c r="L1404" s="16"/>
      <c r="M1404" s="14"/>
    </row>
    <row r="1405">
      <c r="A1405" s="16" t="str">
        <f>IFERROR(__xludf.DUMMYFUNCTION("""COMPUTED_VALUE"""),"Halidou Tagaza Balkissa")</f>
        <v>Halidou Tagaza Balkissa</v>
      </c>
      <c r="B1405" s="16"/>
      <c r="C1405" s="14"/>
      <c r="F1405" s="16" t="str">
        <f>IFERROR(__xludf.DUMMYFUNCTION("""COMPUTED_VALUE"""),"Gradoumé kori")</f>
        <v>Gradoumé kori</v>
      </c>
      <c r="G1405" s="16"/>
      <c r="H1405" s="14"/>
      <c r="K1405" s="16">
        <f>IFERROR(__xludf.DUMMYFUNCTION("""COMPUTED_VALUE"""),611.0)</f>
        <v>611</v>
      </c>
      <c r="L1405" s="16"/>
      <c r="M1405" s="14"/>
    </row>
    <row r="1406">
      <c r="A1406" s="16" t="str">
        <f>IFERROR(__xludf.DUMMYFUNCTION("""COMPUTED_VALUE"""),"Ibrahim Dan Habou Larwana")</f>
        <v>Ibrahim Dan Habou Larwana</v>
      </c>
      <c r="B1406" s="16"/>
      <c r="C1406" s="14"/>
      <c r="F1406" s="16" t="str">
        <f>IFERROR(__xludf.DUMMYFUNCTION("""COMPUTED_VALUE"""),"Gradoumé kori")</f>
        <v>Gradoumé kori</v>
      </c>
      <c r="G1406" s="16"/>
      <c r="H1406" s="14"/>
      <c r="K1406" s="16">
        <f>IFERROR(__xludf.DUMMYFUNCTION("""COMPUTED_VALUE"""),423.0)</f>
        <v>423</v>
      </c>
      <c r="L1406" s="16"/>
      <c r="M1406" s="14"/>
    </row>
    <row r="1407">
      <c r="A1407" s="16" t="str">
        <f>IFERROR(__xludf.DUMMYFUNCTION("""COMPUTED_VALUE"""),"Ibrahim Dan Habou Larwana")</f>
        <v>Ibrahim Dan Habou Larwana</v>
      </c>
      <c r="B1407" s="16"/>
      <c r="C1407" s="14"/>
      <c r="F1407" s="16" t="str">
        <f>IFERROR(__xludf.DUMMYFUNCTION("""COMPUTED_VALUE"""),"Gradoumé kori")</f>
        <v>Gradoumé kori</v>
      </c>
      <c r="G1407" s="16"/>
      <c r="H1407" s="14"/>
      <c r="K1407" s="16">
        <f>IFERROR(__xludf.DUMMYFUNCTION("""COMPUTED_VALUE"""),299.0)</f>
        <v>299</v>
      </c>
      <c r="L1407" s="16"/>
      <c r="M1407" s="14"/>
    </row>
    <row r="1408">
      <c r="A1408" s="16" t="str">
        <f>IFERROR(__xludf.DUMMYFUNCTION("""COMPUTED_VALUE"""),"Ibrahim Dan Habou Larwana")</f>
        <v>Ibrahim Dan Habou Larwana</v>
      </c>
      <c r="B1408" s="16"/>
      <c r="C1408" s="14"/>
      <c r="F1408" s="16" t="str">
        <f>IFERROR(__xludf.DUMMYFUNCTION("""COMPUTED_VALUE"""),"Koutoulou-Badabeye")</f>
        <v>Koutoulou-Badabeye</v>
      </c>
      <c r="G1408" s="16"/>
      <c r="H1408" s="14"/>
      <c r="K1408" s="16">
        <f>IFERROR(__xludf.DUMMYFUNCTION("""COMPUTED_VALUE"""),356.0)</f>
        <v>356</v>
      </c>
      <c r="L1408" s="16"/>
      <c r="M1408" s="14"/>
    </row>
    <row r="1409">
      <c r="A1409" s="16" t="str">
        <f>IFERROR(__xludf.DUMMYFUNCTION("""COMPUTED_VALUE"""),"Ibrahim Dan Habou Larwana")</f>
        <v>Ibrahim Dan Habou Larwana</v>
      </c>
      <c r="B1409" s="16"/>
      <c r="C1409" s="14"/>
      <c r="F1409" s="16" t="str">
        <f>IFERROR(__xludf.DUMMYFUNCTION("""COMPUTED_VALUE"""),"Moullela Guidan FoKo")</f>
        <v>Moullela Guidan FoKo</v>
      </c>
      <c r="G1409" s="16"/>
      <c r="H1409" s="14"/>
      <c r="K1409" s="16">
        <f>IFERROR(__xludf.DUMMYFUNCTION("""COMPUTED_VALUE"""),277.0)</f>
        <v>277</v>
      </c>
      <c r="L1409" s="16"/>
      <c r="M1409" s="14"/>
    </row>
    <row r="1410">
      <c r="A1410" s="16" t="str">
        <f>IFERROR(__xludf.DUMMYFUNCTION("""COMPUTED_VALUE"""),"Gaoh Maazou")</f>
        <v>Gaoh Maazou</v>
      </c>
      <c r="B1410" s="16"/>
      <c r="C1410" s="14"/>
      <c r="F1410" s="16" t="str">
        <f>IFERROR(__xludf.DUMMYFUNCTION("""COMPUTED_VALUE"""),"Gradoumé kori")</f>
        <v>Gradoumé kori</v>
      </c>
      <c r="G1410" s="16"/>
      <c r="H1410" s="14"/>
      <c r="K1410" s="16">
        <f>IFERROR(__xludf.DUMMYFUNCTION("""COMPUTED_VALUE"""),1484.0)</f>
        <v>1484</v>
      </c>
      <c r="L1410" s="16"/>
      <c r="M1410" s="14"/>
    </row>
    <row r="1411">
      <c r="A1411" s="16" t="str">
        <f>IFERROR(__xludf.DUMMYFUNCTION("""COMPUTED_VALUE"""),"Gaoh Maazou")</f>
        <v>Gaoh Maazou</v>
      </c>
      <c r="B1411" s="16"/>
      <c r="C1411" s="14"/>
      <c r="F1411" s="16" t="str">
        <f>IFERROR(__xludf.DUMMYFUNCTION("""COMPUTED_VALUE"""),"Moullela Guidan FoKo")</f>
        <v>Moullela Guidan FoKo</v>
      </c>
      <c r="G1411" s="16"/>
      <c r="H1411" s="14"/>
      <c r="K1411" s="16">
        <f>IFERROR(__xludf.DUMMYFUNCTION("""COMPUTED_VALUE"""),1492.0)</f>
        <v>1492</v>
      </c>
      <c r="L1411" s="16"/>
      <c r="M1411" s="14"/>
    </row>
    <row r="1412">
      <c r="A1412" s="16" t="str">
        <f>IFERROR(__xludf.DUMMYFUNCTION("""COMPUTED_VALUE"""),"Gaoh Maazou")</f>
        <v>Gaoh Maazou</v>
      </c>
      <c r="B1412" s="16"/>
      <c r="C1412" s="14"/>
      <c r="F1412" s="16" t="str">
        <f>IFERROR(__xludf.DUMMYFUNCTION("""COMPUTED_VALUE"""),"Moullela Guidan FoKo")</f>
        <v>Moullela Guidan FoKo</v>
      </c>
      <c r="G1412" s="16"/>
      <c r="H1412" s="14"/>
      <c r="K1412" s="16">
        <f>IFERROR(__xludf.DUMMYFUNCTION("""COMPUTED_VALUE"""),1158.0)</f>
        <v>1158</v>
      </c>
      <c r="L1412" s="16"/>
      <c r="M1412" s="14"/>
    </row>
    <row r="1413">
      <c r="A1413" s="16" t="str">
        <f>IFERROR(__xludf.DUMMYFUNCTION("""COMPUTED_VALUE"""),"Gaoh Maazou")</f>
        <v>Gaoh Maazou</v>
      </c>
      <c r="B1413" s="16"/>
      <c r="C1413" s="14"/>
      <c r="F1413" s="16" t="str">
        <f>IFERROR(__xludf.DUMMYFUNCTION("""COMPUTED_VALUE"""),"Moullela Guidan FoKo")</f>
        <v>Moullela Guidan FoKo</v>
      </c>
      <c r="G1413" s="16"/>
      <c r="H1413" s="14"/>
      <c r="K1413" s="16">
        <f>IFERROR(__xludf.DUMMYFUNCTION("""COMPUTED_VALUE"""),1135.0)</f>
        <v>1135</v>
      </c>
      <c r="L1413" s="16"/>
      <c r="M1413" s="14"/>
    </row>
    <row r="1414">
      <c r="A1414" s="16" t="str">
        <f>IFERROR(__xludf.DUMMYFUNCTION("""COMPUTED_VALUE"""),"Gaoh Maazou")</f>
        <v>Gaoh Maazou</v>
      </c>
      <c r="B1414" s="16"/>
      <c r="C1414" s="14"/>
      <c r="F1414" s="16" t="str">
        <f>IFERROR(__xludf.DUMMYFUNCTION("""COMPUTED_VALUE"""),"Moullela Guidan FoKo")</f>
        <v>Moullela Guidan FoKo</v>
      </c>
      <c r="G1414" s="16"/>
      <c r="H1414" s="14"/>
      <c r="K1414" s="16">
        <f>IFERROR(__xludf.DUMMYFUNCTION("""COMPUTED_VALUE"""),967.0)</f>
        <v>967</v>
      </c>
      <c r="L1414" s="16"/>
      <c r="M1414" s="14"/>
    </row>
    <row r="1415">
      <c r="A1415" s="16" t="str">
        <f>IFERROR(__xludf.DUMMYFUNCTION("""COMPUTED_VALUE"""),"Gaoh Maazou")</f>
        <v>Gaoh Maazou</v>
      </c>
      <c r="B1415" s="16"/>
      <c r="C1415" s="14"/>
      <c r="F1415" s="16" t="str">
        <f>IFERROR(__xludf.DUMMYFUNCTION("""COMPUTED_VALUE"""),"Moullela Guidan FoKo")</f>
        <v>Moullela Guidan FoKo</v>
      </c>
      <c r="G1415" s="16"/>
      <c r="H1415" s="14"/>
      <c r="K1415" s="16">
        <f>IFERROR(__xludf.DUMMYFUNCTION("""COMPUTED_VALUE"""),409.0)</f>
        <v>409</v>
      </c>
      <c r="L1415" s="16"/>
      <c r="M1415" s="14"/>
    </row>
    <row r="1416">
      <c r="A1416" s="16" t="str">
        <f>IFERROR(__xludf.DUMMYFUNCTION("""COMPUTED_VALUE"""),"Asmaou Tanko Issa")</f>
        <v>Asmaou Tanko Issa</v>
      </c>
      <c r="B1416" s="16"/>
      <c r="C1416" s="14"/>
      <c r="F1416" s="16" t="str">
        <f>IFERROR(__xludf.DUMMYFUNCTION("""COMPUTED_VALUE"""),"Toudou Moré")</f>
        <v>Toudou Moré</v>
      </c>
      <c r="G1416" s="16"/>
      <c r="H1416" s="14"/>
      <c r="K1416" s="16">
        <f>IFERROR(__xludf.DUMMYFUNCTION("""COMPUTED_VALUE"""),424.0)</f>
        <v>424</v>
      </c>
      <c r="L1416" s="16"/>
      <c r="M1416" s="14"/>
    </row>
    <row r="1417">
      <c r="A1417" s="16" t="str">
        <f>IFERROR(__xludf.DUMMYFUNCTION("""COMPUTED_VALUE"""),"Asmaou Tanko Issa")</f>
        <v>Asmaou Tanko Issa</v>
      </c>
      <c r="B1417" s="16"/>
      <c r="C1417" s="14"/>
      <c r="F1417" s="16" t="str">
        <f>IFERROR(__xludf.DUMMYFUNCTION("""COMPUTED_VALUE"""),"Toudou Moré")</f>
        <v>Toudou Moré</v>
      </c>
      <c r="G1417" s="16"/>
      <c r="H1417" s="14"/>
      <c r="K1417" s="16">
        <f>IFERROR(__xludf.DUMMYFUNCTION("""COMPUTED_VALUE"""),1019.0)</f>
        <v>1019</v>
      </c>
      <c r="L1417" s="16"/>
      <c r="M1417" s="14"/>
    </row>
    <row r="1418">
      <c r="A1418" s="16" t="str">
        <f>IFERROR(__xludf.DUMMYFUNCTION("""COMPUTED_VALUE"""),"Yacouba Idé dit Lumana")</f>
        <v>Yacouba Idé dit Lumana</v>
      </c>
      <c r="B1418" s="16"/>
      <c r="C1418" s="14"/>
      <c r="F1418" s="16" t="str">
        <f>IFERROR(__xludf.DUMMYFUNCTION("""COMPUTED_VALUE"""),"Toudou Moré")</f>
        <v>Toudou Moré</v>
      </c>
      <c r="G1418" s="16"/>
      <c r="H1418" s="14"/>
      <c r="K1418" s="16">
        <f>IFERROR(__xludf.DUMMYFUNCTION("""COMPUTED_VALUE"""),819.0)</f>
        <v>819</v>
      </c>
      <c r="L1418" s="16"/>
      <c r="M1418" s="14"/>
    </row>
    <row r="1419">
      <c r="A1419" s="16" t="str">
        <f>IFERROR(__xludf.DUMMYFUNCTION("""COMPUTED_VALUE"""),"Yacouba Idé dit Lumana")</f>
        <v>Yacouba Idé dit Lumana</v>
      </c>
      <c r="B1419" s="16"/>
      <c r="C1419" s="14"/>
      <c r="F1419" s="16" t="str">
        <f>IFERROR(__xludf.DUMMYFUNCTION("""COMPUTED_VALUE"""),"Guébin Zogui")</f>
        <v>Guébin Zogui</v>
      </c>
      <c r="G1419" s="16"/>
      <c r="H1419" s="14"/>
      <c r="K1419" s="16">
        <f>IFERROR(__xludf.DUMMYFUNCTION("""COMPUTED_VALUE"""),724.0)</f>
        <v>724</v>
      </c>
      <c r="L1419" s="16"/>
      <c r="M1419" s="14"/>
    </row>
    <row r="1420">
      <c r="A1420" s="16" t="str">
        <f>IFERROR(__xludf.DUMMYFUNCTION("""COMPUTED_VALUE"""),"Yacouba Idé dit Lumana")</f>
        <v>Yacouba Idé dit Lumana</v>
      </c>
      <c r="B1420" s="16"/>
      <c r="C1420" s="14"/>
      <c r="F1420" s="16" t="str">
        <f>IFERROR(__xludf.DUMMYFUNCTION("""COMPUTED_VALUE"""),"Guébin Zogui")</f>
        <v>Guébin Zogui</v>
      </c>
      <c r="G1420" s="16"/>
      <c r="H1420" s="14"/>
      <c r="K1420" s="16">
        <f>IFERROR(__xludf.DUMMYFUNCTION("""COMPUTED_VALUE"""),588.0)</f>
        <v>588</v>
      </c>
      <c r="L1420" s="16"/>
      <c r="M1420" s="14"/>
    </row>
    <row r="1421">
      <c r="A1421" s="16" t="str">
        <f>IFERROR(__xludf.DUMMYFUNCTION("""COMPUTED_VALUE"""),"Yacouba Idé dit Lumana")</f>
        <v>Yacouba Idé dit Lumana</v>
      </c>
      <c r="B1421" s="16"/>
      <c r="C1421" s="14"/>
      <c r="F1421" s="16" t="str">
        <f>IFERROR(__xludf.DUMMYFUNCTION("""COMPUTED_VALUE"""),"Guébin Zogui")</f>
        <v>Guébin Zogui</v>
      </c>
      <c r="G1421" s="16"/>
      <c r="H1421" s="14"/>
      <c r="K1421" s="16">
        <f>IFERROR(__xludf.DUMMYFUNCTION("""COMPUTED_VALUE"""),662.0)</f>
        <v>662</v>
      </c>
      <c r="L1421" s="16"/>
      <c r="M1421" s="14"/>
    </row>
    <row r="1422">
      <c r="A1422" s="16" t="str">
        <f>IFERROR(__xludf.DUMMYFUNCTION("""COMPUTED_VALUE"""),"Yacouba Idé dit Lumana")</f>
        <v>Yacouba Idé dit Lumana</v>
      </c>
      <c r="B1422" s="16"/>
      <c r="C1422" s="14"/>
      <c r="F1422" s="16" t="str">
        <f>IFERROR(__xludf.DUMMYFUNCTION("""COMPUTED_VALUE"""),"Toudou Moré")</f>
        <v>Toudou Moré</v>
      </c>
      <c r="G1422" s="16"/>
      <c r="H1422" s="14"/>
      <c r="K1422" s="16">
        <f>IFERROR(__xludf.DUMMYFUNCTION("""COMPUTED_VALUE"""),297.0)</f>
        <v>297</v>
      </c>
      <c r="L1422" s="16"/>
      <c r="M1422" s="14"/>
    </row>
    <row r="1423">
      <c r="A1423" s="16" t="str">
        <f>IFERROR(__xludf.DUMMYFUNCTION("""COMPUTED_VALUE"""),"Asmaou Tanko Issa")</f>
        <v>Asmaou Tanko Issa</v>
      </c>
      <c r="B1423" s="16"/>
      <c r="C1423" s="14"/>
      <c r="F1423" s="16" t="str">
        <f>IFERROR(__xludf.DUMMYFUNCTION("""COMPUTED_VALUE"""),"Guébin Zogui")</f>
        <v>Guébin Zogui</v>
      </c>
      <c r="G1423" s="16"/>
      <c r="H1423" s="14"/>
      <c r="K1423" s="16">
        <f>IFERROR(__xludf.DUMMYFUNCTION("""COMPUTED_VALUE"""),765.0)</f>
        <v>765</v>
      </c>
      <c r="L1423" s="16"/>
      <c r="M1423" s="14"/>
    </row>
    <row r="1424">
      <c r="A1424" s="16" t="str">
        <f>IFERROR(__xludf.DUMMYFUNCTION("""COMPUTED_VALUE"""),"Gaoh Maazou")</f>
        <v>Gaoh Maazou</v>
      </c>
      <c r="B1424" s="16"/>
      <c r="C1424" s="14"/>
      <c r="F1424" s="16" t="str">
        <f>IFERROR(__xludf.DUMMYFUNCTION("""COMPUTED_VALUE"""),"Guébin Zogui")</f>
        <v>Guébin Zogui</v>
      </c>
      <c r="G1424" s="16"/>
      <c r="H1424" s="14"/>
      <c r="K1424" s="16">
        <f>IFERROR(__xludf.DUMMYFUNCTION("""COMPUTED_VALUE"""),344.0)</f>
        <v>344</v>
      </c>
      <c r="L1424" s="16"/>
      <c r="M1424" s="14"/>
    </row>
    <row r="1425">
      <c r="A1425" s="16" t="str">
        <f>IFERROR(__xludf.DUMMYFUNCTION("""COMPUTED_VALUE"""),"Abdoul Salami Ibrahim")</f>
        <v>Abdoul Salami Ibrahim</v>
      </c>
      <c r="B1425" s="16"/>
      <c r="C1425" s="14"/>
      <c r="F1425" s="16" t="str">
        <f>IFERROR(__xludf.DUMMYFUNCTION("""COMPUTED_VALUE"""),"Guébin Zogui")</f>
        <v>Guébin Zogui</v>
      </c>
      <c r="G1425" s="16"/>
      <c r="H1425" s="14"/>
      <c r="K1425" s="16">
        <f>IFERROR(__xludf.DUMMYFUNCTION("""COMPUTED_VALUE"""),1776.0)</f>
        <v>1776</v>
      </c>
      <c r="L1425" s="16"/>
      <c r="M1425" s="14"/>
    </row>
    <row r="1426">
      <c r="A1426" s="16" t="str">
        <f>IFERROR(__xludf.DUMMYFUNCTION("""COMPUTED_VALUE"""),"Abdoul Salami Ibrahim")</f>
        <v>Abdoul Salami Ibrahim</v>
      </c>
      <c r="B1426" s="16"/>
      <c r="C1426" s="14"/>
      <c r="F1426" s="16" t="str">
        <f>IFERROR(__xludf.DUMMYFUNCTION("""COMPUTED_VALUE"""),"Guébin Zogui")</f>
        <v>Guébin Zogui</v>
      </c>
      <c r="G1426" s="16"/>
      <c r="H1426" s="14"/>
      <c r="K1426" s="16">
        <f>IFERROR(__xludf.DUMMYFUNCTION("""COMPUTED_VALUE"""),558.0)</f>
        <v>558</v>
      </c>
      <c r="L1426" s="16"/>
      <c r="M1426" s="14"/>
    </row>
    <row r="1427">
      <c r="A1427" s="16" t="str">
        <f>IFERROR(__xludf.DUMMYFUNCTION("""COMPUTED_VALUE"""),"Abdoul Salami Ibrahim")</f>
        <v>Abdoul Salami Ibrahim</v>
      </c>
      <c r="B1427" s="16"/>
      <c r="C1427" s="14"/>
      <c r="F1427" s="16" t="str">
        <f>IFERROR(__xludf.DUMMYFUNCTION("""COMPUTED_VALUE"""),"Guébin Zogui")</f>
        <v>Guébin Zogui</v>
      </c>
      <c r="G1427" s="16"/>
      <c r="H1427" s="14"/>
      <c r="K1427" s="16">
        <f>IFERROR(__xludf.DUMMYFUNCTION("""COMPUTED_VALUE"""),512.0)</f>
        <v>512</v>
      </c>
      <c r="L1427" s="16"/>
      <c r="M1427" s="14"/>
    </row>
    <row r="1428">
      <c r="A1428" s="16" t="str">
        <f>IFERROR(__xludf.DUMMYFUNCTION("""COMPUTED_VALUE"""),"Abdoul Salami Ibrahim")</f>
        <v>Abdoul Salami Ibrahim</v>
      </c>
      <c r="B1428" s="16"/>
      <c r="C1428" s="14"/>
      <c r="F1428" s="16" t="str">
        <f>IFERROR(__xludf.DUMMYFUNCTION("""COMPUTED_VALUE"""),"Guébin Zogui")</f>
        <v>Guébin Zogui</v>
      </c>
      <c r="G1428" s="16"/>
      <c r="H1428" s="14"/>
      <c r="K1428" s="16">
        <f>IFERROR(__xludf.DUMMYFUNCTION("""COMPUTED_VALUE"""),467.0)</f>
        <v>467</v>
      </c>
      <c r="L1428" s="16"/>
      <c r="M1428" s="14"/>
    </row>
    <row r="1429">
      <c r="A1429" s="16" t="str">
        <f>IFERROR(__xludf.DUMMYFUNCTION("""COMPUTED_VALUE"""),"Abdoul Salami Ibrahim")</f>
        <v>Abdoul Salami Ibrahim</v>
      </c>
      <c r="B1429" s="16"/>
      <c r="C1429" s="14"/>
      <c r="F1429" s="16" t="str">
        <f>IFERROR(__xludf.DUMMYFUNCTION("""COMPUTED_VALUE"""),"Guébin Zogui")</f>
        <v>Guébin Zogui</v>
      </c>
      <c r="G1429" s="16"/>
      <c r="H1429" s="14"/>
      <c r="K1429" s="16">
        <f>IFERROR(__xludf.DUMMYFUNCTION("""COMPUTED_VALUE"""),1275.0)</f>
        <v>1275</v>
      </c>
      <c r="L1429" s="16"/>
      <c r="M1429" s="14"/>
    </row>
    <row r="1430">
      <c r="A1430" s="16" t="str">
        <f>IFERROR(__xludf.DUMMYFUNCTION("""COMPUTED_VALUE"""),"Saddy Youssouf")</f>
        <v>Saddy Youssouf</v>
      </c>
      <c r="B1430" s="16"/>
      <c r="C1430" s="14"/>
      <c r="F1430" s="16" t="str">
        <f>IFERROR(__xludf.DUMMYFUNCTION("""COMPUTED_VALUE"""),"Guébin Zogui")</f>
        <v>Guébin Zogui</v>
      </c>
      <c r="G1430" s="16"/>
      <c r="H1430" s="14"/>
      <c r="K1430" s="16">
        <f>IFERROR(__xludf.DUMMYFUNCTION("""COMPUTED_VALUE"""),501.0)</f>
        <v>501</v>
      </c>
      <c r="L1430" s="16"/>
      <c r="M1430" s="14"/>
    </row>
    <row r="1431">
      <c r="A1431" s="16" t="str">
        <f>IFERROR(__xludf.DUMMYFUNCTION("""COMPUTED_VALUE"""),"Saddy Youssouf")</f>
        <v>Saddy Youssouf</v>
      </c>
      <c r="B1431" s="16"/>
      <c r="C1431" s="14"/>
      <c r="F1431" s="16" t="str">
        <f>IFERROR(__xludf.DUMMYFUNCTION("""COMPUTED_VALUE"""),"Samo II")</f>
        <v>Samo II</v>
      </c>
      <c r="G1431" s="16"/>
      <c r="H1431" s="14"/>
      <c r="K1431" s="16">
        <f>IFERROR(__xludf.DUMMYFUNCTION("""COMPUTED_VALUE"""),1422.0)</f>
        <v>1422</v>
      </c>
      <c r="L1431" s="16"/>
      <c r="M1431" s="14"/>
    </row>
    <row r="1432">
      <c r="A1432" s="16" t="str">
        <f>IFERROR(__xludf.DUMMYFUNCTION("""COMPUTED_VALUE"""),"Saddy Youssouf")</f>
        <v>Saddy Youssouf</v>
      </c>
      <c r="B1432" s="16"/>
      <c r="C1432" s="14"/>
      <c r="F1432" s="16" t="str">
        <f>IFERROR(__xludf.DUMMYFUNCTION("""COMPUTED_VALUE"""),"Samo II")</f>
        <v>Samo II</v>
      </c>
      <c r="G1432" s="16"/>
      <c r="H1432" s="14"/>
      <c r="K1432" s="16">
        <f>IFERROR(__xludf.DUMMYFUNCTION("""COMPUTED_VALUE"""),288.0)</f>
        <v>288</v>
      </c>
      <c r="L1432" s="16"/>
      <c r="M1432" s="14"/>
    </row>
    <row r="1433">
      <c r="A1433" s="16" t="str">
        <f>IFERROR(__xludf.DUMMYFUNCTION("""COMPUTED_VALUE"""),"Saddy Youssouf")</f>
        <v>Saddy Youssouf</v>
      </c>
      <c r="B1433" s="16"/>
      <c r="C1433" s="14"/>
      <c r="F1433" s="16" t="str">
        <f>IFERROR(__xludf.DUMMYFUNCTION("""COMPUTED_VALUE"""),"Samo II")</f>
        <v>Samo II</v>
      </c>
      <c r="G1433" s="16"/>
      <c r="H1433" s="14"/>
      <c r="K1433" s="16">
        <f>IFERROR(__xludf.DUMMYFUNCTION("""COMPUTED_VALUE"""),619.0)</f>
        <v>619</v>
      </c>
      <c r="L1433" s="16"/>
      <c r="M1433" s="14"/>
    </row>
    <row r="1434">
      <c r="A1434" s="16" t="str">
        <f>IFERROR(__xludf.DUMMYFUNCTION("""COMPUTED_VALUE"""),"ALASSANE TAWEY AWALOU")</f>
        <v>ALASSANE TAWEY AWALOU</v>
      </c>
      <c r="B1434" s="16"/>
      <c r="C1434" s="14"/>
      <c r="F1434" s="16" t="str">
        <f>IFERROR(__xludf.DUMMYFUNCTION("""COMPUTED_VALUE"""),"Samo II")</f>
        <v>Samo II</v>
      </c>
      <c r="G1434" s="16"/>
      <c r="H1434" s="14"/>
      <c r="K1434" s="16">
        <f>IFERROR(__xludf.DUMMYFUNCTION("""COMPUTED_VALUE"""),720.0)</f>
        <v>720</v>
      </c>
      <c r="L1434" s="16"/>
      <c r="M1434" s="14"/>
    </row>
    <row r="1435">
      <c r="A1435" s="16" t="str">
        <f>IFERROR(__xludf.DUMMYFUNCTION("""COMPUTED_VALUE"""),"ALASSANE TAWEY AWALOU")</f>
        <v>ALASSANE TAWEY AWALOU</v>
      </c>
      <c r="B1435" s="16"/>
      <c r="C1435" s="14"/>
      <c r="F1435" s="16" t="str">
        <f>IFERROR(__xludf.DUMMYFUNCTION("""COMPUTED_VALUE"""),"Samo II")</f>
        <v>Samo II</v>
      </c>
      <c r="G1435" s="16"/>
      <c r="H1435" s="14"/>
      <c r="K1435" s="16">
        <f>IFERROR(__xludf.DUMMYFUNCTION("""COMPUTED_VALUE"""),1028.0)</f>
        <v>1028</v>
      </c>
      <c r="L1435" s="16"/>
      <c r="M1435" s="14"/>
    </row>
    <row r="1436">
      <c r="A1436" s="16" t="str">
        <f>IFERROR(__xludf.DUMMYFUNCTION("""COMPUTED_VALUE"""),"ALASSANE TAWEY AWALOU")</f>
        <v>ALASSANE TAWEY AWALOU</v>
      </c>
      <c r="B1436" s="16"/>
      <c r="C1436" s="14"/>
      <c r="F1436" s="16" t="str">
        <f>IFERROR(__xludf.DUMMYFUNCTION("""COMPUTED_VALUE"""),"Samo II")</f>
        <v>Samo II</v>
      </c>
      <c r="G1436" s="16"/>
      <c r="H1436" s="14"/>
      <c r="K1436" s="16">
        <f>IFERROR(__xludf.DUMMYFUNCTION("""COMPUTED_VALUE"""),1149.0)</f>
        <v>1149</v>
      </c>
      <c r="L1436" s="16"/>
      <c r="M1436" s="14"/>
    </row>
    <row r="1437">
      <c r="A1437" s="16" t="str">
        <f>IFERROR(__xludf.DUMMYFUNCTION("""COMPUTED_VALUE"""),"ALASSANE TAWEY AWALOU")</f>
        <v>ALASSANE TAWEY AWALOU</v>
      </c>
      <c r="B1437" s="16"/>
      <c r="C1437" s="14"/>
      <c r="F1437" s="16" t="str">
        <f>IFERROR(__xludf.DUMMYFUNCTION("""COMPUTED_VALUE"""),"Samo II")</f>
        <v>Samo II</v>
      </c>
      <c r="G1437" s="16"/>
      <c r="H1437" s="14"/>
      <c r="K1437" s="16">
        <f>IFERROR(__xludf.DUMMYFUNCTION("""COMPUTED_VALUE"""),834.0)</f>
        <v>834</v>
      </c>
      <c r="L1437" s="16"/>
      <c r="M1437" s="14"/>
    </row>
    <row r="1438">
      <c r="A1438" s="16" t="str">
        <f>IFERROR(__xludf.DUMMYFUNCTION("""COMPUTED_VALUE"""),"ALASSANE TAWEY AWALOU")</f>
        <v>ALASSANE TAWEY AWALOU</v>
      </c>
      <c r="B1438" s="16"/>
      <c r="C1438" s="14"/>
      <c r="F1438" s="16" t="str">
        <f>IFERROR(__xludf.DUMMYFUNCTION("""COMPUTED_VALUE"""),"Samo II")</f>
        <v>Samo II</v>
      </c>
      <c r="G1438" s="16"/>
      <c r="H1438" s="14"/>
      <c r="K1438" s="16">
        <f>IFERROR(__xludf.DUMMYFUNCTION("""COMPUTED_VALUE"""),1696.0)</f>
        <v>1696</v>
      </c>
      <c r="L1438" s="16"/>
      <c r="M1438" s="14"/>
    </row>
    <row r="1439">
      <c r="A1439" s="16" t="str">
        <f>IFERROR(__xludf.DUMMYFUNCTION("""COMPUTED_VALUE"""),"ALASSANE TAWEY AWALOU")</f>
        <v>ALASSANE TAWEY AWALOU</v>
      </c>
      <c r="B1439" s="16"/>
      <c r="C1439" s="14"/>
      <c r="F1439" s="16" t="str">
        <f>IFERROR(__xludf.DUMMYFUNCTION("""COMPUTED_VALUE"""),"Samo II")</f>
        <v>Samo II</v>
      </c>
      <c r="G1439" s="16"/>
      <c r="H1439" s="14"/>
      <c r="K1439" s="16">
        <f>IFERROR(__xludf.DUMMYFUNCTION("""COMPUTED_VALUE"""),1410.0)</f>
        <v>1410</v>
      </c>
      <c r="L1439" s="16"/>
      <c r="M1439" s="14"/>
    </row>
    <row r="1440">
      <c r="A1440" s="16" t="str">
        <f>IFERROR(__xludf.DUMMYFUNCTION("""COMPUTED_VALUE"""),"ALASSANE TAWEY AWALOU")</f>
        <v>ALASSANE TAWEY AWALOU</v>
      </c>
      <c r="B1440" s="16"/>
      <c r="C1440" s="14"/>
      <c r="F1440" s="16" t="str">
        <f>IFERROR(__xludf.DUMMYFUNCTION("""COMPUTED_VALUE"""),"Samo II")</f>
        <v>Samo II</v>
      </c>
      <c r="G1440" s="16"/>
      <c r="H1440" s="14"/>
      <c r="K1440" s="16">
        <f>IFERROR(__xludf.DUMMYFUNCTION("""COMPUTED_VALUE"""),610.0)</f>
        <v>610</v>
      </c>
      <c r="L1440" s="16"/>
      <c r="M1440" s="14"/>
    </row>
    <row r="1441">
      <c r="A1441" s="16" t="str">
        <f>IFERROR(__xludf.DUMMYFUNCTION("""COMPUTED_VALUE"""),"Razinatou Salissou")</f>
        <v>Razinatou Salissou</v>
      </c>
      <c r="B1441" s="16"/>
      <c r="C1441" s="14"/>
      <c r="F1441" s="16" t="str">
        <f>IFERROR(__xludf.DUMMYFUNCTION("""COMPUTED_VALUE"""),"Samo II")</f>
        <v>Samo II</v>
      </c>
      <c r="G1441" s="16"/>
      <c r="H1441" s="14"/>
      <c r="K1441" s="16">
        <f>IFERROR(__xludf.DUMMYFUNCTION("""COMPUTED_VALUE"""),1276.0)</f>
        <v>1276</v>
      </c>
      <c r="L1441" s="16"/>
      <c r="M1441" s="14"/>
    </row>
    <row r="1442">
      <c r="A1442" s="16" t="str">
        <f>IFERROR(__xludf.DUMMYFUNCTION("""COMPUTED_VALUE"""),"Razinatou Salissou")</f>
        <v>Razinatou Salissou</v>
      </c>
      <c r="B1442" s="16"/>
      <c r="C1442" s="14"/>
      <c r="F1442" s="16" t="str">
        <f>IFERROR(__xludf.DUMMYFUNCTION("""COMPUTED_VALUE"""),"Samo II")</f>
        <v>Samo II</v>
      </c>
      <c r="G1442" s="16"/>
      <c r="H1442" s="14"/>
      <c r="K1442" s="16">
        <f>IFERROR(__xludf.DUMMYFUNCTION("""COMPUTED_VALUE"""),1435.0)</f>
        <v>1435</v>
      </c>
      <c r="L1442" s="16"/>
      <c r="M1442" s="14"/>
    </row>
    <row r="1443">
      <c r="A1443" s="16" t="str">
        <f>IFERROR(__xludf.DUMMYFUNCTION("""COMPUTED_VALUE"""),"Razinatou Salissou")</f>
        <v>Razinatou Salissou</v>
      </c>
      <c r="B1443" s="16"/>
      <c r="C1443" s="14"/>
      <c r="F1443" s="16" t="str">
        <f>IFERROR(__xludf.DUMMYFUNCTION("""COMPUTED_VALUE"""),"Samo II")</f>
        <v>Samo II</v>
      </c>
      <c r="G1443" s="16"/>
      <c r="H1443" s="14"/>
      <c r="K1443" s="16">
        <f>IFERROR(__xludf.DUMMYFUNCTION("""COMPUTED_VALUE"""),405.0)</f>
        <v>405</v>
      </c>
      <c r="L1443" s="16"/>
      <c r="M1443" s="14"/>
    </row>
    <row r="1444">
      <c r="A1444" s="16" t="str">
        <f>IFERROR(__xludf.DUMMYFUNCTION("""COMPUTED_VALUE"""),"Saddy Youssouf")</f>
        <v>Saddy Youssouf</v>
      </c>
      <c r="B1444" s="16"/>
      <c r="C1444" s="14"/>
      <c r="F1444" s="16" t="str">
        <f>IFERROR(__xludf.DUMMYFUNCTION("""COMPUTED_VALUE"""),"Samo I")</f>
        <v>Samo I</v>
      </c>
      <c r="G1444" s="16"/>
      <c r="H1444" s="14"/>
      <c r="K1444" s="16">
        <f>IFERROR(__xludf.DUMMYFUNCTION("""COMPUTED_VALUE"""),745.0)</f>
        <v>745</v>
      </c>
      <c r="L1444" s="16"/>
      <c r="M1444" s="14"/>
    </row>
    <row r="1445">
      <c r="A1445" s="16" t="str">
        <f>IFERROR(__xludf.DUMMYFUNCTION("""COMPUTED_VALUE"""),"Saddy Youssouf")</f>
        <v>Saddy Youssouf</v>
      </c>
      <c r="B1445" s="16"/>
      <c r="C1445" s="14"/>
      <c r="F1445" s="16" t="str">
        <f>IFERROR(__xludf.DUMMYFUNCTION("""COMPUTED_VALUE"""),"Samo I")</f>
        <v>Samo I</v>
      </c>
      <c r="G1445" s="16"/>
      <c r="H1445" s="14"/>
      <c r="K1445" s="16">
        <f>IFERROR(__xludf.DUMMYFUNCTION("""COMPUTED_VALUE"""),736.0)</f>
        <v>736</v>
      </c>
      <c r="L1445" s="16"/>
      <c r="M1445" s="14"/>
    </row>
    <row r="1446">
      <c r="A1446" s="16" t="str">
        <f>IFERROR(__xludf.DUMMYFUNCTION("""COMPUTED_VALUE"""),"Saddy Youssouf")</f>
        <v>Saddy Youssouf</v>
      </c>
      <c r="B1446" s="16"/>
      <c r="C1446" s="14"/>
      <c r="F1446" s="16" t="str">
        <f>IFERROR(__xludf.DUMMYFUNCTION("""COMPUTED_VALUE"""),"Samo I")</f>
        <v>Samo I</v>
      </c>
      <c r="G1446" s="16"/>
      <c r="H1446" s="14"/>
      <c r="K1446" s="16">
        <f>IFERROR(__xludf.DUMMYFUNCTION("""COMPUTED_VALUE"""),617.0)</f>
        <v>617</v>
      </c>
      <c r="L1446" s="16"/>
      <c r="M1446" s="14"/>
    </row>
    <row r="1447">
      <c r="A1447" s="16" t="str">
        <f>IFERROR(__xludf.DUMMYFUNCTION("""COMPUTED_VALUE"""),"Saddy Youssouf")</f>
        <v>Saddy Youssouf</v>
      </c>
      <c r="B1447" s="16"/>
      <c r="C1447" s="14"/>
      <c r="F1447" s="16" t="str">
        <f>IFERROR(__xludf.DUMMYFUNCTION("""COMPUTED_VALUE"""),"Samo I")</f>
        <v>Samo I</v>
      </c>
      <c r="G1447" s="16"/>
      <c r="H1447" s="14"/>
      <c r="K1447" s="16">
        <f>IFERROR(__xludf.DUMMYFUNCTION("""COMPUTED_VALUE"""),517.0)</f>
        <v>517</v>
      </c>
      <c r="L1447" s="16"/>
      <c r="M1447" s="14"/>
    </row>
    <row r="1448">
      <c r="A1448" s="16" t="str">
        <f>IFERROR(__xludf.DUMMYFUNCTION("""COMPUTED_VALUE"""),"Ouhoumoudou Djannou Ibrahim")</f>
        <v>Ouhoumoudou Djannou Ibrahim</v>
      </c>
      <c r="B1448" s="16"/>
      <c r="C1448" s="14"/>
      <c r="F1448" s="16" t="str">
        <f>IFERROR(__xludf.DUMMYFUNCTION("""COMPUTED_VALUE"""),"Samo I")</f>
        <v>Samo I</v>
      </c>
      <c r="G1448" s="16"/>
      <c r="H1448" s="14"/>
      <c r="K1448" s="16">
        <f>IFERROR(__xludf.DUMMYFUNCTION("""COMPUTED_VALUE"""),616.0)</f>
        <v>616</v>
      </c>
      <c r="L1448" s="16"/>
      <c r="M1448" s="14"/>
    </row>
    <row r="1449">
      <c r="A1449" s="16" t="str">
        <f>IFERROR(__xludf.DUMMYFUNCTION("""COMPUTED_VALUE"""),"Ouhoumoudou Djannou Ibrahim")</f>
        <v>Ouhoumoudou Djannou Ibrahim</v>
      </c>
      <c r="B1449" s="16"/>
      <c r="C1449" s="14"/>
      <c r="F1449" s="16" t="str">
        <f>IFERROR(__xludf.DUMMYFUNCTION("""COMPUTED_VALUE"""),"Samo I")</f>
        <v>Samo I</v>
      </c>
      <c r="G1449" s="16"/>
      <c r="H1449" s="14"/>
      <c r="K1449" s="16">
        <f>IFERROR(__xludf.DUMMYFUNCTION("""COMPUTED_VALUE"""),792.0)</f>
        <v>792</v>
      </c>
      <c r="L1449" s="16"/>
      <c r="M1449" s="14"/>
    </row>
    <row r="1450">
      <c r="A1450" s="16" t="str">
        <f>IFERROR(__xludf.DUMMYFUNCTION("""COMPUTED_VALUE"""),"Ouhoumoudou Djannou Ibrahim")</f>
        <v>Ouhoumoudou Djannou Ibrahim</v>
      </c>
      <c r="B1450" s="16"/>
      <c r="C1450" s="14"/>
      <c r="F1450" s="16" t="str">
        <f>IFERROR(__xludf.DUMMYFUNCTION("""COMPUTED_VALUE"""),"Samo I")</f>
        <v>Samo I</v>
      </c>
      <c r="G1450" s="16"/>
      <c r="H1450" s="14"/>
      <c r="K1450" s="16">
        <f>IFERROR(__xludf.DUMMYFUNCTION("""COMPUTED_VALUE"""),698.0)</f>
        <v>698</v>
      </c>
      <c r="L1450" s="16"/>
      <c r="M1450" s="14"/>
    </row>
    <row r="1451">
      <c r="A1451" s="16" t="str">
        <f>IFERROR(__xludf.DUMMYFUNCTION("""COMPUTED_VALUE"""),"Ouhoumoudou Djannou Ibrahim")</f>
        <v>Ouhoumoudou Djannou Ibrahim</v>
      </c>
      <c r="B1451" s="16"/>
      <c r="C1451" s="14"/>
      <c r="F1451" s="16" t="str">
        <f>IFERROR(__xludf.DUMMYFUNCTION("""COMPUTED_VALUE"""),"Samo I")</f>
        <v>Samo I</v>
      </c>
      <c r="G1451" s="16"/>
      <c r="H1451" s="14"/>
      <c r="K1451" s="16">
        <f>IFERROR(__xludf.DUMMYFUNCTION("""COMPUTED_VALUE"""),958.0)</f>
        <v>958</v>
      </c>
      <c r="L1451" s="16"/>
      <c r="M1451" s="14"/>
    </row>
    <row r="1452">
      <c r="A1452" s="16" t="str">
        <f>IFERROR(__xludf.DUMMYFUNCTION("""COMPUTED_VALUE"""),"Ouhoumoudou Djannou Ibrahim")</f>
        <v>Ouhoumoudou Djannou Ibrahim</v>
      </c>
      <c r="B1452" s="16"/>
      <c r="C1452" s="14"/>
      <c r="F1452" s="16" t="str">
        <f>IFERROR(__xludf.DUMMYFUNCTION("""COMPUTED_VALUE"""),"Samo I")</f>
        <v>Samo I</v>
      </c>
      <c r="G1452" s="16"/>
      <c r="H1452" s="14"/>
      <c r="K1452" s="16">
        <f>IFERROR(__xludf.DUMMYFUNCTION("""COMPUTED_VALUE"""),666.0)</f>
        <v>666</v>
      </c>
      <c r="L1452" s="16"/>
      <c r="M1452" s="14"/>
    </row>
    <row r="1453">
      <c r="A1453" s="16" t="str">
        <f>IFERROR(__xludf.DUMMYFUNCTION("""COMPUTED_VALUE"""),"Ouhoumoudou Djannou Ibrahim")</f>
        <v>Ouhoumoudou Djannou Ibrahim</v>
      </c>
      <c r="B1453" s="16"/>
      <c r="C1453" s="14"/>
      <c r="F1453" s="16" t="str">
        <f>IFERROR(__xludf.DUMMYFUNCTION("""COMPUTED_VALUE"""),"Samo I")</f>
        <v>Samo I</v>
      </c>
      <c r="G1453" s="16"/>
      <c r="H1453" s="14"/>
      <c r="K1453" s="16">
        <f>IFERROR(__xludf.DUMMYFUNCTION("""COMPUTED_VALUE"""),2149.0)</f>
        <v>2149</v>
      </c>
      <c r="L1453" s="16"/>
      <c r="M1453" s="14"/>
    </row>
    <row r="1454">
      <c r="A1454" s="16" t="str">
        <f>IFERROR(__xludf.DUMMYFUNCTION("""COMPUTED_VALUE"""),"Hachimou Rabiou Mamoudou")</f>
        <v>Hachimou Rabiou Mamoudou</v>
      </c>
      <c r="B1454" s="16"/>
      <c r="C1454" s="14"/>
      <c r="F1454" s="16" t="str">
        <f>IFERROR(__xludf.DUMMYFUNCTION("""COMPUTED_VALUE"""),"Samo I")</f>
        <v>Samo I</v>
      </c>
      <c r="G1454" s="16"/>
      <c r="H1454" s="14"/>
      <c r="K1454" s="16">
        <f>IFERROR(__xludf.DUMMYFUNCTION("""COMPUTED_VALUE"""),1666.0)</f>
        <v>1666</v>
      </c>
      <c r="L1454" s="16"/>
      <c r="M1454" s="14"/>
    </row>
    <row r="1455">
      <c r="A1455" s="16" t="str">
        <f>IFERROR(__xludf.DUMMYFUNCTION("""COMPUTED_VALUE"""),"Hachimou Rabiou Mamoudou")</f>
        <v>Hachimou Rabiou Mamoudou</v>
      </c>
      <c r="B1455" s="16"/>
      <c r="C1455" s="14"/>
      <c r="F1455" s="16" t="str">
        <f>IFERROR(__xludf.DUMMYFUNCTION("""COMPUTED_VALUE"""),"Samo I")</f>
        <v>Samo I</v>
      </c>
      <c r="G1455" s="16"/>
      <c r="H1455" s="14"/>
      <c r="K1455" s="16">
        <f>IFERROR(__xludf.DUMMYFUNCTION("""COMPUTED_VALUE"""),281.0)</f>
        <v>281</v>
      </c>
      <c r="L1455" s="16"/>
      <c r="M1455" s="14"/>
    </row>
    <row r="1456">
      <c r="A1456" s="16" t="str">
        <f>IFERROR(__xludf.DUMMYFUNCTION("""COMPUTED_VALUE"""),"Hachimou Rabiou Mamoudou")</f>
        <v>Hachimou Rabiou Mamoudou</v>
      </c>
      <c r="B1456" s="16"/>
      <c r="C1456" s="14"/>
      <c r="F1456" s="16" t="str">
        <f>IFERROR(__xludf.DUMMYFUNCTION("""COMPUTED_VALUE"""),"Samo I")</f>
        <v>Samo I</v>
      </c>
      <c r="G1456" s="16"/>
      <c r="H1456" s="14"/>
      <c r="K1456" s="16">
        <f>IFERROR(__xludf.DUMMYFUNCTION("""COMPUTED_VALUE"""),2002.0)</f>
        <v>2002</v>
      </c>
      <c r="L1456" s="16"/>
      <c r="M1456" s="14"/>
    </row>
    <row r="1457">
      <c r="A1457" s="16" t="str">
        <f>IFERROR(__xludf.DUMMYFUNCTION("""COMPUTED_VALUE"""),"Hachimou Rabiou Mamoudou")</f>
        <v>Hachimou Rabiou Mamoudou</v>
      </c>
      <c r="B1457" s="16"/>
      <c r="C1457" s="14"/>
      <c r="F1457" s="16" t="str">
        <f>IFERROR(__xludf.DUMMYFUNCTION("""COMPUTED_VALUE"""),"Samo I")</f>
        <v>Samo I</v>
      </c>
      <c r="G1457" s="16"/>
      <c r="H1457" s="14"/>
      <c r="K1457" s="16">
        <f>IFERROR(__xludf.DUMMYFUNCTION("""COMPUTED_VALUE"""),1942.0)</f>
        <v>1942</v>
      </c>
      <c r="L1457" s="16"/>
      <c r="M1457" s="14"/>
    </row>
    <row r="1458">
      <c r="A1458" s="16" t="str">
        <f>IFERROR(__xludf.DUMMYFUNCTION("""COMPUTED_VALUE"""),"Hachimou Rabiou Mamoudou")</f>
        <v>Hachimou Rabiou Mamoudou</v>
      </c>
      <c r="B1458" s="16"/>
      <c r="C1458" s="14"/>
      <c r="F1458" s="16" t="str">
        <f>IFERROR(__xludf.DUMMYFUNCTION("""COMPUTED_VALUE"""),"Samo I")</f>
        <v>Samo I</v>
      </c>
      <c r="G1458" s="16"/>
      <c r="H1458" s="14"/>
      <c r="K1458" s="16">
        <f>IFERROR(__xludf.DUMMYFUNCTION("""COMPUTED_VALUE"""),997.0)</f>
        <v>997</v>
      </c>
      <c r="L1458" s="16"/>
      <c r="M1458" s="14"/>
    </row>
    <row r="1459">
      <c r="A1459" s="16" t="str">
        <f>IFERROR(__xludf.DUMMYFUNCTION("""COMPUTED_VALUE"""),"Achirou kane Abdoul Nasser")</f>
        <v>Achirou kane Abdoul Nasser</v>
      </c>
      <c r="B1459" s="16"/>
      <c r="C1459" s="14"/>
      <c r="F1459" s="16" t="str">
        <f>IFERROR(__xludf.DUMMYFUNCTION("""COMPUTED_VALUE"""),"Samo I")</f>
        <v>Samo I</v>
      </c>
      <c r="G1459" s="16"/>
      <c r="H1459" s="14"/>
      <c r="K1459" s="16">
        <f>IFERROR(__xludf.DUMMYFUNCTION("""COMPUTED_VALUE"""),982.0)</f>
        <v>982</v>
      </c>
      <c r="L1459" s="16"/>
      <c r="M1459" s="14"/>
    </row>
    <row r="1460">
      <c r="A1460" s="16" t="str">
        <f>IFERROR(__xludf.DUMMYFUNCTION("""COMPUTED_VALUE"""),"Achirou kane Abdoul Nasser")</f>
        <v>Achirou kane Abdoul Nasser</v>
      </c>
      <c r="B1460" s="16"/>
      <c r="C1460" s="14"/>
      <c r="F1460" s="16" t="str">
        <f>IFERROR(__xludf.DUMMYFUNCTION("""COMPUTED_VALUE"""),"Samo I")</f>
        <v>Samo I</v>
      </c>
      <c r="G1460" s="16"/>
      <c r="H1460" s="14"/>
      <c r="K1460" s="16">
        <f>IFERROR(__xludf.DUMMYFUNCTION("""COMPUTED_VALUE"""),1079.0)</f>
        <v>1079</v>
      </c>
      <c r="L1460" s="16"/>
      <c r="M1460" s="14"/>
    </row>
    <row r="1461">
      <c r="A1461" s="16" t="str">
        <f>IFERROR(__xludf.DUMMYFUNCTION("""COMPUTED_VALUE"""),"Achirou kane Abdoul Nasser")</f>
        <v>Achirou kane Abdoul Nasser</v>
      </c>
      <c r="B1461" s="16"/>
      <c r="C1461" s="14"/>
      <c r="F1461" s="16" t="str">
        <f>IFERROR(__xludf.DUMMYFUNCTION("""COMPUTED_VALUE"""),"Gradoumé Toudou")</f>
        <v>Gradoumé Toudou</v>
      </c>
      <c r="G1461" s="16"/>
      <c r="H1461" s="14"/>
      <c r="K1461" s="16">
        <f>IFERROR(__xludf.DUMMYFUNCTION("""COMPUTED_VALUE"""),2261.0)</f>
        <v>2261</v>
      </c>
      <c r="L1461" s="16"/>
      <c r="M1461" s="14"/>
    </row>
    <row r="1462">
      <c r="A1462" s="16" t="str">
        <f>IFERROR(__xludf.DUMMYFUNCTION("""COMPUTED_VALUE"""),"Sani Moussa Aboubacar")</f>
        <v>Sani Moussa Aboubacar</v>
      </c>
      <c r="B1462" s="16"/>
      <c r="C1462" s="14"/>
      <c r="F1462" s="16" t="str">
        <f>IFERROR(__xludf.DUMMYFUNCTION("""COMPUTED_VALUE"""),"Gradoumé Toudou")</f>
        <v>Gradoumé Toudou</v>
      </c>
      <c r="G1462" s="16"/>
      <c r="H1462" s="14"/>
      <c r="K1462" s="16">
        <f>IFERROR(__xludf.DUMMYFUNCTION("""COMPUTED_VALUE"""),1942.0)</f>
        <v>1942</v>
      </c>
      <c r="L1462" s="16"/>
      <c r="M1462" s="14"/>
    </row>
    <row r="1463">
      <c r="A1463" s="16" t="str">
        <f>IFERROR(__xludf.DUMMYFUNCTION("""COMPUTED_VALUE"""),"Sani Moussa Aboubacar")</f>
        <v>Sani Moussa Aboubacar</v>
      </c>
      <c r="B1463" s="16"/>
      <c r="C1463" s="14"/>
      <c r="F1463" s="16" t="str">
        <f>IFERROR(__xludf.DUMMYFUNCTION("""COMPUTED_VALUE"""),"Gradoumé Toudou")</f>
        <v>Gradoumé Toudou</v>
      </c>
      <c r="G1463" s="16"/>
      <c r="H1463" s="14"/>
      <c r="K1463" s="16">
        <f>IFERROR(__xludf.DUMMYFUNCTION("""COMPUTED_VALUE"""),1469.0)</f>
        <v>1469</v>
      </c>
      <c r="L1463" s="16"/>
      <c r="M1463" s="14"/>
    </row>
    <row r="1464">
      <c r="A1464" s="16" t="str">
        <f>IFERROR(__xludf.DUMMYFUNCTION("""COMPUTED_VALUE"""),"Sani Moussa Aboubacar")</f>
        <v>Sani Moussa Aboubacar</v>
      </c>
      <c r="B1464" s="16"/>
      <c r="C1464" s="14"/>
      <c r="F1464" s="16" t="str">
        <f>IFERROR(__xludf.DUMMYFUNCTION("""COMPUTED_VALUE"""),"Kaoura goga")</f>
        <v>Kaoura goga</v>
      </c>
      <c r="G1464" s="16"/>
      <c r="H1464" s="14"/>
      <c r="K1464" s="16">
        <f>IFERROR(__xludf.DUMMYFUNCTION("""COMPUTED_VALUE"""),1643.0)</f>
        <v>1643</v>
      </c>
      <c r="L1464" s="16"/>
      <c r="M1464" s="14"/>
    </row>
    <row r="1465">
      <c r="A1465" s="16" t="str">
        <f>IFERROR(__xludf.DUMMYFUNCTION("""COMPUTED_VALUE"""),"Sani Moussa Aboubacar")</f>
        <v>Sani Moussa Aboubacar</v>
      </c>
      <c r="B1465" s="16"/>
      <c r="C1465" s="14"/>
      <c r="F1465" s="16" t="str">
        <f>IFERROR(__xludf.DUMMYFUNCTION("""COMPUTED_VALUE"""),"Guidan Bado")</f>
        <v>Guidan Bado</v>
      </c>
      <c r="G1465" s="16"/>
      <c r="H1465" s="14"/>
      <c r="K1465" s="16">
        <f>IFERROR(__xludf.DUMMYFUNCTION("""COMPUTED_VALUE"""),917.0)</f>
        <v>917</v>
      </c>
      <c r="L1465" s="16"/>
      <c r="M1465" s="14"/>
    </row>
    <row r="1466">
      <c r="A1466" s="16" t="str">
        <f>IFERROR(__xludf.DUMMYFUNCTION("""COMPUTED_VALUE"""),"Sani Moussa Aboubacar")</f>
        <v>Sani Moussa Aboubacar</v>
      </c>
      <c r="B1466" s="16"/>
      <c r="C1466" s="14"/>
      <c r="F1466" s="16" t="str">
        <f>IFERROR(__xludf.DUMMYFUNCTION("""COMPUTED_VALUE"""),"Bilbis I")</f>
        <v>Bilbis I</v>
      </c>
      <c r="G1466" s="16"/>
      <c r="H1466" s="14"/>
      <c r="K1466" s="16">
        <f>IFERROR(__xludf.DUMMYFUNCTION("""COMPUTED_VALUE"""),1432.0)</f>
        <v>1432</v>
      </c>
      <c r="L1466" s="16"/>
      <c r="M1466" s="14"/>
    </row>
    <row r="1467">
      <c r="A1467" s="16" t="str">
        <f>IFERROR(__xludf.DUMMYFUNCTION("""COMPUTED_VALUE"""),"Sani Moussa Aboubacar")</f>
        <v>Sani Moussa Aboubacar</v>
      </c>
      <c r="B1467" s="16"/>
      <c r="C1467" s="14"/>
      <c r="F1467" s="16" t="str">
        <f>IFERROR(__xludf.DUMMYFUNCTION("""COMPUTED_VALUE"""),"Bilbis I")</f>
        <v>Bilbis I</v>
      </c>
      <c r="G1467" s="16"/>
      <c r="H1467" s="14"/>
      <c r="K1467" s="16">
        <f>IFERROR(__xludf.DUMMYFUNCTION("""COMPUTED_VALUE"""),1316.0)</f>
        <v>1316</v>
      </c>
      <c r="L1467" s="16"/>
      <c r="M1467" s="14"/>
    </row>
    <row r="1468">
      <c r="A1468" s="16" t="str">
        <f>IFERROR(__xludf.DUMMYFUNCTION("""COMPUTED_VALUE"""),"Sani Moussa Aboubacar")</f>
        <v>Sani Moussa Aboubacar</v>
      </c>
      <c r="B1468" s="16"/>
      <c r="C1468" s="14"/>
      <c r="F1468" s="16" t="str">
        <f>IFERROR(__xludf.DUMMYFUNCTION("""COMPUTED_VALUE"""),"Bilbis I")</f>
        <v>Bilbis I</v>
      </c>
      <c r="G1468" s="16"/>
      <c r="H1468" s="14"/>
      <c r="K1468" s="16">
        <f>IFERROR(__xludf.DUMMYFUNCTION("""COMPUTED_VALUE"""),244.0)</f>
        <v>244</v>
      </c>
      <c r="L1468" s="16"/>
      <c r="M1468" s="14"/>
    </row>
    <row r="1469">
      <c r="A1469" s="16" t="str">
        <f>IFERROR(__xludf.DUMMYFUNCTION("""COMPUTED_VALUE"""),"Achirou kane Abdoul Nasser")</f>
        <v>Achirou kane Abdoul Nasser</v>
      </c>
      <c r="B1469" s="16"/>
      <c r="C1469" s="14"/>
      <c r="F1469" s="16" t="str">
        <f>IFERROR(__xludf.DUMMYFUNCTION("""COMPUTED_VALUE"""),"Bilbis I")</f>
        <v>Bilbis I</v>
      </c>
      <c r="G1469" s="16"/>
      <c r="H1469" s="14"/>
      <c r="K1469" s="16">
        <f>IFERROR(__xludf.DUMMYFUNCTION("""COMPUTED_VALUE"""),1539.0)</f>
        <v>1539</v>
      </c>
      <c r="L1469" s="16"/>
      <c r="M1469" s="14"/>
    </row>
    <row r="1470">
      <c r="A1470" s="16" t="str">
        <f>IFERROR(__xludf.DUMMYFUNCTION("""COMPUTED_VALUE"""),"Achirou kane Abdoul Nasser")</f>
        <v>Achirou kane Abdoul Nasser</v>
      </c>
      <c r="B1470" s="16"/>
      <c r="C1470" s="14"/>
      <c r="F1470" s="16" t="str">
        <f>IFERROR(__xludf.DUMMYFUNCTION("""COMPUTED_VALUE"""),"Bilbis I")</f>
        <v>Bilbis I</v>
      </c>
      <c r="G1470" s="16"/>
      <c r="H1470" s="14"/>
      <c r="K1470" s="16">
        <f>IFERROR(__xludf.DUMMYFUNCTION("""COMPUTED_VALUE"""),678.0)</f>
        <v>678</v>
      </c>
      <c r="L1470" s="16"/>
      <c r="M1470" s="14"/>
    </row>
    <row r="1471">
      <c r="A1471" s="16" t="str">
        <f>IFERROR(__xludf.DUMMYFUNCTION("""COMPUTED_VALUE"""),"Kadidja Issaka Hamidou")</f>
        <v>Kadidja Issaka Hamidou</v>
      </c>
      <c r="B1471" s="16"/>
      <c r="C1471" s="14"/>
      <c r="F1471" s="16" t="str">
        <f>IFERROR(__xludf.DUMMYFUNCTION("""COMPUTED_VALUE"""),"Bilbis I")</f>
        <v>Bilbis I</v>
      </c>
      <c r="G1471" s="16"/>
      <c r="H1471" s="14"/>
      <c r="K1471" s="16">
        <f>IFERROR(__xludf.DUMMYFUNCTION("""COMPUTED_VALUE"""),469.0)</f>
        <v>469</v>
      </c>
      <c r="L1471" s="16"/>
      <c r="M1471" s="14"/>
    </row>
    <row r="1472">
      <c r="A1472" s="16" t="str">
        <f>IFERROR(__xludf.DUMMYFUNCTION("""COMPUTED_VALUE"""),"Kadidja Issaka Hamidou")</f>
        <v>Kadidja Issaka Hamidou</v>
      </c>
      <c r="B1472" s="16"/>
      <c r="C1472" s="14"/>
      <c r="F1472" s="16" t="str">
        <f>IFERROR(__xludf.DUMMYFUNCTION("""COMPUTED_VALUE"""),"Bilbis I")</f>
        <v>Bilbis I</v>
      </c>
      <c r="G1472" s="16"/>
      <c r="H1472" s="14"/>
      <c r="K1472" s="16">
        <f>IFERROR(__xludf.DUMMYFUNCTION("""COMPUTED_VALUE"""),1341.0)</f>
        <v>1341</v>
      </c>
      <c r="L1472" s="16"/>
      <c r="M1472" s="14"/>
    </row>
    <row r="1473">
      <c r="A1473" s="16" t="str">
        <f>IFERROR(__xludf.DUMMYFUNCTION("""COMPUTED_VALUE"""),"Larabou Chamsoudine")</f>
        <v>Larabou Chamsoudine</v>
      </c>
      <c r="B1473" s="16"/>
      <c r="C1473" s="14"/>
      <c r="F1473" s="16" t="str">
        <f>IFERROR(__xludf.DUMMYFUNCTION("""COMPUTED_VALUE"""),"Bilbis I")</f>
        <v>Bilbis I</v>
      </c>
      <c r="G1473" s="16"/>
      <c r="H1473" s="14"/>
      <c r="K1473" s="16">
        <f>IFERROR(__xludf.DUMMYFUNCTION("""COMPUTED_VALUE"""),336.0)</f>
        <v>336</v>
      </c>
      <c r="L1473" s="16"/>
      <c r="M1473" s="14"/>
    </row>
    <row r="1474">
      <c r="A1474" s="16" t="str">
        <f>IFERROR(__xludf.DUMMYFUNCTION("""COMPUTED_VALUE"""),"Larabou Chamsoudine")</f>
        <v>Larabou Chamsoudine</v>
      </c>
      <c r="B1474" s="16"/>
      <c r="C1474" s="14"/>
      <c r="F1474" s="16" t="str">
        <f>IFERROR(__xludf.DUMMYFUNCTION("""COMPUTED_VALUE"""),"Guébin Zogui")</f>
        <v>Guébin Zogui</v>
      </c>
      <c r="G1474" s="16"/>
      <c r="H1474" s="14"/>
      <c r="K1474" s="16">
        <f>IFERROR(__xludf.DUMMYFUNCTION("""COMPUTED_VALUE"""),1639.0)</f>
        <v>1639</v>
      </c>
      <c r="L1474" s="16"/>
      <c r="M1474" s="14"/>
    </row>
    <row r="1475">
      <c r="A1475" s="16" t="str">
        <f>IFERROR(__xludf.DUMMYFUNCTION("""COMPUTED_VALUE"""),"Larabou Chamsoudine")</f>
        <v>Larabou Chamsoudine</v>
      </c>
      <c r="B1475" s="16"/>
      <c r="C1475" s="14"/>
      <c r="F1475" s="16" t="str">
        <f>IFERROR(__xludf.DUMMYFUNCTION("""COMPUTED_VALUE"""),"Guébin Zogui")</f>
        <v>Guébin Zogui</v>
      </c>
      <c r="G1475" s="16"/>
      <c r="H1475" s="14"/>
      <c r="K1475" s="16">
        <f>IFERROR(__xludf.DUMMYFUNCTION("""COMPUTED_VALUE"""),1073.0)</f>
        <v>1073</v>
      </c>
      <c r="L1475" s="16"/>
      <c r="M1475" s="14"/>
    </row>
    <row r="1476">
      <c r="A1476" s="16" t="str">
        <f>IFERROR(__xludf.DUMMYFUNCTION("""COMPUTED_VALUE"""),"Amadou Hamidou Abdoul Karim")</f>
        <v>Amadou Hamidou Abdoul Karim</v>
      </c>
      <c r="B1476" s="16"/>
      <c r="C1476" s="14"/>
      <c r="F1476" s="16" t="str">
        <f>IFERROR(__xludf.DUMMYFUNCTION("""COMPUTED_VALUE"""),"Guébin Zogui")</f>
        <v>Guébin Zogui</v>
      </c>
      <c r="G1476" s="16"/>
      <c r="H1476" s="14"/>
      <c r="K1476" s="16">
        <f>IFERROR(__xludf.DUMMYFUNCTION("""COMPUTED_VALUE"""),784.0)</f>
        <v>784</v>
      </c>
      <c r="L1476" s="16"/>
      <c r="M1476" s="14"/>
    </row>
    <row r="1477">
      <c r="A1477" s="16" t="str">
        <f>IFERROR(__xludf.DUMMYFUNCTION("""COMPUTED_VALUE"""),"Amadou Hamidou Abdoul Karim")</f>
        <v>Amadou Hamidou Abdoul Karim</v>
      </c>
      <c r="B1477" s="16"/>
      <c r="C1477" s="14"/>
      <c r="F1477" s="16" t="str">
        <f>IFERROR(__xludf.DUMMYFUNCTION("""COMPUTED_VALUE"""),"Guébin Zogui")</f>
        <v>Guébin Zogui</v>
      </c>
      <c r="G1477" s="16"/>
      <c r="H1477" s="14"/>
      <c r="K1477" s="16">
        <f>IFERROR(__xludf.DUMMYFUNCTION("""COMPUTED_VALUE"""),800.0)</f>
        <v>800</v>
      </c>
      <c r="L1477" s="16"/>
      <c r="M1477" s="14"/>
    </row>
    <row r="1478">
      <c r="A1478" s="16" t="str">
        <f>IFERROR(__xludf.DUMMYFUNCTION("""COMPUTED_VALUE"""),"Amadou Hamidou Abdoul Karim")</f>
        <v>Amadou Hamidou Abdoul Karim</v>
      </c>
      <c r="B1478" s="16"/>
      <c r="C1478" s="14"/>
      <c r="F1478" s="16" t="str">
        <f>IFERROR(__xludf.DUMMYFUNCTION("""COMPUTED_VALUE"""),"Guébin Zogui")</f>
        <v>Guébin Zogui</v>
      </c>
      <c r="G1478" s="16"/>
      <c r="H1478" s="14"/>
      <c r="K1478" s="16">
        <f>IFERROR(__xludf.DUMMYFUNCTION("""COMPUTED_VALUE"""),972.0)</f>
        <v>972</v>
      </c>
      <c r="L1478" s="16"/>
      <c r="M1478" s="14"/>
    </row>
    <row r="1479">
      <c r="A1479" s="16" t="str">
        <f>IFERROR(__xludf.DUMMYFUNCTION("""COMPUTED_VALUE"""),"Amadou Hamidou Abdoul Karim")</f>
        <v>Amadou Hamidou Abdoul Karim</v>
      </c>
      <c r="B1479" s="16"/>
      <c r="C1479" s="14"/>
      <c r="F1479" s="16" t="str">
        <f>IFERROR(__xludf.DUMMYFUNCTION("""COMPUTED_VALUE"""),"Guébin Zogui")</f>
        <v>Guébin Zogui</v>
      </c>
      <c r="G1479" s="16"/>
      <c r="H1479" s="14"/>
      <c r="K1479" s="16">
        <f>IFERROR(__xludf.DUMMYFUNCTION("""COMPUTED_VALUE"""),1310.0)</f>
        <v>1310</v>
      </c>
      <c r="L1479" s="16"/>
      <c r="M1479" s="14"/>
    </row>
    <row r="1480">
      <c r="A1480" s="16" t="str">
        <f>IFERROR(__xludf.DUMMYFUNCTION("""COMPUTED_VALUE"""),"Binta Maman")</f>
        <v>Binta Maman</v>
      </c>
      <c r="B1480" s="16"/>
      <c r="C1480" s="14"/>
      <c r="F1480" s="16" t="str">
        <f>IFERROR(__xludf.DUMMYFUNCTION("""COMPUTED_VALUE"""),"Guébin Zogui")</f>
        <v>Guébin Zogui</v>
      </c>
      <c r="G1480" s="16"/>
      <c r="H1480" s="14"/>
      <c r="K1480" s="16">
        <f>IFERROR(__xludf.DUMMYFUNCTION("""COMPUTED_VALUE"""),544.0)</f>
        <v>544</v>
      </c>
      <c r="L1480" s="16"/>
      <c r="M1480" s="14"/>
    </row>
    <row r="1481">
      <c r="A1481" s="16" t="str">
        <f>IFERROR(__xludf.DUMMYFUNCTION("""COMPUTED_VALUE"""),"Achirou kane Abdoul Nasser")</f>
        <v>Achirou kane Abdoul Nasser</v>
      </c>
      <c r="B1481" s="16"/>
      <c r="C1481" s="14"/>
      <c r="F1481" s="16" t="str">
        <f>IFERROR(__xludf.DUMMYFUNCTION("""COMPUTED_VALUE"""),"Guébin Zogui")</f>
        <v>Guébin Zogui</v>
      </c>
      <c r="G1481" s="16"/>
      <c r="H1481" s="14"/>
      <c r="K1481" s="16">
        <f>IFERROR(__xludf.DUMMYFUNCTION("""COMPUTED_VALUE"""),1545.0)</f>
        <v>1545</v>
      </c>
      <c r="L1481" s="16"/>
      <c r="M1481" s="14"/>
    </row>
    <row r="1482">
      <c r="A1482" s="16" t="str">
        <f>IFERROR(__xludf.DUMMYFUNCTION("""COMPUTED_VALUE"""),"Achirou Malam Dan Maradi Nassirou")</f>
        <v>Achirou Malam Dan Maradi Nassirou</v>
      </c>
      <c r="B1482" s="16"/>
      <c r="C1482" s="14"/>
      <c r="F1482" s="16" t="str">
        <f>IFERROR(__xludf.DUMMYFUNCTION("""COMPUTED_VALUE"""),"Guébin Zogui")</f>
        <v>Guébin Zogui</v>
      </c>
      <c r="G1482" s="16"/>
      <c r="H1482" s="14"/>
      <c r="K1482" s="16">
        <f>IFERROR(__xludf.DUMMYFUNCTION("""COMPUTED_VALUE"""),1219.0)</f>
        <v>1219</v>
      </c>
      <c r="L1482" s="16"/>
      <c r="M1482" s="14"/>
    </row>
    <row r="1483">
      <c r="A1483" s="16" t="str">
        <f>IFERROR(__xludf.DUMMYFUNCTION("""COMPUTED_VALUE"""),"Achirou Malam Dan Maradi Nassirou")</f>
        <v>Achirou Malam Dan Maradi Nassirou</v>
      </c>
      <c r="B1483" s="16"/>
      <c r="C1483" s="14"/>
      <c r="F1483" s="16" t="str">
        <f>IFERROR(__xludf.DUMMYFUNCTION("""COMPUTED_VALUE"""),"Galmaoua")</f>
        <v>Galmaoua</v>
      </c>
      <c r="G1483" s="16"/>
      <c r="H1483" s="14"/>
      <c r="K1483" s="16">
        <f>IFERROR(__xludf.DUMMYFUNCTION("""COMPUTED_VALUE"""),793.0)</f>
        <v>793</v>
      </c>
      <c r="L1483" s="16"/>
      <c r="M1483" s="14"/>
    </row>
    <row r="1484">
      <c r="A1484" s="16" t="str">
        <f>IFERROR(__xludf.DUMMYFUNCTION("""COMPUTED_VALUE"""),"Achirou Malam Dan Maradi Nassirou")</f>
        <v>Achirou Malam Dan Maradi Nassirou</v>
      </c>
      <c r="B1484" s="16"/>
      <c r="C1484" s="14"/>
      <c r="F1484" s="16" t="str">
        <f>IFERROR(__xludf.DUMMYFUNCTION("""COMPUTED_VALUE"""),"Guébin Zogui")</f>
        <v>Guébin Zogui</v>
      </c>
      <c r="G1484" s="16"/>
      <c r="H1484" s="14"/>
      <c r="K1484" s="16">
        <f>IFERROR(__xludf.DUMMYFUNCTION("""COMPUTED_VALUE"""),922.0)</f>
        <v>922</v>
      </c>
      <c r="L1484" s="16"/>
      <c r="M1484" s="14"/>
    </row>
    <row r="1485">
      <c r="A1485" s="16" t="str">
        <f>IFERROR(__xludf.DUMMYFUNCTION("""COMPUTED_VALUE"""),"Achirou Malam Dan Maradi Nassirou")</f>
        <v>Achirou Malam Dan Maradi Nassirou</v>
      </c>
      <c r="B1485" s="16"/>
      <c r="C1485" s="14"/>
      <c r="F1485" s="16" t="str">
        <f>IFERROR(__xludf.DUMMYFUNCTION("""COMPUTED_VALUE"""),"Guébin Zogui")</f>
        <v>Guébin Zogui</v>
      </c>
      <c r="G1485" s="16"/>
      <c r="H1485" s="14"/>
      <c r="K1485" s="16">
        <f>IFERROR(__xludf.DUMMYFUNCTION("""COMPUTED_VALUE"""),1945.0)</f>
        <v>1945</v>
      </c>
      <c r="L1485" s="16"/>
      <c r="M1485" s="14"/>
    </row>
    <row r="1486">
      <c r="A1486" s="16" t="str">
        <f>IFERROR(__xludf.DUMMYFUNCTION("""COMPUTED_VALUE"""),"Kailou Hamidou Rainatou")</f>
        <v>Kailou Hamidou Rainatou</v>
      </c>
      <c r="B1486" s="16"/>
      <c r="C1486" s="14"/>
      <c r="F1486" s="16" t="str">
        <f>IFERROR(__xludf.DUMMYFUNCTION("""COMPUTED_VALUE"""),"Guébin Zogui")</f>
        <v>Guébin Zogui</v>
      </c>
      <c r="G1486" s="16"/>
      <c r="H1486" s="14"/>
      <c r="K1486" s="16">
        <f>IFERROR(__xludf.DUMMYFUNCTION("""COMPUTED_VALUE"""),657.0)</f>
        <v>657</v>
      </c>
      <c r="L1486" s="16"/>
      <c r="M1486" s="14"/>
    </row>
    <row r="1487">
      <c r="A1487" s="16" t="str">
        <f>IFERROR(__xludf.DUMMYFUNCTION("""COMPUTED_VALUE"""),"Hamissou Moussa Nana Mariama")</f>
        <v>Hamissou Moussa Nana Mariama</v>
      </c>
      <c r="B1487" s="16"/>
      <c r="C1487" s="14"/>
      <c r="F1487" s="16" t="str">
        <f>IFERROR(__xludf.DUMMYFUNCTION("""COMPUTED_VALUE"""),"Guébin Zogui")</f>
        <v>Guébin Zogui</v>
      </c>
      <c r="G1487" s="16"/>
      <c r="H1487" s="14"/>
      <c r="K1487" s="16">
        <f>IFERROR(__xludf.DUMMYFUNCTION("""COMPUTED_VALUE"""),421.0)</f>
        <v>421</v>
      </c>
      <c r="L1487" s="16"/>
      <c r="M1487" s="14"/>
    </row>
    <row r="1488">
      <c r="A1488" s="16" t="str">
        <f>IFERROR(__xludf.DUMMYFUNCTION("""COMPUTED_VALUE"""),"Hamissou Moussa Nana Mariama")</f>
        <v>Hamissou Moussa Nana Mariama</v>
      </c>
      <c r="B1488" s="16"/>
      <c r="C1488" s="14"/>
      <c r="F1488" s="16" t="str">
        <f>IFERROR(__xludf.DUMMYFUNCTION("""COMPUTED_VALUE"""),"Kalfou Dabagui")</f>
        <v>Kalfou Dabagui</v>
      </c>
      <c r="G1488" s="16"/>
      <c r="H1488" s="14"/>
      <c r="K1488" s="16">
        <f>IFERROR(__xludf.DUMMYFUNCTION("""COMPUTED_VALUE"""),397.0)</f>
        <v>397</v>
      </c>
      <c r="L1488" s="16"/>
      <c r="M1488" s="14"/>
    </row>
    <row r="1489">
      <c r="A1489" s="16" t="str">
        <f>IFERROR(__xludf.DUMMYFUNCTION("""COMPUTED_VALUE"""),"Abdoul Razak Mahamane Boukari")</f>
        <v>Abdoul Razak Mahamane Boukari</v>
      </c>
      <c r="B1489" s="16"/>
      <c r="C1489" s="14"/>
      <c r="F1489" s="16" t="str">
        <f>IFERROR(__xludf.DUMMYFUNCTION("""COMPUTED_VALUE"""),"Kalfou Dabagui")</f>
        <v>Kalfou Dabagui</v>
      </c>
      <c r="G1489" s="16"/>
      <c r="H1489" s="14"/>
      <c r="K1489" s="16">
        <f>IFERROR(__xludf.DUMMYFUNCTION("""COMPUTED_VALUE"""),1596.0)</f>
        <v>1596</v>
      </c>
      <c r="L1489" s="16"/>
      <c r="M1489" s="14"/>
    </row>
    <row r="1490">
      <c r="A1490" s="16" t="str">
        <f>IFERROR(__xludf.DUMMYFUNCTION("""COMPUTED_VALUE"""),"Abdoul Razak Mahamane Boukari")</f>
        <v>Abdoul Razak Mahamane Boukari</v>
      </c>
      <c r="B1490" s="16"/>
      <c r="C1490" s="14"/>
      <c r="F1490" s="16" t="str">
        <f>IFERROR(__xludf.DUMMYFUNCTION("""COMPUTED_VALUE"""),"Kalfou Dabagui")</f>
        <v>Kalfou Dabagui</v>
      </c>
      <c r="G1490" s="16"/>
      <c r="H1490" s="14"/>
      <c r="K1490" s="16">
        <f>IFERROR(__xludf.DUMMYFUNCTION("""COMPUTED_VALUE"""),816.0)</f>
        <v>816</v>
      </c>
      <c r="L1490" s="16"/>
      <c r="M1490" s="14"/>
    </row>
    <row r="1491">
      <c r="A1491" s="16" t="str">
        <f>IFERROR(__xludf.DUMMYFUNCTION("""COMPUTED_VALUE"""),"Abdoul Razak Mahamane Boukari")</f>
        <v>Abdoul Razak Mahamane Boukari</v>
      </c>
      <c r="B1491" s="16"/>
      <c r="C1491" s="14"/>
      <c r="F1491" s="16" t="str">
        <f>IFERROR(__xludf.DUMMYFUNCTION("""COMPUTED_VALUE"""),"Kalfou Dabagui")</f>
        <v>Kalfou Dabagui</v>
      </c>
      <c r="G1491" s="16"/>
      <c r="H1491" s="14"/>
      <c r="K1491" s="16">
        <f>IFERROR(__xludf.DUMMYFUNCTION("""COMPUTED_VALUE"""),2513.0)</f>
        <v>2513</v>
      </c>
      <c r="L1491" s="16"/>
      <c r="M1491" s="14"/>
    </row>
    <row r="1492">
      <c r="A1492" s="16" t="str">
        <f>IFERROR(__xludf.DUMMYFUNCTION("""COMPUTED_VALUE"""),"Abdoul Razak Mahamane Boukari")</f>
        <v>Abdoul Razak Mahamane Boukari</v>
      </c>
      <c r="B1492" s="16"/>
      <c r="C1492" s="14"/>
      <c r="F1492" s="16" t="str">
        <f>IFERROR(__xludf.DUMMYFUNCTION("""COMPUTED_VALUE"""),"Kalfou Dabagui")</f>
        <v>Kalfou Dabagui</v>
      </c>
      <c r="G1492" s="16"/>
      <c r="H1492" s="14"/>
      <c r="K1492" s="16">
        <f>IFERROR(__xludf.DUMMYFUNCTION("""COMPUTED_VALUE"""),234.0)</f>
        <v>234</v>
      </c>
      <c r="L1492" s="16"/>
      <c r="M1492" s="14"/>
    </row>
    <row r="1493">
      <c r="A1493" s="16" t="str">
        <f>IFERROR(__xludf.DUMMYFUNCTION("""COMPUTED_VALUE"""),"Abdoul Razak Mahamane Boukari")</f>
        <v>Abdoul Razak Mahamane Boukari</v>
      </c>
      <c r="B1493" s="16"/>
      <c r="C1493" s="14"/>
      <c r="F1493" s="16" t="str">
        <f>IFERROR(__xludf.DUMMYFUNCTION("""COMPUTED_VALUE"""),"Kalfou Dabagui")</f>
        <v>Kalfou Dabagui</v>
      </c>
      <c r="G1493" s="16"/>
      <c r="H1493" s="14"/>
      <c r="K1493" s="16">
        <f>IFERROR(__xludf.DUMMYFUNCTION("""COMPUTED_VALUE"""),894.0)</f>
        <v>894</v>
      </c>
      <c r="L1493" s="16"/>
      <c r="M1493" s="14"/>
    </row>
    <row r="1494">
      <c r="A1494" s="16" t="str">
        <f>IFERROR(__xludf.DUMMYFUNCTION("""COMPUTED_VALUE"""),"Abdoul Razak Mahamane Boukari")</f>
        <v>Abdoul Razak Mahamane Boukari</v>
      </c>
      <c r="B1494" s="16"/>
      <c r="C1494" s="14"/>
      <c r="F1494" s="16" t="str">
        <f>IFERROR(__xludf.DUMMYFUNCTION("""COMPUTED_VALUE"""),"Guidan Bado")</f>
        <v>Guidan Bado</v>
      </c>
      <c r="G1494" s="16"/>
      <c r="H1494" s="14"/>
      <c r="K1494" s="16">
        <f>IFERROR(__xludf.DUMMYFUNCTION("""COMPUTED_VALUE"""),443.0)</f>
        <v>443</v>
      </c>
      <c r="L1494" s="16"/>
      <c r="M1494" s="14"/>
    </row>
    <row r="1495">
      <c r="A1495" s="16" t="str">
        <f>IFERROR(__xludf.DUMMYFUNCTION("""COMPUTED_VALUE"""),"Abdoul Razak Mahamane Boukari")</f>
        <v>Abdoul Razak Mahamane Boukari</v>
      </c>
      <c r="B1495" s="16"/>
      <c r="C1495" s="14"/>
      <c r="F1495" s="16" t="str">
        <f>IFERROR(__xludf.DUMMYFUNCTION("""COMPUTED_VALUE"""),"Kaba Gabass")</f>
        <v>Kaba Gabass</v>
      </c>
      <c r="G1495" s="16"/>
      <c r="H1495" s="14"/>
      <c r="K1495" s="16">
        <f>IFERROR(__xludf.DUMMYFUNCTION("""COMPUTED_VALUE"""),324.0)</f>
        <v>324</v>
      </c>
      <c r="L1495" s="16"/>
      <c r="M1495" s="14"/>
    </row>
    <row r="1496">
      <c r="A1496" s="16" t="str">
        <f>IFERROR(__xludf.DUMMYFUNCTION("""COMPUTED_VALUE"""),"Kailou Hamidou Rainatou")</f>
        <v>Kailou Hamidou Rainatou</v>
      </c>
      <c r="B1496" s="16"/>
      <c r="C1496" s="14"/>
      <c r="F1496" s="16" t="str">
        <f>IFERROR(__xludf.DUMMYFUNCTION("""COMPUTED_VALUE"""),"Kaba Gabass")</f>
        <v>Kaba Gabass</v>
      </c>
      <c r="G1496" s="16"/>
      <c r="H1496" s="14"/>
      <c r="K1496" s="16">
        <f>IFERROR(__xludf.DUMMYFUNCTION("""COMPUTED_VALUE"""),707.0)</f>
        <v>707</v>
      </c>
      <c r="L1496" s="16"/>
      <c r="M1496" s="14"/>
    </row>
    <row r="1497">
      <c r="A1497" s="16" t="str">
        <f>IFERROR(__xludf.DUMMYFUNCTION("""COMPUTED_VALUE"""),"Kailou Hamidou Rainatou")</f>
        <v>Kailou Hamidou Rainatou</v>
      </c>
      <c r="B1497" s="16"/>
      <c r="C1497" s="14"/>
      <c r="F1497" s="16" t="str">
        <f>IFERROR(__xludf.DUMMYFUNCTION("""COMPUTED_VALUE"""),"Kaba Gabass")</f>
        <v>Kaba Gabass</v>
      </c>
      <c r="G1497" s="16"/>
      <c r="H1497" s="14"/>
      <c r="K1497" s="16">
        <f>IFERROR(__xludf.DUMMYFUNCTION("""COMPUTED_VALUE"""),322.0)</f>
        <v>322</v>
      </c>
      <c r="L1497" s="16"/>
      <c r="M1497" s="14"/>
    </row>
    <row r="1498">
      <c r="A1498" s="16" t="str">
        <f>IFERROR(__xludf.DUMMYFUNCTION("""COMPUTED_VALUE"""),"Maman Ado Abdourahamane")</f>
        <v>Maman Ado Abdourahamane</v>
      </c>
      <c r="B1498" s="16"/>
      <c r="C1498" s="14"/>
      <c r="F1498" s="16" t="str">
        <f>IFERROR(__xludf.DUMMYFUNCTION("""COMPUTED_VALUE"""),"Kaba Gabass")</f>
        <v>Kaba Gabass</v>
      </c>
      <c r="G1498" s="16"/>
      <c r="H1498" s="14"/>
      <c r="K1498" s="16">
        <f>IFERROR(__xludf.DUMMYFUNCTION("""COMPUTED_VALUE"""),1625.0)</f>
        <v>1625</v>
      </c>
      <c r="L1498" s="16"/>
      <c r="M1498" s="14"/>
    </row>
    <row r="1499">
      <c r="A1499" s="16" t="str">
        <f>IFERROR(__xludf.DUMMYFUNCTION("""COMPUTED_VALUE"""),"Maman Ado Abdourahamane")</f>
        <v>Maman Ado Abdourahamane</v>
      </c>
      <c r="B1499" s="16"/>
      <c r="C1499" s="14"/>
      <c r="F1499" s="16" t="str">
        <f>IFERROR(__xludf.DUMMYFUNCTION("""COMPUTED_VALUE"""),"Kaba Gabass")</f>
        <v>Kaba Gabass</v>
      </c>
      <c r="G1499" s="16"/>
      <c r="H1499" s="14"/>
      <c r="K1499" s="16">
        <f>IFERROR(__xludf.DUMMYFUNCTION("""COMPUTED_VALUE"""),343.0)</f>
        <v>343</v>
      </c>
      <c r="L1499" s="16"/>
      <c r="M1499" s="14"/>
    </row>
    <row r="1500">
      <c r="A1500" s="16" t="str">
        <f>IFERROR(__xludf.DUMMYFUNCTION("""COMPUTED_VALUE"""),"Maman Ado Abdourahamane")</f>
        <v>Maman Ado Abdourahamane</v>
      </c>
      <c r="B1500" s="16"/>
      <c r="C1500" s="14"/>
      <c r="F1500" s="16" t="str">
        <f>IFERROR(__xludf.DUMMYFUNCTION("""COMPUTED_VALUE"""),"Guidan Bado")</f>
        <v>Guidan Bado</v>
      </c>
      <c r="G1500" s="16"/>
      <c r="H1500" s="14"/>
      <c r="K1500" s="16">
        <f>IFERROR(__xludf.DUMMYFUNCTION("""COMPUTED_VALUE"""),572.0)</f>
        <v>572</v>
      </c>
      <c r="L1500" s="16"/>
      <c r="M1500" s="14"/>
    </row>
    <row r="1501">
      <c r="A1501" s="16" t="str">
        <f>IFERROR(__xludf.DUMMYFUNCTION("""COMPUTED_VALUE"""),"Maman Ado Abdourahamane")</f>
        <v>Maman Ado Abdourahamane</v>
      </c>
      <c r="B1501" s="16"/>
      <c r="C1501" s="14"/>
      <c r="F1501" s="16" t="str">
        <f>IFERROR(__xludf.DUMMYFUNCTION("""COMPUTED_VALUE"""),"Guidan Bado")</f>
        <v>Guidan Bado</v>
      </c>
      <c r="G1501" s="16"/>
      <c r="H1501" s="14"/>
      <c r="K1501" s="16">
        <f>IFERROR(__xludf.DUMMYFUNCTION("""COMPUTED_VALUE"""),567.0)</f>
        <v>567</v>
      </c>
      <c r="L1501" s="16"/>
      <c r="M1501" s="14"/>
    </row>
    <row r="1502">
      <c r="A1502" s="16" t="str">
        <f>IFERROR(__xludf.DUMMYFUNCTION("""COMPUTED_VALUE"""),"Elhaji Abdou Leilata")</f>
        <v>Elhaji Abdou Leilata</v>
      </c>
      <c r="B1502" s="16"/>
      <c r="C1502" s="14"/>
      <c r="F1502" s="16" t="str">
        <f>IFERROR(__xludf.DUMMYFUNCTION("""COMPUTED_VALUE"""),"Guidan Bado")</f>
        <v>Guidan Bado</v>
      </c>
      <c r="G1502" s="16"/>
      <c r="H1502" s="14"/>
      <c r="K1502" s="16">
        <f>IFERROR(__xludf.DUMMYFUNCTION("""COMPUTED_VALUE"""),449.0)</f>
        <v>449</v>
      </c>
      <c r="L1502" s="16"/>
      <c r="M1502" s="14"/>
    </row>
    <row r="1503">
      <c r="A1503" s="16" t="str">
        <f>IFERROR(__xludf.DUMMYFUNCTION("""COMPUTED_VALUE"""),"Elhaji Abdou Leilata")</f>
        <v>Elhaji Abdou Leilata</v>
      </c>
      <c r="B1503" s="16"/>
      <c r="C1503" s="14"/>
      <c r="F1503" s="16" t="str">
        <f>IFERROR(__xludf.DUMMYFUNCTION("""COMPUTED_VALUE"""),"Wadata")</f>
        <v>Wadata</v>
      </c>
      <c r="G1503" s="16"/>
      <c r="H1503" s="14"/>
      <c r="K1503" s="16">
        <f>IFERROR(__xludf.DUMMYFUNCTION("""COMPUTED_VALUE"""),335.0)</f>
        <v>335</v>
      </c>
      <c r="L1503" s="16"/>
      <c r="M1503" s="14"/>
    </row>
    <row r="1504">
      <c r="A1504" s="16" t="str">
        <f>IFERROR(__xludf.DUMMYFUNCTION("""COMPUTED_VALUE"""),"Elhaji Abdou Leilata")</f>
        <v>Elhaji Abdou Leilata</v>
      </c>
      <c r="B1504" s="16"/>
      <c r="C1504" s="14"/>
      <c r="F1504" s="16" t="str">
        <f>IFERROR(__xludf.DUMMYFUNCTION("""COMPUTED_VALUE"""),"Wadata")</f>
        <v>Wadata</v>
      </c>
      <c r="G1504" s="16"/>
      <c r="H1504" s="14"/>
      <c r="K1504" s="16">
        <f>IFERROR(__xludf.DUMMYFUNCTION("""COMPUTED_VALUE"""),426.0)</f>
        <v>426</v>
      </c>
      <c r="L1504" s="16"/>
      <c r="M1504" s="14"/>
    </row>
    <row r="1505">
      <c r="A1505" s="16" t="str">
        <f>IFERROR(__xludf.DUMMYFUNCTION("""COMPUTED_VALUE"""),"Elhaji Abdou Leilata")</f>
        <v>Elhaji Abdou Leilata</v>
      </c>
      <c r="B1505" s="16"/>
      <c r="C1505" s="14"/>
      <c r="F1505" s="16" t="str">
        <f>IFERROR(__xludf.DUMMYFUNCTION("""COMPUTED_VALUE"""),"Wadata")</f>
        <v>Wadata</v>
      </c>
      <c r="G1505" s="16"/>
      <c r="H1505" s="14"/>
      <c r="K1505" s="16">
        <f>IFERROR(__xludf.DUMMYFUNCTION("""COMPUTED_VALUE"""),1324.0)</f>
        <v>1324</v>
      </c>
      <c r="L1505" s="16"/>
      <c r="M1505" s="14"/>
    </row>
    <row r="1506">
      <c r="A1506" s="16" t="str">
        <f>IFERROR(__xludf.DUMMYFUNCTION("""COMPUTED_VALUE"""),"Aboubacar Hamadou Manga")</f>
        <v>Aboubacar Hamadou Manga</v>
      </c>
      <c r="B1506" s="16"/>
      <c r="C1506" s="14"/>
      <c r="F1506" s="16" t="str">
        <f>IFERROR(__xludf.DUMMYFUNCTION("""COMPUTED_VALUE"""),"Wadata")</f>
        <v>Wadata</v>
      </c>
      <c r="G1506" s="16"/>
      <c r="H1506" s="14"/>
      <c r="K1506" s="16">
        <f>IFERROR(__xludf.DUMMYFUNCTION("""COMPUTED_VALUE"""),480.0)</f>
        <v>480</v>
      </c>
      <c r="L1506" s="16"/>
      <c r="M1506" s="14"/>
    </row>
    <row r="1507">
      <c r="A1507" s="16" t="str">
        <f>IFERROR(__xludf.DUMMYFUNCTION("""COMPUTED_VALUE"""),"Elhaji Abdou Leilata")</f>
        <v>Elhaji Abdou Leilata</v>
      </c>
      <c r="B1507" s="16"/>
      <c r="C1507" s="14"/>
      <c r="F1507" s="16" t="str">
        <f>IFERROR(__xludf.DUMMYFUNCTION("""COMPUTED_VALUE"""),"Guidan Bado")</f>
        <v>Guidan Bado</v>
      </c>
      <c r="G1507" s="16"/>
      <c r="H1507" s="14"/>
      <c r="K1507" s="16">
        <f>IFERROR(__xludf.DUMMYFUNCTION("""COMPUTED_VALUE"""),295.0)</f>
        <v>295</v>
      </c>
      <c r="L1507" s="16"/>
      <c r="M1507" s="14"/>
    </row>
    <row r="1508">
      <c r="A1508" s="16" t="str">
        <f>IFERROR(__xludf.DUMMYFUNCTION("""COMPUTED_VALUE"""),"Aicha Noma")</f>
        <v>Aicha Noma</v>
      </c>
      <c r="B1508" s="16"/>
      <c r="C1508" s="14"/>
      <c r="F1508" s="16" t="str">
        <f>IFERROR(__xludf.DUMMYFUNCTION("""COMPUTED_VALUE"""),"Guidan Bado")</f>
        <v>Guidan Bado</v>
      </c>
      <c r="G1508" s="16"/>
      <c r="H1508" s="14"/>
      <c r="K1508" s="16">
        <f>IFERROR(__xludf.DUMMYFUNCTION("""COMPUTED_VALUE"""),1277.0)</f>
        <v>1277</v>
      </c>
      <c r="L1508" s="16"/>
      <c r="M1508" s="14"/>
    </row>
    <row r="1509">
      <c r="A1509" s="16" t="str">
        <f>IFERROR(__xludf.DUMMYFUNCTION("""COMPUTED_VALUE"""),"Mathieu Alphonse Rachida Juliette")</f>
        <v>Mathieu Alphonse Rachida Juliette</v>
      </c>
      <c r="B1509" s="16"/>
      <c r="C1509" s="14"/>
      <c r="F1509" s="16" t="str">
        <f>IFERROR(__xludf.DUMMYFUNCTION("""COMPUTED_VALUE"""),"Guidan Bado")</f>
        <v>Guidan Bado</v>
      </c>
      <c r="G1509" s="16"/>
      <c r="H1509" s="14"/>
      <c r="K1509" s="16">
        <f>IFERROR(__xludf.DUMMYFUNCTION("""COMPUTED_VALUE"""),1470.0)</f>
        <v>1470</v>
      </c>
      <c r="L1509" s="16"/>
      <c r="M1509" s="14"/>
    </row>
    <row r="1510">
      <c r="A1510" s="16" t="str">
        <f>IFERROR(__xludf.DUMMYFUNCTION("""COMPUTED_VALUE"""),"Mathieu Alphonse Rachida Juliette")</f>
        <v>Mathieu Alphonse Rachida Juliette</v>
      </c>
      <c r="B1510" s="16"/>
      <c r="C1510" s="14"/>
      <c r="F1510" s="16" t="str">
        <f>IFERROR(__xludf.DUMMYFUNCTION("""COMPUTED_VALUE"""),"Kourmi Malam")</f>
        <v>Kourmi Malam</v>
      </c>
      <c r="G1510" s="16"/>
      <c r="H1510" s="14"/>
      <c r="K1510" s="16">
        <f>IFERROR(__xludf.DUMMYFUNCTION("""COMPUTED_VALUE"""),333.0)</f>
        <v>333</v>
      </c>
      <c r="L1510" s="16"/>
      <c r="M1510" s="14"/>
    </row>
    <row r="1511">
      <c r="A1511" s="16" t="str">
        <f>IFERROR(__xludf.DUMMYFUNCTION("""COMPUTED_VALUE"""),"Mathieu Alphonse Rachida Juliette")</f>
        <v>Mathieu Alphonse Rachida Juliette</v>
      </c>
      <c r="B1511" s="16"/>
      <c r="C1511" s="14"/>
      <c r="F1511" s="16" t="str">
        <f>IFERROR(__xludf.DUMMYFUNCTION("""COMPUTED_VALUE"""),"Kaba Gabass")</f>
        <v>Kaba Gabass</v>
      </c>
      <c r="G1511" s="16"/>
      <c r="H1511" s="14"/>
      <c r="K1511" s="16">
        <f>IFERROR(__xludf.DUMMYFUNCTION("""COMPUTED_VALUE"""),544.0)</f>
        <v>544</v>
      </c>
      <c r="L1511" s="16"/>
      <c r="M1511" s="14"/>
    </row>
    <row r="1512">
      <c r="A1512" s="16" t="str">
        <f>IFERROR(__xludf.DUMMYFUNCTION("""COMPUTED_VALUE"""),"Mathieu Alphonse Rachida Juliette")</f>
        <v>Mathieu Alphonse Rachida Juliette</v>
      </c>
      <c r="B1512" s="16"/>
      <c r="C1512" s="14"/>
      <c r="F1512" s="16" t="str">
        <f>IFERROR(__xludf.DUMMYFUNCTION("""COMPUTED_VALUE"""),"Kaba Gabass")</f>
        <v>Kaba Gabass</v>
      </c>
      <c r="G1512" s="16"/>
      <c r="H1512" s="14"/>
      <c r="K1512" s="16">
        <f>IFERROR(__xludf.DUMMYFUNCTION("""COMPUTED_VALUE"""),592.0)</f>
        <v>592</v>
      </c>
      <c r="L1512" s="16"/>
      <c r="M1512" s="14"/>
    </row>
    <row r="1513">
      <c r="A1513" s="16" t="str">
        <f>IFERROR(__xludf.DUMMYFUNCTION("""COMPUTED_VALUE"""),"Mathieu Alphonse Rachida Juliette")</f>
        <v>Mathieu Alphonse Rachida Juliette</v>
      </c>
      <c r="B1513" s="16"/>
      <c r="C1513" s="14"/>
      <c r="F1513" s="16" t="str">
        <f>IFERROR(__xludf.DUMMYFUNCTION("""COMPUTED_VALUE"""),"Kaba Gabass")</f>
        <v>Kaba Gabass</v>
      </c>
      <c r="G1513" s="16"/>
      <c r="H1513" s="14"/>
      <c r="K1513" s="16">
        <f>IFERROR(__xludf.DUMMYFUNCTION("""COMPUTED_VALUE"""),1515.0)</f>
        <v>1515</v>
      </c>
      <c r="L1513" s="16"/>
      <c r="M1513" s="14"/>
    </row>
    <row r="1514">
      <c r="A1514" s="16" t="str">
        <f>IFERROR(__xludf.DUMMYFUNCTION("""COMPUTED_VALUE"""),"Moumouni Adamou Yahaya")</f>
        <v>Moumouni Adamou Yahaya</v>
      </c>
      <c r="B1514" s="16"/>
      <c r="C1514" s="14"/>
      <c r="F1514" s="16" t="str">
        <f>IFERROR(__xludf.DUMMYFUNCTION("""COMPUTED_VALUE"""),"Kaba Gabass")</f>
        <v>Kaba Gabass</v>
      </c>
      <c r="G1514" s="16"/>
      <c r="H1514" s="14"/>
      <c r="K1514" s="16">
        <f>IFERROR(__xludf.DUMMYFUNCTION("""COMPUTED_VALUE"""),1200.0)</f>
        <v>1200</v>
      </c>
      <c r="L1514" s="16"/>
      <c r="M1514" s="14"/>
    </row>
    <row r="1515">
      <c r="A1515" s="16" t="str">
        <f>IFERROR(__xludf.DUMMYFUNCTION("""COMPUTED_VALUE"""),"Moumouni Adamou Yahaya")</f>
        <v>Moumouni Adamou Yahaya</v>
      </c>
      <c r="B1515" s="16"/>
      <c r="C1515" s="14"/>
      <c r="F1515" s="16" t="str">
        <f>IFERROR(__xludf.DUMMYFUNCTION("""COMPUTED_VALUE"""),"Galmaoua")</f>
        <v>Galmaoua</v>
      </c>
      <c r="G1515" s="16"/>
      <c r="H1515" s="14"/>
      <c r="K1515" s="16">
        <f>IFERROR(__xludf.DUMMYFUNCTION("""COMPUTED_VALUE"""),974.0)</f>
        <v>974</v>
      </c>
      <c r="L1515" s="16"/>
      <c r="M1515" s="14"/>
    </row>
    <row r="1516">
      <c r="A1516" s="16" t="str">
        <f>IFERROR(__xludf.DUMMYFUNCTION("""COMPUTED_VALUE"""),"Moumouni Adamou Yahaya")</f>
        <v>Moumouni Adamou Yahaya</v>
      </c>
      <c r="B1516" s="16"/>
      <c r="C1516" s="14"/>
      <c r="F1516" s="16" t="str">
        <f>IFERROR(__xludf.DUMMYFUNCTION("""COMPUTED_VALUE"""),"Galmaoua")</f>
        <v>Galmaoua</v>
      </c>
      <c r="G1516" s="16"/>
      <c r="H1516" s="14"/>
      <c r="K1516" s="16">
        <f>IFERROR(__xludf.DUMMYFUNCTION("""COMPUTED_VALUE"""),1780.0)</f>
        <v>1780</v>
      </c>
      <c r="L1516" s="16"/>
      <c r="M1516" s="14"/>
    </row>
    <row r="1517">
      <c r="A1517" s="16" t="str">
        <f>IFERROR(__xludf.DUMMYFUNCTION("""COMPUTED_VALUE"""),"Moumouni Adamou Yahaya")</f>
        <v>Moumouni Adamou Yahaya</v>
      </c>
      <c r="B1517" s="16"/>
      <c r="C1517" s="14"/>
      <c r="F1517" s="16" t="str">
        <f>IFERROR(__xludf.DUMMYFUNCTION("""COMPUTED_VALUE"""),"Galmaoua")</f>
        <v>Galmaoua</v>
      </c>
      <c r="G1517" s="16"/>
      <c r="H1517" s="14"/>
      <c r="K1517" s="16">
        <f>IFERROR(__xludf.DUMMYFUNCTION("""COMPUTED_VALUE"""),1409.0)</f>
        <v>1409</v>
      </c>
      <c r="L1517" s="16"/>
      <c r="M1517" s="14"/>
    </row>
    <row r="1518">
      <c r="A1518" s="16" t="str">
        <f>IFERROR(__xludf.DUMMYFUNCTION("""COMPUTED_VALUE"""),"Moumouni Adamou Yahaya")</f>
        <v>Moumouni Adamou Yahaya</v>
      </c>
      <c r="B1518" s="16"/>
      <c r="C1518" s="14"/>
      <c r="F1518" s="16" t="str">
        <f>IFERROR(__xludf.DUMMYFUNCTION("""COMPUTED_VALUE"""),"Galmaoua")</f>
        <v>Galmaoua</v>
      </c>
      <c r="G1518" s="16"/>
      <c r="H1518" s="14"/>
      <c r="K1518" s="16">
        <f>IFERROR(__xludf.DUMMYFUNCTION("""COMPUTED_VALUE"""),2601.0)</f>
        <v>2601</v>
      </c>
      <c r="L1518" s="16"/>
      <c r="M1518" s="14"/>
    </row>
    <row r="1519">
      <c r="A1519" s="16" t="str">
        <f>IFERROR(__xludf.DUMMYFUNCTION("""COMPUTED_VALUE"""),"Kimba Issa Mamoudou")</f>
        <v>Kimba Issa Mamoudou</v>
      </c>
      <c r="B1519" s="16"/>
      <c r="C1519" s="14"/>
      <c r="F1519" s="16" t="str">
        <f>IFERROR(__xludf.DUMMYFUNCTION("""COMPUTED_VALUE"""),"Galmaoua")</f>
        <v>Galmaoua</v>
      </c>
      <c r="G1519" s="16"/>
      <c r="H1519" s="14"/>
      <c r="K1519" s="16">
        <f>IFERROR(__xludf.DUMMYFUNCTION("""COMPUTED_VALUE"""),2055.0)</f>
        <v>2055</v>
      </c>
      <c r="L1519" s="16"/>
      <c r="M1519" s="14"/>
    </row>
    <row r="1520">
      <c r="A1520" s="16" t="str">
        <f>IFERROR(__xludf.DUMMYFUNCTION("""COMPUTED_VALUE"""),"Kimba Issa Mamoudou")</f>
        <v>Kimba Issa Mamoudou</v>
      </c>
      <c r="B1520" s="16"/>
      <c r="C1520" s="14"/>
      <c r="F1520" s="16" t="str">
        <f>IFERROR(__xludf.DUMMYFUNCTION("""COMPUTED_VALUE"""),"Galmaoua")</f>
        <v>Galmaoua</v>
      </c>
      <c r="G1520" s="16"/>
      <c r="H1520" s="14"/>
      <c r="K1520" s="16">
        <f>IFERROR(__xludf.DUMMYFUNCTION("""COMPUTED_VALUE"""),2141.0)</f>
        <v>2141</v>
      </c>
      <c r="L1520" s="16"/>
      <c r="M1520" s="14"/>
    </row>
    <row r="1521">
      <c r="A1521" s="16" t="str">
        <f>IFERROR(__xludf.DUMMYFUNCTION("""COMPUTED_VALUE"""),"Kimba Issa Mamoudou")</f>
        <v>Kimba Issa Mamoudou</v>
      </c>
      <c r="B1521" s="16"/>
      <c r="C1521" s="14"/>
      <c r="F1521" s="16" t="str">
        <f>IFERROR(__xludf.DUMMYFUNCTION("""COMPUTED_VALUE"""),"Galmaoua")</f>
        <v>Galmaoua</v>
      </c>
      <c r="G1521" s="16"/>
      <c r="H1521" s="14"/>
      <c r="K1521" s="16">
        <f>IFERROR(__xludf.DUMMYFUNCTION("""COMPUTED_VALUE"""),445.0)</f>
        <v>445</v>
      </c>
      <c r="L1521" s="16"/>
      <c r="M1521" s="14"/>
    </row>
    <row r="1522">
      <c r="A1522" s="16" t="str">
        <f>IFERROR(__xludf.DUMMYFUNCTION("""COMPUTED_VALUE"""),"Halimatou Adamou Marafa")</f>
        <v>Halimatou Adamou Marafa</v>
      </c>
      <c r="B1522" s="16"/>
      <c r="C1522" s="14"/>
      <c r="F1522" s="16" t="str">
        <f>IFERROR(__xludf.DUMMYFUNCTION("""COMPUTED_VALUE"""),"Guidan Bado")</f>
        <v>Guidan Bado</v>
      </c>
      <c r="G1522" s="16"/>
      <c r="H1522" s="14"/>
      <c r="K1522" s="16">
        <f>IFERROR(__xludf.DUMMYFUNCTION("""COMPUTED_VALUE"""),1571.0)</f>
        <v>1571</v>
      </c>
      <c r="L1522" s="16"/>
      <c r="M1522" s="14"/>
    </row>
    <row r="1523">
      <c r="A1523" s="16" t="str">
        <f>IFERROR(__xludf.DUMMYFUNCTION("""COMPUTED_VALUE"""),"Moussa Ide Ibrahim")</f>
        <v>Moussa Ide Ibrahim</v>
      </c>
      <c r="B1523" s="16"/>
      <c r="C1523" s="14"/>
      <c r="F1523" s="16" t="str">
        <f>IFERROR(__xludf.DUMMYFUNCTION("""COMPUTED_VALUE"""),"Guidan Bado")</f>
        <v>Guidan Bado</v>
      </c>
      <c r="G1523" s="16"/>
      <c r="H1523" s="14"/>
      <c r="K1523" s="16">
        <f>IFERROR(__xludf.DUMMYFUNCTION("""COMPUTED_VALUE"""),560.0)</f>
        <v>560</v>
      </c>
      <c r="L1523" s="16"/>
      <c r="M1523" s="14"/>
    </row>
    <row r="1524">
      <c r="A1524" s="16" t="str">
        <f>IFERROR(__xludf.DUMMYFUNCTION("""COMPUTED_VALUE"""),"Moussa Ide Ibrahim")</f>
        <v>Moussa Ide Ibrahim</v>
      </c>
      <c r="B1524" s="16"/>
      <c r="C1524" s="14"/>
      <c r="F1524" s="16" t="str">
        <f>IFERROR(__xludf.DUMMYFUNCTION("""COMPUTED_VALUE"""),"Guidan Bado")</f>
        <v>Guidan Bado</v>
      </c>
      <c r="G1524" s="16"/>
      <c r="H1524" s="14"/>
      <c r="K1524" s="16">
        <f>IFERROR(__xludf.DUMMYFUNCTION("""COMPUTED_VALUE"""),414.0)</f>
        <v>414</v>
      </c>
      <c r="L1524" s="16"/>
      <c r="M1524" s="14"/>
    </row>
    <row r="1525">
      <c r="A1525" s="16" t="str">
        <f>IFERROR(__xludf.DUMMYFUNCTION("""COMPUTED_VALUE"""),"Moussa Ide Ibrahim")</f>
        <v>Moussa Ide Ibrahim</v>
      </c>
      <c r="B1525" s="16"/>
      <c r="C1525" s="14"/>
      <c r="F1525" s="16" t="str">
        <f>IFERROR(__xludf.DUMMYFUNCTION("""COMPUTED_VALUE"""),"Guidan Bado")</f>
        <v>Guidan Bado</v>
      </c>
      <c r="G1525" s="16"/>
      <c r="H1525" s="14"/>
      <c r="K1525" s="16">
        <f>IFERROR(__xludf.DUMMYFUNCTION("""COMPUTED_VALUE"""),323.0)</f>
        <v>323</v>
      </c>
      <c r="L1525" s="16"/>
      <c r="M1525" s="14"/>
    </row>
    <row r="1526">
      <c r="A1526" s="16" t="str">
        <f>IFERROR(__xludf.DUMMYFUNCTION("""COMPUTED_VALUE"""),"Mohamadou Amadou")</f>
        <v>Mohamadou Amadou</v>
      </c>
      <c r="B1526" s="16"/>
      <c r="C1526" s="14"/>
      <c r="F1526" s="16" t="str">
        <f>IFERROR(__xludf.DUMMYFUNCTION("""COMPUTED_VALUE"""),"Kourmi Malam")</f>
        <v>Kourmi Malam</v>
      </c>
      <c r="G1526" s="16"/>
      <c r="H1526" s="14"/>
      <c r="K1526" s="16">
        <f>IFERROR(__xludf.DUMMYFUNCTION("""COMPUTED_VALUE"""),463.0)</f>
        <v>463</v>
      </c>
      <c r="L1526" s="16"/>
      <c r="M1526" s="14"/>
    </row>
    <row r="1527">
      <c r="A1527" s="16" t="str">
        <f>IFERROR(__xludf.DUMMYFUNCTION("""COMPUTED_VALUE"""),"Mohamadou Amadou")</f>
        <v>Mohamadou Amadou</v>
      </c>
      <c r="B1527" s="16"/>
      <c r="C1527" s="14"/>
      <c r="F1527" s="16" t="str">
        <f>IFERROR(__xludf.DUMMYFUNCTION("""COMPUTED_VALUE"""),"Kourmi Malam")</f>
        <v>Kourmi Malam</v>
      </c>
      <c r="G1527" s="16"/>
      <c r="H1527" s="14"/>
      <c r="K1527" s="16">
        <f>IFERROR(__xludf.DUMMYFUNCTION("""COMPUTED_VALUE"""),1694.0)</f>
        <v>1694</v>
      </c>
      <c r="L1527" s="16"/>
      <c r="M1527" s="14"/>
    </row>
    <row r="1528">
      <c r="A1528" s="16" t="str">
        <f>IFERROR(__xludf.DUMMYFUNCTION("""COMPUTED_VALUE"""),"Mohamadou Amadou")</f>
        <v>Mohamadou Amadou</v>
      </c>
      <c r="B1528" s="16"/>
      <c r="C1528" s="14"/>
      <c r="F1528" s="16" t="str">
        <f>IFERROR(__xludf.DUMMYFUNCTION("""COMPUTED_VALUE"""),"Kourmi Malam")</f>
        <v>Kourmi Malam</v>
      </c>
      <c r="G1528" s="16"/>
      <c r="H1528" s="14"/>
      <c r="K1528" s="16">
        <f>IFERROR(__xludf.DUMMYFUNCTION("""COMPUTED_VALUE"""),1258.0)</f>
        <v>1258</v>
      </c>
      <c r="L1528" s="16"/>
      <c r="M1528" s="14"/>
    </row>
    <row r="1529">
      <c r="A1529" s="16" t="str">
        <f>IFERROR(__xludf.DUMMYFUNCTION("""COMPUTED_VALUE"""),"Mohamadou Amadou")</f>
        <v>Mohamadou Amadou</v>
      </c>
      <c r="B1529" s="16"/>
      <c r="C1529" s="14"/>
      <c r="F1529" s="16" t="str">
        <f>IFERROR(__xludf.DUMMYFUNCTION("""COMPUTED_VALUE"""),"Kourmi Malam")</f>
        <v>Kourmi Malam</v>
      </c>
      <c r="G1529" s="16"/>
      <c r="H1529" s="14"/>
      <c r="K1529" s="16">
        <f>IFERROR(__xludf.DUMMYFUNCTION("""COMPUTED_VALUE"""),416.0)</f>
        <v>416</v>
      </c>
      <c r="L1529" s="16"/>
      <c r="M1529" s="14"/>
    </row>
    <row r="1530">
      <c r="A1530" s="16" t="str">
        <f>IFERROR(__xludf.DUMMYFUNCTION("""COMPUTED_VALUE"""),"Rabi Boubacar Younoussa")</f>
        <v>Rabi Boubacar Younoussa</v>
      </c>
      <c r="B1530" s="16"/>
      <c r="C1530" s="14"/>
      <c r="F1530" s="16" t="str">
        <f>IFERROR(__xludf.DUMMYFUNCTION("""COMPUTED_VALUE"""),"Kourmi Malam")</f>
        <v>Kourmi Malam</v>
      </c>
      <c r="G1530" s="16"/>
      <c r="H1530" s="14"/>
      <c r="K1530" s="16">
        <f>IFERROR(__xludf.DUMMYFUNCTION("""COMPUTED_VALUE"""),431.0)</f>
        <v>431</v>
      </c>
      <c r="L1530" s="16"/>
      <c r="M1530" s="14"/>
    </row>
    <row r="1531">
      <c r="A1531" s="16" t="str">
        <f>IFERROR(__xludf.DUMMYFUNCTION("""COMPUTED_VALUE"""),"Abdoul Salami Ibrahim")</f>
        <v>Abdoul Salami Ibrahim</v>
      </c>
      <c r="B1531" s="16"/>
      <c r="C1531" s="14"/>
      <c r="F1531" s="16" t="str">
        <f>IFERROR(__xludf.DUMMYFUNCTION("""COMPUTED_VALUE"""),"Koweit Peulh I")</f>
        <v>Koweit Peulh I</v>
      </c>
      <c r="G1531" s="16"/>
      <c r="H1531" s="14"/>
      <c r="K1531" s="16">
        <f>IFERROR(__xludf.DUMMYFUNCTION("""COMPUTED_VALUE"""),664.0)</f>
        <v>664</v>
      </c>
      <c r="L1531" s="16"/>
      <c r="M1531" s="14"/>
    </row>
    <row r="1532">
      <c r="A1532" s="16" t="str">
        <f>IFERROR(__xludf.DUMMYFUNCTION("""COMPUTED_VALUE"""),"Abdoul Salami Ibrahim")</f>
        <v>Abdoul Salami Ibrahim</v>
      </c>
      <c r="B1532" s="16"/>
      <c r="C1532" s="14"/>
      <c r="F1532" s="16" t="str">
        <f>IFERROR(__xludf.DUMMYFUNCTION("""COMPUTED_VALUE"""),"Koweit Peulh I")</f>
        <v>Koweit Peulh I</v>
      </c>
      <c r="G1532" s="16"/>
      <c r="H1532" s="14"/>
      <c r="K1532" s="16">
        <f>IFERROR(__xludf.DUMMYFUNCTION("""COMPUTED_VALUE"""),817.0)</f>
        <v>817</v>
      </c>
      <c r="L1532" s="16"/>
      <c r="M1532" s="14"/>
    </row>
    <row r="1533">
      <c r="A1533" s="16" t="str">
        <f>IFERROR(__xludf.DUMMYFUNCTION("""COMPUTED_VALUE"""),"Abdoul Salami Ibrahim")</f>
        <v>Abdoul Salami Ibrahim</v>
      </c>
      <c r="B1533" s="16"/>
      <c r="C1533" s="14"/>
      <c r="F1533" s="16" t="str">
        <f>IFERROR(__xludf.DUMMYFUNCTION("""COMPUTED_VALUE"""),"Koweit Peulh I")</f>
        <v>Koweit Peulh I</v>
      </c>
      <c r="G1533" s="16"/>
      <c r="H1533" s="14"/>
      <c r="K1533" s="16">
        <f>IFERROR(__xludf.DUMMYFUNCTION("""COMPUTED_VALUE"""),834.0)</f>
        <v>834</v>
      </c>
      <c r="L1533" s="16"/>
      <c r="M1533" s="14"/>
    </row>
    <row r="1534">
      <c r="A1534" s="16" t="str">
        <f>IFERROR(__xludf.DUMMYFUNCTION("""COMPUTED_VALUE"""),"Inoussa Balkissou")</f>
        <v>Inoussa Balkissou</v>
      </c>
      <c r="B1534" s="16"/>
      <c r="C1534" s="14"/>
      <c r="F1534" s="16" t="str">
        <f>IFERROR(__xludf.DUMMYFUNCTION("""COMPUTED_VALUE"""),"Koweit Peulh I")</f>
        <v>Koweit Peulh I</v>
      </c>
      <c r="G1534" s="16"/>
      <c r="H1534" s="14"/>
      <c r="K1534" s="16">
        <f>IFERROR(__xludf.DUMMYFUNCTION("""COMPUTED_VALUE"""),1791.0)</f>
        <v>1791</v>
      </c>
      <c r="L1534" s="16"/>
      <c r="M1534" s="14"/>
    </row>
    <row r="1535">
      <c r="A1535" s="16" t="str">
        <f>IFERROR(__xludf.DUMMYFUNCTION("""COMPUTED_VALUE"""),"Abdoul Razak Mahamane Boukari")</f>
        <v>Abdoul Razak Mahamane Boukari</v>
      </c>
      <c r="B1535" s="16"/>
      <c r="C1535" s="14"/>
      <c r="F1535" s="16" t="str">
        <f>IFERROR(__xludf.DUMMYFUNCTION("""COMPUTED_VALUE"""),"Koweit Peulh I")</f>
        <v>Koweit Peulh I</v>
      </c>
      <c r="G1535" s="16"/>
      <c r="H1535" s="14"/>
      <c r="K1535" s="16">
        <f>IFERROR(__xludf.DUMMYFUNCTION("""COMPUTED_VALUE"""),296.0)</f>
        <v>296</v>
      </c>
      <c r="L1535" s="16"/>
      <c r="M1535" s="14"/>
    </row>
    <row r="1536">
      <c r="A1536" s="16" t="str">
        <f>IFERROR(__xludf.DUMMYFUNCTION("""COMPUTED_VALUE"""),"Abdoul Razak Mahamane Boukari")</f>
        <v>Abdoul Razak Mahamane Boukari</v>
      </c>
      <c r="B1536" s="16"/>
      <c r="C1536" s="14"/>
      <c r="F1536" s="16" t="str">
        <f>IFERROR(__xludf.DUMMYFUNCTION("""COMPUTED_VALUE"""),"Koweit Peulh I")</f>
        <v>Koweit Peulh I</v>
      </c>
      <c r="G1536" s="16"/>
      <c r="H1536" s="14"/>
      <c r="K1536" s="16">
        <f>IFERROR(__xludf.DUMMYFUNCTION("""COMPUTED_VALUE"""),295.0)</f>
        <v>295</v>
      </c>
      <c r="L1536" s="16"/>
      <c r="M1536" s="14"/>
    </row>
    <row r="1537">
      <c r="A1537" s="16" t="str">
        <f>IFERROR(__xludf.DUMMYFUNCTION("""COMPUTED_VALUE"""),"Abdoul Razak Mahamane Boukari")</f>
        <v>Abdoul Razak Mahamane Boukari</v>
      </c>
      <c r="B1537" s="16"/>
      <c r="C1537" s="14"/>
      <c r="F1537" s="16" t="str">
        <f>IFERROR(__xludf.DUMMYFUNCTION("""COMPUTED_VALUE"""),"Koweit Peulh I")</f>
        <v>Koweit Peulh I</v>
      </c>
      <c r="G1537" s="16"/>
      <c r="H1537" s="14"/>
      <c r="K1537" s="16">
        <f>IFERROR(__xludf.DUMMYFUNCTION("""COMPUTED_VALUE"""),618.0)</f>
        <v>618</v>
      </c>
      <c r="L1537" s="16"/>
      <c r="M1537" s="14"/>
    </row>
    <row r="1538">
      <c r="A1538" s="16" t="str">
        <f>IFERROR(__xludf.DUMMYFUNCTION("""COMPUTED_VALUE"""),"ALASSANE TAWEY AWALOU")</f>
        <v>ALASSANE TAWEY AWALOU</v>
      </c>
      <c r="B1538" s="16"/>
      <c r="C1538" s="14"/>
      <c r="F1538" s="16" t="str">
        <f>IFERROR(__xludf.DUMMYFUNCTION("""COMPUTED_VALUE"""),"Koweit Peulh I")</f>
        <v>Koweit Peulh I</v>
      </c>
      <c r="G1538" s="16"/>
      <c r="H1538" s="14"/>
      <c r="K1538" s="16">
        <f>IFERROR(__xludf.DUMMYFUNCTION("""COMPUTED_VALUE"""),1807.0)</f>
        <v>1807</v>
      </c>
      <c r="L1538" s="16"/>
      <c r="M1538" s="14"/>
    </row>
    <row r="1539">
      <c r="A1539" s="16" t="str">
        <f>IFERROR(__xludf.DUMMYFUNCTION("""COMPUTED_VALUE"""),"ALASSANE TAWEY AWALOU")</f>
        <v>ALASSANE TAWEY AWALOU</v>
      </c>
      <c r="B1539" s="16"/>
      <c r="C1539" s="14"/>
      <c r="F1539" s="16" t="str">
        <f>IFERROR(__xludf.DUMMYFUNCTION("""COMPUTED_VALUE"""),"Koweit Peulh I")</f>
        <v>Koweit Peulh I</v>
      </c>
      <c r="G1539" s="16"/>
      <c r="H1539" s="14"/>
      <c r="K1539" s="16">
        <f>IFERROR(__xludf.DUMMYFUNCTION("""COMPUTED_VALUE"""),346.0)</f>
        <v>346</v>
      </c>
      <c r="L1539" s="16"/>
      <c r="M1539" s="14"/>
    </row>
    <row r="1540">
      <c r="A1540" s="16" t="str">
        <f>IFERROR(__xludf.DUMMYFUNCTION("""COMPUTED_VALUE"""),"ALASSANE TAWEY AWALOU")</f>
        <v>ALASSANE TAWEY AWALOU</v>
      </c>
      <c r="B1540" s="16"/>
      <c r="C1540" s="14"/>
      <c r="F1540" s="16" t="str">
        <f>IFERROR(__xludf.DUMMYFUNCTION("""COMPUTED_VALUE"""),"Kourmi Malam")</f>
        <v>Kourmi Malam</v>
      </c>
      <c r="G1540" s="16"/>
      <c r="H1540" s="14"/>
      <c r="K1540" s="16">
        <f>IFERROR(__xludf.DUMMYFUNCTION("""COMPUTED_VALUE"""),616.0)</f>
        <v>616</v>
      </c>
      <c r="L1540" s="16"/>
      <c r="M1540" s="14"/>
    </row>
    <row r="1541">
      <c r="A1541" s="16" t="str">
        <f>IFERROR(__xludf.DUMMYFUNCTION("""COMPUTED_VALUE"""),"ALASSANE TAWEY AWALOU")</f>
        <v>ALASSANE TAWEY AWALOU</v>
      </c>
      <c r="B1541" s="16"/>
      <c r="C1541" s="14"/>
      <c r="F1541" s="16" t="str">
        <f>IFERROR(__xludf.DUMMYFUNCTION("""COMPUTED_VALUE"""),"Kourmi Malam")</f>
        <v>Kourmi Malam</v>
      </c>
      <c r="G1541" s="16"/>
      <c r="H1541" s="14"/>
      <c r="K1541" s="16">
        <f>IFERROR(__xludf.DUMMYFUNCTION("""COMPUTED_VALUE"""),926.0)</f>
        <v>926</v>
      </c>
      <c r="L1541" s="16"/>
      <c r="M1541" s="14"/>
    </row>
    <row r="1542">
      <c r="A1542" s="16" t="str">
        <f>IFERROR(__xludf.DUMMYFUNCTION("""COMPUTED_VALUE"""),"Ibrahim Dan Habou Larwana")</f>
        <v>Ibrahim Dan Habou Larwana</v>
      </c>
      <c r="B1542" s="16"/>
      <c r="C1542" s="14"/>
      <c r="F1542" s="16" t="str">
        <f>IFERROR(__xludf.DUMMYFUNCTION("""COMPUTED_VALUE"""),"Kourmi Malam")</f>
        <v>Kourmi Malam</v>
      </c>
      <c r="G1542" s="16"/>
      <c r="H1542" s="14"/>
      <c r="K1542" s="16">
        <f>IFERROR(__xludf.DUMMYFUNCTION("""COMPUTED_VALUE"""),900.0)</f>
        <v>900</v>
      </c>
      <c r="L1542" s="16"/>
      <c r="M1542" s="14"/>
    </row>
    <row r="1543">
      <c r="A1543" s="16" t="str">
        <f>IFERROR(__xludf.DUMMYFUNCTION("""COMPUTED_VALUE"""),"Ibrahim Dan Habou Larwana")</f>
        <v>Ibrahim Dan Habou Larwana</v>
      </c>
      <c r="B1543" s="16"/>
      <c r="C1543" s="14"/>
      <c r="F1543" s="16" t="str">
        <f>IFERROR(__xludf.DUMMYFUNCTION("""COMPUTED_VALUE"""),"Kourmi Malam")</f>
        <v>Kourmi Malam</v>
      </c>
      <c r="G1543" s="16"/>
      <c r="H1543" s="14"/>
      <c r="K1543" s="16">
        <f>IFERROR(__xludf.DUMMYFUNCTION("""COMPUTED_VALUE"""),1007.0)</f>
        <v>1007</v>
      </c>
      <c r="L1543" s="16"/>
      <c r="M1543" s="14"/>
    </row>
    <row r="1544">
      <c r="A1544" s="16" t="str">
        <f>IFERROR(__xludf.DUMMYFUNCTION("""COMPUTED_VALUE"""),"Ibrahim Dan Habou Larwana")</f>
        <v>Ibrahim Dan Habou Larwana</v>
      </c>
      <c r="B1544" s="16"/>
      <c r="C1544" s="14"/>
      <c r="F1544" s="16" t="str">
        <f>IFERROR(__xludf.DUMMYFUNCTION("""COMPUTED_VALUE"""),"Kourmi Malam")</f>
        <v>Kourmi Malam</v>
      </c>
      <c r="G1544" s="16"/>
      <c r="H1544" s="14"/>
      <c r="K1544" s="16">
        <f>IFERROR(__xludf.DUMMYFUNCTION("""COMPUTED_VALUE"""),523.0)</f>
        <v>523</v>
      </c>
      <c r="L1544" s="16"/>
      <c r="M1544" s="14"/>
    </row>
    <row r="1545">
      <c r="A1545" s="16" t="str">
        <f>IFERROR(__xludf.DUMMYFUNCTION("""COMPUTED_VALUE"""),"Ibrahim Dan Habou Larwana")</f>
        <v>Ibrahim Dan Habou Larwana</v>
      </c>
      <c r="B1545" s="16"/>
      <c r="C1545" s="14"/>
      <c r="F1545" s="16" t="str">
        <f>IFERROR(__xludf.DUMMYFUNCTION("""COMPUTED_VALUE"""),"Guidan Bado")</f>
        <v>Guidan Bado</v>
      </c>
      <c r="G1545" s="16"/>
      <c r="H1545" s="14"/>
      <c r="K1545" s="16">
        <f>IFERROR(__xludf.DUMMYFUNCTION("""COMPUTED_VALUE"""),719.0)</f>
        <v>719</v>
      </c>
      <c r="L1545" s="16"/>
      <c r="M1545" s="14"/>
    </row>
    <row r="1546">
      <c r="A1546" s="16" t="str">
        <f>IFERROR(__xludf.DUMMYFUNCTION("""COMPUTED_VALUE"""),"Ibrahim Dan Habou Larwana")</f>
        <v>Ibrahim Dan Habou Larwana</v>
      </c>
      <c r="B1546" s="16"/>
      <c r="C1546" s="14"/>
      <c r="F1546" s="16" t="str">
        <f>IFERROR(__xludf.DUMMYFUNCTION("""COMPUTED_VALUE"""),"Guidan Bado")</f>
        <v>Guidan Bado</v>
      </c>
      <c r="G1546" s="16"/>
      <c r="H1546" s="14"/>
      <c r="K1546" s="16">
        <f>IFERROR(__xludf.DUMMYFUNCTION("""COMPUTED_VALUE"""),1037.0)</f>
        <v>1037</v>
      </c>
      <c r="L1546" s="16"/>
      <c r="M1546" s="14"/>
    </row>
    <row r="1547">
      <c r="A1547" s="16" t="str">
        <f>IFERROR(__xludf.DUMMYFUNCTION("""COMPUTED_VALUE"""),"Adamou Halidou Daouda")</f>
        <v>Adamou Halidou Daouda</v>
      </c>
      <c r="B1547" s="16"/>
      <c r="C1547" s="14"/>
      <c r="F1547" s="16" t="str">
        <f>IFERROR(__xludf.DUMMYFUNCTION("""COMPUTED_VALUE"""),"Guidan Bado")</f>
        <v>Guidan Bado</v>
      </c>
      <c r="G1547" s="16"/>
      <c r="H1547" s="14"/>
      <c r="K1547" s="16">
        <f>IFERROR(__xludf.DUMMYFUNCTION("""COMPUTED_VALUE"""),592.0)</f>
        <v>592</v>
      </c>
      <c r="L1547" s="16"/>
      <c r="M1547" s="14"/>
    </row>
    <row r="1548">
      <c r="A1548" s="16" t="str">
        <f>IFERROR(__xludf.DUMMYFUNCTION("""COMPUTED_VALUE"""),"Adamou Halidou Daouda")</f>
        <v>Adamou Halidou Daouda</v>
      </c>
      <c r="B1548" s="16"/>
      <c r="C1548" s="14"/>
      <c r="F1548" s="16" t="str">
        <f>IFERROR(__xludf.DUMMYFUNCTION("""COMPUTED_VALUE"""),"Kourmi Malam")</f>
        <v>Kourmi Malam</v>
      </c>
      <c r="G1548" s="16"/>
      <c r="H1548" s="14"/>
      <c r="K1548" s="16">
        <f>IFERROR(__xludf.DUMMYFUNCTION("""COMPUTED_VALUE"""),241.0)</f>
        <v>241</v>
      </c>
      <c r="L1548" s="16"/>
      <c r="M1548" s="14"/>
    </row>
    <row r="1549">
      <c r="A1549" s="16" t="str">
        <f>IFERROR(__xludf.DUMMYFUNCTION("""COMPUTED_VALUE"""),"Adamou Halidou Daouda")</f>
        <v>Adamou Halidou Daouda</v>
      </c>
      <c r="B1549" s="16"/>
      <c r="C1549" s="14"/>
      <c r="F1549" s="16" t="str">
        <f>IFERROR(__xludf.DUMMYFUNCTION("""COMPUTED_VALUE"""),"Kourmi Malam")</f>
        <v>Kourmi Malam</v>
      </c>
      <c r="G1549" s="16"/>
      <c r="H1549" s="14"/>
      <c r="K1549" s="16">
        <f>IFERROR(__xludf.DUMMYFUNCTION("""COMPUTED_VALUE"""),664.0)</f>
        <v>664</v>
      </c>
      <c r="L1549" s="16"/>
      <c r="M1549" s="14"/>
    </row>
    <row r="1550">
      <c r="A1550" s="16" t="str">
        <f>IFERROR(__xludf.DUMMYFUNCTION("""COMPUTED_VALUE"""),"Adamou Halidou Daouda")</f>
        <v>Adamou Halidou Daouda</v>
      </c>
      <c r="B1550" s="16"/>
      <c r="C1550" s="14"/>
      <c r="F1550" s="16" t="str">
        <f>IFERROR(__xludf.DUMMYFUNCTION("""COMPUTED_VALUE"""),"Kourmi Malam")</f>
        <v>Kourmi Malam</v>
      </c>
      <c r="G1550" s="16"/>
      <c r="H1550" s="14"/>
      <c r="K1550" s="16">
        <f>IFERROR(__xludf.DUMMYFUNCTION("""COMPUTED_VALUE"""),421.0)</f>
        <v>421</v>
      </c>
      <c r="L1550" s="16"/>
      <c r="M1550" s="14"/>
    </row>
    <row r="1551">
      <c r="A1551" s="16" t="str">
        <f>IFERROR(__xludf.DUMMYFUNCTION("""COMPUTED_VALUE"""),"Adamou Halidou Daouda")</f>
        <v>Adamou Halidou Daouda</v>
      </c>
      <c r="B1551" s="16"/>
      <c r="C1551" s="14"/>
      <c r="F1551" s="16" t="str">
        <f>IFERROR(__xludf.DUMMYFUNCTION("""COMPUTED_VALUE"""),"Kourmi Malam")</f>
        <v>Kourmi Malam</v>
      </c>
      <c r="G1551" s="16"/>
      <c r="H1551" s="14"/>
      <c r="K1551" s="16">
        <f>IFERROR(__xludf.DUMMYFUNCTION("""COMPUTED_VALUE"""),1896.0)</f>
        <v>1896</v>
      </c>
      <c r="L1551" s="16"/>
      <c r="M1551" s="14"/>
    </row>
    <row r="1552">
      <c r="A1552" s="16" t="str">
        <f>IFERROR(__xludf.DUMMYFUNCTION("""COMPUTED_VALUE"""),"Adamou Halidou Daouda")</f>
        <v>Adamou Halidou Daouda</v>
      </c>
      <c r="B1552" s="16"/>
      <c r="C1552" s="14"/>
      <c r="F1552" s="16" t="str">
        <f>IFERROR(__xludf.DUMMYFUNCTION("""COMPUTED_VALUE"""),"Guébin Zogui")</f>
        <v>Guébin Zogui</v>
      </c>
      <c r="G1552" s="16"/>
      <c r="H1552" s="14"/>
      <c r="K1552" s="16">
        <f>IFERROR(__xludf.DUMMYFUNCTION("""COMPUTED_VALUE"""),491.0)</f>
        <v>491</v>
      </c>
      <c r="L1552" s="16"/>
      <c r="M1552" s="14"/>
    </row>
    <row r="1553">
      <c r="A1553" s="16" t="str">
        <f>IFERROR(__xludf.DUMMYFUNCTION("""COMPUTED_VALUE"""),"Adamou Halidou Daouda")</f>
        <v>Adamou Halidou Daouda</v>
      </c>
      <c r="B1553" s="16"/>
      <c r="C1553" s="14"/>
      <c r="F1553" s="16" t="str">
        <f>IFERROR(__xludf.DUMMYFUNCTION("""COMPUTED_VALUE"""),"Guébin Zogui")</f>
        <v>Guébin Zogui</v>
      </c>
      <c r="G1553" s="16"/>
      <c r="H1553" s="14"/>
      <c r="K1553" s="16">
        <f>IFERROR(__xludf.DUMMYFUNCTION("""COMPUTED_VALUE"""),918.0)</f>
        <v>918</v>
      </c>
      <c r="L1553" s="16"/>
      <c r="M1553" s="14"/>
    </row>
    <row r="1554">
      <c r="A1554" s="16" t="str">
        <f>IFERROR(__xludf.DUMMYFUNCTION("""COMPUTED_VALUE"""),"Adamou Halidou Daouda")</f>
        <v>Adamou Halidou Daouda</v>
      </c>
      <c r="B1554" s="16"/>
      <c r="C1554" s="14"/>
      <c r="F1554" s="16" t="str">
        <f>IFERROR(__xludf.DUMMYFUNCTION("""COMPUTED_VALUE"""),"Guébin Zogui")</f>
        <v>Guébin Zogui</v>
      </c>
      <c r="G1554" s="16"/>
      <c r="H1554" s="14"/>
      <c r="K1554" s="16">
        <f>IFERROR(__xludf.DUMMYFUNCTION("""COMPUTED_VALUE"""),352.0)</f>
        <v>352</v>
      </c>
      <c r="L1554" s="16"/>
      <c r="M1554" s="14"/>
    </row>
    <row r="1555">
      <c r="A1555" s="16" t="str">
        <f>IFERROR(__xludf.DUMMYFUNCTION("""COMPUTED_VALUE"""),"Kaltoume Kimba")</f>
        <v>Kaltoume Kimba</v>
      </c>
      <c r="B1555" s="16"/>
      <c r="C1555" s="14"/>
      <c r="F1555" s="16" t="str">
        <f>IFERROR(__xludf.DUMMYFUNCTION("""COMPUTED_VALUE"""),"Guébin Zogui")</f>
        <v>Guébin Zogui</v>
      </c>
      <c r="G1555" s="16"/>
      <c r="H1555" s="14"/>
      <c r="K1555" s="16">
        <f>IFERROR(__xludf.DUMMYFUNCTION("""COMPUTED_VALUE"""),229.0)</f>
        <v>229</v>
      </c>
      <c r="L1555" s="16"/>
      <c r="M1555" s="14"/>
    </row>
    <row r="1556">
      <c r="A1556" s="16" t="str">
        <f>IFERROR(__xludf.DUMMYFUNCTION("""COMPUTED_VALUE"""),"Younoussi Bilan Djamila")</f>
        <v>Younoussi Bilan Djamila</v>
      </c>
      <c r="B1556" s="16"/>
      <c r="C1556" s="14"/>
      <c r="F1556" s="16" t="str">
        <f>IFERROR(__xludf.DUMMYFUNCTION("""COMPUTED_VALUE"""),"Wadata")</f>
        <v>Wadata</v>
      </c>
      <c r="G1556" s="16"/>
      <c r="H1556" s="14"/>
      <c r="K1556" s="16">
        <f>IFERROR(__xludf.DUMMYFUNCTION("""COMPUTED_VALUE"""),462.0)</f>
        <v>462</v>
      </c>
      <c r="L1556" s="16"/>
      <c r="M1556" s="14"/>
    </row>
    <row r="1557">
      <c r="A1557" s="16" t="str">
        <f>IFERROR(__xludf.DUMMYFUNCTION("""COMPUTED_VALUE"""),"Hachimou Rabiou Mamoudou")</f>
        <v>Hachimou Rabiou Mamoudou</v>
      </c>
      <c r="B1557" s="16"/>
      <c r="C1557" s="14"/>
      <c r="F1557" s="16" t="str">
        <f>IFERROR(__xludf.DUMMYFUNCTION("""COMPUTED_VALUE"""),"Wadata")</f>
        <v>Wadata</v>
      </c>
      <c r="G1557" s="16"/>
      <c r="H1557" s="14"/>
      <c r="K1557" s="16">
        <f>IFERROR(__xludf.DUMMYFUNCTION("""COMPUTED_VALUE"""),512.0)</f>
        <v>512</v>
      </c>
      <c r="L1557" s="16"/>
      <c r="M1557" s="14"/>
    </row>
    <row r="1558">
      <c r="A1558" s="16" t="str">
        <f>IFERROR(__xludf.DUMMYFUNCTION("""COMPUTED_VALUE"""),"Hachimou Rabiou Mamoudou")</f>
        <v>Hachimou Rabiou Mamoudou</v>
      </c>
      <c r="B1558" s="16"/>
      <c r="C1558" s="14"/>
      <c r="F1558" s="16" t="str">
        <f>IFERROR(__xludf.DUMMYFUNCTION("""COMPUTED_VALUE"""),"Wadata")</f>
        <v>Wadata</v>
      </c>
      <c r="G1558" s="16"/>
      <c r="H1558" s="14"/>
      <c r="K1558" s="16">
        <f>IFERROR(__xludf.DUMMYFUNCTION("""COMPUTED_VALUE"""),571.0)</f>
        <v>571</v>
      </c>
      <c r="L1558" s="16"/>
      <c r="M1558" s="14"/>
    </row>
    <row r="1559">
      <c r="A1559" s="16" t="str">
        <f>IFERROR(__xludf.DUMMYFUNCTION("""COMPUTED_VALUE"""),"Hachimou Rabiou Mamoudou")</f>
        <v>Hachimou Rabiou Mamoudou</v>
      </c>
      <c r="B1559" s="16"/>
      <c r="C1559" s="14"/>
      <c r="F1559" s="16" t="str">
        <f>IFERROR(__xludf.DUMMYFUNCTION("""COMPUTED_VALUE"""),"Wadata")</f>
        <v>Wadata</v>
      </c>
      <c r="G1559" s="16"/>
      <c r="H1559" s="14"/>
      <c r="K1559" s="16">
        <f>IFERROR(__xludf.DUMMYFUNCTION("""COMPUTED_VALUE"""),398.0)</f>
        <v>398</v>
      </c>
      <c r="L1559" s="16"/>
      <c r="M1559" s="14"/>
    </row>
    <row r="1560">
      <c r="A1560" s="16" t="str">
        <f>IFERROR(__xludf.DUMMYFUNCTION("""COMPUTED_VALUE"""),"Hachimou Rabiou Mamoudou")</f>
        <v>Hachimou Rabiou Mamoudou</v>
      </c>
      <c r="B1560" s="16"/>
      <c r="C1560" s="14"/>
      <c r="F1560" s="16" t="str">
        <f>IFERROR(__xludf.DUMMYFUNCTION("""COMPUTED_VALUE"""),"Wadata")</f>
        <v>Wadata</v>
      </c>
      <c r="G1560" s="16"/>
      <c r="H1560" s="14"/>
      <c r="K1560" s="16">
        <f>IFERROR(__xludf.DUMMYFUNCTION("""COMPUTED_VALUE"""),1103.0)</f>
        <v>1103</v>
      </c>
      <c r="L1560" s="16"/>
      <c r="M1560" s="14"/>
    </row>
    <row r="1561">
      <c r="A1561" s="16" t="str">
        <f>IFERROR(__xludf.DUMMYFUNCTION("""COMPUTED_VALUE"""),"Maman Zayanou Harouna")</f>
        <v>Maman Zayanou Harouna</v>
      </c>
      <c r="B1561" s="16"/>
      <c r="C1561" s="14"/>
      <c r="F1561" s="16" t="str">
        <f>IFERROR(__xludf.DUMMYFUNCTION("""COMPUTED_VALUE"""),"Wadata")</f>
        <v>Wadata</v>
      </c>
      <c r="G1561" s="16"/>
      <c r="H1561" s="14"/>
      <c r="K1561" s="16">
        <f>IFERROR(__xludf.DUMMYFUNCTION("""COMPUTED_VALUE"""),358.0)</f>
        <v>358</v>
      </c>
      <c r="L1561" s="16"/>
      <c r="M1561" s="14"/>
    </row>
    <row r="1562">
      <c r="A1562" s="16" t="str">
        <f>IFERROR(__xludf.DUMMYFUNCTION("""COMPUTED_VALUE"""),"Maman Zayanou Harouna")</f>
        <v>Maman Zayanou Harouna</v>
      </c>
      <c r="B1562" s="16"/>
      <c r="C1562" s="14"/>
      <c r="F1562" s="16" t="str">
        <f>IFERROR(__xludf.DUMMYFUNCTION("""COMPUTED_VALUE"""),"Wadata")</f>
        <v>Wadata</v>
      </c>
      <c r="G1562" s="16"/>
      <c r="H1562" s="14"/>
      <c r="K1562" s="16">
        <f>IFERROR(__xludf.DUMMYFUNCTION("""COMPUTED_VALUE"""),1161.0)</f>
        <v>1161</v>
      </c>
      <c r="L1562" s="16"/>
      <c r="M1562" s="14"/>
    </row>
    <row r="1563">
      <c r="A1563" s="16" t="str">
        <f>IFERROR(__xludf.DUMMYFUNCTION("""COMPUTED_VALUE"""),"Maman Zayanou Harouna")</f>
        <v>Maman Zayanou Harouna</v>
      </c>
      <c r="B1563" s="16"/>
      <c r="C1563" s="14"/>
      <c r="F1563" s="16" t="str">
        <f>IFERROR(__xludf.DUMMYFUNCTION("""COMPUTED_VALUE"""),"Wadata")</f>
        <v>Wadata</v>
      </c>
      <c r="G1563" s="16"/>
      <c r="H1563" s="14"/>
      <c r="K1563" s="16">
        <f>IFERROR(__xludf.DUMMYFUNCTION("""COMPUTED_VALUE"""),1268.0)</f>
        <v>1268</v>
      </c>
      <c r="L1563" s="16"/>
      <c r="M1563" s="14"/>
    </row>
    <row r="1564">
      <c r="A1564" s="16" t="str">
        <f>IFERROR(__xludf.DUMMYFUNCTION("""COMPUTED_VALUE"""),"Maman Zayanou Harouna")</f>
        <v>Maman Zayanou Harouna</v>
      </c>
      <c r="B1564" s="16"/>
      <c r="C1564" s="14"/>
      <c r="F1564" s="16" t="str">
        <f>IFERROR(__xludf.DUMMYFUNCTION("""COMPUTED_VALUE"""),"Wadata")</f>
        <v>Wadata</v>
      </c>
      <c r="G1564" s="16"/>
      <c r="H1564" s="14"/>
      <c r="K1564" s="16">
        <f>IFERROR(__xludf.DUMMYFUNCTION("""COMPUTED_VALUE"""),459.0)</f>
        <v>459</v>
      </c>
      <c r="L1564" s="16"/>
      <c r="M1564" s="14"/>
    </row>
    <row r="1565">
      <c r="A1565" s="16" t="str">
        <f>IFERROR(__xludf.DUMMYFUNCTION("""COMPUTED_VALUE"""),"Ouhoumoudou Djannou Ibrahim")</f>
        <v>Ouhoumoudou Djannou Ibrahim</v>
      </c>
      <c r="B1565" s="16"/>
      <c r="C1565" s="14"/>
      <c r="F1565" s="16" t="str">
        <f>IFERROR(__xludf.DUMMYFUNCTION("""COMPUTED_VALUE"""),"Wadata")</f>
        <v>Wadata</v>
      </c>
      <c r="G1565" s="16"/>
      <c r="H1565" s="14"/>
      <c r="K1565" s="16">
        <f>IFERROR(__xludf.DUMMYFUNCTION("""COMPUTED_VALUE"""),1594.0)</f>
        <v>1594</v>
      </c>
      <c r="L1565" s="16"/>
      <c r="M1565" s="14"/>
    </row>
    <row r="1566">
      <c r="A1566" s="16" t="str">
        <f>IFERROR(__xludf.DUMMYFUNCTION("""COMPUTED_VALUE"""),"Ouhoumoudou Djannou Ibrahim")</f>
        <v>Ouhoumoudou Djannou Ibrahim</v>
      </c>
      <c r="B1566" s="16"/>
      <c r="C1566" s="14"/>
      <c r="F1566" s="16" t="str">
        <f>IFERROR(__xludf.DUMMYFUNCTION("""COMPUTED_VALUE"""),"Wadata")</f>
        <v>Wadata</v>
      </c>
      <c r="G1566" s="16"/>
      <c r="H1566" s="14"/>
      <c r="K1566" s="16">
        <f>IFERROR(__xludf.DUMMYFUNCTION("""COMPUTED_VALUE"""),1959.0)</f>
        <v>1959</v>
      </c>
      <c r="L1566" s="16"/>
      <c r="M1566" s="14"/>
    </row>
    <row r="1567">
      <c r="A1567" s="16" t="str">
        <f>IFERROR(__xludf.DUMMYFUNCTION("""COMPUTED_VALUE"""),"Ouhoumoudou Djannou Ibrahim")</f>
        <v>Ouhoumoudou Djannou Ibrahim</v>
      </c>
      <c r="B1567" s="16"/>
      <c r="C1567" s="14"/>
      <c r="F1567" s="16" t="str">
        <f>IFERROR(__xludf.DUMMYFUNCTION("""COMPUTED_VALUE"""),"Wadata")</f>
        <v>Wadata</v>
      </c>
      <c r="G1567" s="16"/>
      <c r="H1567" s="14"/>
      <c r="K1567" s="16">
        <f>IFERROR(__xludf.DUMMYFUNCTION("""COMPUTED_VALUE"""),705.0)</f>
        <v>705</v>
      </c>
      <c r="L1567" s="16"/>
      <c r="M1567" s="14"/>
    </row>
    <row r="1568">
      <c r="A1568" s="16" t="str">
        <f>IFERROR(__xludf.DUMMYFUNCTION("""COMPUTED_VALUE"""),"Ouhoumoudou Djannou Ibrahim")</f>
        <v>Ouhoumoudou Djannou Ibrahim</v>
      </c>
      <c r="B1568" s="16"/>
      <c r="C1568" s="14"/>
      <c r="F1568" s="16" t="str">
        <f>IFERROR(__xludf.DUMMYFUNCTION("""COMPUTED_VALUE"""),"Galmaoua")</f>
        <v>Galmaoua</v>
      </c>
      <c r="G1568" s="16"/>
      <c r="H1568" s="14"/>
      <c r="K1568" s="16">
        <f>IFERROR(__xludf.DUMMYFUNCTION("""COMPUTED_VALUE"""),463.0)</f>
        <v>463</v>
      </c>
      <c r="L1568" s="16"/>
      <c r="M1568" s="14"/>
    </row>
    <row r="1569">
      <c r="A1569" s="16" t="str">
        <f>IFERROR(__xludf.DUMMYFUNCTION("""COMPUTED_VALUE"""),"Ouhoumoudou Djannou Ibrahim")</f>
        <v>Ouhoumoudou Djannou Ibrahim</v>
      </c>
      <c r="B1569" s="16"/>
      <c r="C1569" s="14"/>
      <c r="F1569" s="16" t="str">
        <f>IFERROR(__xludf.DUMMYFUNCTION("""COMPUTED_VALUE"""),"Galmaoua")</f>
        <v>Galmaoua</v>
      </c>
      <c r="G1569" s="16"/>
      <c r="H1569" s="14"/>
      <c r="K1569" s="16">
        <f>IFERROR(__xludf.DUMMYFUNCTION("""COMPUTED_VALUE"""),798.0)</f>
        <v>798</v>
      </c>
      <c r="L1569" s="16"/>
      <c r="M1569" s="14"/>
    </row>
    <row r="1570">
      <c r="A1570" s="16" t="str">
        <f>IFERROR(__xludf.DUMMYFUNCTION("""COMPUTED_VALUE"""),"Maman Zayanou Harouna")</f>
        <v>Maman Zayanou Harouna</v>
      </c>
      <c r="B1570" s="16"/>
      <c r="C1570" s="14"/>
      <c r="F1570" s="16" t="str">
        <f>IFERROR(__xludf.DUMMYFUNCTION("""COMPUTED_VALUE"""),"Galmaoua")</f>
        <v>Galmaoua</v>
      </c>
      <c r="G1570" s="16"/>
      <c r="H1570" s="14"/>
      <c r="K1570" s="16">
        <f>IFERROR(__xludf.DUMMYFUNCTION("""COMPUTED_VALUE"""),1257.0)</f>
        <v>1257</v>
      </c>
      <c r="L1570" s="16"/>
      <c r="M1570" s="14"/>
    </row>
    <row r="1571">
      <c r="A1571" s="16" t="str">
        <f>IFERROR(__xludf.DUMMYFUNCTION("""COMPUTED_VALUE"""),"Maman Zayanou Harouna")</f>
        <v>Maman Zayanou Harouna</v>
      </c>
      <c r="B1571" s="16"/>
      <c r="C1571" s="14"/>
      <c r="F1571" s="16" t="str">
        <f>IFERROR(__xludf.DUMMYFUNCTION("""COMPUTED_VALUE"""),"Galmaoua")</f>
        <v>Galmaoua</v>
      </c>
      <c r="G1571" s="16"/>
      <c r="H1571" s="14"/>
      <c r="K1571" s="16">
        <f>IFERROR(__xludf.DUMMYFUNCTION("""COMPUTED_VALUE"""),641.0)</f>
        <v>641</v>
      </c>
      <c r="L1571" s="16"/>
      <c r="M1571" s="14"/>
    </row>
    <row r="1572">
      <c r="A1572" s="16" t="str">
        <f>IFERROR(__xludf.DUMMYFUNCTION("""COMPUTED_VALUE"""),"Maman Zayanou Harouna")</f>
        <v>Maman Zayanou Harouna</v>
      </c>
      <c r="B1572" s="16"/>
      <c r="C1572" s="14"/>
      <c r="F1572" s="16" t="str">
        <f>IFERROR(__xludf.DUMMYFUNCTION("""COMPUTED_VALUE"""),"Galmaoua")</f>
        <v>Galmaoua</v>
      </c>
      <c r="G1572" s="16"/>
      <c r="H1572" s="14"/>
      <c r="K1572" s="16">
        <f>IFERROR(__xludf.DUMMYFUNCTION("""COMPUTED_VALUE"""),393.0)</f>
        <v>393</v>
      </c>
      <c r="L1572" s="16"/>
      <c r="M1572" s="14"/>
    </row>
    <row r="1573">
      <c r="A1573" s="16" t="str">
        <f>IFERROR(__xludf.DUMMYFUNCTION("""COMPUTED_VALUE"""),"Maman Zayanou Harouna")</f>
        <v>Maman Zayanou Harouna</v>
      </c>
      <c r="B1573" s="16"/>
      <c r="C1573" s="14"/>
      <c r="F1573" s="16" t="str">
        <f>IFERROR(__xludf.DUMMYFUNCTION("""COMPUTED_VALUE"""),"Galmaoua")</f>
        <v>Galmaoua</v>
      </c>
      <c r="G1573" s="16"/>
      <c r="H1573" s="14"/>
      <c r="K1573" s="16">
        <f>IFERROR(__xludf.DUMMYFUNCTION("""COMPUTED_VALUE"""),1397.0)</f>
        <v>1397</v>
      </c>
      <c r="L1573" s="16"/>
      <c r="M1573" s="14"/>
    </row>
    <row r="1574">
      <c r="A1574" s="16" t="str">
        <f>IFERROR(__xludf.DUMMYFUNCTION("""COMPUTED_VALUE"""),"Maman Zayanou Harouna")</f>
        <v>Maman Zayanou Harouna</v>
      </c>
      <c r="B1574" s="16"/>
      <c r="C1574" s="14"/>
      <c r="F1574" s="16" t="str">
        <f>IFERROR(__xludf.DUMMYFUNCTION("""COMPUTED_VALUE"""),"Galmaoua")</f>
        <v>Galmaoua</v>
      </c>
      <c r="G1574" s="16"/>
      <c r="H1574" s="14"/>
      <c r="K1574" s="16">
        <f>IFERROR(__xludf.DUMMYFUNCTION("""COMPUTED_VALUE"""),356.0)</f>
        <v>356</v>
      </c>
      <c r="L1574" s="16"/>
      <c r="M1574" s="14"/>
    </row>
    <row r="1575">
      <c r="A1575" s="16" t="str">
        <f>IFERROR(__xludf.DUMMYFUNCTION("""COMPUTED_VALUE"""),"Maman Zayanou Harouna")</f>
        <v>Maman Zayanou Harouna</v>
      </c>
      <c r="B1575" s="16"/>
      <c r="C1575" s="14"/>
      <c r="F1575" s="16" t="str">
        <f>IFERROR(__xludf.DUMMYFUNCTION("""COMPUTED_VALUE"""),"Tchinahar")</f>
        <v>Tchinahar</v>
      </c>
      <c r="G1575" s="16"/>
      <c r="H1575" s="14"/>
      <c r="K1575" s="16">
        <f>IFERROR(__xludf.DUMMYFUNCTION("""COMPUTED_VALUE"""),1345.0)</f>
        <v>1345</v>
      </c>
      <c r="L1575" s="16"/>
      <c r="M1575" s="14"/>
    </row>
    <row r="1576">
      <c r="A1576" s="16" t="str">
        <f>IFERROR(__xludf.DUMMYFUNCTION("""COMPUTED_VALUE"""),"Maman Zayanou Harouna")</f>
        <v>Maman Zayanou Harouna</v>
      </c>
      <c r="B1576" s="16"/>
      <c r="C1576" s="14"/>
      <c r="F1576" s="16" t="str">
        <f>IFERROR(__xludf.DUMMYFUNCTION("""COMPUTED_VALUE"""),"Hayi")</f>
        <v>Hayi</v>
      </c>
      <c r="G1576" s="16"/>
      <c r="H1576" s="14"/>
      <c r="K1576" s="16">
        <f>IFERROR(__xludf.DUMMYFUNCTION("""COMPUTED_VALUE"""),1416.0)</f>
        <v>1416</v>
      </c>
      <c r="L1576" s="16"/>
      <c r="M1576" s="14"/>
    </row>
    <row r="1577">
      <c r="A1577" s="16" t="str">
        <f>IFERROR(__xludf.DUMMYFUNCTION("""COMPUTED_VALUE"""),"Younoussi Bilan Djamila")</f>
        <v>Younoussi Bilan Djamila</v>
      </c>
      <c r="B1577" s="16"/>
      <c r="C1577" s="14"/>
      <c r="F1577" s="16" t="str">
        <f>IFERROR(__xludf.DUMMYFUNCTION("""COMPUTED_VALUE"""),"Hayi")</f>
        <v>Hayi</v>
      </c>
      <c r="G1577" s="16"/>
      <c r="H1577" s="14"/>
      <c r="K1577" s="16">
        <f>IFERROR(__xludf.DUMMYFUNCTION("""COMPUTED_VALUE"""),612.0)</f>
        <v>612</v>
      </c>
      <c r="L1577" s="16"/>
      <c r="M1577" s="14"/>
    </row>
    <row r="1578">
      <c r="A1578" s="16" t="str">
        <f>IFERROR(__xludf.DUMMYFUNCTION("""COMPUTED_VALUE"""),"Maman Zayanou Harouna")</f>
        <v>Maman Zayanou Harouna</v>
      </c>
      <c r="B1578" s="16"/>
      <c r="C1578" s="14"/>
      <c r="F1578" s="16" t="str">
        <f>IFERROR(__xludf.DUMMYFUNCTION("""COMPUTED_VALUE"""),"Hayi")</f>
        <v>Hayi</v>
      </c>
      <c r="G1578" s="16"/>
      <c r="H1578" s="14"/>
      <c r="K1578" s="16">
        <f>IFERROR(__xludf.DUMMYFUNCTION("""COMPUTED_VALUE"""),586.0)</f>
        <v>586</v>
      </c>
      <c r="L1578" s="16"/>
      <c r="M1578" s="14"/>
    </row>
    <row r="1579">
      <c r="A1579" s="16" t="str">
        <f>IFERROR(__xludf.DUMMYFUNCTION("""COMPUTED_VALUE"""),"Amadou Tidjani Ousmane")</f>
        <v>Amadou Tidjani Ousmane</v>
      </c>
      <c r="B1579" s="16"/>
      <c r="C1579" s="14"/>
      <c r="F1579" s="16" t="str">
        <f>IFERROR(__xludf.DUMMYFUNCTION("""COMPUTED_VALUE"""),"Hayi")</f>
        <v>Hayi</v>
      </c>
      <c r="G1579" s="16"/>
      <c r="H1579" s="14"/>
      <c r="K1579" s="16">
        <f>IFERROR(__xludf.DUMMYFUNCTION("""COMPUTED_VALUE"""),697.0)</f>
        <v>697</v>
      </c>
      <c r="L1579" s="16"/>
      <c r="M1579" s="14"/>
    </row>
    <row r="1580">
      <c r="A1580" s="16" t="str">
        <f>IFERROR(__xludf.DUMMYFUNCTION("""COMPUTED_VALUE"""),"Amadou Hamidou Abdoul Karim")</f>
        <v>Amadou Hamidou Abdoul Karim</v>
      </c>
      <c r="B1580" s="16"/>
      <c r="C1580" s="14"/>
      <c r="F1580" s="16" t="str">
        <f>IFERROR(__xludf.DUMMYFUNCTION("""COMPUTED_VALUE"""),"Hayi")</f>
        <v>Hayi</v>
      </c>
      <c r="G1580" s="16"/>
      <c r="H1580" s="14"/>
      <c r="K1580" s="16">
        <f>IFERROR(__xludf.DUMMYFUNCTION("""COMPUTED_VALUE"""),1134.0)</f>
        <v>1134</v>
      </c>
      <c r="L1580" s="16"/>
      <c r="M1580" s="14"/>
    </row>
    <row r="1581">
      <c r="A1581" s="16" t="str">
        <f>IFERROR(__xludf.DUMMYFUNCTION("""COMPUTED_VALUE"""),"Amadou Hamidou Abdoul Karim")</f>
        <v>Amadou Hamidou Abdoul Karim</v>
      </c>
      <c r="B1581" s="16"/>
      <c r="C1581" s="14"/>
      <c r="F1581" s="16" t="str">
        <f>IFERROR(__xludf.DUMMYFUNCTION("""COMPUTED_VALUE"""),"Hayi")</f>
        <v>Hayi</v>
      </c>
      <c r="G1581" s="16"/>
      <c r="H1581" s="14"/>
      <c r="K1581" s="16">
        <f>IFERROR(__xludf.DUMMYFUNCTION("""COMPUTED_VALUE"""),408.0)</f>
        <v>408</v>
      </c>
      <c r="L1581" s="16"/>
      <c r="M1581" s="14"/>
    </row>
    <row r="1582">
      <c r="A1582" s="16" t="str">
        <f>IFERROR(__xludf.DUMMYFUNCTION("""COMPUTED_VALUE"""),"Amadou Tidjani Ousmane")</f>
        <v>Amadou Tidjani Ousmane</v>
      </c>
      <c r="B1582" s="16"/>
      <c r="C1582" s="14"/>
      <c r="F1582" s="16" t="str">
        <f>IFERROR(__xludf.DUMMYFUNCTION("""COMPUTED_VALUE"""),"Hayi")</f>
        <v>Hayi</v>
      </c>
      <c r="G1582" s="16"/>
      <c r="H1582" s="14"/>
      <c r="K1582" s="16">
        <f>IFERROR(__xludf.DUMMYFUNCTION("""COMPUTED_VALUE"""),472.0)</f>
        <v>472</v>
      </c>
      <c r="L1582" s="16"/>
      <c r="M1582" s="14"/>
    </row>
    <row r="1583">
      <c r="A1583" s="16" t="str">
        <f>IFERROR(__xludf.DUMMYFUNCTION("""COMPUTED_VALUE"""),"Amadou Hamidou Abdoul Karim")</f>
        <v>Amadou Hamidou Abdoul Karim</v>
      </c>
      <c r="B1583" s="16"/>
      <c r="C1583" s="14"/>
      <c r="F1583" s="16" t="str">
        <f>IFERROR(__xludf.DUMMYFUNCTION("""COMPUTED_VALUE"""),"Hayi")</f>
        <v>Hayi</v>
      </c>
      <c r="G1583" s="16"/>
      <c r="H1583" s="14"/>
      <c r="K1583" s="16">
        <f>IFERROR(__xludf.DUMMYFUNCTION("""COMPUTED_VALUE"""),474.0)</f>
        <v>474</v>
      </c>
      <c r="L1583" s="16"/>
      <c r="M1583" s="14"/>
    </row>
    <row r="1584">
      <c r="A1584" s="16" t="str">
        <f>IFERROR(__xludf.DUMMYFUNCTION("""COMPUTED_VALUE"""),"Amadou Hamidou Abdoul Karim")</f>
        <v>Amadou Hamidou Abdoul Karim</v>
      </c>
      <c r="B1584" s="16"/>
      <c r="C1584" s="14"/>
      <c r="F1584" s="16" t="str">
        <f>IFERROR(__xludf.DUMMYFUNCTION("""COMPUTED_VALUE"""),"Hayi")</f>
        <v>Hayi</v>
      </c>
      <c r="G1584" s="16"/>
      <c r="H1584" s="14"/>
      <c r="K1584" s="16">
        <f>IFERROR(__xludf.DUMMYFUNCTION("""COMPUTED_VALUE"""),802.0)</f>
        <v>802</v>
      </c>
      <c r="L1584" s="16"/>
      <c r="M1584" s="14"/>
    </row>
    <row r="1585">
      <c r="A1585" s="16" t="str">
        <f>IFERROR(__xludf.DUMMYFUNCTION("""COMPUTED_VALUE"""),"Amadou Hamidou Abdoul Karim")</f>
        <v>Amadou Hamidou Abdoul Karim</v>
      </c>
      <c r="B1585" s="16"/>
      <c r="C1585" s="14"/>
      <c r="F1585" s="16" t="str">
        <f>IFERROR(__xludf.DUMMYFUNCTION("""COMPUTED_VALUE"""),"Hayi")</f>
        <v>Hayi</v>
      </c>
      <c r="G1585" s="16"/>
      <c r="H1585" s="14"/>
      <c r="K1585" s="16">
        <f>IFERROR(__xludf.DUMMYFUNCTION("""COMPUTED_VALUE"""),1341.0)</f>
        <v>1341</v>
      </c>
      <c r="L1585" s="16"/>
      <c r="M1585" s="14"/>
    </row>
    <row r="1586">
      <c r="A1586" s="16" t="str">
        <f>IFERROR(__xludf.DUMMYFUNCTION("""COMPUTED_VALUE"""),"Amadou Tidjani Ousmane")</f>
        <v>Amadou Tidjani Ousmane</v>
      </c>
      <c r="B1586" s="16"/>
      <c r="C1586" s="14"/>
      <c r="F1586" s="16" t="str">
        <f>IFERROR(__xludf.DUMMYFUNCTION("""COMPUTED_VALUE"""),"Hayi")</f>
        <v>Hayi</v>
      </c>
      <c r="G1586" s="16"/>
      <c r="H1586" s="14"/>
      <c r="K1586" s="16">
        <f>IFERROR(__xludf.DUMMYFUNCTION("""COMPUTED_VALUE"""),1045.0)</f>
        <v>1045</v>
      </c>
      <c r="L1586" s="16"/>
      <c r="M1586" s="14"/>
    </row>
    <row r="1587">
      <c r="A1587" s="16" t="str">
        <f>IFERROR(__xludf.DUMMYFUNCTION("""COMPUTED_VALUE"""),"Amadou Tidjani Ousmane")</f>
        <v>Amadou Tidjani Ousmane</v>
      </c>
      <c r="B1587" s="16"/>
      <c r="C1587" s="14"/>
      <c r="F1587" s="16" t="str">
        <f>IFERROR(__xludf.DUMMYFUNCTION("""COMPUTED_VALUE"""),"Hayi")</f>
        <v>Hayi</v>
      </c>
      <c r="G1587" s="16"/>
      <c r="H1587" s="14"/>
      <c r="K1587" s="16">
        <f>IFERROR(__xludf.DUMMYFUNCTION("""COMPUTED_VALUE"""),849.0)</f>
        <v>849</v>
      </c>
      <c r="L1587" s="16"/>
      <c r="M1587" s="14"/>
    </row>
    <row r="1588">
      <c r="A1588" s="16" t="str">
        <f>IFERROR(__xludf.DUMMYFUNCTION("""COMPUTED_VALUE"""),"Larabou Chamsoudine")</f>
        <v>Larabou Chamsoudine</v>
      </c>
      <c r="B1588" s="16"/>
      <c r="C1588" s="14"/>
      <c r="F1588" s="16" t="str">
        <f>IFERROR(__xludf.DUMMYFUNCTION("""COMPUTED_VALUE"""),"Hayi")</f>
        <v>Hayi</v>
      </c>
      <c r="G1588" s="16"/>
      <c r="H1588" s="14"/>
      <c r="K1588" s="16">
        <f>IFERROR(__xludf.DUMMYFUNCTION("""COMPUTED_VALUE"""),952.0)</f>
        <v>952</v>
      </c>
      <c r="L1588" s="16"/>
      <c r="M1588" s="14"/>
    </row>
    <row r="1589">
      <c r="A1589" s="16" t="str">
        <f>IFERROR(__xludf.DUMMYFUNCTION("""COMPUTED_VALUE"""),"Larabou Chamsoudine")</f>
        <v>Larabou Chamsoudine</v>
      </c>
      <c r="B1589" s="16"/>
      <c r="C1589" s="14"/>
      <c r="F1589" s="16" t="str">
        <f>IFERROR(__xludf.DUMMYFUNCTION("""COMPUTED_VALUE"""),"Hayi")</f>
        <v>Hayi</v>
      </c>
      <c r="G1589" s="16"/>
      <c r="H1589" s="14"/>
      <c r="K1589" s="16">
        <f>IFERROR(__xludf.DUMMYFUNCTION("""COMPUTED_VALUE"""),297.0)</f>
        <v>297</v>
      </c>
      <c r="L1589" s="16"/>
      <c r="M1589" s="14"/>
    </row>
    <row r="1590">
      <c r="A1590" s="16" t="str">
        <f>IFERROR(__xludf.DUMMYFUNCTION("""COMPUTED_VALUE"""),"Larabou Chamsoudine")</f>
        <v>Larabou Chamsoudine</v>
      </c>
      <c r="B1590" s="16"/>
      <c r="C1590" s="14"/>
      <c r="F1590" s="16" t="str">
        <f>IFERROR(__xludf.DUMMYFUNCTION("""COMPUTED_VALUE"""),"Tchinahar")</f>
        <v>Tchinahar</v>
      </c>
      <c r="G1590" s="16"/>
      <c r="H1590" s="14"/>
      <c r="K1590" s="16">
        <f>IFERROR(__xludf.DUMMYFUNCTION("""COMPUTED_VALUE"""),1021.0)</f>
        <v>1021</v>
      </c>
      <c r="L1590" s="16"/>
      <c r="M1590" s="14"/>
    </row>
    <row r="1591">
      <c r="A1591" s="16" t="str">
        <f>IFERROR(__xludf.DUMMYFUNCTION("""COMPUTED_VALUE"""),"Larabou Chamsoudine")</f>
        <v>Larabou Chamsoudine</v>
      </c>
      <c r="B1591" s="16"/>
      <c r="C1591" s="14"/>
      <c r="F1591" s="16" t="str">
        <f>IFERROR(__xludf.DUMMYFUNCTION("""COMPUTED_VALUE"""),"Galmaoua")</f>
        <v>Galmaoua</v>
      </c>
      <c r="G1591" s="16"/>
      <c r="H1591" s="14"/>
      <c r="K1591" s="16">
        <f>IFERROR(__xludf.DUMMYFUNCTION("""COMPUTED_VALUE"""),444.0)</f>
        <v>444</v>
      </c>
      <c r="L1591" s="16"/>
      <c r="M1591" s="14"/>
    </row>
    <row r="1592">
      <c r="A1592" s="16" t="str">
        <f>IFERROR(__xludf.DUMMYFUNCTION("""COMPUTED_VALUE"""),"Amadou Tidjani Ousmane")</f>
        <v>Amadou Tidjani Ousmane</v>
      </c>
      <c r="B1592" s="16"/>
      <c r="C1592" s="14"/>
      <c r="F1592" s="16" t="str">
        <f>IFERROR(__xludf.DUMMYFUNCTION("""COMPUTED_VALUE"""),"Galmaoua")</f>
        <v>Galmaoua</v>
      </c>
      <c r="G1592" s="16"/>
      <c r="H1592" s="14"/>
      <c r="K1592" s="16">
        <f>IFERROR(__xludf.DUMMYFUNCTION("""COMPUTED_VALUE"""),325.0)</f>
        <v>325</v>
      </c>
      <c r="L1592" s="16"/>
      <c r="M1592" s="14"/>
    </row>
    <row r="1593">
      <c r="A1593" s="16" t="str">
        <f>IFERROR(__xludf.DUMMYFUNCTION("""COMPUTED_VALUE"""),"Amadou Tidjani Ousmane")</f>
        <v>Amadou Tidjani Ousmane</v>
      </c>
      <c r="B1593" s="16"/>
      <c r="C1593" s="14"/>
      <c r="F1593" s="16" t="str">
        <f>IFERROR(__xludf.DUMMYFUNCTION("""COMPUTED_VALUE"""),"Galmaoua")</f>
        <v>Galmaoua</v>
      </c>
      <c r="G1593" s="16"/>
      <c r="H1593" s="14"/>
      <c r="K1593" s="16">
        <f>IFERROR(__xludf.DUMMYFUNCTION("""COMPUTED_VALUE"""),797.0)</f>
        <v>797</v>
      </c>
      <c r="L1593" s="16"/>
      <c r="M1593" s="14"/>
    </row>
    <row r="1594">
      <c r="A1594" s="16" t="str">
        <f>IFERROR(__xludf.DUMMYFUNCTION("""COMPUTED_VALUE"""),"Kadidja Issaka Hamidou")</f>
        <v>Kadidja Issaka Hamidou</v>
      </c>
      <c r="B1594" s="16"/>
      <c r="C1594" s="14"/>
      <c r="F1594" s="16" t="str">
        <f>IFERROR(__xludf.DUMMYFUNCTION("""COMPUTED_VALUE"""),"Galmaoua")</f>
        <v>Galmaoua</v>
      </c>
      <c r="G1594" s="16"/>
      <c r="H1594" s="14"/>
      <c r="K1594" s="16">
        <f>IFERROR(__xludf.DUMMYFUNCTION("""COMPUTED_VALUE"""),835.0)</f>
        <v>835</v>
      </c>
      <c r="L1594" s="16"/>
      <c r="M1594" s="14"/>
    </row>
    <row r="1595">
      <c r="A1595" s="16" t="str">
        <f>IFERROR(__xludf.DUMMYFUNCTION("""COMPUTED_VALUE"""),"Kadidja Issaka Hamidou")</f>
        <v>Kadidja Issaka Hamidou</v>
      </c>
      <c r="B1595" s="16"/>
      <c r="C1595" s="14"/>
      <c r="F1595" s="16" t="str">
        <f>IFERROR(__xludf.DUMMYFUNCTION("""COMPUTED_VALUE"""),"Tchinahar")</f>
        <v>Tchinahar</v>
      </c>
      <c r="G1595" s="16"/>
      <c r="H1595" s="14"/>
      <c r="K1595" s="16">
        <f>IFERROR(__xludf.DUMMYFUNCTION("""COMPUTED_VALUE"""),872.0)</f>
        <v>872</v>
      </c>
      <c r="L1595" s="16"/>
      <c r="M1595" s="14"/>
    </row>
    <row r="1596">
      <c r="A1596" s="16" t="str">
        <f>IFERROR(__xludf.DUMMYFUNCTION("""COMPUTED_VALUE"""),"Amadou Tidjani Ousmane")</f>
        <v>Amadou Tidjani Ousmane</v>
      </c>
      <c r="B1596" s="16"/>
      <c r="C1596" s="14"/>
      <c r="F1596" s="16" t="str">
        <f>IFERROR(__xludf.DUMMYFUNCTION("""COMPUTED_VALUE"""),"Tchinahar")</f>
        <v>Tchinahar</v>
      </c>
      <c r="G1596" s="16"/>
      <c r="H1596" s="14"/>
      <c r="K1596" s="16">
        <f>IFERROR(__xludf.DUMMYFUNCTION("""COMPUTED_VALUE"""),748.0)</f>
        <v>748</v>
      </c>
      <c r="L1596" s="16"/>
      <c r="M1596" s="14"/>
    </row>
    <row r="1597">
      <c r="A1597" s="16" t="str">
        <f>IFERROR(__xludf.DUMMYFUNCTION("""COMPUTED_VALUE"""),"Haladou Boukar")</f>
        <v>Haladou Boukar</v>
      </c>
      <c r="B1597" s="16"/>
      <c r="C1597" s="14"/>
      <c r="F1597" s="16" t="str">
        <f>IFERROR(__xludf.DUMMYFUNCTION("""COMPUTED_VALUE"""),"Tchinahar")</f>
        <v>Tchinahar</v>
      </c>
      <c r="G1597" s="16"/>
      <c r="H1597" s="14"/>
      <c r="K1597" s="16">
        <f>IFERROR(__xludf.DUMMYFUNCTION("""COMPUTED_VALUE"""),708.0)</f>
        <v>708</v>
      </c>
      <c r="L1597" s="16"/>
      <c r="M1597" s="14"/>
    </row>
    <row r="1598">
      <c r="A1598" s="16" t="str">
        <f>IFERROR(__xludf.DUMMYFUNCTION("""COMPUTED_VALUE"""),"Haladou Boukar")</f>
        <v>Haladou Boukar</v>
      </c>
      <c r="B1598" s="16"/>
      <c r="C1598" s="14"/>
      <c r="F1598" s="16" t="str">
        <f>IFERROR(__xludf.DUMMYFUNCTION("""COMPUTED_VALUE"""),"Tchinahar")</f>
        <v>Tchinahar</v>
      </c>
      <c r="G1598" s="16"/>
      <c r="H1598" s="14"/>
      <c r="K1598" s="16">
        <f>IFERROR(__xludf.DUMMYFUNCTION("""COMPUTED_VALUE"""),645.0)</f>
        <v>645</v>
      </c>
      <c r="L1598" s="16"/>
      <c r="M1598" s="14"/>
    </row>
    <row r="1599">
      <c r="A1599" s="16" t="str">
        <f>IFERROR(__xludf.DUMMYFUNCTION("""COMPUTED_VALUE"""),"Mohamed Cherif")</f>
        <v>Mohamed Cherif</v>
      </c>
      <c r="B1599" s="16"/>
      <c r="C1599" s="14"/>
      <c r="F1599" s="16" t="str">
        <f>IFERROR(__xludf.DUMMYFUNCTION("""COMPUTED_VALUE"""),"Tchinahar")</f>
        <v>Tchinahar</v>
      </c>
      <c r="G1599" s="16"/>
      <c r="H1599" s="14"/>
      <c r="K1599" s="16">
        <f>IFERROR(__xludf.DUMMYFUNCTION("""COMPUTED_VALUE"""),672.0)</f>
        <v>672</v>
      </c>
      <c r="L1599" s="16"/>
      <c r="M1599" s="14"/>
    </row>
    <row r="1600">
      <c r="A1600" s="16" t="str">
        <f>IFERROR(__xludf.DUMMYFUNCTION("""COMPUTED_VALUE"""),"Mohamed Cherif")</f>
        <v>Mohamed Cherif</v>
      </c>
      <c r="B1600" s="16"/>
      <c r="C1600" s="14"/>
      <c r="F1600" s="16" t="str">
        <f>IFERROR(__xludf.DUMMYFUNCTION("""COMPUTED_VALUE"""),"Guidan Bado")</f>
        <v>Guidan Bado</v>
      </c>
      <c r="G1600" s="16"/>
      <c r="H1600" s="14"/>
      <c r="K1600" s="16">
        <f>IFERROR(__xludf.DUMMYFUNCTION("""COMPUTED_VALUE"""),988.0)</f>
        <v>988</v>
      </c>
      <c r="L1600" s="16"/>
      <c r="M1600" s="14"/>
    </row>
    <row r="1601">
      <c r="A1601" s="16" t="str">
        <f>IFERROR(__xludf.DUMMYFUNCTION("""COMPUTED_VALUE"""),"Haladou Boukar")</f>
        <v>Haladou Boukar</v>
      </c>
      <c r="B1601" s="16"/>
      <c r="C1601" s="14"/>
      <c r="F1601" s="16" t="str">
        <f>IFERROR(__xludf.DUMMYFUNCTION("""COMPUTED_VALUE"""),"Guidan Bado")</f>
        <v>Guidan Bado</v>
      </c>
      <c r="G1601" s="16"/>
      <c r="H1601" s="14"/>
      <c r="K1601" s="16">
        <f>IFERROR(__xludf.DUMMYFUNCTION("""COMPUTED_VALUE"""),291.0)</f>
        <v>291</v>
      </c>
      <c r="L1601" s="16"/>
      <c r="M1601" s="14"/>
    </row>
    <row r="1602">
      <c r="A1602" s="16" t="str">
        <f>IFERROR(__xludf.DUMMYFUNCTION("""COMPUTED_VALUE"""),"Achirou Malam Dan Maradi Nassirou")</f>
        <v>Achirou Malam Dan Maradi Nassirou</v>
      </c>
      <c r="B1602" s="16"/>
      <c r="C1602" s="14"/>
      <c r="F1602" s="16" t="str">
        <f>IFERROR(__xludf.DUMMYFUNCTION("""COMPUTED_VALUE"""),"Guidan Bado")</f>
        <v>Guidan Bado</v>
      </c>
      <c r="G1602" s="16"/>
      <c r="H1602" s="14"/>
      <c r="K1602" s="16">
        <f>IFERROR(__xludf.DUMMYFUNCTION("""COMPUTED_VALUE"""),1764.0)</f>
        <v>1764</v>
      </c>
      <c r="L1602" s="16"/>
      <c r="M1602" s="14"/>
    </row>
    <row r="1603">
      <c r="A1603" s="16" t="str">
        <f>IFERROR(__xludf.DUMMYFUNCTION("""COMPUTED_VALUE"""),"Achirou Malam Dan Maradi Nassirou")</f>
        <v>Achirou Malam Dan Maradi Nassirou</v>
      </c>
      <c r="B1603" s="16"/>
      <c r="C1603" s="14"/>
      <c r="F1603" s="16" t="str">
        <f>IFERROR(__xludf.DUMMYFUNCTION("""COMPUTED_VALUE"""),"Guidan Bado")</f>
        <v>Guidan Bado</v>
      </c>
      <c r="G1603" s="16"/>
      <c r="H1603" s="14"/>
      <c r="K1603" s="16">
        <f>IFERROR(__xludf.DUMMYFUNCTION("""COMPUTED_VALUE"""),422.0)</f>
        <v>422</v>
      </c>
      <c r="L1603" s="16"/>
      <c r="M1603" s="14"/>
    </row>
    <row r="1604">
      <c r="A1604" s="16" t="str">
        <f>IFERROR(__xludf.DUMMYFUNCTION("""COMPUTED_VALUE"""),"Achirou Malam Dan Maradi Nassirou")</f>
        <v>Achirou Malam Dan Maradi Nassirou</v>
      </c>
      <c r="B1604" s="16"/>
      <c r="C1604" s="14"/>
      <c r="F1604" s="16" t="str">
        <f>IFERROR(__xludf.DUMMYFUNCTION("""COMPUTED_VALUE"""),"Kourmi Malam")</f>
        <v>Kourmi Malam</v>
      </c>
      <c r="G1604" s="16"/>
      <c r="H1604" s="14"/>
      <c r="K1604" s="16">
        <f>IFERROR(__xludf.DUMMYFUNCTION("""COMPUTED_VALUE"""),472.0)</f>
        <v>472</v>
      </c>
      <c r="L1604" s="16"/>
      <c r="M1604" s="14"/>
    </row>
    <row r="1605">
      <c r="A1605" s="16" t="str">
        <f>IFERROR(__xludf.DUMMYFUNCTION("""COMPUTED_VALUE"""),"Achirou Malam Dan Maradi Nassirou")</f>
        <v>Achirou Malam Dan Maradi Nassirou</v>
      </c>
      <c r="B1605" s="16"/>
      <c r="C1605" s="14"/>
      <c r="F1605" s="16" t="str">
        <f>IFERROR(__xludf.DUMMYFUNCTION("""COMPUTED_VALUE"""),"Kourmi Malam")</f>
        <v>Kourmi Malam</v>
      </c>
      <c r="G1605" s="16"/>
      <c r="H1605" s="14"/>
      <c r="K1605" s="16">
        <f>IFERROR(__xludf.DUMMYFUNCTION("""COMPUTED_VALUE"""),346.0)</f>
        <v>346</v>
      </c>
      <c r="L1605" s="16"/>
      <c r="M1605" s="14"/>
    </row>
    <row r="1606">
      <c r="A1606" s="16" t="str">
        <f>IFERROR(__xludf.DUMMYFUNCTION("""COMPUTED_VALUE"""),"Haladou Boukar")</f>
        <v>Haladou Boukar</v>
      </c>
      <c r="B1606" s="16"/>
      <c r="C1606" s="14"/>
      <c r="F1606" s="16" t="str">
        <f>IFERROR(__xludf.DUMMYFUNCTION("""COMPUTED_VALUE"""),"Kourmi Malam")</f>
        <v>Kourmi Malam</v>
      </c>
      <c r="G1606" s="16"/>
      <c r="H1606" s="14"/>
      <c r="K1606" s="16">
        <f>IFERROR(__xludf.DUMMYFUNCTION("""COMPUTED_VALUE"""),286.0)</f>
        <v>286</v>
      </c>
      <c r="L1606" s="16"/>
      <c r="M1606" s="14"/>
    </row>
    <row r="1607">
      <c r="A1607" s="16" t="str">
        <f>IFERROR(__xludf.DUMMYFUNCTION("""COMPUTED_VALUE"""),"Kailou Hamidou Rainatou")</f>
        <v>Kailou Hamidou Rainatou</v>
      </c>
      <c r="B1607" s="16"/>
      <c r="C1607" s="14"/>
      <c r="F1607" s="16" t="str">
        <f>IFERROR(__xludf.DUMMYFUNCTION("""COMPUTED_VALUE"""),"Er Tsanna")</f>
        <v>Er Tsanna</v>
      </c>
      <c r="G1607" s="16"/>
      <c r="H1607" s="14"/>
      <c r="K1607" s="16">
        <f>IFERROR(__xludf.DUMMYFUNCTION("""COMPUTED_VALUE"""),1513.0)</f>
        <v>1513</v>
      </c>
      <c r="L1607" s="16"/>
      <c r="M1607" s="14"/>
    </row>
    <row r="1608">
      <c r="A1608" s="16" t="str">
        <f>IFERROR(__xludf.DUMMYFUNCTION("""COMPUTED_VALUE"""),"Haladou Boukar")</f>
        <v>Haladou Boukar</v>
      </c>
      <c r="B1608" s="16"/>
      <c r="C1608" s="14"/>
      <c r="F1608" s="16" t="str">
        <f>IFERROR(__xludf.DUMMYFUNCTION("""COMPUTED_VALUE"""),"Er Tsanna")</f>
        <v>Er Tsanna</v>
      </c>
      <c r="G1608" s="16"/>
      <c r="H1608" s="14"/>
      <c r="K1608" s="16">
        <f>IFERROR(__xludf.DUMMYFUNCTION("""COMPUTED_VALUE"""),414.0)</f>
        <v>414</v>
      </c>
      <c r="L1608" s="16"/>
      <c r="M1608" s="14"/>
    </row>
    <row r="1609">
      <c r="A1609" s="16" t="str">
        <f>IFERROR(__xludf.DUMMYFUNCTION("""COMPUTED_VALUE"""),"Haladou Boukar")</f>
        <v>Haladou Boukar</v>
      </c>
      <c r="B1609" s="16"/>
      <c r="C1609" s="14"/>
      <c r="F1609" s="16" t="str">
        <f>IFERROR(__xludf.DUMMYFUNCTION("""COMPUTED_VALUE"""),"Er Tsanna")</f>
        <v>Er Tsanna</v>
      </c>
      <c r="G1609" s="16"/>
      <c r="H1609" s="14"/>
      <c r="K1609" s="16">
        <f>IFERROR(__xludf.DUMMYFUNCTION("""COMPUTED_VALUE"""),2012.0)</f>
        <v>2012</v>
      </c>
      <c r="L1609" s="16"/>
      <c r="M1609" s="14"/>
    </row>
    <row r="1610">
      <c r="A1610" s="16" t="str">
        <f>IFERROR(__xludf.DUMMYFUNCTION("""COMPUTED_VALUE"""),"Haladou Boukar")</f>
        <v>Haladou Boukar</v>
      </c>
      <c r="B1610" s="16"/>
      <c r="C1610" s="14"/>
      <c r="F1610" s="16" t="str">
        <f>IFERROR(__xludf.DUMMYFUNCTION("""COMPUTED_VALUE"""),"Er Tsanna")</f>
        <v>Er Tsanna</v>
      </c>
      <c r="G1610" s="16"/>
      <c r="H1610" s="14"/>
      <c r="K1610" s="16">
        <f>IFERROR(__xludf.DUMMYFUNCTION("""COMPUTED_VALUE"""),366.0)</f>
        <v>366</v>
      </c>
      <c r="L1610" s="16"/>
      <c r="M1610" s="14"/>
    </row>
    <row r="1611">
      <c r="A1611" s="16" t="str">
        <f>IFERROR(__xludf.DUMMYFUNCTION("""COMPUTED_VALUE"""),"Haladou Boukar")</f>
        <v>Haladou Boukar</v>
      </c>
      <c r="B1611" s="16"/>
      <c r="C1611" s="14"/>
      <c r="F1611" s="16" t="str">
        <f>IFERROR(__xludf.DUMMYFUNCTION("""COMPUTED_VALUE"""),"Kaba Gabass")</f>
        <v>Kaba Gabass</v>
      </c>
      <c r="G1611" s="16"/>
      <c r="H1611" s="14"/>
      <c r="K1611" s="16">
        <f>IFERROR(__xludf.DUMMYFUNCTION("""COMPUTED_VALUE"""),1206.0)</f>
        <v>1206</v>
      </c>
      <c r="L1611" s="16"/>
      <c r="M1611" s="14"/>
    </row>
    <row r="1612">
      <c r="A1612" s="16" t="str">
        <f>IFERROR(__xludf.DUMMYFUNCTION("""COMPUTED_VALUE"""),"Maman Ado Abdourahamane")</f>
        <v>Maman Ado Abdourahamane</v>
      </c>
      <c r="B1612" s="16"/>
      <c r="C1612" s="14"/>
      <c r="F1612" s="16" t="str">
        <f>IFERROR(__xludf.DUMMYFUNCTION("""COMPUTED_VALUE"""),"Kaba Gabass")</f>
        <v>Kaba Gabass</v>
      </c>
      <c r="G1612" s="16"/>
      <c r="H1612" s="14"/>
      <c r="K1612" s="16">
        <f>IFERROR(__xludf.DUMMYFUNCTION("""COMPUTED_VALUE"""),1711.0)</f>
        <v>1711</v>
      </c>
      <c r="L1612" s="16"/>
      <c r="M1612" s="14"/>
    </row>
    <row r="1613">
      <c r="A1613" s="16" t="str">
        <f>IFERROR(__xludf.DUMMYFUNCTION("""COMPUTED_VALUE"""),"Maman Ado Abdourahamane")</f>
        <v>Maman Ado Abdourahamane</v>
      </c>
      <c r="B1613" s="16"/>
      <c r="C1613" s="14"/>
      <c r="F1613" s="16" t="str">
        <f>IFERROR(__xludf.DUMMYFUNCTION("""COMPUTED_VALUE"""),"Kaba Gabass")</f>
        <v>Kaba Gabass</v>
      </c>
      <c r="G1613" s="16"/>
      <c r="H1613" s="14"/>
      <c r="K1613" s="16">
        <f>IFERROR(__xludf.DUMMYFUNCTION("""COMPUTED_VALUE"""),557.0)</f>
        <v>557</v>
      </c>
      <c r="L1613" s="16"/>
      <c r="M1613" s="14"/>
    </row>
    <row r="1614">
      <c r="A1614" s="16" t="str">
        <f>IFERROR(__xludf.DUMMYFUNCTION("""COMPUTED_VALUE"""),"Maman Ado Abdourahamane")</f>
        <v>Maman Ado Abdourahamane</v>
      </c>
      <c r="B1614" s="16"/>
      <c r="C1614" s="14"/>
      <c r="F1614" s="16" t="str">
        <f>IFERROR(__xludf.DUMMYFUNCTION("""COMPUTED_VALUE"""),"Kaba Gabass")</f>
        <v>Kaba Gabass</v>
      </c>
      <c r="G1614" s="16"/>
      <c r="H1614" s="14"/>
      <c r="K1614" s="16">
        <f>IFERROR(__xludf.DUMMYFUNCTION("""COMPUTED_VALUE"""),1198.0)</f>
        <v>1198</v>
      </c>
      <c r="L1614" s="16"/>
      <c r="M1614" s="14"/>
    </row>
    <row r="1615">
      <c r="A1615" s="16" t="str">
        <f>IFERROR(__xludf.DUMMYFUNCTION("""COMPUTED_VALUE"""),"Maman Ado Abdourahamane")</f>
        <v>Maman Ado Abdourahamane</v>
      </c>
      <c r="B1615" s="16"/>
      <c r="C1615" s="14"/>
      <c r="F1615" s="16" t="str">
        <f>IFERROR(__xludf.DUMMYFUNCTION("""COMPUTED_VALUE"""),"Kaba Gabass")</f>
        <v>Kaba Gabass</v>
      </c>
      <c r="G1615" s="16"/>
      <c r="H1615" s="14"/>
      <c r="K1615" s="16">
        <f>IFERROR(__xludf.DUMMYFUNCTION("""COMPUTED_VALUE"""),478.0)</f>
        <v>478</v>
      </c>
      <c r="L1615" s="16"/>
      <c r="M1615" s="14"/>
    </row>
    <row r="1616">
      <c r="A1616" s="16" t="str">
        <f>IFERROR(__xludf.DUMMYFUNCTION("""COMPUTED_VALUE"""),"Maman Ado Abdourahamane")</f>
        <v>Maman Ado Abdourahamane</v>
      </c>
      <c r="B1616" s="16"/>
      <c r="C1616" s="14"/>
      <c r="F1616" s="16" t="str">
        <f>IFERROR(__xludf.DUMMYFUNCTION("""COMPUTED_VALUE"""),"Kaba Gabass")</f>
        <v>Kaba Gabass</v>
      </c>
      <c r="G1616" s="16"/>
      <c r="H1616" s="14"/>
      <c r="K1616" s="16">
        <f>IFERROR(__xludf.DUMMYFUNCTION("""COMPUTED_VALUE"""),1312.0)</f>
        <v>1312</v>
      </c>
      <c r="L1616" s="16"/>
      <c r="M1616" s="14"/>
    </row>
    <row r="1617">
      <c r="A1617" s="16" t="str">
        <f>IFERROR(__xludf.DUMMYFUNCTION("""COMPUTED_VALUE"""),"Aboubacar Hamadou Manga")</f>
        <v>Aboubacar Hamadou Manga</v>
      </c>
      <c r="B1617" s="16"/>
      <c r="C1617" s="14"/>
      <c r="F1617" s="16" t="str">
        <f>IFERROR(__xludf.DUMMYFUNCTION("""COMPUTED_VALUE"""),"Kaba Gabass")</f>
        <v>Kaba Gabass</v>
      </c>
      <c r="G1617" s="16"/>
      <c r="H1617" s="14"/>
      <c r="K1617" s="16">
        <f>IFERROR(__xludf.DUMMYFUNCTION("""COMPUTED_VALUE"""),355.0)</f>
        <v>355</v>
      </c>
      <c r="L1617" s="16"/>
      <c r="M1617" s="14"/>
    </row>
    <row r="1618">
      <c r="A1618" s="16" t="str">
        <f>IFERROR(__xludf.DUMMYFUNCTION("""COMPUTED_VALUE"""),"Elhaji Abdou Leilata")</f>
        <v>Elhaji Abdou Leilata</v>
      </c>
      <c r="B1618" s="16"/>
      <c r="C1618" s="14"/>
      <c r="F1618" s="16" t="str">
        <f>IFERROR(__xludf.DUMMYFUNCTION("""COMPUTED_VALUE"""),"Kaba Gabass")</f>
        <v>Kaba Gabass</v>
      </c>
      <c r="G1618" s="16"/>
      <c r="H1618" s="14"/>
      <c r="K1618" s="16">
        <f>IFERROR(__xludf.DUMMYFUNCTION("""COMPUTED_VALUE"""),267.0)</f>
        <v>267</v>
      </c>
      <c r="L1618" s="16"/>
      <c r="M1618" s="14"/>
    </row>
    <row r="1619">
      <c r="A1619" s="16" t="str">
        <f>IFERROR(__xludf.DUMMYFUNCTION("""COMPUTED_VALUE"""),"Aboubacar Hamadou Manga")</f>
        <v>Aboubacar Hamadou Manga</v>
      </c>
      <c r="B1619" s="16"/>
      <c r="C1619" s="14"/>
      <c r="F1619" s="16" t="str">
        <f>IFERROR(__xludf.DUMMYFUNCTION("""COMPUTED_VALUE"""),"Er Tsanna")</f>
        <v>Er Tsanna</v>
      </c>
      <c r="G1619" s="16"/>
      <c r="H1619" s="14"/>
      <c r="K1619" s="16">
        <f>IFERROR(__xludf.DUMMYFUNCTION("""COMPUTED_VALUE"""),1517.0)</f>
        <v>1517</v>
      </c>
      <c r="L1619" s="16"/>
      <c r="M1619" s="14"/>
    </row>
    <row r="1620">
      <c r="A1620" s="16" t="str">
        <f>IFERROR(__xludf.DUMMYFUNCTION("""COMPUTED_VALUE"""),"Aboubacar Hamadou Manga")</f>
        <v>Aboubacar Hamadou Manga</v>
      </c>
      <c r="B1620" s="16"/>
      <c r="C1620" s="14"/>
      <c r="F1620" s="16" t="str">
        <f>IFERROR(__xludf.DUMMYFUNCTION("""COMPUTED_VALUE"""),"Er Tsanna")</f>
        <v>Er Tsanna</v>
      </c>
      <c r="G1620" s="16"/>
      <c r="H1620" s="14"/>
      <c r="K1620" s="16">
        <f>IFERROR(__xludf.DUMMYFUNCTION("""COMPUTED_VALUE"""),413.0)</f>
        <v>413</v>
      </c>
      <c r="L1620" s="16"/>
      <c r="M1620" s="14"/>
    </row>
    <row r="1621">
      <c r="A1621" s="16" t="str">
        <f>IFERROR(__xludf.DUMMYFUNCTION("""COMPUTED_VALUE"""),"Elhaji Abdou Leilata")</f>
        <v>Elhaji Abdou Leilata</v>
      </c>
      <c r="B1621" s="16"/>
      <c r="C1621" s="14"/>
      <c r="F1621" s="16" t="str">
        <f>IFERROR(__xludf.DUMMYFUNCTION("""COMPUTED_VALUE"""),"Er Tsanna")</f>
        <v>Er Tsanna</v>
      </c>
      <c r="G1621" s="16"/>
      <c r="H1621" s="14"/>
      <c r="K1621" s="16">
        <f>IFERROR(__xludf.DUMMYFUNCTION("""COMPUTED_VALUE"""),2610.0)</f>
        <v>2610</v>
      </c>
      <c r="L1621" s="16"/>
      <c r="M1621" s="14"/>
    </row>
    <row r="1622">
      <c r="A1622" s="16" t="str">
        <f>IFERROR(__xludf.DUMMYFUNCTION("""COMPUTED_VALUE"""),"Razinatou Salissou")</f>
        <v>Razinatou Salissou</v>
      </c>
      <c r="B1622" s="16"/>
      <c r="C1622" s="14"/>
      <c r="F1622" s="16" t="str">
        <f>IFERROR(__xludf.DUMMYFUNCTION("""COMPUTED_VALUE"""),"Er Tsanna")</f>
        <v>Er Tsanna</v>
      </c>
      <c r="G1622" s="16"/>
      <c r="H1622" s="14"/>
      <c r="K1622" s="16">
        <f>IFERROR(__xludf.DUMMYFUNCTION("""COMPUTED_VALUE"""),2409.0)</f>
        <v>2409</v>
      </c>
      <c r="L1622" s="16"/>
      <c r="M1622" s="14"/>
    </row>
    <row r="1623">
      <c r="A1623" s="16" t="str">
        <f>IFERROR(__xludf.DUMMYFUNCTION("""COMPUTED_VALUE"""),"Razinatou Salissou")</f>
        <v>Razinatou Salissou</v>
      </c>
      <c r="B1623" s="16"/>
      <c r="C1623" s="14"/>
      <c r="F1623" s="16" t="str">
        <f>IFERROR(__xludf.DUMMYFUNCTION("""COMPUTED_VALUE"""),"Er Tsanna")</f>
        <v>Er Tsanna</v>
      </c>
      <c r="G1623" s="16"/>
      <c r="H1623" s="14"/>
      <c r="K1623" s="16">
        <f>IFERROR(__xludf.DUMMYFUNCTION("""COMPUTED_VALUE"""),1941.0)</f>
        <v>1941</v>
      </c>
      <c r="L1623" s="16"/>
      <c r="M1623" s="14"/>
    </row>
    <row r="1624">
      <c r="A1624" s="16" t="str">
        <f>IFERROR(__xludf.DUMMYFUNCTION("""COMPUTED_VALUE"""),"Gaoh Maazou")</f>
        <v>Gaoh Maazou</v>
      </c>
      <c r="B1624" s="16"/>
      <c r="C1624" s="14"/>
      <c r="F1624" s="16" t="str">
        <f>IFERROR(__xludf.DUMMYFUNCTION("""COMPUTED_VALUE"""),"Er Tsanna")</f>
        <v>Er Tsanna</v>
      </c>
      <c r="G1624" s="16"/>
      <c r="H1624" s="14"/>
      <c r="K1624" s="16">
        <f>IFERROR(__xludf.DUMMYFUNCTION("""COMPUTED_VALUE"""),1204.0)</f>
        <v>1204</v>
      </c>
      <c r="L1624" s="16"/>
      <c r="M1624" s="14"/>
    </row>
    <row r="1625">
      <c r="A1625" s="16" t="str">
        <f>IFERROR(__xludf.DUMMYFUNCTION("""COMPUTED_VALUE"""),"Gaoh Maazou")</f>
        <v>Gaoh Maazou</v>
      </c>
      <c r="B1625" s="16"/>
      <c r="C1625" s="14"/>
      <c r="F1625" s="16" t="str">
        <f>IFERROR(__xludf.DUMMYFUNCTION("""COMPUTED_VALUE"""),"Kaba Gabass")</f>
        <v>Kaba Gabass</v>
      </c>
      <c r="G1625" s="16"/>
      <c r="H1625" s="14"/>
      <c r="K1625" s="16">
        <f>IFERROR(__xludf.DUMMYFUNCTION("""COMPUTED_VALUE"""),852.0)</f>
        <v>852</v>
      </c>
      <c r="L1625" s="16"/>
      <c r="M1625" s="14"/>
    </row>
    <row r="1626">
      <c r="A1626" s="16" t="str">
        <f>IFERROR(__xludf.DUMMYFUNCTION("""COMPUTED_VALUE"""),"Gaoh Maazou")</f>
        <v>Gaoh Maazou</v>
      </c>
      <c r="B1626" s="16"/>
      <c r="C1626" s="14"/>
      <c r="F1626" s="16" t="str">
        <f>IFERROR(__xludf.DUMMYFUNCTION("""COMPUTED_VALUE"""),"Kaba Gabass")</f>
        <v>Kaba Gabass</v>
      </c>
      <c r="G1626" s="16"/>
      <c r="H1626" s="14"/>
      <c r="K1626" s="16">
        <f>IFERROR(__xludf.DUMMYFUNCTION("""COMPUTED_VALUE"""),588.0)</f>
        <v>588</v>
      </c>
      <c r="L1626" s="16"/>
      <c r="M1626" s="14"/>
    </row>
    <row r="1627">
      <c r="A1627" s="16" t="str">
        <f>IFERROR(__xludf.DUMMYFUNCTION("""COMPUTED_VALUE"""),"Yacouba Idé dit Lumana")</f>
        <v>Yacouba Idé dit Lumana</v>
      </c>
      <c r="B1627" s="16"/>
      <c r="C1627" s="14"/>
      <c r="F1627" s="16" t="str">
        <f>IFERROR(__xludf.DUMMYFUNCTION("""COMPUTED_VALUE"""),"Kaba Gabass")</f>
        <v>Kaba Gabass</v>
      </c>
      <c r="G1627" s="16"/>
      <c r="H1627" s="14"/>
      <c r="K1627" s="16">
        <f>IFERROR(__xludf.DUMMYFUNCTION("""COMPUTED_VALUE"""),1970.0)</f>
        <v>1970</v>
      </c>
      <c r="L1627" s="16"/>
      <c r="M1627" s="14"/>
    </row>
    <row r="1628">
      <c r="A1628" s="16" t="str">
        <f>IFERROR(__xludf.DUMMYFUNCTION("""COMPUTED_VALUE"""),"Yacouba Idé dit Lumana")</f>
        <v>Yacouba Idé dit Lumana</v>
      </c>
      <c r="B1628" s="16"/>
      <c r="C1628" s="14"/>
      <c r="F1628" s="16" t="str">
        <f>IFERROR(__xludf.DUMMYFUNCTION("""COMPUTED_VALUE"""),"Kaba Gabass")</f>
        <v>Kaba Gabass</v>
      </c>
      <c r="G1628" s="16"/>
      <c r="H1628" s="14"/>
      <c r="K1628" s="16">
        <f>IFERROR(__xludf.DUMMYFUNCTION("""COMPUTED_VALUE"""),658.0)</f>
        <v>658</v>
      </c>
      <c r="L1628" s="16"/>
      <c r="M1628" s="14"/>
    </row>
    <row r="1629">
      <c r="A1629" s="16" t="str">
        <f>IFERROR(__xludf.DUMMYFUNCTION("""COMPUTED_VALUE"""),"Gaoh Maazou")</f>
        <v>Gaoh Maazou</v>
      </c>
      <c r="B1629" s="16"/>
      <c r="C1629" s="14"/>
      <c r="F1629" s="16" t="str">
        <f>IFERROR(__xludf.DUMMYFUNCTION("""COMPUTED_VALUE"""),"Kaba Gabass")</f>
        <v>Kaba Gabass</v>
      </c>
      <c r="G1629" s="16"/>
      <c r="H1629" s="14"/>
      <c r="K1629" s="16">
        <f>IFERROR(__xludf.DUMMYFUNCTION("""COMPUTED_VALUE"""),1238.0)</f>
        <v>1238</v>
      </c>
      <c r="L1629" s="16"/>
      <c r="M1629" s="14"/>
    </row>
    <row r="1630">
      <c r="A1630" s="16" t="str">
        <f>IFERROR(__xludf.DUMMYFUNCTION("""COMPUTED_VALUE"""),"Asmaou Tanko Issa")</f>
        <v>Asmaou Tanko Issa</v>
      </c>
      <c r="B1630" s="16"/>
      <c r="C1630" s="14"/>
      <c r="F1630" s="16" t="str">
        <f>IFERROR(__xludf.DUMMYFUNCTION("""COMPUTED_VALUE"""),"Kaba Gabass")</f>
        <v>Kaba Gabass</v>
      </c>
      <c r="G1630" s="16"/>
      <c r="H1630" s="14"/>
      <c r="K1630" s="16">
        <f>IFERROR(__xludf.DUMMYFUNCTION("""COMPUTED_VALUE"""),825.0)</f>
        <v>825</v>
      </c>
      <c r="L1630" s="16"/>
      <c r="M1630" s="14"/>
    </row>
    <row r="1631">
      <c r="A1631" s="16" t="str">
        <f>IFERROR(__xludf.DUMMYFUNCTION("""COMPUTED_VALUE"""),"Saddy Youssouf")</f>
        <v>Saddy Youssouf</v>
      </c>
      <c r="B1631" s="16"/>
      <c r="C1631" s="14"/>
      <c r="F1631" s="16" t="str">
        <f>IFERROR(__xludf.DUMMYFUNCTION("""COMPUTED_VALUE"""),"Kaba Gabass")</f>
        <v>Kaba Gabass</v>
      </c>
      <c r="G1631" s="16"/>
      <c r="H1631" s="14"/>
      <c r="K1631" s="16">
        <f>IFERROR(__xludf.DUMMYFUNCTION("""COMPUTED_VALUE"""),1099.0)</f>
        <v>1099</v>
      </c>
      <c r="L1631" s="16"/>
      <c r="M1631" s="14"/>
    </row>
    <row r="1632">
      <c r="A1632" s="16" t="str">
        <f>IFERROR(__xludf.DUMMYFUNCTION("""COMPUTED_VALUE"""),"Saddy Youssouf")</f>
        <v>Saddy Youssouf</v>
      </c>
      <c r="B1632" s="16"/>
      <c r="C1632" s="14"/>
      <c r="F1632" s="16" t="str">
        <f>IFERROR(__xludf.DUMMYFUNCTION("""COMPUTED_VALUE"""),"Kaba Gabass")</f>
        <v>Kaba Gabass</v>
      </c>
      <c r="G1632" s="16"/>
      <c r="H1632" s="14"/>
      <c r="K1632" s="16">
        <f>IFERROR(__xludf.DUMMYFUNCTION("""COMPUTED_VALUE"""),1046.0)</f>
        <v>1046</v>
      </c>
      <c r="L1632" s="16"/>
      <c r="M1632" s="14"/>
    </row>
    <row r="1633">
      <c r="A1633" s="16" t="str">
        <f>IFERROR(__xludf.DUMMYFUNCTION("""COMPUTED_VALUE"""),"Saddy Youssouf")</f>
        <v>Saddy Youssouf</v>
      </c>
      <c r="B1633" s="16"/>
      <c r="C1633" s="14"/>
      <c r="F1633" s="16" t="str">
        <f>IFERROR(__xludf.DUMMYFUNCTION("""COMPUTED_VALUE"""),"Kaba Gabass")</f>
        <v>Kaba Gabass</v>
      </c>
      <c r="G1633" s="16"/>
      <c r="H1633" s="14"/>
      <c r="K1633" s="16">
        <f>IFERROR(__xludf.DUMMYFUNCTION("""COMPUTED_VALUE"""),1192.0)</f>
        <v>1192</v>
      </c>
      <c r="L1633" s="16"/>
      <c r="M1633" s="14"/>
    </row>
    <row r="1634">
      <c r="A1634" s="16" t="str">
        <f>IFERROR(__xludf.DUMMYFUNCTION("""COMPUTED_VALUE"""),"Saddy Youssouf")</f>
        <v>Saddy Youssouf</v>
      </c>
      <c r="B1634" s="16"/>
      <c r="C1634" s="14"/>
      <c r="F1634" s="16" t="str">
        <f>IFERROR(__xludf.DUMMYFUNCTION("""COMPUTED_VALUE"""),"Kaba Gabass")</f>
        <v>Kaba Gabass</v>
      </c>
      <c r="G1634" s="16"/>
      <c r="H1634" s="14"/>
      <c r="K1634" s="16">
        <f>IFERROR(__xludf.DUMMYFUNCTION("""COMPUTED_VALUE"""),1602.0)</f>
        <v>1602</v>
      </c>
      <c r="L1634" s="16"/>
      <c r="M1634" s="14"/>
    </row>
    <row r="1635">
      <c r="A1635" s="16" t="str">
        <f>IFERROR(__xludf.DUMMYFUNCTION("""COMPUTED_VALUE"""),"Saddy Youssouf")</f>
        <v>Saddy Youssouf</v>
      </c>
      <c r="B1635" s="16"/>
      <c r="C1635" s="14"/>
      <c r="F1635" s="16" t="str">
        <f>IFERROR(__xludf.DUMMYFUNCTION("""COMPUTED_VALUE"""),"Kalalé")</f>
        <v>Kalalé</v>
      </c>
      <c r="G1635" s="16"/>
      <c r="H1635" s="14"/>
      <c r="K1635" s="16">
        <f>IFERROR(__xludf.DUMMYFUNCTION("""COMPUTED_VALUE"""),1242.0)</f>
        <v>1242</v>
      </c>
      <c r="L1635" s="16"/>
      <c r="M1635" s="14"/>
    </row>
    <row r="1636">
      <c r="A1636" s="16" t="str">
        <f>IFERROR(__xludf.DUMMYFUNCTION("""COMPUTED_VALUE"""),"Saddy Youssouf")</f>
        <v>Saddy Youssouf</v>
      </c>
      <c r="B1636" s="16"/>
      <c r="C1636" s="14"/>
      <c r="F1636" s="16" t="str">
        <f>IFERROR(__xludf.DUMMYFUNCTION("""COMPUTED_VALUE"""),"Satourou")</f>
        <v>Satourou</v>
      </c>
      <c r="G1636" s="16"/>
      <c r="H1636" s="14"/>
      <c r="K1636" s="16">
        <f>IFERROR(__xludf.DUMMYFUNCTION("""COMPUTED_VALUE"""),1361.0)</f>
        <v>1361</v>
      </c>
      <c r="L1636" s="16"/>
      <c r="M1636" s="14"/>
    </row>
    <row r="1637">
      <c r="A1637" s="16" t="str">
        <f>IFERROR(__xludf.DUMMYFUNCTION("""COMPUTED_VALUE"""),"Saddy Youssouf")</f>
        <v>Saddy Youssouf</v>
      </c>
      <c r="B1637" s="16"/>
      <c r="C1637" s="14"/>
      <c r="F1637" s="16" t="str">
        <f>IFERROR(__xludf.DUMMYFUNCTION("""COMPUTED_VALUE"""),"Sabon Guida Damna")</f>
        <v>Sabon Guida Damna</v>
      </c>
      <c r="G1637" s="16"/>
      <c r="H1637" s="14"/>
      <c r="K1637" s="16">
        <f>IFERROR(__xludf.DUMMYFUNCTION("""COMPUTED_VALUE"""),298.0)</f>
        <v>298</v>
      </c>
      <c r="L1637" s="16"/>
      <c r="M1637" s="14"/>
    </row>
    <row r="1638">
      <c r="A1638" s="16" t="str">
        <f>IFERROR(__xludf.DUMMYFUNCTION("""COMPUTED_VALUE"""),"Saddy Youssouf")</f>
        <v>Saddy Youssouf</v>
      </c>
      <c r="B1638" s="16"/>
      <c r="C1638" s="14"/>
      <c r="F1638" s="16" t="str">
        <f>IFERROR(__xludf.DUMMYFUNCTION("""COMPUTED_VALUE"""),"Toundou Kou")</f>
        <v>Toundou Kou</v>
      </c>
      <c r="G1638" s="16"/>
      <c r="H1638" s="14"/>
      <c r="K1638" s="16">
        <f>IFERROR(__xludf.DUMMYFUNCTION("""COMPUTED_VALUE"""),754.0)</f>
        <v>754</v>
      </c>
      <c r="L1638" s="16"/>
      <c r="M1638" s="14"/>
    </row>
    <row r="1639">
      <c r="A1639" s="16" t="str">
        <f>IFERROR(__xludf.DUMMYFUNCTION("""COMPUTED_VALUE"""),"Rabi Boubacar Younoussa")</f>
        <v>Rabi Boubacar Younoussa</v>
      </c>
      <c r="B1639" s="16"/>
      <c r="C1639" s="14"/>
      <c r="F1639" s="16" t="str">
        <f>IFERROR(__xludf.DUMMYFUNCTION("""COMPUTED_VALUE"""),"Kalalé")</f>
        <v>Kalalé</v>
      </c>
      <c r="G1639" s="16"/>
      <c r="H1639" s="14"/>
      <c r="K1639" s="16">
        <f>IFERROR(__xludf.DUMMYFUNCTION("""COMPUTED_VALUE"""),329.0)</f>
        <v>329</v>
      </c>
      <c r="L1639" s="16"/>
      <c r="M1639" s="14"/>
    </row>
    <row r="1640">
      <c r="A1640" s="16" t="str">
        <f>IFERROR(__xludf.DUMMYFUNCTION("""COMPUTED_VALUE"""),"Abdoul Salami Ibrahim")</f>
        <v>Abdoul Salami Ibrahim</v>
      </c>
      <c r="B1640" s="16"/>
      <c r="C1640" s="14"/>
      <c r="F1640" s="16" t="str">
        <f>IFERROR(__xludf.DUMMYFUNCTION("""COMPUTED_VALUE"""),"Kalalé")</f>
        <v>Kalalé</v>
      </c>
      <c r="G1640" s="16"/>
      <c r="H1640" s="14"/>
      <c r="K1640" s="16">
        <f>IFERROR(__xludf.DUMMYFUNCTION("""COMPUTED_VALUE"""),388.0)</f>
        <v>388</v>
      </c>
      <c r="L1640" s="16"/>
      <c r="M1640" s="14"/>
    </row>
    <row r="1641">
      <c r="A1641" s="16" t="str">
        <f>IFERROR(__xludf.DUMMYFUNCTION("""COMPUTED_VALUE"""),"Abdoul Salami Ibrahim")</f>
        <v>Abdoul Salami Ibrahim</v>
      </c>
      <c r="B1641" s="16"/>
      <c r="C1641" s="14"/>
      <c r="F1641" s="16" t="str">
        <f>IFERROR(__xludf.DUMMYFUNCTION("""COMPUTED_VALUE"""),"Kalalé")</f>
        <v>Kalalé</v>
      </c>
      <c r="G1641" s="16"/>
      <c r="H1641" s="14"/>
      <c r="K1641" s="16">
        <f>IFERROR(__xludf.DUMMYFUNCTION("""COMPUTED_VALUE"""),556.0)</f>
        <v>556</v>
      </c>
      <c r="L1641" s="16"/>
      <c r="M1641" s="14"/>
    </row>
    <row r="1642">
      <c r="A1642" s="16" t="str">
        <f>IFERROR(__xludf.DUMMYFUNCTION("""COMPUTED_VALUE"""),"Abdoul Salami Ibrahim")</f>
        <v>Abdoul Salami Ibrahim</v>
      </c>
      <c r="B1642" s="16"/>
      <c r="C1642" s="14"/>
      <c r="F1642" s="16" t="str">
        <f>IFERROR(__xludf.DUMMYFUNCTION("""COMPUTED_VALUE"""),"Sabon Guida Damna")</f>
        <v>Sabon Guida Damna</v>
      </c>
      <c r="G1642" s="16"/>
      <c r="H1642" s="14"/>
      <c r="K1642" s="16">
        <f>IFERROR(__xludf.DUMMYFUNCTION("""COMPUTED_VALUE"""),194.0)</f>
        <v>194</v>
      </c>
      <c r="L1642" s="16"/>
      <c r="M1642" s="14"/>
    </row>
    <row r="1643">
      <c r="A1643" s="16" t="str">
        <f>IFERROR(__xludf.DUMMYFUNCTION("""COMPUTED_VALUE"""),"Inoussa Balkissou")</f>
        <v>Inoussa Balkissou</v>
      </c>
      <c r="B1643" s="16"/>
      <c r="C1643" s="14"/>
      <c r="F1643" s="16" t="str">
        <f>IFERROR(__xludf.DUMMYFUNCTION("""COMPUTED_VALUE"""),"Sabon Guida Damna")</f>
        <v>Sabon Guida Damna</v>
      </c>
      <c r="G1643" s="16"/>
      <c r="H1643" s="14"/>
      <c r="K1643" s="16">
        <f>IFERROR(__xludf.DUMMYFUNCTION("""COMPUTED_VALUE"""),1815.0)</f>
        <v>1815</v>
      </c>
      <c r="L1643" s="16"/>
      <c r="M1643" s="14"/>
    </row>
    <row r="1644">
      <c r="A1644" s="16" t="str">
        <f>IFERROR(__xludf.DUMMYFUNCTION("""COMPUTED_VALUE"""),"Zakari Aboubacar")</f>
        <v>Zakari Aboubacar</v>
      </c>
      <c r="B1644" s="16"/>
      <c r="C1644" s="14"/>
      <c r="F1644" s="16" t="str">
        <f>IFERROR(__xludf.DUMMYFUNCTION("""COMPUTED_VALUE"""),"Sabon Guida Damna")</f>
        <v>Sabon Guida Damna</v>
      </c>
      <c r="G1644" s="16"/>
      <c r="H1644" s="14"/>
      <c r="K1644" s="16">
        <f>IFERROR(__xludf.DUMMYFUNCTION("""COMPUTED_VALUE"""),567.0)</f>
        <v>567</v>
      </c>
      <c r="L1644" s="16"/>
      <c r="M1644" s="14"/>
    </row>
    <row r="1645">
      <c r="A1645" s="16" t="str">
        <f>IFERROR(__xludf.DUMMYFUNCTION("""COMPUTED_VALUE"""),"Binta Maikano Mahamane")</f>
        <v>Binta Maikano Mahamane</v>
      </c>
      <c r="B1645" s="16"/>
      <c r="C1645" s="14"/>
      <c r="F1645" s="16" t="str">
        <f>IFERROR(__xludf.DUMMYFUNCTION("""COMPUTED_VALUE"""),"Satourou")</f>
        <v>Satourou</v>
      </c>
      <c r="G1645" s="16"/>
      <c r="H1645" s="14"/>
      <c r="K1645" s="16">
        <f>IFERROR(__xludf.DUMMYFUNCTION("""COMPUTED_VALUE"""),1811.0)</f>
        <v>1811</v>
      </c>
      <c r="L1645" s="16"/>
      <c r="M1645" s="14"/>
    </row>
    <row r="1646">
      <c r="A1646" s="16" t="str">
        <f>IFERROR(__xludf.DUMMYFUNCTION("""COMPUTED_VALUE"""),"Zakari Aboubacar")</f>
        <v>Zakari Aboubacar</v>
      </c>
      <c r="B1646" s="16"/>
      <c r="C1646" s="14"/>
      <c r="F1646" s="16" t="str">
        <f>IFERROR(__xludf.DUMMYFUNCTION("""COMPUTED_VALUE"""),"Toundou Kou")</f>
        <v>Toundou Kou</v>
      </c>
      <c r="G1646" s="16"/>
      <c r="H1646" s="14"/>
      <c r="K1646" s="16">
        <f>IFERROR(__xludf.DUMMYFUNCTION("""COMPUTED_VALUE"""),639.0)</f>
        <v>639</v>
      </c>
      <c r="L1646" s="16"/>
      <c r="M1646" s="14"/>
    </row>
    <row r="1647">
      <c r="A1647" s="16" t="str">
        <f>IFERROR(__xludf.DUMMYFUNCTION("""COMPUTED_VALUE"""),"Zakari Aboubacar")</f>
        <v>Zakari Aboubacar</v>
      </c>
      <c r="B1647" s="16"/>
      <c r="C1647" s="14"/>
      <c r="F1647" s="16" t="str">
        <f>IFERROR(__xludf.DUMMYFUNCTION("""COMPUTED_VALUE"""),"Toundou Kou")</f>
        <v>Toundou Kou</v>
      </c>
      <c r="G1647" s="16"/>
      <c r="H1647" s="14"/>
      <c r="K1647" s="16">
        <f>IFERROR(__xludf.DUMMYFUNCTION("""COMPUTED_VALUE"""),2052.0)</f>
        <v>2052</v>
      </c>
      <c r="L1647" s="16"/>
      <c r="M1647" s="14"/>
    </row>
    <row r="1648">
      <c r="A1648" s="16" t="str">
        <f>IFERROR(__xludf.DUMMYFUNCTION("""COMPUTED_VALUE"""),"Zakari Aboubacar")</f>
        <v>Zakari Aboubacar</v>
      </c>
      <c r="B1648" s="16"/>
      <c r="C1648" s="14"/>
      <c r="F1648" s="16" t="str">
        <f>IFERROR(__xludf.DUMMYFUNCTION("""COMPUTED_VALUE"""),"Kalalé")</f>
        <v>Kalalé</v>
      </c>
      <c r="G1648" s="16"/>
      <c r="H1648" s="14"/>
      <c r="K1648" s="16">
        <f>IFERROR(__xludf.DUMMYFUNCTION("""COMPUTED_VALUE"""),562.0)</f>
        <v>562</v>
      </c>
      <c r="L1648" s="16"/>
      <c r="M1648" s="14"/>
    </row>
    <row r="1649">
      <c r="A1649" s="16" t="str">
        <f>IFERROR(__xludf.DUMMYFUNCTION("""COMPUTED_VALUE"""),"Zakari Aboubacar")</f>
        <v>Zakari Aboubacar</v>
      </c>
      <c r="B1649" s="16"/>
      <c r="C1649" s="14"/>
      <c r="F1649" s="16" t="str">
        <f>IFERROR(__xludf.DUMMYFUNCTION("""COMPUTED_VALUE"""),"Kalalé")</f>
        <v>Kalalé</v>
      </c>
      <c r="G1649" s="16"/>
      <c r="H1649" s="14"/>
      <c r="K1649" s="16">
        <f>IFERROR(__xludf.DUMMYFUNCTION("""COMPUTED_VALUE"""),1638.0)</f>
        <v>1638</v>
      </c>
      <c r="L1649" s="16"/>
      <c r="M1649" s="14"/>
    </row>
    <row r="1650">
      <c r="A1650" s="16" t="str">
        <f>IFERROR(__xludf.DUMMYFUNCTION("""COMPUTED_VALUE"""),"Zakari Aboubacar")</f>
        <v>Zakari Aboubacar</v>
      </c>
      <c r="B1650" s="16"/>
      <c r="C1650" s="14"/>
      <c r="F1650" s="16" t="str">
        <f>IFERROR(__xludf.DUMMYFUNCTION("""COMPUTED_VALUE"""),"Karadji Gangawa")</f>
        <v>Karadji Gangawa</v>
      </c>
      <c r="G1650" s="16"/>
      <c r="H1650" s="14"/>
      <c r="K1650" s="16">
        <f>IFERROR(__xludf.DUMMYFUNCTION("""COMPUTED_VALUE"""),663.0)</f>
        <v>663</v>
      </c>
      <c r="L1650" s="16"/>
      <c r="M1650" s="14"/>
    </row>
    <row r="1651">
      <c r="A1651" s="16" t="str">
        <f>IFERROR(__xludf.DUMMYFUNCTION("""COMPUTED_VALUE"""),"Zakari Aboubacar")</f>
        <v>Zakari Aboubacar</v>
      </c>
      <c r="B1651" s="16"/>
      <c r="C1651" s="14"/>
      <c r="F1651" s="16" t="str">
        <f>IFERROR(__xludf.DUMMYFUNCTION("""COMPUTED_VALUE"""),"Satourou")</f>
        <v>Satourou</v>
      </c>
      <c r="G1651" s="16"/>
      <c r="H1651" s="14"/>
      <c r="K1651" s="16">
        <f>IFERROR(__xludf.DUMMYFUNCTION("""COMPUTED_VALUE"""),464.0)</f>
        <v>464</v>
      </c>
      <c r="L1651" s="16"/>
      <c r="M1651" s="14"/>
    </row>
    <row r="1652">
      <c r="A1652" s="16" t="str">
        <f>IFERROR(__xludf.DUMMYFUNCTION("""COMPUTED_VALUE"""),"Haladou Boukar")</f>
        <v>Haladou Boukar</v>
      </c>
      <c r="B1652" s="16"/>
      <c r="C1652" s="14"/>
      <c r="F1652" s="16" t="str">
        <f>IFERROR(__xludf.DUMMYFUNCTION("""COMPUTED_VALUE"""),"Toundou Kou")</f>
        <v>Toundou Kou</v>
      </c>
      <c r="G1652" s="16"/>
      <c r="H1652" s="14"/>
      <c r="K1652" s="16">
        <f>IFERROR(__xludf.DUMMYFUNCTION("""COMPUTED_VALUE"""),264.0)</f>
        <v>264</v>
      </c>
      <c r="L1652" s="16"/>
      <c r="M1652" s="14"/>
    </row>
    <row r="1653">
      <c r="A1653" s="16" t="str">
        <f>IFERROR(__xludf.DUMMYFUNCTION("""COMPUTED_VALUE"""),"Haladou Boukar")</f>
        <v>Haladou Boukar</v>
      </c>
      <c r="B1653" s="16"/>
      <c r="C1653" s="14"/>
      <c r="F1653" s="16" t="str">
        <f>IFERROR(__xludf.DUMMYFUNCTION("""COMPUTED_VALUE"""),"Toundou Kou")</f>
        <v>Toundou Kou</v>
      </c>
      <c r="G1653" s="16"/>
      <c r="H1653" s="14"/>
      <c r="K1653" s="16">
        <f>IFERROR(__xludf.DUMMYFUNCTION("""COMPUTED_VALUE"""),2098.0)</f>
        <v>2098</v>
      </c>
      <c r="L1653" s="16"/>
      <c r="M1653" s="14"/>
    </row>
    <row r="1654">
      <c r="A1654" s="16" t="str">
        <f>IFERROR(__xludf.DUMMYFUNCTION("""COMPUTED_VALUE"""),"Haladou Boukar")</f>
        <v>Haladou Boukar</v>
      </c>
      <c r="B1654" s="16"/>
      <c r="C1654" s="14"/>
      <c r="F1654" s="16" t="str">
        <f>IFERROR(__xludf.DUMMYFUNCTION("""COMPUTED_VALUE"""),"Toundou Kou")</f>
        <v>Toundou Kou</v>
      </c>
      <c r="G1654" s="16"/>
      <c r="H1654" s="14"/>
      <c r="K1654" s="16">
        <f>IFERROR(__xludf.DUMMYFUNCTION("""COMPUTED_VALUE"""),1568.0)</f>
        <v>1568</v>
      </c>
      <c r="L1654" s="16"/>
      <c r="M1654" s="14"/>
    </row>
    <row r="1655">
      <c r="A1655" s="16" t="str">
        <f>IFERROR(__xludf.DUMMYFUNCTION("""COMPUTED_VALUE"""),"Haladou Boukar")</f>
        <v>Haladou Boukar</v>
      </c>
      <c r="B1655" s="16"/>
      <c r="C1655" s="14"/>
      <c r="F1655" s="16" t="str">
        <f>IFERROR(__xludf.DUMMYFUNCTION("""COMPUTED_VALUE"""),"Kalalé")</f>
        <v>Kalalé</v>
      </c>
      <c r="G1655" s="16"/>
      <c r="H1655" s="14"/>
      <c r="K1655" s="16">
        <f>IFERROR(__xludf.DUMMYFUNCTION("""COMPUTED_VALUE"""),422.0)</f>
        <v>422</v>
      </c>
      <c r="L1655" s="16"/>
      <c r="M1655" s="14"/>
    </row>
    <row r="1656">
      <c r="A1656" s="16" t="str">
        <f>IFERROR(__xludf.DUMMYFUNCTION("""COMPUTED_VALUE"""),"Haladou Boukar")</f>
        <v>Haladou Boukar</v>
      </c>
      <c r="B1656" s="16"/>
      <c r="C1656" s="14"/>
      <c r="F1656" s="16" t="str">
        <f>IFERROR(__xludf.DUMMYFUNCTION("""COMPUTED_VALUE"""),"Kalalé")</f>
        <v>Kalalé</v>
      </c>
      <c r="G1656" s="16"/>
      <c r="H1656" s="14"/>
      <c r="K1656" s="16">
        <f>IFERROR(__xludf.DUMMYFUNCTION("""COMPUTED_VALUE"""),533.0)</f>
        <v>533</v>
      </c>
      <c r="L1656" s="16"/>
      <c r="M1656" s="14"/>
    </row>
    <row r="1657">
      <c r="A1657" s="16" t="str">
        <f>IFERROR(__xludf.DUMMYFUNCTION("""COMPUTED_VALUE"""),"Haladou Boukar")</f>
        <v>Haladou Boukar</v>
      </c>
      <c r="B1657" s="16"/>
      <c r="C1657" s="14"/>
      <c r="F1657" s="16" t="str">
        <f>IFERROR(__xludf.DUMMYFUNCTION("""COMPUTED_VALUE"""),"Kalalé")</f>
        <v>Kalalé</v>
      </c>
      <c r="G1657" s="16"/>
      <c r="H1657" s="14"/>
      <c r="K1657" s="16">
        <f>IFERROR(__xludf.DUMMYFUNCTION("""COMPUTED_VALUE"""),1826.0)</f>
        <v>1826</v>
      </c>
      <c r="L1657" s="16"/>
      <c r="M1657" s="14"/>
    </row>
    <row r="1658">
      <c r="A1658" s="16" t="str">
        <f>IFERROR(__xludf.DUMMYFUNCTION("""COMPUTED_VALUE"""),"Haladou Boukar")</f>
        <v>Haladou Boukar</v>
      </c>
      <c r="B1658" s="16"/>
      <c r="C1658" s="14"/>
      <c r="F1658" s="16" t="str">
        <f>IFERROR(__xludf.DUMMYFUNCTION("""COMPUTED_VALUE"""),"Satourou")</f>
        <v>Satourou</v>
      </c>
      <c r="G1658" s="16"/>
      <c r="H1658" s="14"/>
      <c r="K1658" s="16">
        <f>IFERROR(__xludf.DUMMYFUNCTION("""COMPUTED_VALUE"""),648.0)</f>
        <v>648</v>
      </c>
      <c r="L1658" s="16"/>
      <c r="M1658" s="14"/>
    </row>
    <row r="1659">
      <c r="A1659" s="16" t="str">
        <f>IFERROR(__xludf.DUMMYFUNCTION("""COMPUTED_VALUE"""),"Mathieu Alphonse Rachida Juliette")</f>
        <v>Mathieu Alphonse Rachida Juliette</v>
      </c>
      <c r="B1659" s="16"/>
      <c r="C1659" s="14"/>
      <c r="F1659" s="16" t="str">
        <f>IFERROR(__xludf.DUMMYFUNCTION("""COMPUTED_VALUE"""),"Satourou")</f>
        <v>Satourou</v>
      </c>
      <c r="G1659" s="16"/>
      <c r="H1659" s="14"/>
      <c r="K1659" s="16">
        <f>IFERROR(__xludf.DUMMYFUNCTION("""COMPUTED_VALUE"""),1459.0)</f>
        <v>1459</v>
      </c>
      <c r="L1659" s="16"/>
      <c r="M1659" s="14"/>
    </row>
    <row r="1660">
      <c r="A1660" s="16" t="str">
        <f>IFERROR(__xludf.DUMMYFUNCTION("""COMPUTED_VALUE"""),"Mathieu Alphonse Rachida Juliette")</f>
        <v>Mathieu Alphonse Rachida Juliette</v>
      </c>
      <c r="B1660" s="16"/>
      <c r="C1660" s="14"/>
      <c r="F1660" s="16" t="str">
        <f>IFERROR(__xludf.DUMMYFUNCTION("""COMPUTED_VALUE"""),"Toundou Kou")</f>
        <v>Toundou Kou</v>
      </c>
      <c r="G1660" s="16"/>
      <c r="H1660" s="14"/>
      <c r="K1660" s="16">
        <f>IFERROR(__xludf.DUMMYFUNCTION("""COMPUTED_VALUE"""),416.0)</f>
        <v>416</v>
      </c>
      <c r="L1660" s="16"/>
      <c r="M1660" s="14"/>
    </row>
    <row r="1661">
      <c r="A1661" s="16" t="str">
        <f>IFERROR(__xludf.DUMMYFUNCTION("""COMPUTED_VALUE"""),"Maman Ado Abdourahamane")</f>
        <v>Maman Ado Abdourahamane</v>
      </c>
      <c r="B1661" s="16"/>
      <c r="C1661" s="14"/>
      <c r="F1661" s="16" t="str">
        <f>IFERROR(__xludf.DUMMYFUNCTION("""COMPUTED_VALUE"""),"Toundou Kou")</f>
        <v>Toundou Kou</v>
      </c>
      <c r="G1661" s="16"/>
      <c r="H1661" s="14"/>
      <c r="K1661" s="16">
        <f>IFERROR(__xludf.DUMMYFUNCTION("""COMPUTED_VALUE"""),1654.0)</f>
        <v>1654</v>
      </c>
      <c r="L1661" s="16"/>
      <c r="M1661" s="14"/>
    </row>
    <row r="1662">
      <c r="A1662" s="16" t="str">
        <f>IFERROR(__xludf.DUMMYFUNCTION("""COMPUTED_VALUE"""),"Maman Ado Abdourahamane")</f>
        <v>Maman Ado Abdourahamane</v>
      </c>
      <c r="B1662" s="16"/>
      <c r="C1662" s="14"/>
      <c r="F1662" s="16" t="str">
        <f>IFERROR(__xludf.DUMMYFUNCTION("""COMPUTED_VALUE"""),"Toundou Kou")</f>
        <v>Toundou Kou</v>
      </c>
      <c r="G1662" s="16"/>
      <c r="H1662" s="14"/>
      <c r="K1662" s="16">
        <f>IFERROR(__xludf.DUMMYFUNCTION("""COMPUTED_VALUE"""),295.0)</f>
        <v>295</v>
      </c>
      <c r="L1662" s="16"/>
      <c r="M1662" s="14"/>
    </row>
    <row r="1663">
      <c r="A1663" s="16" t="str">
        <f>IFERROR(__xludf.DUMMYFUNCTION("""COMPUTED_VALUE"""),"Maman Ado Abdourahamane")</f>
        <v>Maman Ado Abdourahamane</v>
      </c>
      <c r="B1663" s="16"/>
      <c r="C1663" s="14"/>
      <c r="F1663" s="16" t="str">
        <f>IFERROR(__xludf.DUMMYFUNCTION("""COMPUTED_VALUE"""),"Moullela Guidan FoKo")</f>
        <v>Moullela Guidan FoKo</v>
      </c>
      <c r="G1663" s="16"/>
      <c r="H1663" s="14"/>
      <c r="K1663" s="16">
        <f>IFERROR(__xludf.DUMMYFUNCTION("""COMPUTED_VALUE"""),882.0)</f>
        <v>882</v>
      </c>
      <c r="L1663" s="16"/>
      <c r="M1663" s="14"/>
    </row>
    <row r="1664">
      <c r="A1664" s="16" t="str">
        <f>IFERROR(__xludf.DUMMYFUNCTION("""COMPUTED_VALUE"""),"Maman Ado Abdourahamane")</f>
        <v>Maman Ado Abdourahamane</v>
      </c>
      <c r="B1664" s="16"/>
      <c r="C1664" s="14"/>
      <c r="F1664" s="16" t="str">
        <f>IFERROR(__xludf.DUMMYFUNCTION("""COMPUTED_VALUE"""),"Moullela Guidan FoKo")</f>
        <v>Moullela Guidan FoKo</v>
      </c>
      <c r="G1664" s="16"/>
      <c r="H1664" s="14"/>
      <c r="K1664" s="16">
        <f>IFERROR(__xludf.DUMMYFUNCTION("""COMPUTED_VALUE"""),2054.0)</f>
        <v>2054</v>
      </c>
      <c r="L1664" s="16"/>
      <c r="M1664" s="14"/>
    </row>
    <row r="1665">
      <c r="A1665" s="16" t="str">
        <f>IFERROR(__xludf.DUMMYFUNCTION("""COMPUTED_VALUE"""),"Mathieu Alphonse Rachida Juliette")</f>
        <v>Mathieu Alphonse Rachida Juliette</v>
      </c>
      <c r="B1665" s="16"/>
      <c r="C1665" s="14"/>
      <c r="F1665" s="16" t="str">
        <f>IFERROR(__xludf.DUMMYFUNCTION("""COMPUTED_VALUE"""),"Sabon Sara")</f>
        <v>Sabon Sara</v>
      </c>
      <c r="G1665" s="16"/>
      <c r="H1665" s="14"/>
      <c r="K1665" s="16">
        <f>IFERROR(__xludf.DUMMYFUNCTION("""COMPUTED_VALUE"""),1363.0)</f>
        <v>1363</v>
      </c>
      <c r="L1665" s="16"/>
      <c r="M1665" s="14"/>
    </row>
    <row r="1666">
      <c r="A1666" s="16" t="str">
        <f>IFERROR(__xludf.DUMMYFUNCTION("""COMPUTED_VALUE"""),"Amadou Hamidou Abdoul Karim")</f>
        <v>Amadou Hamidou Abdoul Karim</v>
      </c>
      <c r="B1666" s="16"/>
      <c r="C1666" s="14"/>
      <c r="F1666" s="16" t="str">
        <f>IFERROR(__xludf.DUMMYFUNCTION("""COMPUTED_VALUE"""),"Sabon Sara")</f>
        <v>Sabon Sara</v>
      </c>
      <c r="G1666" s="16"/>
      <c r="H1666" s="14"/>
      <c r="K1666" s="16">
        <f>IFERROR(__xludf.DUMMYFUNCTION("""COMPUTED_VALUE"""),1941.0)</f>
        <v>1941</v>
      </c>
      <c r="L1666" s="16"/>
      <c r="M1666" s="14"/>
    </row>
    <row r="1667">
      <c r="A1667" s="16" t="str">
        <f>IFERROR(__xludf.DUMMYFUNCTION("""COMPUTED_VALUE"""),"Amadou Hamidou Abdoul Karim")</f>
        <v>Amadou Hamidou Abdoul Karim</v>
      </c>
      <c r="B1667" s="16"/>
      <c r="C1667" s="14"/>
      <c r="F1667" s="16" t="str">
        <f>IFERROR(__xludf.DUMMYFUNCTION("""COMPUTED_VALUE"""),"Sabon Sara")</f>
        <v>Sabon Sara</v>
      </c>
      <c r="G1667" s="16"/>
      <c r="H1667" s="14"/>
      <c r="K1667" s="16">
        <f>IFERROR(__xludf.DUMMYFUNCTION("""COMPUTED_VALUE"""),2245.0)</f>
        <v>2245</v>
      </c>
      <c r="L1667" s="16"/>
      <c r="M1667" s="14"/>
    </row>
    <row r="1668">
      <c r="A1668" s="16" t="str">
        <f>IFERROR(__xludf.DUMMYFUNCTION("""COMPUTED_VALUE"""),"Amadou Hamidou Abdoul Karim")</f>
        <v>Amadou Hamidou Abdoul Karim</v>
      </c>
      <c r="B1668" s="16"/>
      <c r="C1668" s="14"/>
      <c r="F1668" s="16" t="str">
        <f>IFERROR(__xludf.DUMMYFUNCTION("""COMPUTED_VALUE"""),"Sabon Sara")</f>
        <v>Sabon Sara</v>
      </c>
      <c r="G1668" s="16"/>
      <c r="H1668" s="14"/>
      <c r="K1668" s="16">
        <f>IFERROR(__xludf.DUMMYFUNCTION("""COMPUTED_VALUE"""),447.0)</f>
        <v>447</v>
      </c>
      <c r="L1668" s="16"/>
      <c r="M1668" s="14"/>
    </row>
    <row r="1669">
      <c r="A1669" s="16" t="str">
        <f>IFERROR(__xludf.DUMMYFUNCTION("""COMPUTED_VALUE"""),"Amadou Hamidou Abdoul Karim")</f>
        <v>Amadou Hamidou Abdoul Karim</v>
      </c>
      <c r="B1669" s="16"/>
      <c r="C1669" s="14"/>
      <c r="F1669" s="16" t="str">
        <f>IFERROR(__xludf.DUMMYFUNCTION("""COMPUTED_VALUE"""),"Sabon Sara")</f>
        <v>Sabon Sara</v>
      </c>
      <c r="G1669" s="16"/>
      <c r="H1669" s="14"/>
      <c r="K1669" s="16">
        <f>IFERROR(__xludf.DUMMYFUNCTION("""COMPUTED_VALUE"""),483.0)</f>
        <v>483</v>
      </c>
      <c r="L1669" s="16"/>
      <c r="M1669" s="14"/>
    </row>
    <row r="1670">
      <c r="A1670" s="16" t="str">
        <f>IFERROR(__xludf.DUMMYFUNCTION("""COMPUTED_VALUE"""),"Binta Maman")</f>
        <v>Binta Maman</v>
      </c>
      <c r="B1670" s="16"/>
      <c r="C1670" s="14"/>
      <c r="F1670" s="16" t="str">
        <f>IFERROR(__xludf.DUMMYFUNCTION("""COMPUTED_VALUE"""),"Sabon Sara")</f>
        <v>Sabon Sara</v>
      </c>
      <c r="G1670" s="16"/>
      <c r="H1670" s="14"/>
      <c r="K1670" s="16">
        <f>IFERROR(__xludf.DUMMYFUNCTION("""COMPUTED_VALUE"""),1084.0)</f>
        <v>1084</v>
      </c>
      <c r="L1670" s="16"/>
      <c r="M1670" s="14"/>
    </row>
    <row r="1671">
      <c r="A1671" s="16" t="str">
        <f>IFERROR(__xludf.DUMMYFUNCTION("""COMPUTED_VALUE"""),"Hachimou Rabiou Mamoudou")</f>
        <v>Hachimou Rabiou Mamoudou</v>
      </c>
      <c r="B1671" s="16"/>
      <c r="C1671" s="14"/>
      <c r="F1671" s="16" t="str">
        <f>IFERROR(__xludf.DUMMYFUNCTION("""COMPUTED_VALUE"""),"Kalalé")</f>
        <v>Kalalé</v>
      </c>
      <c r="G1671" s="16"/>
      <c r="H1671" s="14"/>
      <c r="K1671" s="16">
        <f>IFERROR(__xludf.DUMMYFUNCTION("""COMPUTED_VALUE"""),184.0)</f>
        <v>184</v>
      </c>
      <c r="L1671" s="16"/>
      <c r="M1671" s="14"/>
    </row>
    <row r="1672">
      <c r="A1672" s="16" t="str">
        <f>IFERROR(__xludf.DUMMYFUNCTION("""COMPUTED_VALUE"""),"Hachimou Rabiou Mamoudou")</f>
        <v>Hachimou Rabiou Mamoudou</v>
      </c>
      <c r="B1672" s="16"/>
      <c r="C1672" s="14"/>
      <c r="F1672" s="16" t="str">
        <f>IFERROR(__xludf.DUMMYFUNCTION("""COMPUTED_VALUE"""),"Kalalé")</f>
        <v>Kalalé</v>
      </c>
      <c r="G1672" s="16"/>
      <c r="H1672" s="14"/>
      <c r="K1672" s="16">
        <f>IFERROR(__xludf.DUMMYFUNCTION("""COMPUTED_VALUE"""),619.0)</f>
        <v>619</v>
      </c>
      <c r="L1672" s="16"/>
      <c r="M1672" s="14"/>
    </row>
    <row r="1673">
      <c r="A1673" s="16" t="str">
        <f>IFERROR(__xludf.DUMMYFUNCTION("""COMPUTED_VALUE"""),"Hachimou Rabiou Mamoudou")</f>
        <v>Hachimou Rabiou Mamoudou</v>
      </c>
      <c r="B1673" s="16"/>
      <c r="C1673" s="14"/>
      <c r="F1673" s="16" t="str">
        <f>IFERROR(__xludf.DUMMYFUNCTION("""COMPUTED_VALUE"""),"Kalalé")</f>
        <v>Kalalé</v>
      </c>
      <c r="G1673" s="16"/>
      <c r="H1673" s="14"/>
      <c r="K1673" s="16">
        <f>IFERROR(__xludf.DUMMYFUNCTION("""COMPUTED_VALUE"""),812.0)</f>
        <v>812</v>
      </c>
      <c r="L1673" s="16"/>
      <c r="M1673" s="14"/>
    </row>
    <row r="1674">
      <c r="A1674" s="16" t="str">
        <f>IFERROR(__xludf.DUMMYFUNCTION("""COMPUTED_VALUE"""),"Hachimou Rabiou Mamoudou")</f>
        <v>Hachimou Rabiou Mamoudou</v>
      </c>
      <c r="B1674" s="16"/>
      <c r="C1674" s="14"/>
      <c r="F1674" s="16" t="str">
        <f>IFERROR(__xludf.DUMMYFUNCTION("""COMPUTED_VALUE"""),"Kalalé")</f>
        <v>Kalalé</v>
      </c>
      <c r="G1674" s="16"/>
      <c r="H1674" s="14"/>
      <c r="K1674" s="16">
        <f>IFERROR(__xludf.DUMMYFUNCTION("""COMPUTED_VALUE"""),530.0)</f>
        <v>530</v>
      </c>
      <c r="L1674" s="16"/>
      <c r="M1674" s="14"/>
    </row>
    <row r="1675">
      <c r="A1675" s="16" t="str">
        <f>IFERROR(__xludf.DUMMYFUNCTION("""COMPUTED_VALUE"""),"Moumouni Adamou Yahaya")</f>
        <v>Moumouni Adamou Yahaya</v>
      </c>
      <c r="B1675" s="16"/>
      <c r="C1675" s="14"/>
      <c r="F1675" s="16" t="str">
        <f>IFERROR(__xludf.DUMMYFUNCTION("""COMPUTED_VALUE"""),"Sabon Guida Damna")</f>
        <v>Sabon Guida Damna</v>
      </c>
      <c r="G1675" s="16"/>
      <c r="H1675" s="14"/>
      <c r="K1675" s="16">
        <f>IFERROR(__xludf.DUMMYFUNCTION("""COMPUTED_VALUE"""),1705.0)</f>
        <v>1705</v>
      </c>
      <c r="L1675" s="16"/>
      <c r="M1675" s="14"/>
    </row>
    <row r="1676">
      <c r="A1676" s="16" t="str">
        <f>IFERROR(__xludf.DUMMYFUNCTION("""COMPUTED_VALUE"""),"Moumouni Adamou Yahaya")</f>
        <v>Moumouni Adamou Yahaya</v>
      </c>
      <c r="B1676" s="16"/>
      <c r="C1676" s="14"/>
      <c r="F1676" s="16" t="str">
        <f>IFERROR(__xludf.DUMMYFUNCTION("""COMPUTED_VALUE"""),"Sabon Guida Damna")</f>
        <v>Sabon Guida Damna</v>
      </c>
      <c r="G1676" s="16"/>
      <c r="H1676" s="14"/>
      <c r="K1676" s="16">
        <f>IFERROR(__xludf.DUMMYFUNCTION("""COMPUTED_VALUE"""),1533.0)</f>
        <v>1533</v>
      </c>
      <c r="L1676" s="16"/>
      <c r="M1676" s="14"/>
    </row>
    <row r="1677">
      <c r="A1677" s="16" t="str">
        <f>IFERROR(__xludf.DUMMYFUNCTION("""COMPUTED_VALUE"""),"Ouhoumoudou Djannou Ibrahim")</f>
        <v>Ouhoumoudou Djannou Ibrahim</v>
      </c>
      <c r="B1677" s="16"/>
      <c r="C1677" s="14"/>
      <c r="F1677" s="16" t="str">
        <f>IFERROR(__xludf.DUMMYFUNCTION("""COMPUTED_VALUE"""),"Sabon Guida Damna")</f>
        <v>Sabon Guida Damna</v>
      </c>
      <c r="G1677" s="16"/>
      <c r="H1677" s="14"/>
      <c r="K1677" s="16">
        <f>IFERROR(__xludf.DUMMYFUNCTION("""COMPUTED_VALUE"""),1236.0)</f>
        <v>1236</v>
      </c>
      <c r="L1677" s="16"/>
      <c r="M1677" s="14"/>
    </row>
    <row r="1678">
      <c r="A1678" s="16" t="str">
        <f>IFERROR(__xludf.DUMMYFUNCTION("""COMPUTED_VALUE"""),"Ouhoumoudou Djannou Ibrahim")</f>
        <v>Ouhoumoudou Djannou Ibrahim</v>
      </c>
      <c r="B1678" s="16"/>
      <c r="C1678" s="14"/>
      <c r="F1678" s="16" t="str">
        <f>IFERROR(__xludf.DUMMYFUNCTION("""COMPUTED_VALUE"""),"Sabon Guida Damna")</f>
        <v>Sabon Guida Damna</v>
      </c>
      <c r="G1678" s="16"/>
      <c r="H1678" s="14"/>
      <c r="K1678" s="16">
        <f>IFERROR(__xludf.DUMMYFUNCTION("""COMPUTED_VALUE"""),551.0)</f>
        <v>551</v>
      </c>
      <c r="L1678" s="16"/>
      <c r="M1678" s="14"/>
    </row>
    <row r="1679">
      <c r="A1679" s="16" t="str">
        <f>IFERROR(__xludf.DUMMYFUNCTION("""COMPUTED_VALUE"""),"Ouhoumoudou Djannou Ibrahim")</f>
        <v>Ouhoumoudou Djannou Ibrahim</v>
      </c>
      <c r="B1679" s="16"/>
      <c r="C1679" s="14"/>
      <c r="F1679" s="16" t="str">
        <f>IFERROR(__xludf.DUMMYFUNCTION("""COMPUTED_VALUE"""),"Toundou Kou")</f>
        <v>Toundou Kou</v>
      </c>
      <c r="G1679" s="16"/>
      <c r="H1679" s="14"/>
      <c r="K1679" s="16">
        <f>IFERROR(__xludf.DUMMYFUNCTION("""COMPUTED_VALUE"""),907.0)</f>
        <v>907</v>
      </c>
      <c r="L1679" s="16"/>
      <c r="M1679" s="14"/>
    </row>
    <row r="1680">
      <c r="A1680" s="16" t="str">
        <f>IFERROR(__xludf.DUMMYFUNCTION("""COMPUTED_VALUE"""),"Ouhoumoudou Djannou Ibrahim")</f>
        <v>Ouhoumoudou Djannou Ibrahim</v>
      </c>
      <c r="B1680" s="16"/>
      <c r="C1680" s="14"/>
      <c r="F1680" s="16" t="str">
        <f>IFERROR(__xludf.DUMMYFUNCTION("""COMPUTED_VALUE"""),"Toundou Kou")</f>
        <v>Toundou Kou</v>
      </c>
      <c r="G1680" s="16"/>
      <c r="H1680" s="14"/>
      <c r="K1680" s="16">
        <f>IFERROR(__xludf.DUMMYFUNCTION("""COMPUTED_VALUE"""),1672.0)</f>
        <v>1672</v>
      </c>
      <c r="L1680" s="16"/>
      <c r="M1680" s="14"/>
    </row>
    <row r="1681">
      <c r="A1681" s="16" t="str">
        <f>IFERROR(__xludf.DUMMYFUNCTION("""COMPUTED_VALUE"""),"Ouhoumoudou Djannou Ibrahim")</f>
        <v>Ouhoumoudou Djannou Ibrahim</v>
      </c>
      <c r="B1681" s="16"/>
      <c r="C1681" s="14"/>
      <c r="F1681" s="16" t="str">
        <f>IFERROR(__xludf.DUMMYFUNCTION("""COMPUTED_VALUE"""),"Toundou Kou")</f>
        <v>Toundou Kou</v>
      </c>
      <c r="G1681" s="16"/>
      <c r="H1681" s="14"/>
      <c r="K1681" s="16">
        <f>IFERROR(__xludf.DUMMYFUNCTION("""COMPUTED_VALUE"""),1708.0)</f>
        <v>1708</v>
      </c>
      <c r="L1681" s="16"/>
      <c r="M1681" s="14"/>
    </row>
    <row r="1682">
      <c r="A1682" s="16" t="str">
        <f>IFERROR(__xludf.DUMMYFUNCTION("""COMPUTED_VALUE"""),"Halimatou Adamou Marafa")</f>
        <v>Halimatou Adamou Marafa</v>
      </c>
      <c r="B1682" s="16"/>
      <c r="C1682" s="14"/>
      <c r="F1682" s="16" t="str">
        <f>IFERROR(__xludf.DUMMYFUNCTION("""COMPUTED_VALUE"""),"Toundou Kou")</f>
        <v>Toundou Kou</v>
      </c>
      <c r="G1682" s="16"/>
      <c r="H1682" s="14"/>
      <c r="K1682" s="16">
        <f>IFERROR(__xludf.DUMMYFUNCTION("""COMPUTED_VALUE"""),564.0)</f>
        <v>564</v>
      </c>
      <c r="L1682" s="16"/>
      <c r="M1682" s="14"/>
    </row>
    <row r="1683">
      <c r="A1683" s="16" t="str">
        <f>IFERROR(__xludf.DUMMYFUNCTION("""COMPUTED_VALUE"""),"Hamissou Moussa Nana Mariama")</f>
        <v>Hamissou Moussa Nana Mariama</v>
      </c>
      <c r="B1683" s="16"/>
      <c r="C1683" s="14"/>
      <c r="F1683" s="16" t="str">
        <f>IFERROR(__xludf.DUMMYFUNCTION("""COMPUTED_VALUE"""),"Toundou Kou")</f>
        <v>Toundou Kou</v>
      </c>
      <c r="G1683" s="16"/>
      <c r="H1683" s="14"/>
      <c r="K1683" s="16">
        <f>IFERROR(__xludf.DUMMYFUNCTION("""COMPUTED_VALUE"""),770.0)</f>
        <v>770</v>
      </c>
      <c r="L1683" s="16"/>
      <c r="M1683" s="14"/>
    </row>
    <row r="1684">
      <c r="A1684" s="16" t="str">
        <f>IFERROR(__xludf.DUMMYFUNCTION("""COMPUTED_VALUE"""),"Kimba Issa Mamoudou")</f>
        <v>Kimba Issa Mamoudou</v>
      </c>
      <c r="B1684" s="16"/>
      <c r="C1684" s="14"/>
      <c r="F1684" s="16" t="str">
        <f>IFERROR(__xludf.DUMMYFUNCTION("""COMPUTED_VALUE"""),"Koweit Peulh I")</f>
        <v>Koweit Peulh I</v>
      </c>
      <c r="G1684" s="16"/>
      <c r="H1684" s="14"/>
      <c r="K1684" s="16">
        <f>IFERROR(__xludf.DUMMYFUNCTION("""COMPUTED_VALUE"""),1661.0)</f>
        <v>1661</v>
      </c>
      <c r="L1684" s="16"/>
      <c r="M1684" s="14"/>
    </row>
    <row r="1685">
      <c r="A1685" s="16" t="str">
        <f>IFERROR(__xludf.DUMMYFUNCTION("""COMPUTED_VALUE"""),"Kimba Issa Mamoudou")</f>
        <v>Kimba Issa Mamoudou</v>
      </c>
      <c r="B1685" s="16"/>
      <c r="C1685" s="14"/>
      <c r="F1685" s="16" t="str">
        <f>IFERROR(__xludf.DUMMYFUNCTION("""COMPUTED_VALUE"""),"Koweit Peulh I")</f>
        <v>Koweit Peulh I</v>
      </c>
      <c r="G1685" s="16"/>
      <c r="H1685" s="14"/>
      <c r="K1685" s="16">
        <f>IFERROR(__xludf.DUMMYFUNCTION("""COMPUTED_VALUE"""),1473.0)</f>
        <v>1473</v>
      </c>
      <c r="L1685" s="16"/>
      <c r="M1685" s="14"/>
    </row>
    <row r="1686">
      <c r="A1686" s="16" t="str">
        <f>IFERROR(__xludf.DUMMYFUNCTION("""COMPUTED_VALUE"""),"Moussa Ide Ibrahim")</f>
        <v>Moussa Ide Ibrahim</v>
      </c>
      <c r="B1686" s="16"/>
      <c r="C1686" s="14"/>
      <c r="F1686" s="16" t="str">
        <f>IFERROR(__xludf.DUMMYFUNCTION("""COMPUTED_VALUE"""),"Koweit Peulh I")</f>
        <v>Koweit Peulh I</v>
      </c>
      <c r="G1686" s="16"/>
      <c r="H1686" s="14"/>
      <c r="K1686" s="16">
        <f>IFERROR(__xludf.DUMMYFUNCTION("""COMPUTED_VALUE"""),651.0)</f>
        <v>651</v>
      </c>
      <c r="L1686" s="16"/>
      <c r="M1686" s="14"/>
    </row>
    <row r="1687">
      <c r="A1687" s="16" t="str">
        <f>IFERROR(__xludf.DUMMYFUNCTION("""COMPUTED_VALUE"""),"Moussa Ide Ibrahim")</f>
        <v>Moussa Ide Ibrahim</v>
      </c>
      <c r="B1687" s="16"/>
      <c r="C1687" s="14"/>
      <c r="F1687" s="16" t="str">
        <f>IFERROR(__xludf.DUMMYFUNCTION("""COMPUTED_VALUE"""),"Koweit Peulh I")</f>
        <v>Koweit Peulh I</v>
      </c>
      <c r="G1687" s="16"/>
      <c r="H1687" s="14"/>
      <c r="K1687" s="16">
        <f>IFERROR(__xludf.DUMMYFUNCTION("""COMPUTED_VALUE"""),349.0)</f>
        <v>349</v>
      </c>
      <c r="L1687" s="16"/>
      <c r="M1687" s="14"/>
    </row>
    <row r="1688">
      <c r="A1688" s="16" t="str">
        <f>IFERROR(__xludf.DUMMYFUNCTION("""COMPUTED_VALUE"""),"Moussa Ide Ibrahim")</f>
        <v>Moussa Ide Ibrahim</v>
      </c>
      <c r="B1688" s="16"/>
      <c r="C1688" s="14"/>
      <c r="F1688" s="16" t="str">
        <f>IFERROR(__xludf.DUMMYFUNCTION("""COMPUTED_VALUE"""),"Koweit Peulh I")</f>
        <v>Koweit Peulh I</v>
      </c>
      <c r="G1688" s="16"/>
      <c r="H1688" s="14"/>
      <c r="K1688" s="16">
        <f>IFERROR(__xludf.DUMMYFUNCTION("""COMPUTED_VALUE"""),588.0)</f>
        <v>588</v>
      </c>
      <c r="L1688" s="16"/>
      <c r="M1688" s="14"/>
    </row>
    <row r="1689">
      <c r="A1689" s="16" t="str">
        <f>IFERROR(__xludf.DUMMYFUNCTION("""COMPUTED_VALUE"""),"Moussa Ide Ibrahim")</f>
        <v>Moussa Ide Ibrahim</v>
      </c>
      <c r="B1689" s="16"/>
      <c r="C1689" s="14"/>
      <c r="F1689" s="16" t="str">
        <f>IFERROR(__xludf.DUMMYFUNCTION("""COMPUTED_VALUE"""),"Koweit Peulh I")</f>
        <v>Koweit Peulh I</v>
      </c>
      <c r="G1689" s="16"/>
      <c r="H1689" s="14"/>
      <c r="K1689" s="16">
        <f>IFERROR(__xludf.DUMMYFUNCTION("""COMPUTED_VALUE"""),1237.0)</f>
        <v>1237</v>
      </c>
      <c r="L1689" s="16"/>
      <c r="M1689" s="14"/>
    </row>
    <row r="1690">
      <c r="A1690" s="16" t="str">
        <f>IFERROR(__xludf.DUMMYFUNCTION("""COMPUTED_VALUE"""),"Moussa Ide Ibrahim")</f>
        <v>Moussa Ide Ibrahim</v>
      </c>
      <c r="B1690" s="16"/>
      <c r="C1690" s="14"/>
      <c r="F1690" s="16" t="str">
        <f>IFERROR(__xludf.DUMMYFUNCTION("""COMPUTED_VALUE"""),"Koweit Peulh I")</f>
        <v>Koweit Peulh I</v>
      </c>
      <c r="G1690" s="16"/>
      <c r="H1690" s="14"/>
      <c r="K1690" s="16">
        <f>IFERROR(__xludf.DUMMYFUNCTION("""COMPUTED_VALUE"""),339.0)</f>
        <v>339</v>
      </c>
      <c r="L1690" s="16"/>
      <c r="M1690" s="14"/>
    </row>
    <row r="1691">
      <c r="A1691" s="16" t="str">
        <f>IFERROR(__xludf.DUMMYFUNCTION("""COMPUTED_VALUE"""),"Ibrahim Dan Habou Larwana")</f>
        <v>Ibrahim Dan Habou Larwana</v>
      </c>
      <c r="B1691" s="16"/>
      <c r="C1691" s="14"/>
      <c r="F1691" s="16" t="str">
        <f>IFERROR(__xludf.DUMMYFUNCTION("""COMPUTED_VALUE"""),"Koweit Peulh I")</f>
        <v>Koweit Peulh I</v>
      </c>
      <c r="G1691" s="16"/>
      <c r="H1691" s="14"/>
      <c r="K1691" s="16">
        <f>IFERROR(__xludf.DUMMYFUNCTION("""COMPUTED_VALUE"""),386.0)</f>
        <v>386</v>
      </c>
      <c r="L1691" s="16"/>
      <c r="M1691" s="14"/>
    </row>
    <row r="1692">
      <c r="A1692" s="16" t="str">
        <f>IFERROR(__xludf.DUMMYFUNCTION("""COMPUTED_VALUE"""),"Ibrahim Dan Habou Larwana")</f>
        <v>Ibrahim Dan Habou Larwana</v>
      </c>
      <c r="B1692" s="16"/>
      <c r="C1692" s="14"/>
      <c r="F1692" s="16" t="str">
        <f>IFERROR(__xludf.DUMMYFUNCTION("""COMPUTED_VALUE"""),"Koweit Peulh I")</f>
        <v>Koweit Peulh I</v>
      </c>
      <c r="G1692" s="16"/>
      <c r="H1692" s="14"/>
      <c r="K1692" s="16">
        <f>IFERROR(__xludf.DUMMYFUNCTION("""COMPUTED_VALUE"""),1631.0)</f>
        <v>1631</v>
      </c>
      <c r="L1692" s="16"/>
      <c r="M1692" s="14"/>
    </row>
    <row r="1693">
      <c r="A1693" s="16" t="str">
        <f>IFERROR(__xludf.DUMMYFUNCTION("""COMPUTED_VALUE"""),"Ibrahim Dan Habou Larwana")</f>
        <v>Ibrahim Dan Habou Larwana</v>
      </c>
      <c r="B1693" s="16"/>
      <c r="C1693" s="14"/>
      <c r="F1693" s="16" t="str">
        <f>IFERROR(__xludf.DUMMYFUNCTION("""COMPUTED_VALUE"""),"Koweit Peulh I")</f>
        <v>Koweit Peulh I</v>
      </c>
      <c r="G1693" s="16"/>
      <c r="H1693" s="14"/>
      <c r="K1693" s="16">
        <f>IFERROR(__xludf.DUMMYFUNCTION("""COMPUTED_VALUE"""),462.0)</f>
        <v>462</v>
      </c>
      <c r="L1693" s="16"/>
      <c r="M1693" s="14"/>
    </row>
    <row r="1694">
      <c r="A1694" s="16" t="str">
        <f>IFERROR(__xludf.DUMMYFUNCTION("""COMPUTED_VALUE"""),"Ibrahim Dan Habou Larwana")</f>
        <v>Ibrahim Dan Habou Larwana</v>
      </c>
      <c r="B1694" s="16"/>
      <c r="C1694" s="14"/>
      <c r="F1694" s="16" t="str">
        <f>IFERROR(__xludf.DUMMYFUNCTION("""COMPUTED_VALUE"""),"Koweit Peulh I")</f>
        <v>Koweit Peulh I</v>
      </c>
      <c r="G1694" s="16"/>
      <c r="H1694" s="14"/>
      <c r="K1694" s="16">
        <f>IFERROR(__xludf.DUMMYFUNCTION("""COMPUTED_VALUE"""),478.0)</f>
        <v>478</v>
      </c>
      <c r="L1694" s="16"/>
      <c r="M1694" s="14"/>
    </row>
    <row r="1695">
      <c r="A1695" s="16" t="str">
        <f>IFERROR(__xludf.DUMMYFUNCTION("""COMPUTED_VALUE"""),"Kailou Hamidou Rainatou")</f>
        <v>Kailou Hamidou Rainatou</v>
      </c>
      <c r="B1695" s="16"/>
      <c r="C1695" s="14"/>
      <c r="F1695" s="16" t="str">
        <f>IFERROR(__xludf.DUMMYFUNCTION("""COMPUTED_VALUE"""),"Moullela Guidan FoKo")</f>
        <v>Moullela Guidan FoKo</v>
      </c>
      <c r="G1695" s="16"/>
      <c r="H1695" s="14"/>
      <c r="K1695" s="16">
        <f>IFERROR(__xludf.DUMMYFUNCTION("""COMPUTED_VALUE"""),1283.0)</f>
        <v>1283</v>
      </c>
      <c r="L1695" s="16"/>
      <c r="M1695" s="14"/>
    </row>
    <row r="1696">
      <c r="A1696" s="16" t="str">
        <f>IFERROR(__xludf.DUMMYFUNCTION("""COMPUTED_VALUE"""),"Kailou Hamidou Rainatou")</f>
        <v>Kailou Hamidou Rainatou</v>
      </c>
      <c r="B1696" s="16"/>
      <c r="C1696" s="14"/>
      <c r="F1696" s="16" t="str">
        <f>IFERROR(__xludf.DUMMYFUNCTION("""COMPUTED_VALUE"""),"Sabon Sara")</f>
        <v>Sabon Sara</v>
      </c>
      <c r="G1696" s="16"/>
      <c r="H1696" s="14"/>
      <c r="K1696" s="16">
        <f>IFERROR(__xludf.DUMMYFUNCTION("""COMPUTED_VALUE"""),1471.0)</f>
        <v>1471</v>
      </c>
      <c r="L1696" s="16"/>
      <c r="M1696" s="14"/>
    </row>
    <row r="1697">
      <c r="A1697" s="16" t="str">
        <f>IFERROR(__xludf.DUMMYFUNCTION("""COMPUTED_VALUE"""),"Kailou Hamidou Rainatou")</f>
        <v>Kailou Hamidou Rainatou</v>
      </c>
      <c r="B1697" s="16"/>
      <c r="C1697" s="14"/>
      <c r="F1697" s="16" t="str">
        <f>IFERROR(__xludf.DUMMYFUNCTION("""COMPUTED_VALUE"""),"Satourou")</f>
        <v>Satourou</v>
      </c>
      <c r="G1697" s="16"/>
      <c r="H1697" s="14"/>
      <c r="K1697" s="16">
        <f>IFERROR(__xludf.DUMMYFUNCTION("""COMPUTED_VALUE"""),409.0)</f>
        <v>409</v>
      </c>
      <c r="L1697" s="16"/>
      <c r="M1697" s="14"/>
    </row>
    <row r="1698">
      <c r="A1698" s="16" t="str">
        <f>IFERROR(__xludf.DUMMYFUNCTION("""COMPUTED_VALUE"""),"Mohamed Cherif")</f>
        <v>Mohamed Cherif</v>
      </c>
      <c r="B1698" s="16"/>
      <c r="C1698" s="14"/>
      <c r="F1698" s="16" t="str">
        <f>IFERROR(__xludf.DUMMYFUNCTION("""COMPUTED_VALUE"""),"Satourou")</f>
        <v>Satourou</v>
      </c>
      <c r="G1698" s="16"/>
      <c r="H1698" s="14"/>
      <c r="K1698" s="16">
        <f>IFERROR(__xludf.DUMMYFUNCTION("""COMPUTED_VALUE"""),568.0)</f>
        <v>568</v>
      </c>
      <c r="L1698" s="16"/>
      <c r="M1698" s="14"/>
    </row>
    <row r="1699">
      <c r="A1699" s="16" t="str">
        <f>IFERROR(__xludf.DUMMYFUNCTION("""COMPUTED_VALUE"""),"Mohamed Cherif")</f>
        <v>Mohamed Cherif</v>
      </c>
      <c r="B1699" s="16"/>
      <c r="C1699" s="14"/>
      <c r="F1699" s="16" t="str">
        <f>IFERROR(__xludf.DUMMYFUNCTION("""COMPUTED_VALUE"""),"Satourou")</f>
        <v>Satourou</v>
      </c>
      <c r="G1699" s="16"/>
      <c r="H1699" s="14"/>
      <c r="K1699" s="16">
        <f>IFERROR(__xludf.DUMMYFUNCTION("""COMPUTED_VALUE"""),543.0)</f>
        <v>543</v>
      </c>
      <c r="L1699" s="16"/>
      <c r="M1699" s="14"/>
    </row>
    <row r="1700">
      <c r="A1700" s="16" t="str">
        <f>IFERROR(__xludf.DUMMYFUNCTION("""COMPUTED_VALUE"""),"Mohamed Cherif")</f>
        <v>Mohamed Cherif</v>
      </c>
      <c r="B1700" s="16"/>
      <c r="C1700" s="14"/>
      <c r="F1700" s="16" t="str">
        <f>IFERROR(__xludf.DUMMYFUNCTION("""COMPUTED_VALUE"""),"Er Tsanna")</f>
        <v>Er Tsanna</v>
      </c>
      <c r="G1700" s="16"/>
      <c r="H1700" s="14"/>
      <c r="K1700" s="16">
        <f>IFERROR(__xludf.DUMMYFUNCTION("""COMPUTED_VALUE"""),352.0)</f>
        <v>352</v>
      </c>
      <c r="L1700" s="16"/>
      <c r="M1700" s="14"/>
    </row>
    <row r="1701">
      <c r="A1701" s="16" t="str">
        <f>IFERROR(__xludf.DUMMYFUNCTION("""COMPUTED_VALUE"""),"Mohamed Cherif")</f>
        <v>Mohamed Cherif</v>
      </c>
      <c r="B1701" s="16"/>
      <c r="C1701" s="14"/>
      <c r="F1701" s="16" t="str">
        <f>IFERROR(__xludf.DUMMYFUNCTION("""COMPUTED_VALUE"""),"Er Tsanna")</f>
        <v>Er Tsanna</v>
      </c>
      <c r="G1701" s="16"/>
      <c r="H1701" s="14"/>
      <c r="K1701" s="16">
        <f>IFERROR(__xludf.DUMMYFUNCTION("""COMPUTED_VALUE"""),469.0)</f>
        <v>469</v>
      </c>
      <c r="L1701" s="16"/>
      <c r="M1701" s="14"/>
    </row>
    <row r="1702">
      <c r="A1702" s="16" t="str">
        <f>IFERROR(__xludf.DUMMYFUNCTION("""COMPUTED_VALUE"""),"ALASSANE TAWEY AWALOU")</f>
        <v>ALASSANE TAWEY AWALOU</v>
      </c>
      <c r="B1702" s="16"/>
      <c r="C1702" s="14"/>
      <c r="F1702" s="16" t="str">
        <f>IFERROR(__xludf.DUMMYFUNCTION("""COMPUTED_VALUE"""),"Er Tsanna")</f>
        <v>Er Tsanna</v>
      </c>
      <c r="G1702" s="16"/>
      <c r="H1702" s="14"/>
      <c r="K1702" s="16">
        <f>IFERROR(__xludf.DUMMYFUNCTION("""COMPUTED_VALUE"""),388.0)</f>
        <v>388</v>
      </c>
      <c r="L1702" s="16"/>
      <c r="M1702" s="14"/>
    </row>
    <row r="1703">
      <c r="A1703" s="16" t="str">
        <f>IFERROR(__xludf.DUMMYFUNCTION("""COMPUTED_VALUE"""),"ALASSANE TAWEY AWALOU")</f>
        <v>ALASSANE TAWEY AWALOU</v>
      </c>
      <c r="B1703" s="16"/>
      <c r="C1703" s="14"/>
      <c r="F1703" s="16" t="str">
        <f>IFERROR(__xludf.DUMMYFUNCTION("""COMPUTED_VALUE"""),"Er Tsanna")</f>
        <v>Er Tsanna</v>
      </c>
      <c r="G1703" s="16"/>
      <c r="H1703" s="14"/>
      <c r="K1703" s="16">
        <f>IFERROR(__xludf.DUMMYFUNCTION("""COMPUTED_VALUE"""),1130.0)</f>
        <v>1130</v>
      </c>
      <c r="L1703" s="16"/>
      <c r="M1703" s="14"/>
    </row>
    <row r="1704">
      <c r="A1704" s="16" t="str">
        <f>IFERROR(__xludf.DUMMYFUNCTION("""COMPUTED_VALUE"""),"ALASSANE TAWEY AWALOU")</f>
        <v>ALASSANE TAWEY AWALOU</v>
      </c>
      <c r="B1704" s="16"/>
      <c r="C1704" s="14"/>
      <c r="F1704" s="16" t="str">
        <f>IFERROR(__xludf.DUMMYFUNCTION("""COMPUTED_VALUE"""),"Er Tsanna")</f>
        <v>Er Tsanna</v>
      </c>
      <c r="G1704" s="16"/>
      <c r="H1704" s="14"/>
      <c r="K1704" s="16">
        <f>IFERROR(__xludf.DUMMYFUNCTION("""COMPUTED_VALUE"""),1723.0)</f>
        <v>1723</v>
      </c>
      <c r="L1704" s="16"/>
      <c r="M1704" s="14"/>
    </row>
    <row r="1705">
      <c r="A1705" s="16" t="str">
        <f>IFERROR(__xludf.DUMMYFUNCTION("""COMPUTED_VALUE"""),"Hadjara Abdourahamane Tambari")</f>
        <v>Hadjara Abdourahamane Tambari</v>
      </c>
      <c r="B1705" s="16"/>
      <c r="C1705" s="14"/>
      <c r="F1705" s="16" t="str">
        <f>IFERROR(__xludf.DUMMYFUNCTION("""COMPUTED_VALUE"""),"Er Tsanna")</f>
        <v>Er Tsanna</v>
      </c>
      <c r="G1705" s="16"/>
      <c r="H1705" s="14"/>
      <c r="K1705" s="16">
        <f>IFERROR(__xludf.DUMMYFUNCTION("""COMPUTED_VALUE"""),386.0)</f>
        <v>386</v>
      </c>
      <c r="L1705" s="16"/>
      <c r="M1705" s="14"/>
    </row>
    <row r="1706">
      <c r="A1706" s="16" t="str">
        <f>IFERROR(__xludf.DUMMYFUNCTION("""COMPUTED_VALUE"""),"Elhaji Abdou Leilata")</f>
        <v>Elhaji Abdou Leilata</v>
      </c>
      <c r="B1706" s="16"/>
      <c r="C1706" s="14"/>
      <c r="F1706" s="16" t="str">
        <f>IFERROR(__xludf.DUMMYFUNCTION("""COMPUTED_VALUE"""),"Sabon Sara")</f>
        <v>Sabon Sara</v>
      </c>
      <c r="G1706" s="16"/>
      <c r="H1706" s="14"/>
      <c r="K1706" s="16">
        <f>IFERROR(__xludf.DUMMYFUNCTION("""COMPUTED_VALUE"""),678.0)</f>
        <v>678</v>
      </c>
      <c r="L1706" s="16"/>
      <c r="M1706" s="14"/>
    </row>
    <row r="1707">
      <c r="A1707" s="16" t="str">
        <f>IFERROR(__xludf.DUMMYFUNCTION("""COMPUTED_VALUE"""),"Achirou Malam Dan Maradi Nassirou")</f>
        <v>Achirou Malam Dan Maradi Nassirou</v>
      </c>
      <c r="B1707" s="16"/>
      <c r="C1707" s="14"/>
      <c r="F1707" s="16" t="str">
        <f>IFERROR(__xludf.DUMMYFUNCTION("""COMPUTED_VALUE"""),"Sabon Sara")</f>
        <v>Sabon Sara</v>
      </c>
      <c r="G1707" s="16"/>
      <c r="H1707" s="14"/>
      <c r="K1707" s="16">
        <f>IFERROR(__xludf.DUMMYFUNCTION("""COMPUTED_VALUE"""),1866.0)</f>
        <v>1866</v>
      </c>
      <c r="L1707" s="16"/>
      <c r="M1707" s="14"/>
    </row>
    <row r="1708">
      <c r="A1708" s="16" t="str">
        <f>IFERROR(__xludf.DUMMYFUNCTION("""COMPUTED_VALUE"""),"Achirou Malam Dan Maradi Nassirou")</f>
        <v>Achirou Malam Dan Maradi Nassirou</v>
      </c>
      <c r="B1708" s="16"/>
      <c r="C1708" s="14"/>
      <c r="F1708" s="16" t="str">
        <f>IFERROR(__xludf.DUMMYFUNCTION("""COMPUTED_VALUE"""),"Satourou")</f>
        <v>Satourou</v>
      </c>
      <c r="G1708" s="16"/>
      <c r="H1708" s="14"/>
      <c r="K1708" s="16">
        <f>IFERROR(__xludf.DUMMYFUNCTION("""COMPUTED_VALUE"""),663.0)</f>
        <v>663</v>
      </c>
      <c r="L1708" s="16"/>
      <c r="M1708" s="14"/>
    </row>
    <row r="1709">
      <c r="A1709" s="16" t="str">
        <f>IFERROR(__xludf.DUMMYFUNCTION("""COMPUTED_VALUE"""),"Achirou Malam Dan Maradi Nassirou")</f>
        <v>Achirou Malam Dan Maradi Nassirou</v>
      </c>
      <c r="B1709" s="16"/>
      <c r="C1709" s="14"/>
      <c r="F1709" s="16" t="str">
        <f>IFERROR(__xludf.DUMMYFUNCTION("""COMPUTED_VALUE"""),"Er Tsanna")</f>
        <v>Er Tsanna</v>
      </c>
      <c r="G1709" s="16"/>
      <c r="H1709" s="14"/>
      <c r="K1709" s="16">
        <f>IFERROR(__xludf.DUMMYFUNCTION("""COMPUTED_VALUE"""),1116.0)</f>
        <v>1116</v>
      </c>
      <c r="L1709" s="16"/>
      <c r="M1709" s="14"/>
    </row>
    <row r="1710">
      <c r="A1710" s="16" t="str">
        <f>IFERROR(__xludf.DUMMYFUNCTION("""COMPUTED_VALUE"""),"Achirou Malam Dan Maradi Nassirou")</f>
        <v>Achirou Malam Dan Maradi Nassirou</v>
      </c>
      <c r="B1710" s="16"/>
      <c r="C1710" s="14"/>
      <c r="F1710" s="16" t="str">
        <f>IFERROR(__xludf.DUMMYFUNCTION("""COMPUTED_VALUE"""),"Er Tsanna")</f>
        <v>Er Tsanna</v>
      </c>
      <c r="G1710" s="16"/>
      <c r="H1710" s="14"/>
      <c r="K1710" s="16">
        <f>IFERROR(__xludf.DUMMYFUNCTION("""COMPUTED_VALUE"""),1475.0)</f>
        <v>1475</v>
      </c>
      <c r="L1710" s="16"/>
      <c r="M1710" s="14"/>
    </row>
    <row r="1711">
      <c r="A1711" s="16" t="str">
        <f>IFERROR(__xludf.DUMMYFUNCTION("""COMPUTED_VALUE"""),"Achirou Malam Dan Maradi Nassirou")</f>
        <v>Achirou Malam Dan Maradi Nassirou</v>
      </c>
      <c r="B1711" s="16"/>
      <c r="C1711" s="14"/>
      <c r="F1711" s="16" t="str">
        <f>IFERROR(__xludf.DUMMYFUNCTION("""COMPUTED_VALUE"""),"Er Tsanna")</f>
        <v>Er Tsanna</v>
      </c>
      <c r="G1711" s="16"/>
      <c r="H1711" s="14"/>
      <c r="K1711" s="16">
        <f>IFERROR(__xludf.DUMMYFUNCTION("""COMPUTED_VALUE"""),436.0)</f>
        <v>436</v>
      </c>
      <c r="L1711" s="16"/>
      <c r="M1711" s="14"/>
    </row>
    <row r="1712">
      <c r="A1712" s="16" t="str">
        <f>IFERROR(__xludf.DUMMYFUNCTION("""COMPUTED_VALUE"""),"Aboubacar Hamadou Manga")</f>
        <v>Aboubacar Hamadou Manga</v>
      </c>
      <c r="B1712" s="16"/>
      <c r="C1712" s="14"/>
      <c r="F1712" s="16" t="str">
        <f>IFERROR(__xludf.DUMMYFUNCTION("""COMPUTED_VALUE"""),"Er Tsanna")</f>
        <v>Er Tsanna</v>
      </c>
      <c r="G1712" s="16"/>
      <c r="H1712" s="14"/>
      <c r="K1712" s="16">
        <f>IFERROR(__xludf.DUMMYFUNCTION("""COMPUTED_VALUE"""),1299.0)</f>
        <v>1299</v>
      </c>
      <c r="L1712" s="16"/>
      <c r="M1712" s="14"/>
    </row>
    <row r="1713">
      <c r="A1713" s="16" t="str">
        <f>IFERROR(__xludf.DUMMYFUNCTION("""COMPUTED_VALUE"""),"Elhaji Abdou Leilata")</f>
        <v>Elhaji Abdou Leilata</v>
      </c>
      <c r="B1713" s="16"/>
      <c r="C1713" s="14"/>
      <c r="F1713" s="16" t="str">
        <f>IFERROR(__xludf.DUMMYFUNCTION("""COMPUTED_VALUE"""),"Er Tsanna")</f>
        <v>Er Tsanna</v>
      </c>
      <c r="G1713" s="16"/>
      <c r="H1713" s="14"/>
      <c r="K1713" s="16">
        <f>IFERROR(__xludf.DUMMYFUNCTION("""COMPUTED_VALUE"""),381.0)</f>
        <v>381</v>
      </c>
      <c r="L1713" s="16"/>
      <c r="M1713" s="14"/>
    </row>
    <row r="1714">
      <c r="A1714" s="16" t="str">
        <f>IFERROR(__xludf.DUMMYFUNCTION("""COMPUTED_VALUE"""),"Elhaji Abdou Leilata")</f>
        <v>Elhaji Abdou Leilata</v>
      </c>
      <c r="B1714" s="16"/>
      <c r="C1714" s="14"/>
      <c r="F1714" s="16" t="str">
        <f>IFERROR(__xludf.DUMMYFUNCTION("""COMPUTED_VALUE"""),"Kourmi Malam")</f>
        <v>Kourmi Malam</v>
      </c>
      <c r="G1714" s="16"/>
      <c r="H1714" s="14"/>
      <c r="K1714" s="16">
        <f>IFERROR(__xludf.DUMMYFUNCTION("""COMPUTED_VALUE"""),822.0)</f>
        <v>822</v>
      </c>
      <c r="L1714" s="16"/>
      <c r="M1714" s="14"/>
    </row>
    <row r="1715">
      <c r="A1715" s="16" t="str">
        <f>IFERROR(__xludf.DUMMYFUNCTION("""COMPUTED_VALUE"""),"Achirou Malam Dan Maradi Nassirou")</f>
        <v>Achirou Malam Dan Maradi Nassirou</v>
      </c>
      <c r="B1715" s="16"/>
      <c r="C1715" s="14"/>
      <c r="F1715" s="16" t="str">
        <f>IFERROR(__xludf.DUMMYFUNCTION("""COMPUTED_VALUE"""),"Kourmi Malam")</f>
        <v>Kourmi Malam</v>
      </c>
      <c r="G1715" s="16"/>
      <c r="H1715" s="14"/>
      <c r="K1715" s="16">
        <f>IFERROR(__xludf.DUMMYFUNCTION("""COMPUTED_VALUE"""),892.0)</f>
        <v>892</v>
      </c>
      <c r="L1715" s="16"/>
      <c r="M1715" s="14"/>
    </row>
    <row r="1716">
      <c r="A1716" s="16" t="str">
        <f>IFERROR(__xludf.DUMMYFUNCTION("""COMPUTED_VALUE"""),"Mohamadou Amadou")</f>
        <v>Mohamadou Amadou</v>
      </c>
      <c r="B1716" s="16"/>
      <c r="C1716" s="14"/>
      <c r="F1716" s="16" t="str">
        <f>IFERROR(__xludf.DUMMYFUNCTION("""COMPUTED_VALUE"""),"Kourmi Malam")</f>
        <v>Kourmi Malam</v>
      </c>
      <c r="G1716" s="16"/>
      <c r="H1716" s="14"/>
      <c r="K1716" s="16">
        <f>IFERROR(__xludf.DUMMYFUNCTION("""COMPUTED_VALUE"""),233.0)</f>
        <v>233</v>
      </c>
      <c r="L1716" s="16"/>
      <c r="M1716" s="14"/>
    </row>
    <row r="1717">
      <c r="A1717" s="16" t="str">
        <f>IFERROR(__xludf.DUMMYFUNCTION("""COMPUTED_VALUE"""),"Mohamadou Amadou")</f>
        <v>Mohamadou Amadou</v>
      </c>
      <c r="B1717" s="16"/>
      <c r="C1717" s="14"/>
      <c r="F1717" s="16" t="str">
        <f>IFERROR(__xludf.DUMMYFUNCTION("""COMPUTED_VALUE"""),"Kourmi Malam")</f>
        <v>Kourmi Malam</v>
      </c>
      <c r="G1717" s="16"/>
      <c r="H1717" s="14"/>
      <c r="K1717" s="16">
        <f>IFERROR(__xludf.DUMMYFUNCTION("""COMPUTED_VALUE"""),634.0)</f>
        <v>634</v>
      </c>
      <c r="L1717" s="16"/>
      <c r="M1717" s="14"/>
    </row>
    <row r="1718">
      <c r="A1718" s="16" t="str">
        <f>IFERROR(__xludf.DUMMYFUNCTION("""COMPUTED_VALUE"""),"Mohamadou Amadou")</f>
        <v>Mohamadou Amadou</v>
      </c>
      <c r="B1718" s="16"/>
      <c r="C1718" s="14"/>
      <c r="F1718" s="16" t="str">
        <f>IFERROR(__xludf.DUMMYFUNCTION("""COMPUTED_VALUE"""),"Kourmi Malam")</f>
        <v>Kourmi Malam</v>
      </c>
      <c r="G1718" s="16"/>
      <c r="H1718" s="14"/>
      <c r="K1718" s="16">
        <f>IFERROR(__xludf.DUMMYFUNCTION("""COMPUTED_VALUE"""),663.0)</f>
        <v>663</v>
      </c>
      <c r="L1718" s="16"/>
      <c r="M1718" s="14"/>
    </row>
    <row r="1719">
      <c r="A1719" s="16" t="str">
        <f>IFERROR(__xludf.DUMMYFUNCTION("""COMPUTED_VALUE"""),"Mohamadou Amadou")</f>
        <v>Mohamadou Amadou</v>
      </c>
      <c r="B1719" s="16"/>
      <c r="C1719" s="14"/>
      <c r="F1719" s="16" t="str">
        <f>IFERROR(__xludf.DUMMYFUNCTION("""COMPUTED_VALUE"""),"Kourmi Malam")</f>
        <v>Kourmi Malam</v>
      </c>
      <c r="G1719" s="16"/>
      <c r="H1719" s="14"/>
      <c r="K1719" s="16">
        <f>IFERROR(__xludf.DUMMYFUNCTION("""COMPUTED_VALUE"""),259.0)</f>
        <v>259</v>
      </c>
      <c r="L1719" s="16"/>
      <c r="M1719" s="14"/>
    </row>
    <row r="1720">
      <c r="A1720" s="16" t="str">
        <f>IFERROR(__xludf.DUMMYFUNCTION("""COMPUTED_VALUE"""),"Mohamadou Amadou")</f>
        <v>Mohamadou Amadou</v>
      </c>
      <c r="B1720" s="16"/>
      <c r="C1720" s="14"/>
      <c r="F1720" s="16" t="str">
        <f>IFERROR(__xludf.DUMMYFUNCTION("""COMPUTED_VALUE"""),"Kourmi Malam")</f>
        <v>Kourmi Malam</v>
      </c>
      <c r="G1720" s="16"/>
      <c r="H1720" s="14"/>
      <c r="K1720" s="16">
        <f>IFERROR(__xludf.DUMMYFUNCTION("""COMPUTED_VALUE"""),927.0)</f>
        <v>927</v>
      </c>
      <c r="L1720" s="16"/>
      <c r="M1720" s="14"/>
    </row>
    <row r="1721">
      <c r="A1721" s="16" t="str">
        <f>IFERROR(__xludf.DUMMYFUNCTION("""COMPUTED_VALUE"""),"Mohamadou Amadou")</f>
        <v>Mohamadou Amadou</v>
      </c>
      <c r="B1721" s="16"/>
      <c r="C1721" s="14"/>
      <c r="F1721" s="16" t="str">
        <f>IFERROR(__xludf.DUMMYFUNCTION("""COMPUTED_VALUE"""),"Kourmi Malam")</f>
        <v>Kourmi Malam</v>
      </c>
      <c r="G1721" s="16"/>
      <c r="H1721" s="14"/>
      <c r="K1721" s="16">
        <f>IFERROR(__xludf.DUMMYFUNCTION("""COMPUTED_VALUE"""),320.0)</f>
        <v>320</v>
      </c>
      <c r="L1721" s="16"/>
      <c r="M1721" s="14"/>
    </row>
    <row r="1722">
      <c r="A1722" s="16" t="str">
        <f>IFERROR(__xludf.DUMMYFUNCTION("""COMPUTED_VALUE"""),"Mohamadou Amadou")</f>
        <v>Mohamadou Amadou</v>
      </c>
      <c r="B1722" s="16"/>
      <c r="C1722" s="14"/>
      <c r="F1722" s="16" t="str">
        <f>IFERROR(__xludf.DUMMYFUNCTION("""COMPUTED_VALUE"""),"Kourmi Malam")</f>
        <v>Kourmi Malam</v>
      </c>
      <c r="G1722" s="16"/>
      <c r="H1722" s="14"/>
      <c r="K1722" s="16">
        <f>IFERROR(__xludf.DUMMYFUNCTION("""COMPUTED_VALUE"""),918.0)</f>
        <v>918</v>
      </c>
      <c r="L1722" s="16"/>
      <c r="M1722" s="14"/>
    </row>
    <row r="1723">
      <c r="A1723" s="16" t="str">
        <f>IFERROR(__xludf.DUMMYFUNCTION("""COMPUTED_VALUE"""),"Mohamadou Amadou")</f>
        <v>Mohamadou Amadou</v>
      </c>
      <c r="B1723" s="16"/>
      <c r="C1723" s="14"/>
      <c r="F1723" s="16" t="str">
        <f>IFERROR(__xludf.DUMMYFUNCTION("""COMPUTED_VALUE"""),"Kourmi Malam")</f>
        <v>Kourmi Malam</v>
      </c>
      <c r="G1723" s="16"/>
      <c r="H1723" s="14"/>
      <c r="K1723" s="16">
        <f>IFERROR(__xludf.DUMMYFUNCTION("""COMPUTED_VALUE"""),215.0)</f>
        <v>215</v>
      </c>
      <c r="L1723" s="16"/>
      <c r="M1723" s="14"/>
    </row>
    <row r="1724">
      <c r="A1724" s="16" t="str">
        <f>IFERROR(__xludf.DUMMYFUNCTION("""COMPUTED_VALUE"""),"Mohamadou Amadou")</f>
        <v>Mohamadou Amadou</v>
      </c>
      <c r="B1724" s="16"/>
      <c r="C1724" s="14"/>
      <c r="F1724" s="16" t="str">
        <f>IFERROR(__xludf.DUMMYFUNCTION("""COMPUTED_VALUE"""),"Kourmi Malam")</f>
        <v>Kourmi Malam</v>
      </c>
      <c r="G1724" s="16"/>
      <c r="H1724" s="14"/>
      <c r="K1724" s="16">
        <f>IFERROR(__xludf.DUMMYFUNCTION("""COMPUTED_VALUE"""),349.0)</f>
        <v>349</v>
      </c>
      <c r="L1724" s="16"/>
      <c r="M1724" s="14"/>
    </row>
    <row r="1725">
      <c r="A1725" s="16" t="str">
        <f>IFERROR(__xludf.DUMMYFUNCTION("""COMPUTED_VALUE"""),"Saddy Youssouf")</f>
        <v>Saddy Youssouf</v>
      </c>
      <c r="B1725" s="16"/>
      <c r="C1725" s="14"/>
      <c r="F1725" s="16" t="str">
        <f>IFERROR(__xludf.DUMMYFUNCTION("""COMPUTED_VALUE"""),"Kourmi Malam")</f>
        <v>Kourmi Malam</v>
      </c>
      <c r="G1725" s="16"/>
      <c r="H1725" s="14"/>
      <c r="K1725" s="16">
        <f>IFERROR(__xludf.DUMMYFUNCTION("""COMPUTED_VALUE"""),1926.0)</f>
        <v>1926</v>
      </c>
      <c r="L1725" s="16"/>
      <c r="M1725" s="14"/>
    </row>
    <row r="1726">
      <c r="A1726" s="16" t="str">
        <f>IFERROR(__xludf.DUMMYFUNCTION("""COMPUTED_VALUE"""),"Saddy Youssouf")</f>
        <v>Saddy Youssouf</v>
      </c>
      <c r="B1726" s="16"/>
      <c r="C1726" s="14"/>
      <c r="F1726" s="16" t="str">
        <f>IFERROR(__xludf.DUMMYFUNCTION("""COMPUTED_VALUE"""),"Kourmi Malam")</f>
        <v>Kourmi Malam</v>
      </c>
      <c r="G1726" s="16"/>
      <c r="H1726" s="14"/>
      <c r="K1726" s="16">
        <f>IFERROR(__xludf.DUMMYFUNCTION("""COMPUTED_VALUE"""),293.0)</f>
        <v>293</v>
      </c>
      <c r="L1726" s="16"/>
      <c r="M1726" s="14"/>
    </row>
    <row r="1727">
      <c r="A1727" s="16" t="str">
        <f>IFERROR(__xludf.DUMMYFUNCTION("""COMPUTED_VALUE"""),"Saddy Youssouf")</f>
        <v>Saddy Youssouf</v>
      </c>
      <c r="B1727" s="16"/>
      <c r="C1727" s="14"/>
      <c r="F1727" s="16" t="str">
        <f>IFERROR(__xludf.DUMMYFUNCTION("""COMPUTED_VALUE"""),"Wadata")</f>
        <v>Wadata</v>
      </c>
      <c r="G1727" s="16"/>
      <c r="H1727" s="14"/>
      <c r="K1727" s="16">
        <f>IFERROR(__xludf.DUMMYFUNCTION("""COMPUTED_VALUE"""),354.0)</f>
        <v>354</v>
      </c>
      <c r="L1727" s="16"/>
      <c r="M1727" s="14"/>
    </row>
    <row r="1728">
      <c r="A1728" s="16" t="str">
        <f>IFERROR(__xludf.DUMMYFUNCTION("""COMPUTED_VALUE"""),"Saddy Youssouf")</f>
        <v>Saddy Youssouf</v>
      </c>
      <c r="B1728" s="16"/>
      <c r="C1728" s="14"/>
      <c r="F1728" s="16" t="str">
        <f>IFERROR(__xludf.DUMMYFUNCTION("""COMPUTED_VALUE"""),"Koufan Tahoua")</f>
        <v>Koufan Tahoua</v>
      </c>
      <c r="G1728" s="16"/>
      <c r="H1728" s="14"/>
      <c r="K1728" s="16">
        <f>IFERROR(__xludf.DUMMYFUNCTION("""COMPUTED_VALUE"""),906.0)</f>
        <v>906</v>
      </c>
      <c r="L1728" s="16"/>
      <c r="M1728" s="14"/>
    </row>
    <row r="1729">
      <c r="A1729" s="16" t="str">
        <f>IFERROR(__xludf.DUMMYFUNCTION("""COMPUTED_VALUE"""),"Abdoul Salami Ibrahim")</f>
        <v>Abdoul Salami Ibrahim</v>
      </c>
      <c r="B1729" s="16"/>
      <c r="C1729" s="14"/>
      <c r="F1729" s="16" t="str">
        <f>IFERROR(__xludf.DUMMYFUNCTION("""COMPUTED_VALUE"""),"Wadata")</f>
        <v>Wadata</v>
      </c>
      <c r="G1729" s="16"/>
      <c r="H1729" s="14"/>
      <c r="K1729" s="16">
        <f>IFERROR(__xludf.DUMMYFUNCTION("""COMPUTED_VALUE"""),973.0)</f>
        <v>973</v>
      </c>
      <c r="L1729" s="16"/>
      <c r="M1729" s="14"/>
    </row>
    <row r="1730">
      <c r="A1730" s="16" t="str">
        <f>IFERROR(__xludf.DUMMYFUNCTION("""COMPUTED_VALUE"""),"Abdoul Salami Ibrahim")</f>
        <v>Abdoul Salami Ibrahim</v>
      </c>
      <c r="B1730" s="16"/>
      <c r="C1730" s="14"/>
      <c r="F1730" s="16" t="str">
        <f>IFERROR(__xludf.DUMMYFUNCTION("""COMPUTED_VALUE"""),"Wadata")</f>
        <v>Wadata</v>
      </c>
      <c r="G1730" s="16"/>
      <c r="H1730" s="14"/>
      <c r="K1730" s="16">
        <f>IFERROR(__xludf.DUMMYFUNCTION("""COMPUTED_VALUE"""),527.0)</f>
        <v>527</v>
      </c>
      <c r="L1730" s="16"/>
      <c r="M1730" s="14"/>
    </row>
    <row r="1731">
      <c r="A1731" s="16" t="str">
        <f>IFERROR(__xludf.DUMMYFUNCTION("""COMPUTED_VALUE"""),"Inoussa Balkissou")</f>
        <v>Inoussa Balkissou</v>
      </c>
      <c r="B1731" s="16"/>
      <c r="C1731" s="14"/>
      <c r="F1731" s="16" t="str">
        <f>IFERROR(__xludf.DUMMYFUNCTION("""COMPUTED_VALUE"""),"Wadata")</f>
        <v>Wadata</v>
      </c>
      <c r="G1731" s="16"/>
      <c r="H1731" s="14"/>
      <c r="K1731" s="16">
        <f>IFERROR(__xludf.DUMMYFUNCTION("""COMPUTED_VALUE"""),1140.0)</f>
        <v>1140</v>
      </c>
      <c r="L1731" s="16"/>
      <c r="M1731" s="14"/>
    </row>
    <row r="1732">
      <c r="A1732" s="16" t="str">
        <f>IFERROR(__xludf.DUMMYFUNCTION("""COMPUTED_VALUE"""),"Abdoul Salami Ibrahim")</f>
        <v>Abdoul Salami Ibrahim</v>
      </c>
      <c r="B1732" s="16"/>
      <c r="C1732" s="14"/>
      <c r="F1732" s="16" t="str">
        <f>IFERROR(__xludf.DUMMYFUNCTION("""COMPUTED_VALUE"""),"Wadata")</f>
        <v>Wadata</v>
      </c>
      <c r="G1732" s="16"/>
      <c r="H1732" s="14"/>
      <c r="K1732" s="16">
        <f>IFERROR(__xludf.DUMMYFUNCTION("""COMPUTED_VALUE"""),2512.0)</f>
        <v>2512</v>
      </c>
      <c r="L1732" s="16"/>
      <c r="M1732" s="14"/>
    </row>
    <row r="1733">
      <c r="A1733" s="16" t="str">
        <f>IFERROR(__xludf.DUMMYFUNCTION("""COMPUTED_VALUE"""),"Abdoul Salami Ibrahim")</f>
        <v>Abdoul Salami Ibrahim</v>
      </c>
      <c r="B1733" s="16"/>
      <c r="C1733" s="14"/>
      <c r="F1733" s="16" t="str">
        <f>IFERROR(__xludf.DUMMYFUNCTION("""COMPUTED_VALUE"""),"Wadata")</f>
        <v>Wadata</v>
      </c>
      <c r="G1733" s="16"/>
      <c r="H1733" s="14"/>
      <c r="K1733" s="16">
        <f>IFERROR(__xludf.DUMMYFUNCTION("""COMPUTED_VALUE"""),1132.0)</f>
        <v>1132</v>
      </c>
      <c r="L1733" s="16"/>
      <c r="M1733" s="14"/>
    </row>
    <row r="1734">
      <c r="A1734" s="16" t="str">
        <f>IFERROR(__xludf.DUMMYFUNCTION("""COMPUTED_VALUE"""),"Abdoul Salami Ibrahim")</f>
        <v>Abdoul Salami Ibrahim</v>
      </c>
      <c r="B1734" s="16"/>
      <c r="C1734" s="14"/>
      <c r="F1734" s="16" t="str">
        <f>IFERROR(__xludf.DUMMYFUNCTION("""COMPUTED_VALUE"""),"Wadata")</f>
        <v>Wadata</v>
      </c>
      <c r="G1734" s="16"/>
      <c r="H1734" s="14"/>
      <c r="K1734" s="16">
        <f>IFERROR(__xludf.DUMMYFUNCTION("""COMPUTED_VALUE"""),605.0)</f>
        <v>605</v>
      </c>
      <c r="L1734" s="16"/>
      <c r="M1734" s="14"/>
    </row>
    <row r="1735">
      <c r="A1735" s="16" t="str">
        <f>IFERROR(__xludf.DUMMYFUNCTION("""COMPUTED_VALUE"""),"Abdoul Salami Ibrahim")</f>
        <v>Abdoul Salami Ibrahim</v>
      </c>
      <c r="B1735" s="16"/>
      <c r="C1735" s="14"/>
      <c r="F1735" s="16" t="str">
        <f>IFERROR(__xludf.DUMMYFUNCTION("""COMPUTED_VALUE"""),"Wadata")</f>
        <v>Wadata</v>
      </c>
      <c r="G1735" s="16"/>
      <c r="H1735" s="14"/>
      <c r="K1735" s="16">
        <f>IFERROR(__xludf.DUMMYFUNCTION("""COMPUTED_VALUE"""),1009.0)</f>
        <v>1009</v>
      </c>
      <c r="L1735" s="16"/>
      <c r="M1735" s="14"/>
    </row>
    <row r="1736">
      <c r="A1736" s="16" t="str">
        <f>IFERROR(__xludf.DUMMYFUNCTION("""COMPUTED_VALUE"""),"Abdoul Salami Ibrahim")</f>
        <v>Abdoul Salami Ibrahim</v>
      </c>
      <c r="B1736" s="16"/>
      <c r="C1736" s="14"/>
      <c r="F1736" s="16" t="str">
        <f>IFERROR(__xludf.DUMMYFUNCTION("""COMPUTED_VALUE"""),"Koufan Tahoua")</f>
        <v>Koufan Tahoua</v>
      </c>
      <c r="G1736" s="16"/>
      <c r="H1736" s="14"/>
      <c r="K1736" s="16">
        <f>IFERROR(__xludf.DUMMYFUNCTION("""COMPUTED_VALUE"""),493.0)</f>
        <v>493</v>
      </c>
      <c r="L1736" s="16"/>
      <c r="M1736" s="14"/>
    </row>
    <row r="1737">
      <c r="A1737" s="16" t="str">
        <f>IFERROR(__xludf.DUMMYFUNCTION("""COMPUTED_VALUE"""),"Achirou kane Abdoul Nasser")</f>
        <v>Achirou kane Abdoul Nasser</v>
      </c>
      <c r="B1737" s="16"/>
      <c r="C1737" s="14"/>
      <c r="F1737" s="16" t="str">
        <f>IFERROR(__xludf.DUMMYFUNCTION("""COMPUTED_VALUE"""),"Kaba Gabass")</f>
        <v>Kaba Gabass</v>
      </c>
      <c r="G1737" s="16"/>
      <c r="H1737" s="14"/>
      <c r="K1737" s="16">
        <f>IFERROR(__xludf.DUMMYFUNCTION("""COMPUTED_VALUE"""),502.0)</f>
        <v>502</v>
      </c>
      <c r="L1737" s="16"/>
      <c r="M1737" s="14"/>
    </row>
    <row r="1738">
      <c r="A1738" s="16" t="str">
        <f>IFERROR(__xludf.DUMMYFUNCTION("""COMPUTED_VALUE"""),"Rakia moussa")</f>
        <v>Rakia moussa</v>
      </c>
      <c r="B1738" s="16"/>
      <c r="C1738" s="14"/>
      <c r="F1738" s="16" t="str">
        <f>IFERROR(__xludf.DUMMYFUNCTION("""COMPUTED_VALUE"""),"Kaba Gabass")</f>
        <v>Kaba Gabass</v>
      </c>
      <c r="G1738" s="16"/>
      <c r="H1738" s="14"/>
      <c r="K1738" s="16">
        <f>IFERROR(__xludf.DUMMYFUNCTION("""COMPUTED_VALUE"""),425.0)</f>
        <v>425</v>
      </c>
      <c r="L1738" s="16"/>
      <c r="M1738" s="14"/>
    </row>
    <row r="1739">
      <c r="A1739" s="16" t="str">
        <f>IFERROR(__xludf.DUMMYFUNCTION("""COMPUTED_VALUE"""),"Rakia moussa")</f>
        <v>Rakia moussa</v>
      </c>
      <c r="B1739" s="16"/>
      <c r="C1739" s="14"/>
      <c r="F1739" s="16" t="str">
        <f>IFERROR(__xludf.DUMMYFUNCTION("""COMPUTED_VALUE"""),"Kaba Gabass")</f>
        <v>Kaba Gabass</v>
      </c>
      <c r="G1739" s="16"/>
      <c r="H1739" s="14"/>
      <c r="K1739" s="16">
        <f>IFERROR(__xludf.DUMMYFUNCTION("""COMPUTED_VALUE"""),1105.0)</f>
        <v>1105</v>
      </c>
      <c r="L1739" s="16"/>
      <c r="M1739" s="14"/>
    </row>
    <row r="1740">
      <c r="A1740" s="16" t="str">
        <f>IFERROR(__xludf.DUMMYFUNCTION("""COMPUTED_VALUE"""),"Achirou kane Abdoul Nasser")</f>
        <v>Achirou kane Abdoul Nasser</v>
      </c>
      <c r="B1740" s="16"/>
      <c r="C1740" s="14"/>
      <c r="F1740" s="16" t="str">
        <f>IFERROR(__xludf.DUMMYFUNCTION("""COMPUTED_VALUE"""),"Koufan Tahoua")</f>
        <v>Koufan Tahoua</v>
      </c>
      <c r="G1740" s="16"/>
      <c r="H1740" s="14"/>
      <c r="K1740" s="16">
        <f>IFERROR(__xludf.DUMMYFUNCTION("""COMPUTED_VALUE"""),2312.0)</f>
        <v>2312</v>
      </c>
      <c r="L1740" s="16"/>
      <c r="M1740" s="14"/>
    </row>
    <row r="1741">
      <c r="A1741" s="16" t="str">
        <f>IFERROR(__xludf.DUMMYFUNCTION("""COMPUTED_VALUE"""),"Achirou kane Abdoul Nasser")</f>
        <v>Achirou kane Abdoul Nasser</v>
      </c>
      <c r="B1741" s="16"/>
      <c r="C1741" s="14"/>
      <c r="F1741" s="16" t="str">
        <f>IFERROR(__xludf.DUMMYFUNCTION("""COMPUTED_VALUE"""),"Wadata")</f>
        <v>Wadata</v>
      </c>
      <c r="G1741" s="16"/>
      <c r="H1741" s="14"/>
      <c r="K1741" s="16">
        <f>IFERROR(__xludf.DUMMYFUNCTION("""COMPUTED_VALUE"""),542.0)</f>
        <v>542</v>
      </c>
      <c r="L1741" s="16"/>
      <c r="M1741" s="14"/>
    </row>
    <row r="1742">
      <c r="A1742" s="16" t="str">
        <f>IFERROR(__xludf.DUMMYFUNCTION("""COMPUTED_VALUE"""),"Rakia moussa")</f>
        <v>Rakia moussa</v>
      </c>
      <c r="B1742" s="16"/>
      <c r="C1742" s="14"/>
      <c r="F1742" s="16" t="str">
        <f>IFERROR(__xludf.DUMMYFUNCTION("""COMPUTED_VALUE"""),"Wadata")</f>
        <v>Wadata</v>
      </c>
      <c r="G1742" s="16"/>
      <c r="H1742" s="14"/>
      <c r="K1742" s="16">
        <f>IFERROR(__xludf.DUMMYFUNCTION("""COMPUTED_VALUE"""),358.0)</f>
        <v>358</v>
      </c>
      <c r="L1742" s="16"/>
      <c r="M1742" s="14"/>
    </row>
    <row r="1743">
      <c r="A1743" s="16" t="str">
        <f>IFERROR(__xludf.DUMMYFUNCTION("""COMPUTED_VALUE"""),"Ibrahim Dan Habou Larwana")</f>
        <v>Ibrahim Dan Habou Larwana</v>
      </c>
      <c r="B1743" s="16"/>
      <c r="C1743" s="14"/>
      <c r="F1743" s="16" t="str">
        <f>IFERROR(__xludf.DUMMYFUNCTION("""COMPUTED_VALUE"""),"Wadata")</f>
        <v>Wadata</v>
      </c>
      <c r="G1743" s="16"/>
      <c r="H1743" s="14"/>
      <c r="K1743" s="16">
        <f>IFERROR(__xludf.DUMMYFUNCTION("""COMPUTED_VALUE"""),444.0)</f>
        <v>444</v>
      </c>
      <c r="L1743" s="16"/>
      <c r="M1743" s="14"/>
    </row>
    <row r="1744">
      <c r="A1744" s="16" t="str">
        <f>IFERROR(__xludf.DUMMYFUNCTION("""COMPUTED_VALUE"""),"Ibrahim Dan Habou Larwana")</f>
        <v>Ibrahim Dan Habou Larwana</v>
      </c>
      <c r="B1744" s="16"/>
      <c r="C1744" s="14"/>
      <c r="F1744" s="16" t="str">
        <f>IFERROR(__xludf.DUMMYFUNCTION("""COMPUTED_VALUE"""),"Koufan Tahoua")</f>
        <v>Koufan Tahoua</v>
      </c>
      <c r="G1744" s="16"/>
      <c r="H1744" s="14"/>
      <c r="K1744" s="16">
        <f>IFERROR(__xludf.DUMMYFUNCTION("""COMPUTED_VALUE"""),497.0)</f>
        <v>497</v>
      </c>
      <c r="L1744" s="16"/>
      <c r="M1744" s="14"/>
    </row>
    <row r="1745">
      <c r="A1745" s="16" t="str">
        <f>IFERROR(__xludf.DUMMYFUNCTION("""COMPUTED_VALUE"""),"Ibrahim Dan Habou Larwana")</f>
        <v>Ibrahim Dan Habou Larwana</v>
      </c>
      <c r="B1745" s="16"/>
      <c r="C1745" s="14"/>
      <c r="F1745" s="16" t="str">
        <f>IFERROR(__xludf.DUMMYFUNCTION("""COMPUTED_VALUE"""),"Er Tsanna")</f>
        <v>Er Tsanna</v>
      </c>
      <c r="G1745" s="16"/>
      <c r="H1745" s="14"/>
      <c r="K1745" s="16">
        <f>IFERROR(__xludf.DUMMYFUNCTION("""COMPUTED_VALUE"""),1055.0)</f>
        <v>1055</v>
      </c>
      <c r="L1745" s="16"/>
      <c r="M1745" s="14"/>
    </row>
    <row r="1746">
      <c r="A1746" s="16" t="str">
        <f>IFERROR(__xludf.DUMMYFUNCTION("""COMPUTED_VALUE"""),"Ibrahim Dan Habou Larwana")</f>
        <v>Ibrahim Dan Habou Larwana</v>
      </c>
      <c r="B1746" s="16"/>
      <c r="C1746" s="14"/>
      <c r="F1746" s="16" t="str">
        <f>IFERROR(__xludf.DUMMYFUNCTION("""COMPUTED_VALUE"""),"Er Tsanna")</f>
        <v>Er Tsanna</v>
      </c>
      <c r="G1746" s="16"/>
      <c r="H1746" s="14"/>
      <c r="K1746" s="16">
        <f>IFERROR(__xludf.DUMMYFUNCTION("""COMPUTED_VALUE"""),1049.0)</f>
        <v>1049</v>
      </c>
      <c r="L1746" s="16"/>
      <c r="M1746" s="14"/>
    </row>
    <row r="1747">
      <c r="A1747" s="16" t="str">
        <f>IFERROR(__xludf.DUMMYFUNCTION("""COMPUTED_VALUE"""),"Ibrahim Dan Habou Larwana")</f>
        <v>Ibrahim Dan Habou Larwana</v>
      </c>
      <c r="B1747" s="16"/>
      <c r="C1747" s="14"/>
      <c r="F1747" s="16" t="str">
        <f>IFERROR(__xludf.DUMMYFUNCTION("""COMPUTED_VALUE"""),"Er Tsanna")</f>
        <v>Er Tsanna</v>
      </c>
      <c r="G1747" s="16"/>
      <c r="H1747" s="14"/>
      <c r="K1747" s="16">
        <f>IFERROR(__xludf.DUMMYFUNCTION("""COMPUTED_VALUE"""),393.0)</f>
        <v>393</v>
      </c>
      <c r="L1747" s="16"/>
      <c r="M1747" s="14"/>
    </row>
    <row r="1748">
      <c r="A1748" s="16" t="str">
        <f>IFERROR(__xludf.DUMMYFUNCTION("""COMPUTED_VALUE"""),"Ibrahim Dan Habou Larwana")</f>
        <v>Ibrahim Dan Habou Larwana</v>
      </c>
      <c r="B1748" s="16"/>
      <c r="C1748" s="14"/>
      <c r="F1748" s="16" t="str">
        <f>IFERROR(__xludf.DUMMYFUNCTION("""COMPUTED_VALUE"""),"Er Tsanna")</f>
        <v>Er Tsanna</v>
      </c>
      <c r="G1748" s="16"/>
      <c r="H1748" s="14"/>
      <c r="K1748" s="16">
        <f>IFERROR(__xludf.DUMMYFUNCTION("""COMPUTED_VALUE"""),756.0)</f>
        <v>756</v>
      </c>
      <c r="L1748" s="16"/>
      <c r="M1748" s="14"/>
    </row>
    <row r="1749">
      <c r="A1749" s="16" t="str">
        <f>IFERROR(__xludf.DUMMYFUNCTION("""COMPUTED_VALUE"""),"Fatimata Mohamed")</f>
        <v>Fatimata Mohamed</v>
      </c>
      <c r="B1749" s="16"/>
      <c r="C1749" s="14"/>
      <c r="F1749" s="16" t="str">
        <f>IFERROR(__xludf.DUMMYFUNCTION("""COMPUTED_VALUE"""),"Hayi")</f>
        <v>Hayi</v>
      </c>
      <c r="G1749" s="16"/>
      <c r="H1749" s="14"/>
      <c r="K1749" s="16">
        <f>IFERROR(__xludf.DUMMYFUNCTION("""COMPUTED_VALUE"""),1359.0)</f>
        <v>1359</v>
      </c>
      <c r="L1749" s="16"/>
      <c r="M1749" s="14"/>
    </row>
    <row r="1750">
      <c r="A1750" s="16" t="str">
        <f>IFERROR(__xludf.DUMMYFUNCTION("""COMPUTED_VALUE"""),"ALASSANE TAWEY AWALOU")</f>
        <v>ALASSANE TAWEY AWALOU</v>
      </c>
      <c r="B1750" s="16"/>
      <c r="C1750" s="14"/>
      <c r="F1750" s="16" t="str">
        <f>IFERROR(__xludf.DUMMYFUNCTION("""COMPUTED_VALUE"""),"Hayi")</f>
        <v>Hayi</v>
      </c>
      <c r="G1750" s="16"/>
      <c r="H1750" s="14"/>
      <c r="K1750" s="16">
        <f>IFERROR(__xludf.DUMMYFUNCTION("""COMPUTED_VALUE"""),386.0)</f>
        <v>386</v>
      </c>
      <c r="L1750" s="16"/>
      <c r="M1750" s="14"/>
    </row>
    <row r="1751">
      <c r="A1751" s="16" t="str">
        <f>IFERROR(__xludf.DUMMYFUNCTION("""COMPUTED_VALUE"""),"ALASSANE TAWEY AWALOU")</f>
        <v>ALASSANE TAWEY AWALOU</v>
      </c>
      <c r="B1751" s="16"/>
      <c r="C1751" s="14"/>
      <c r="F1751" s="16" t="str">
        <f>IFERROR(__xludf.DUMMYFUNCTION("""COMPUTED_VALUE"""),"Hayi")</f>
        <v>Hayi</v>
      </c>
      <c r="G1751" s="16"/>
      <c r="H1751" s="14"/>
      <c r="K1751" s="16">
        <f>IFERROR(__xludf.DUMMYFUNCTION("""COMPUTED_VALUE"""),1535.0)</f>
        <v>1535</v>
      </c>
      <c r="L1751" s="16"/>
      <c r="M1751" s="14"/>
    </row>
    <row r="1752">
      <c r="A1752" s="16" t="str">
        <f>IFERROR(__xludf.DUMMYFUNCTION("""COMPUTED_VALUE"""),"ALASSANE TAWEY AWALOU")</f>
        <v>ALASSANE TAWEY AWALOU</v>
      </c>
      <c r="B1752" s="16"/>
      <c r="C1752" s="14"/>
      <c r="F1752" s="16" t="str">
        <f>IFERROR(__xludf.DUMMYFUNCTION("""COMPUTED_VALUE"""),"Hayi")</f>
        <v>Hayi</v>
      </c>
      <c r="G1752" s="16"/>
      <c r="H1752" s="14"/>
      <c r="K1752" s="16">
        <f>IFERROR(__xludf.DUMMYFUNCTION("""COMPUTED_VALUE"""),1084.0)</f>
        <v>1084</v>
      </c>
      <c r="L1752" s="16"/>
      <c r="M1752" s="14"/>
    </row>
    <row r="1753">
      <c r="A1753" s="16" t="str">
        <f>IFERROR(__xludf.DUMMYFUNCTION("""COMPUTED_VALUE"""),"ALASSANE TAWEY AWALOU")</f>
        <v>ALASSANE TAWEY AWALOU</v>
      </c>
      <c r="B1753" s="16"/>
      <c r="C1753" s="14"/>
      <c r="F1753" s="16" t="str">
        <f>IFERROR(__xludf.DUMMYFUNCTION("""COMPUTED_VALUE"""),"Hayi")</f>
        <v>Hayi</v>
      </c>
      <c r="G1753" s="16"/>
      <c r="H1753" s="14"/>
      <c r="K1753" s="16">
        <f>IFERROR(__xludf.DUMMYFUNCTION("""COMPUTED_VALUE"""),1666.0)</f>
        <v>1666</v>
      </c>
      <c r="L1753" s="16"/>
      <c r="M1753" s="14"/>
    </row>
    <row r="1754">
      <c r="A1754" s="16" t="str">
        <f>IFERROR(__xludf.DUMMYFUNCTION("""COMPUTED_VALUE"""),"Elhaji Abdou Leilata")</f>
        <v>Elhaji Abdou Leilata</v>
      </c>
      <c r="B1754" s="16"/>
      <c r="C1754" s="14"/>
      <c r="F1754" s="16" t="str">
        <f>IFERROR(__xludf.DUMMYFUNCTION("""COMPUTED_VALUE"""),"Hayi")</f>
        <v>Hayi</v>
      </c>
      <c r="G1754" s="16"/>
      <c r="H1754" s="14"/>
      <c r="K1754" s="16">
        <f>IFERROR(__xludf.DUMMYFUNCTION("""COMPUTED_VALUE"""),1130.0)</f>
        <v>1130</v>
      </c>
      <c r="L1754" s="16"/>
      <c r="M1754" s="14"/>
    </row>
    <row r="1755">
      <c r="A1755" s="16" t="str">
        <f>IFERROR(__xludf.DUMMYFUNCTION("""COMPUTED_VALUE"""),"Elhaji Abdou Leilata")</f>
        <v>Elhaji Abdou Leilata</v>
      </c>
      <c r="B1755" s="16"/>
      <c r="C1755" s="14"/>
      <c r="F1755" s="16" t="str">
        <f>IFERROR(__xludf.DUMMYFUNCTION("""COMPUTED_VALUE"""),"Hayi")</f>
        <v>Hayi</v>
      </c>
      <c r="G1755" s="16"/>
      <c r="H1755" s="14"/>
      <c r="K1755" s="16">
        <f>IFERROR(__xludf.DUMMYFUNCTION("""COMPUTED_VALUE"""),877.0)</f>
        <v>877</v>
      </c>
      <c r="L1755" s="16"/>
      <c r="M1755" s="14"/>
    </row>
    <row r="1756">
      <c r="A1756" s="16" t="str">
        <f>IFERROR(__xludf.DUMMYFUNCTION("""COMPUTED_VALUE"""),"Abdoul Razak Mahamane Boukari")</f>
        <v>Abdoul Razak Mahamane Boukari</v>
      </c>
      <c r="B1756" s="16"/>
      <c r="C1756" s="14"/>
      <c r="F1756" s="16" t="str">
        <f>IFERROR(__xludf.DUMMYFUNCTION("""COMPUTED_VALUE"""),"Hayi")</f>
        <v>Hayi</v>
      </c>
      <c r="G1756" s="16"/>
      <c r="H1756" s="14"/>
      <c r="K1756" s="16">
        <f>IFERROR(__xludf.DUMMYFUNCTION("""COMPUTED_VALUE"""),961.0)</f>
        <v>961</v>
      </c>
      <c r="L1756" s="16"/>
      <c r="M1756" s="14"/>
    </row>
    <row r="1757">
      <c r="A1757" s="16" t="str">
        <f>IFERROR(__xludf.DUMMYFUNCTION("""COMPUTED_VALUE"""),"Abdoul Razak Mahamane Boukari")</f>
        <v>Abdoul Razak Mahamane Boukari</v>
      </c>
      <c r="B1757" s="16"/>
      <c r="C1757" s="14"/>
      <c r="F1757" s="16" t="str">
        <f>IFERROR(__xludf.DUMMYFUNCTION("""COMPUTED_VALUE"""),"Hayi")</f>
        <v>Hayi</v>
      </c>
      <c r="G1757" s="16"/>
      <c r="H1757" s="14"/>
      <c r="K1757" s="16">
        <f>IFERROR(__xludf.DUMMYFUNCTION("""COMPUTED_VALUE"""),380.0)</f>
        <v>380</v>
      </c>
      <c r="L1757" s="16"/>
      <c r="M1757" s="14"/>
    </row>
    <row r="1758">
      <c r="A1758" s="16" t="str">
        <f>IFERROR(__xludf.DUMMYFUNCTION("""COMPUTED_VALUE"""),"Abdoul Razak Mahamane Boukari")</f>
        <v>Abdoul Razak Mahamane Boukari</v>
      </c>
      <c r="B1758" s="16"/>
      <c r="C1758" s="14"/>
      <c r="F1758" s="16" t="str">
        <f>IFERROR(__xludf.DUMMYFUNCTION("""COMPUTED_VALUE"""),"Hayi")</f>
        <v>Hayi</v>
      </c>
      <c r="G1758" s="16"/>
      <c r="H1758" s="14"/>
      <c r="K1758" s="16">
        <f>IFERROR(__xludf.DUMMYFUNCTION("""COMPUTED_VALUE"""),911.0)</f>
        <v>911</v>
      </c>
      <c r="L1758" s="16"/>
      <c r="M1758" s="14"/>
    </row>
    <row r="1759">
      <c r="A1759" s="16" t="str">
        <f>IFERROR(__xludf.DUMMYFUNCTION("""COMPUTED_VALUE"""),"Abdoul Razak Mahamane Boukari")</f>
        <v>Abdoul Razak Mahamane Boukari</v>
      </c>
      <c r="B1759" s="16"/>
      <c r="C1759" s="14"/>
      <c r="F1759" s="16" t="str">
        <f>IFERROR(__xludf.DUMMYFUNCTION("""COMPUTED_VALUE"""),"Hayi")</f>
        <v>Hayi</v>
      </c>
      <c r="G1759" s="16"/>
      <c r="H1759" s="14"/>
      <c r="K1759" s="16">
        <f>IFERROR(__xludf.DUMMYFUNCTION("""COMPUTED_VALUE"""),418.0)</f>
        <v>418</v>
      </c>
      <c r="L1759" s="16"/>
      <c r="M1759" s="14"/>
    </row>
    <row r="1760">
      <c r="A1760" s="16" t="str">
        <f>IFERROR(__xludf.DUMMYFUNCTION("""COMPUTED_VALUE"""),"Abdoul Razak Mahamane Boukari")</f>
        <v>Abdoul Razak Mahamane Boukari</v>
      </c>
      <c r="B1760" s="16"/>
      <c r="C1760" s="14"/>
      <c r="F1760" s="16" t="str">
        <f>IFERROR(__xludf.DUMMYFUNCTION("""COMPUTED_VALUE"""),"Hayi")</f>
        <v>Hayi</v>
      </c>
      <c r="G1760" s="16"/>
      <c r="H1760" s="14"/>
      <c r="K1760" s="16">
        <f>IFERROR(__xludf.DUMMYFUNCTION("""COMPUTED_VALUE"""),430.0)</f>
        <v>430</v>
      </c>
      <c r="L1760" s="16"/>
      <c r="M1760" s="14"/>
    </row>
    <row r="1761">
      <c r="A1761" s="16" t="str">
        <f>IFERROR(__xludf.DUMMYFUNCTION("""COMPUTED_VALUE"""),"Abdoul Razak Mahamane Boukari")</f>
        <v>Abdoul Razak Mahamane Boukari</v>
      </c>
      <c r="B1761" s="16"/>
      <c r="C1761" s="14"/>
      <c r="F1761" s="16" t="str">
        <f>IFERROR(__xludf.DUMMYFUNCTION("""COMPUTED_VALUE"""),"Hayi")</f>
        <v>Hayi</v>
      </c>
      <c r="G1761" s="16"/>
      <c r="H1761" s="14"/>
      <c r="K1761" s="16">
        <f>IFERROR(__xludf.DUMMYFUNCTION("""COMPUTED_VALUE"""),923.0)</f>
        <v>923</v>
      </c>
      <c r="L1761" s="16"/>
      <c r="M1761" s="14"/>
    </row>
    <row r="1762">
      <c r="A1762" s="16" t="str">
        <f>IFERROR(__xludf.DUMMYFUNCTION("""COMPUTED_VALUE"""),"Abdoul Razak Mahamane Boukari")</f>
        <v>Abdoul Razak Mahamane Boukari</v>
      </c>
      <c r="B1762" s="16"/>
      <c r="C1762" s="14"/>
      <c r="F1762" s="16" t="str">
        <f>IFERROR(__xludf.DUMMYFUNCTION("""COMPUTED_VALUE"""),"Hayi")</f>
        <v>Hayi</v>
      </c>
      <c r="G1762" s="16"/>
      <c r="H1762" s="14"/>
      <c r="K1762" s="16">
        <f>IFERROR(__xludf.DUMMYFUNCTION("""COMPUTED_VALUE"""),653.0)</f>
        <v>653</v>
      </c>
      <c r="L1762" s="16"/>
      <c r="M1762" s="14"/>
    </row>
    <row r="1763">
      <c r="A1763" s="16" t="str">
        <f>IFERROR(__xludf.DUMMYFUNCTION("""COMPUTED_VALUE"""),"Abdoul Razak Mahamane Boukari")</f>
        <v>Abdoul Razak Mahamane Boukari</v>
      </c>
      <c r="B1763" s="16"/>
      <c r="C1763" s="14"/>
      <c r="F1763" s="16" t="str">
        <f>IFERROR(__xludf.DUMMYFUNCTION("""COMPUTED_VALUE"""),"Koufan Tahoua")</f>
        <v>Koufan Tahoua</v>
      </c>
      <c r="G1763" s="16"/>
      <c r="H1763" s="14"/>
      <c r="K1763" s="16">
        <f>IFERROR(__xludf.DUMMYFUNCTION("""COMPUTED_VALUE"""),927.0)</f>
        <v>927</v>
      </c>
      <c r="L1763" s="16"/>
      <c r="M1763" s="14"/>
    </row>
    <row r="1764">
      <c r="A1764" s="16" t="str">
        <f>IFERROR(__xludf.DUMMYFUNCTION("""COMPUTED_VALUE"""),"Ouhoumoudou Djannou Ibrahim")</f>
        <v>Ouhoumoudou Djannou Ibrahim</v>
      </c>
      <c r="B1764" s="16"/>
      <c r="C1764" s="14"/>
      <c r="F1764" s="16" t="str">
        <f>IFERROR(__xludf.DUMMYFUNCTION("""COMPUTED_VALUE"""),"Koufan Tahoua")</f>
        <v>Koufan Tahoua</v>
      </c>
      <c r="G1764" s="16"/>
      <c r="H1764" s="14"/>
      <c r="K1764" s="16">
        <f>IFERROR(__xludf.DUMMYFUNCTION("""COMPUTED_VALUE"""),1781.0)</f>
        <v>1781</v>
      </c>
      <c r="L1764" s="16"/>
      <c r="M1764" s="14"/>
    </row>
    <row r="1765">
      <c r="A1765" s="16" t="str">
        <f>IFERROR(__xludf.DUMMYFUNCTION("""COMPUTED_VALUE"""),"Ouhoumoudou Djannou Ibrahim")</f>
        <v>Ouhoumoudou Djannou Ibrahim</v>
      </c>
      <c r="B1765" s="16"/>
      <c r="C1765" s="14"/>
      <c r="F1765" s="16" t="str">
        <f>IFERROR(__xludf.DUMMYFUNCTION("""COMPUTED_VALUE"""),"Koufan Tahoua")</f>
        <v>Koufan Tahoua</v>
      </c>
      <c r="G1765" s="16"/>
      <c r="H1765" s="14"/>
      <c r="K1765" s="16">
        <f>IFERROR(__xludf.DUMMYFUNCTION("""COMPUTED_VALUE"""),1075.0)</f>
        <v>1075</v>
      </c>
      <c r="L1765" s="16"/>
      <c r="M1765" s="14"/>
    </row>
    <row r="1766">
      <c r="A1766" s="16" t="str">
        <f>IFERROR(__xludf.DUMMYFUNCTION("""COMPUTED_VALUE"""),"Ouhoumoudou Djannou Ibrahim")</f>
        <v>Ouhoumoudou Djannou Ibrahim</v>
      </c>
      <c r="B1766" s="16"/>
      <c r="C1766" s="14"/>
      <c r="F1766" s="16" t="str">
        <f>IFERROR(__xludf.DUMMYFUNCTION("""COMPUTED_VALUE"""),"Koufan Tahoua")</f>
        <v>Koufan Tahoua</v>
      </c>
      <c r="G1766" s="16"/>
      <c r="H1766" s="14"/>
      <c r="K1766" s="16">
        <f>IFERROR(__xludf.DUMMYFUNCTION("""COMPUTED_VALUE"""),1479.0)</f>
        <v>1479</v>
      </c>
      <c r="L1766" s="16"/>
      <c r="M1766" s="14"/>
    </row>
    <row r="1767">
      <c r="A1767" s="16" t="str">
        <f>IFERROR(__xludf.DUMMYFUNCTION("""COMPUTED_VALUE"""),"Ouhoumoudou Djannou Ibrahim")</f>
        <v>Ouhoumoudou Djannou Ibrahim</v>
      </c>
      <c r="B1767" s="16"/>
      <c r="C1767" s="14"/>
      <c r="F1767" s="16" t="str">
        <f>IFERROR(__xludf.DUMMYFUNCTION("""COMPUTED_VALUE"""),"Koufan Tahoua")</f>
        <v>Koufan Tahoua</v>
      </c>
      <c r="G1767" s="16"/>
      <c r="H1767" s="14"/>
      <c r="K1767" s="16">
        <f>IFERROR(__xludf.DUMMYFUNCTION("""COMPUTED_VALUE"""),570.0)</f>
        <v>570</v>
      </c>
      <c r="L1767" s="16"/>
      <c r="M1767" s="14"/>
    </row>
    <row r="1768">
      <c r="A1768" s="16" t="str">
        <f>IFERROR(__xludf.DUMMYFUNCTION("""COMPUTED_VALUE"""),"Ouhoumoudou Djannou Ibrahim")</f>
        <v>Ouhoumoudou Djannou Ibrahim</v>
      </c>
      <c r="B1768" s="16"/>
      <c r="C1768" s="14"/>
      <c r="F1768" s="16" t="str">
        <f>IFERROR(__xludf.DUMMYFUNCTION("""COMPUTED_VALUE"""),"Er Tsanna")</f>
        <v>Er Tsanna</v>
      </c>
      <c r="G1768" s="16"/>
      <c r="H1768" s="14"/>
      <c r="K1768" s="16">
        <f>IFERROR(__xludf.DUMMYFUNCTION("""COMPUTED_VALUE"""),1084.0)</f>
        <v>1084</v>
      </c>
      <c r="L1768" s="16"/>
      <c r="M1768" s="14"/>
    </row>
    <row r="1769">
      <c r="A1769" s="16" t="str">
        <f>IFERROR(__xludf.DUMMYFUNCTION("""COMPUTED_VALUE"""),"Gaoh Maazou")</f>
        <v>Gaoh Maazou</v>
      </c>
      <c r="B1769" s="16"/>
      <c r="C1769" s="14"/>
      <c r="F1769" s="16" t="str">
        <f>IFERROR(__xludf.DUMMYFUNCTION("""COMPUTED_VALUE"""),"Er Tsanna")</f>
        <v>Er Tsanna</v>
      </c>
      <c r="G1769" s="16"/>
      <c r="H1769" s="14"/>
      <c r="K1769" s="16">
        <f>IFERROR(__xludf.DUMMYFUNCTION("""COMPUTED_VALUE"""),371.0)</f>
        <v>371</v>
      </c>
      <c r="L1769" s="16"/>
      <c r="M1769" s="14"/>
    </row>
    <row r="1770">
      <c r="A1770" s="16" t="str">
        <f>IFERROR(__xludf.DUMMYFUNCTION("""COMPUTED_VALUE"""),"Gaoh Maazou")</f>
        <v>Gaoh Maazou</v>
      </c>
      <c r="B1770" s="16"/>
      <c r="C1770" s="14"/>
      <c r="F1770" s="16" t="str">
        <f>IFERROR(__xludf.DUMMYFUNCTION("""COMPUTED_VALUE"""),"Er Tsanna")</f>
        <v>Er Tsanna</v>
      </c>
      <c r="G1770" s="16"/>
      <c r="H1770" s="14"/>
      <c r="K1770" s="16">
        <f>IFERROR(__xludf.DUMMYFUNCTION("""COMPUTED_VALUE"""),484.0)</f>
        <v>484</v>
      </c>
      <c r="L1770" s="16"/>
      <c r="M1770" s="14"/>
    </row>
    <row r="1771">
      <c r="A1771" s="16" t="str">
        <f>IFERROR(__xludf.DUMMYFUNCTION("""COMPUTED_VALUE"""),"Gaoh Maazou")</f>
        <v>Gaoh Maazou</v>
      </c>
      <c r="B1771" s="16"/>
      <c r="C1771" s="14"/>
      <c r="F1771" s="16" t="str">
        <f>IFERROR(__xludf.DUMMYFUNCTION("""COMPUTED_VALUE"""),"Er Tsanna")</f>
        <v>Er Tsanna</v>
      </c>
      <c r="G1771" s="16"/>
      <c r="H1771" s="14"/>
      <c r="K1771" s="16">
        <f>IFERROR(__xludf.DUMMYFUNCTION("""COMPUTED_VALUE"""),1407.0)</f>
        <v>1407</v>
      </c>
      <c r="L1771" s="16"/>
      <c r="M1771" s="14"/>
    </row>
    <row r="1772">
      <c r="A1772" s="16" t="str">
        <f>IFERROR(__xludf.DUMMYFUNCTION("""COMPUTED_VALUE"""),"Asmaou Tanko Issa")</f>
        <v>Asmaou Tanko Issa</v>
      </c>
      <c r="B1772" s="16"/>
      <c r="C1772" s="14"/>
      <c r="F1772" s="16" t="str">
        <f>IFERROR(__xludf.DUMMYFUNCTION("""COMPUTED_VALUE"""),"Batan Warka")</f>
        <v>Batan Warka</v>
      </c>
      <c r="G1772" s="16"/>
      <c r="H1772" s="14"/>
      <c r="K1772" s="16">
        <f>IFERROR(__xludf.DUMMYFUNCTION("""COMPUTED_VALUE"""),407.0)</f>
        <v>407</v>
      </c>
      <c r="L1772" s="16"/>
      <c r="M1772" s="14"/>
    </row>
    <row r="1773">
      <c r="A1773" s="16" t="str">
        <f>IFERROR(__xludf.DUMMYFUNCTION("""COMPUTED_VALUE"""),"Asmaou Tanko Issa")</f>
        <v>Asmaou Tanko Issa</v>
      </c>
      <c r="B1773" s="16"/>
      <c r="C1773" s="14"/>
      <c r="F1773" s="16" t="str">
        <f>IFERROR(__xludf.DUMMYFUNCTION("""COMPUTED_VALUE"""),"Batan Warka")</f>
        <v>Batan Warka</v>
      </c>
      <c r="G1773" s="16"/>
      <c r="H1773" s="14"/>
      <c r="K1773" s="16">
        <f>IFERROR(__xludf.DUMMYFUNCTION("""COMPUTED_VALUE"""),454.0)</f>
        <v>454</v>
      </c>
      <c r="L1773" s="16"/>
      <c r="M1773" s="14"/>
    </row>
    <row r="1774">
      <c r="A1774" s="16" t="str">
        <f>IFERROR(__xludf.DUMMYFUNCTION("""COMPUTED_VALUE"""),"Hachimou Rabiou Mamoudou")</f>
        <v>Hachimou Rabiou Mamoudou</v>
      </c>
      <c r="B1774" s="16"/>
      <c r="C1774" s="14"/>
      <c r="F1774" s="16" t="str">
        <f>IFERROR(__xludf.DUMMYFUNCTION("""COMPUTED_VALUE"""),"Batan Warka")</f>
        <v>Batan Warka</v>
      </c>
      <c r="G1774" s="16"/>
      <c r="H1774" s="14"/>
      <c r="K1774" s="16">
        <f>IFERROR(__xludf.DUMMYFUNCTION("""COMPUTED_VALUE"""),996.0)</f>
        <v>996</v>
      </c>
      <c r="L1774" s="16"/>
      <c r="M1774" s="14"/>
    </row>
    <row r="1775">
      <c r="A1775" s="16" t="str">
        <f>IFERROR(__xludf.DUMMYFUNCTION("""COMPUTED_VALUE"""),"Hachimou Rabiou Mamoudou")</f>
        <v>Hachimou Rabiou Mamoudou</v>
      </c>
      <c r="B1775" s="16"/>
      <c r="C1775" s="14"/>
      <c r="F1775" s="16" t="str">
        <f>IFERROR(__xludf.DUMMYFUNCTION("""COMPUTED_VALUE"""),"Batan Warka")</f>
        <v>Batan Warka</v>
      </c>
      <c r="G1775" s="16"/>
      <c r="H1775" s="14"/>
      <c r="K1775" s="16">
        <f>IFERROR(__xludf.DUMMYFUNCTION("""COMPUTED_VALUE"""),1298.0)</f>
        <v>1298</v>
      </c>
      <c r="L1775" s="16"/>
      <c r="M1775" s="14"/>
    </row>
    <row r="1776">
      <c r="A1776" s="16" t="str">
        <f>IFERROR(__xludf.DUMMYFUNCTION("""COMPUTED_VALUE"""),"Hachimou Rabiou Mamoudou")</f>
        <v>Hachimou Rabiou Mamoudou</v>
      </c>
      <c r="B1776" s="16"/>
      <c r="C1776" s="14"/>
      <c r="F1776" s="16" t="str">
        <f>IFERROR(__xludf.DUMMYFUNCTION("""COMPUTED_VALUE"""),"Batan Warka")</f>
        <v>Batan Warka</v>
      </c>
      <c r="G1776" s="16"/>
      <c r="H1776" s="14"/>
      <c r="K1776" s="16">
        <f>IFERROR(__xludf.DUMMYFUNCTION("""COMPUTED_VALUE"""),494.0)</f>
        <v>494</v>
      </c>
      <c r="L1776" s="16"/>
      <c r="M1776" s="14"/>
    </row>
    <row r="1777">
      <c r="A1777" s="16" t="str">
        <f>IFERROR(__xludf.DUMMYFUNCTION("""COMPUTED_VALUE"""),"Hachimou Rabiou Mamoudou")</f>
        <v>Hachimou Rabiou Mamoudou</v>
      </c>
      <c r="B1777" s="16"/>
      <c r="C1777" s="14"/>
      <c r="F1777" s="16" t="str">
        <f>IFERROR(__xludf.DUMMYFUNCTION("""COMPUTED_VALUE"""),"Galmaoua")</f>
        <v>Galmaoua</v>
      </c>
      <c r="G1777" s="16"/>
      <c r="H1777" s="14"/>
      <c r="K1777" s="16">
        <f>IFERROR(__xludf.DUMMYFUNCTION("""COMPUTED_VALUE"""),353.0)</f>
        <v>353</v>
      </c>
      <c r="L1777" s="16"/>
      <c r="M1777" s="14"/>
    </row>
    <row r="1778">
      <c r="A1778" s="16" t="str">
        <f>IFERROR(__xludf.DUMMYFUNCTION("""COMPUTED_VALUE"""),"Razinatou Salissou")</f>
        <v>Razinatou Salissou</v>
      </c>
      <c r="B1778" s="16"/>
      <c r="C1778" s="14"/>
      <c r="F1778" s="16" t="str">
        <f>IFERROR(__xludf.DUMMYFUNCTION("""COMPUTED_VALUE"""),"Galmaoua")</f>
        <v>Galmaoua</v>
      </c>
      <c r="G1778" s="16"/>
      <c r="H1778" s="14"/>
      <c r="K1778" s="16">
        <f>IFERROR(__xludf.DUMMYFUNCTION("""COMPUTED_VALUE"""),1624.0)</f>
        <v>1624</v>
      </c>
      <c r="L1778" s="16"/>
      <c r="M1778" s="14"/>
    </row>
    <row r="1779">
      <c r="A1779" s="16" t="str">
        <f>IFERROR(__xludf.DUMMYFUNCTION("""COMPUTED_VALUE"""),"Halimatou Adamou Marafa")</f>
        <v>Halimatou Adamou Marafa</v>
      </c>
      <c r="B1779" s="16"/>
      <c r="C1779" s="14"/>
      <c r="F1779" s="16" t="str">
        <f>IFERROR(__xludf.DUMMYFUNCTION("""COMPUTED_VALUE"""),"Galmaoua")</f>
        <v>Galmaoua</v>
      </c>
      <c r="G1779" s="16"/>
      <c r="H1779" s="14"/>
      <c r="K1779" s="16">
        <f>IFERROR(__xludf.DUMMYFUNCTION("""COMPUTED_VALUE"""),1117.0)</f>
        <v>1117</v>
      </c>
      <c r="L1779" s="16"/>
      <c r="M1779" s="14"/>
    </row>
    <row r="1780">
      <c r="A1780" s="16" t="str">
        <f>IFERROR(__xludf.DUMMYFUNCTION("""COMPUTED_VALUE"""),"Halimatou Adamou Marafa")</f>
        <v>Halimatou Adamou Marafa</v>
      </c>
      <c r="B1780" s="16"/>
      <c r="C1780" s="14"/>
      <c r="F1780" s="16" t="str">
        <f>IFERROR(__xludf.DUMMYFUNCTION("""COMPUTED_VALUE"""),"Tchinahar")</f>
        <v>Tchinahar</v>
      </c>
      <c r="G1780" s="16"/>
      <c r="H1780" s="14"/>
      <c r="K1780" s="16">
        <f>IFERROR(__xludf.DUMMYFUNCTION("""COMPUTED_VALUE"""),801.0)</f>
        <v>801</v>
      </c>
      <c r="L1780" s="16"/>
      <c r="M1780" s="14"/>
    </row>
    <row r="1781">
      <c r="A1781" s="16" t="str">
        <f>IFERROR(__xludf.DUMMYFUNCTION("""COMPUTED_VALUE"""),"Razinatou Salissou")</f>
        <v>Razinatou Salissou</v>
      </c>
      <c r="B1781" s="16"/>
      <c r="C1781" s="14"/>
      <c r="F1781" s="16" t="str">
        <f>IFERROR(__xludf.DUMMYFUNCTION("""COMPUTED_VALUE"""),"Tchinahar")</f>
        <v>Tchinahar</v>
      </c>
      <c r="G1781" s="16"/>
      <c r="H1781" s="14"/>
      <c r="K1781" s="16">
        <f>IFERROR(__xludf.DUMMYFUNCTION("""COMPUTED_VALUE"""),178.0)</f>
        <v>178</v>
      </c>
      <c r="L1781" s="16"/>
      <c r="M1781" s="14"/>
    </row>
    <row r="1782">
      <c r="A1782" s="16" t="str">
        <f>IFERROR(__xludf.DUMMYFUNCTION("""COMPUTED_VALUE"""),"Moussa Ide Ibrahim")</f>
        <v>Moussa Ide Ibrahim</v>
      </c>
      <c r="B1782" s="16"/>
      <c r="C1782" s="14"/>
      <c r="F1782" s="16" t="str">
        <f>IFERROR(__xludf.DUMMYFUNCTION("""COMPUTED_VALUE"""),"Tchinahar")</f>
        <v>Tchinahar</v>
      </c>
      <c r="G1782" s="16"/>
      <c r="H1782" s="14"/>
      <c r="K1782" s="16">
        <f>IFERROR(__xludf.DUMMYFUNCTION("""COMPUTED_VALUE"""),1452.0)</f>
        <v>1452</v>
      </c>
      <c r="L1782" s="16"/>
      <c r="M1782" s="14"/>
    </row>
    <row r="1783">
      <c r="A1783" s="16" t="str">
        <f>IFERROR(__xludf.DUMMYFUNCTION("""COMPUTED_VALUE"""),"Moussa Ide Ibrahim")</f>
        <v>Moussa Ide Ibrahim</v>
      </c>
      <c r="B1783" s="16"/>
      <c r="C1783" s="14"/>
      <c r="F1783" s="16" t="str">
        <f>IFERROR(__xludf.DUMMYFUNCTION("""COMPUTED_VALUE"""),"Tchinahar")</f>
        <v>Tchinahar</v>
      </c>
      <c r="G1783" s="16"/>
      <c r="H1783" s="14"/>
      <c r="K1783" s="16">
        <f>IFERROR(__xludf.DUMMYFUNCTION("""COMPUTED_VALUE"""),948.0)</f>
        <v>948</v>
      </c>
      <c r="L1783" s="16"/>
      <c r="M1783" s="14"/>
    </row>
    <row r="1784">
      <c r="A1784" s="16" t="str">
        <f>IFERROR(__xludf.DUMMYFUNCTION("""COMPUTED_VALUE"""),"Razinatou Salissou")</f>
        <v>Razinatou Salissou</v>
      </c>
      <c r="B1784" s="16"/>
      <c r="C1784" s="14"/>
      <c r="F1784" s="16" t="str">
        <f>IFERROR(__xludf.DUMMYFUNCTION("""COMPUTED_VALUE"""),"Tchinahar")</f>
        <v>Tchinahar</v>
      </c>
      <c r="G1784" s="16"/>
      <c r="H1784" s="14"/>
      <c r="K1784" s="16">
        <f>IFERROR(__xludf.DUMMYFUNCTION("""COMPUTED_VALUE"""),307.0)</f>
        <v>307</v>
      </c>
      <c r="L1784" s="16"/>
      <c r="M1784" s="14"/>
    </row>
    <row r="1785">
      <c r="A1785" s="16" t="str">
        <f>IFERROR(__xludf.DUMMYFUNCTION("""COMPUTED_VALUE"""),"Moussa Ide Ibrahim")</f>
        <v>Moussa Ide Ibrahim</v>
      </c>
      <c r="B1785" s="16"/>
      <c r="C1785" s="14"/>
      <c r="F1785" s="16" t="str">
        <f>IFERROR(__xludf.DUMMYFUNCTION("""COMPUTED_VALUE"""),"Tchaba Maiguizo")</f>
        <v>Tchaba Maiguizo</v>
      </c>
      <c r="G1785" s="16"/>
      <c r="H1785" s="14"/>
      <c r="K1785" s="16">
        <f>IFERROR(__xludf.DUMMYFUNCTION("""COMPUTED_VALUE"""),562.0)</f>
        <v>562</v>
      </c>
      <c r="L1785" s="16"/>
      <c r="M1785" s="14"/>
    </row>
    <row r="1786">
      <c r="A1786" s="16" t="str">
        <f>IFERROR(__xludf.DUMMYFUNCTION("""COMPUTED_VALUE"""),"Razinatou Salissou")</f>
        <v>Razinatou Salissou</v>
      </c>
      <c r="B1786" s="16"/>
      <c r="C1786" s="14"/>
      <c r="F1786" s="16" t="str">
        <f>IFERROR(__xludf.DUMMYFUNCTION("""COMPUTED_VALUE"""),"Tchaba Maiguizo")</f>
        <v>Tchaba Maiguizo</v>
      </c>
      <c r="G1786" s="16"/>
      <c r="H1786" s="14"/>
      <c r="K1786" s="16">
        <f>IFERROR(__xludf.DUMMYFUNCTION("""COMPUTED_VALUE"""),1694.0)</f>
        <v>1694</v>
      </c>
      <c r="L1786" s="16"/>
      <c r="M1786" s="14"/>
    </row>
    <row r="1787">
      <c r="A1787" s="16" t="str">
        <f>IFERROR(__xludf.DUMMYFUNCTION("""COMPUTED_VALUE"""),"Moussa Ide Ibrahim")</f>
        <v>Moussa Ide Ibrahim</v>
      </c>
      <c r="B1787" s="16"/>
      <c r="C1787" s="14"/>
      <c r="F1787" s="16" t="str">
        <f>IFERROR(__xludf.DUMMYFUNCTION("""COMPUTED_VALUE"""),"Tchaba Maiguizo")</f>
        <v>Tchaba Maiguizo</v>
      </c>
      <c r="G1787" s="16"/>
      <c r="H1787" s="14"/>
      <c r="K1787" s="16">
        <f>IFERROR(__xludf.DUMMYFUNCTION("""COMPUTED_VALUE"""),1369.0)</f>
        <v>1369</v>
      </c>
      <c r="L1787" s="16"/>
      <c r="M1787" s="14"/>
    </row>
    <row r="1788">
      <c r="A1788" s="16" t="str">
        <f>IFERROR(__xludf.DUMMYFUNCTION("""COMPUTED_VALUE"""),"Moussa Ide Ibrahim")</f>
        <v>Moussa Ide Ibrahim</v>
      </c>
      <c r="B1788" s="16"/>
      <c r="C1788" s="14"/>
      <c r="F1788" s="16" t="str">
        <f>IFERROR(__xludf.DUMMYFUNCTION("""COMPUTED_VALUE"""),"Koweit Peulh I")</f>
        <v>Koweit Peulh I</v>
      </c>
      <c r="G1788" s="16"/>
      <c r="H1788" s="14"/>
      <c r="K1788" s="16">
        <f>IFERROR(__xludf.DUMMYFUNCTION("""COMPUTED_VALUE"""),637.0)</f>
        <v>637</v>
      </c>
      <c r="L1788" s="16"/>
      <c r="M1788" s="14"/>
    </row>
    <row r="1789">
      <c r="A1789" s="16" t="str">
        <f>IFERROR(__xludf.DUMMYFUNCTION("""COMPUTED_VALUE"""),"Moussa Ide Ibrahim")</f>
        <v>Moussa Ide Ibrahim</v>
      </c>
      <c r="B1789" s="16"/>
      <c r="C1789" s="14"/>
      <c r="F1789" s="16" t="str">
        <f>IFERROR(__xludf.DUMMYFUNCTION("""COMPUTED_VALUE"""),"Koweit Peulh I")</f>
        <v>Koweit Peulh I</v>
      </c>
      <c r="G1789" s="16"/>
      <c r="H1789" s="14"/>
      <c r="K1789" s="16">
        <f>IFERROR(__xludf.DUMMYFUNCTION("""COMPUTED_VALUE"""),745.0)</f>
        <v>745</v>
      </c>
      <c r="L1789" s="16"/>
      <c r="M1789" s="14"/>
    </row>
    <row r="1790">
      <c r="A1790" s="16" t="str">
        <f>IFERROR(__xludf.DUMMYFUNCTION("""COMPUTED_VALUE"""),"Moussa Ide Ibrahim")</f>
        <v>Moussa Ide Ibrahim</v>
      </c>
      <c r="B1790" s="16"/>
      <c r="C1790" s="14"/>
      <c r="F1790" s="16" t="str">
        <f>IFERROR(__xludf.DUMMYFUNCTION("""COMPUTED_VALUE"""),"Koweit Peulh I")</f>
        <v>Koweit Peulh I</v>
      </c>
      <c r="G1790" s="16"/>
      <c r="H1790" s="14"/>
      <c r="K1790" s="16">
        <f>IFERROR(__xludf.DUMMYFUNCTION("""COMPUTED_VALUE"""),458.0)</f>
        <v>458</v>
      </c>
      <c r="L1790" s="16"/>
      <c r="M1790" s="14"/>
    </row>
    <row r="1791">
      <c r="A1791" s="16" t="str">
        <f>IFERROR(__xludf.DUMMYFUNCTION("""COMPUTED_VALUE"""),"Moussa Ide Ibrahim")</f>
        <v>Moussa Ide Ibrahim</v>
      </c>
      <c r="B1791" s="16"/>
      <c r="C1791" s="14"/>
      <c r="F1791" s="16" t="str">
        <f>IFERROR(__xludf.DUMMYFUNCTION("""COMPUTED_VALUE"""),"Koweit Peulh I")</f>
        <v>Koweit Peulh I</v>
      </c>
      <c r="G1791" s="16"/>
      <c r="H1791" s="14"/>
      <c r="K1791" s="16">
        <f>IFERROR(__xludf.DUMMYFUNCTION("""COMPUTED_VALUE"""),361.0)</f>
        <v>361</v>
      </c>
      <c r="L1791" s="16"/>
      <c r="M1791" s="14"/>
    </row>
    <row r="1792">
      <c r="A1792" s="16" t="str">
        <f>IFERROR(__xludf.DUMMYFUNCTION("""COMPUTED_VALUE"""),"Kimba Issa Mamoudou")</f>
        <v>Kimba Issa Mamoudou</v>
      </c>
      <c r="B1792" s="16"/>
      <c r="C1792" s="14"/>
      <c r="F1792" s="16" t="str">
        <f>IFERROR(__xludf.DUMMYFUNCTION("""COMPUTED_VALUE"""),"Koweit Peulh I")</f>
        <v>Koweit Peulh I</v>
      </c>
      <c r="G1792" s="16"/>
      <c r="H1792" s="14"/>
      <c r="K1792" s="16">
        <f>IFERROR(__xludf.DUMMYFUNCTION("""COMPUTED_VALUE"""),1122.0)</f>
        <v>1122</v>
      </c>
      <c r="L1792" s="16"/>
      <c r="M1792" s="14"/>
    </row>
    <row r="1793">
      <c r="A1793" s="16" t="str">
        <f>IFERROR(__xludf.DUMMYFUNCTION("""COMPUTED_VALUE"""),"Kimba Issa Mamoudou")</f>
        <v>Kimba Issa Mamoudou</v>
      </c>
      <c r="B1793" s="16"/>
      <c r="C1793" s="14"/>
      <c r="F1793" s="16" t="str">
        <f>IFERROR(__xludf.DUMMYFUNCTION("""COMPUTED_VALUE"""),"Koweit Peulh I")</f>
        <v>Koweit Peulh I</v>
      </c>
      <c r="G1793" s="16"/>
      <c r="H1793" s="14"/>
      <c r="K1793" s="16">
        <f>IFERROR(__xludf.DUMMYFUNCTION("""COMPUTED_VALUE"""),835.0)</f>
        <v>835</v>
      </c>
      <c r="L1793" s="16"/>
      <c r="M1793" s="14"/>
    </row>
    <row r="1794">
      <c r="A1794" s="16" t="str">
        <f>IFERROR(__xludf.DUMMYFUNCTION("""COMPUTED_VALUE"""),"Kimba Issa Mamoudou")</f>
        <v>Kimba Issa Mamoudou</v>
      </c>
      <c r="B1794" s="16"/>
      <c r="C1794" s="14"/>
      <c r="F1794" s="16" t="str">
        <f>IFERROR(__xludf.DUMMYFUNCTION("""COMPUTED_VALUE"""),"Koweit Peulh I")</f>
        <v>Koweit Peulh I</v>
      </c>
      <c r="G1794" s="16"/>
      <c r="H1794" s="14"/>
      <c r="K1794" s="16">
        <f>IFERROR(__xludf.DUMMYFUNCTION("""COMPUTED_VALUE"""),1226.0)</f>
        <v>1226</v>
      </c>
      <c r="L1794" s="16"/>
      <c r="M1794" s="14"/>
    </row>
    <row r="1795">
      <c r="A1795" s="16" t="str">
        <f>IFERROR(__xludf.DUMMYFUNCTION("""COMPUTED_VALUE"""),"Kimba Issa Mamoudou")</f>
        <v>Kimba Issa Mamoudou</v>
      </c>
      <c r="B1795" s="16"/>
      <c r="C1795" s="14"/>
      <c r="F1795" s="16" t="str">
        <f>IFERROR(__xludf.DUMMYFUNCTION("""COMPUTED_VALUE"""),"Koweit Peulh I")</f>
        <v>Koweit Peulh I</v>
      </c>
      <c r="G1795" s="16"/>
      <c r="H1795" s="14"/>
      <c r="K1795" s="16">
        <f>IFERROR(__xludf.DUMMYFUNCTION("""COMPUTED_VALUE"""),322.0)</f>
        <v>322</v>
      </c>
      <c r="L1795" s="16"/>
      <c r="M1795" s="14"/>
    </row>
    <row r="1796">
      <c r="A1796" s="16" t="str">
        <f>IFERROR(__xludf.DUMMYFUNCTION("""COMPUTED_VALUE"""),"Kimba Issa Mamoudou")</f>
        <v>Kimba Issa Mamoudou</v>
      </c>
      <c r="B1796" s="16"/>
      <c r="C1796" s="14"/>
      <c r="F1796" s="16" t="str">
        <f>IFERROR(__xludf.DUMMYFUNCTION("""COMPUTED_VALUE"""),"Koweit Peulh I")</f>
        <v>Koweit Peulh I</v>
      </c>
      <c r="G1796" s="16"/>
      <c r="H1796" s="14"/>
      <c r="K1796" s="16">
        <f>IFERROR(__xludf.DUMMYFUNCTION("""COMPUTED_VALUE"""),418.0)</f>
        <v>418</v>
      </c>
      <c r="L1796" s="16"/>
      <c r="M1796" s="14"/>
    </row>
    <row r="1797">
      <c r="A1797" s="16" t="str">
        <f>IFERROR(__xludf.DUMMYFUNCTION("""COMPUTED_VALUE"""),"Yacouba Idé dit Lumana")</f>
        <v>Yacouba Idé dit Lumana</v>
      </c>
      <c r="B1797" s="16"/>
      <c r="C1797" s="14"/>
      <c r="F1797" s="16" t="str">
        <f>IFERROR(__xludf.DUMMYFUNCTION("""COMPUTED_VALUE"""),"Koweit Peulh I")</f>
        <v>Koweit Peulh I</v>
      </c>
      <c r="G1797" s="16"/>
      <c r="H1797" s="14"/>
      <c r="K1797" s="16">
        <f>IFERROR(__xludf.DUMMYFUNCTION("""COMPUTED_VALUE"""),308.0)</f>
        <v>308</v>
      </c>
      <c r="L1797" s="16"/>
      <c r="M1797" s="14"/>
    </row>
    <row r="1798">
      <c r="A1798" s="16" t="str">
        <f>IFERROR(__xludf.DUMMYFUNCTION("""COMPUTED_VALUE"""),"Yacouba Idé dit Lumana")</f>
        <v>Yacouba Idé dit Lumana</v>
      </c>
      <c r="B1798" s="16"/>
      <c r="C1798" s="14"/>
      <c r="F1798" s="16" t="str">
        <f>IFERROR(__xludf.DUMMYFUNCTION("""COMPUTED_VALUE"""),"Koweit Peulh I")</f>
        <v>Koweit Peulh I</v>
      </c>
      <c r="G1798" s="16"/>
      <c r="H1798" s="14"/>
      <c r="K1798" s="16">
        <f>IFERROR(__xludf.DUMMYFUNCTION("""COMPUTED_VALUE"""),430.0)</f>
        <v>430</v>
      </c>
      <c r="L1798" s="16"/>
      <c r="M1798" s="14"/>
    </row>
    <row r="1799">
      <c r="A1799" s="16" t="str">
        <f>IFERROR(__xludf.DUMMYFUNCTION("""COMPUTED_VALUE"""),"Yacouba Idé dit Lumana")</f>
        <v>Yacouba Idé dit Lumana</v>
      </c>
      <c r="B1799" s="16"/>
      <c r="C1799" s="14"/>
      <c r="F1799" s="16" t="str">
        <f>IFERROR(__xludf.DUMMYFUNCTION("""COMPUTED_VALUE"""),"Kalalé")</f>
        <v>Kalalé</v>
      </c>
      <c r="G1799" s="16"/>
      <c r="H1799" s="14"/>
      <c r="K1799" s="16">
        <f>IFERROR(__xludf.DUMMYFUNCTION("""COMPUTED_VALUE"""),345.0)</f>
        <v>345</v>
      </c>
      <c r="L1799" s="16"/>
      <c r="M1799" s="14"/>
    </row>
    <row r="1800">
      <c r="A1800" s="16" t="str">
        <f>IFERROR(__xludf.DUMMYFUNCTION("""COMPUTED_VALUE"""),"Yacouba Idé dit Lumana")</f>
        <v>Yacouba Idé dit Lumana</v>
      </c>
      <c r="B1800" s="16"/>
      <c r="C1800" s="14"/>
      <c r="F1800" s="16" t="str">
        <f>IFERROR(__xludf.DUMMYFUNCTION("""COMPUTED_VALUE"""),"Satourou")</f>
        <v>Satourou</v>
      </c>
      <c r="G1800" s="16"/>
      <c r="H1800" s="14"/>
      <c r="K1800" s="16">
        <f>IFERROR(__xludf.DUMMYFUNCTION("""COMPUTED_VALUE"""),1241.0)</f>
        <v>1241</v>
      </c>
      <c r="L1800" s="16"/>
      <c r="M1800" s="14"/>
    </row>
    <row r="1801">
      <c r="A1801" s="16" t="str">
        <f>IFERROR(__xludf.DUMMYFUNCTION("""COMPUTED_VALUE"""),"Aicha Noma")</f>
        <v>Aicha Noma</v>
      </c>
      <c r="B1801" s="16"/>
      <c r="C1801" s="14"/>
      <c r="F1801" s="16" t="str">
        <f>IFERROR(__xludf.DUMMYFUNCTION("""COMPUTED_VALUE"""),"Toundou Kou")</f>
        <v>Toundou Kou</v>
      </c>
      <c r="G1801" s="16"/>
      <c r="H1801" s="14"/>
      <c r="K1801" s="16">
        <f>IFERROR(__xludf.DUMMYFUNCTION("""COMPUTED_VALUE"""),324.0)</f>
        <v>324</v>
      </c>
      <c r="L1801" s="16"/>
      <c r="M1801" s="14"/>
    </row>
    <row r="1802">
      <c r="A1802" s="16" t="str">
        <f>IFERROR(__xludf.DUMMYFUNCTION("""COMPUTED_VALUE"""),"Sani Moussa Aboubacar")</f>
        <v>Sani Moussa Aboubacar</v>
      </c>
      <c r="B1802" s="16"/>
      <c r="C1802" s="14"/>
      <c r="F1802" s="16" t="str">
        <f>IFERROR(__xludf.DUMMYFUNCTION("""COMPUTED_VALUE"""),"Kalalé")</f>
        <v>Kalalé</v>
      </c>
      <c r="G1802" s="16"/>
      <c r="H1802" s="14"/>
      <c r="K1802" s="16">
        <f>IFERROR(__xludf.DUMMYFUNCTION("""COMPUTED_VALUE"""),842.0)</f>
        <v>842</v>
      </c>
      <c r="L1802" s="16"/>
      <c r="M1802" s="14"/>
    </row>
    <row r="1803">
      <c r="A1803" s="16" t="str">
        <f>IFERROR(__xludf.DUMMYFUNCTION("""COMPUTED_VALUE"""),"Sani Moussa Aboubacar")</f>
        <v>Sani Moussa Aboubacar</v>
      </c>
      <c r="B1803" s="16"/>
      <c r="C1803" s="14"/>
      <c r="F1803" s="16" t="str">
        <f>IFERROR(__xludf.DUMMYFUNCTION("""COMPUTED_VALUE"""),"Tchaba Maiguizo")</f>
        <v>Tchaba Maiguizo</v>
      </c>
      <c r="G1803" s="16"/>
      <c r="H1803" s="14"/>
      <c r="K1803" s="16">
        <f>IFERROR(__xludf.DUMMYFUNCTION("""COMPUTED_VALUE"""),553.0)</f>
        <v>553</v>
      </c>
      <c r="L1803" s="16"/>
      <c r="M1803" s="14"/>
    </row>
    <row r="1804">
      <c r="A1804" s="16" t="str">
        <f>IFERROR(__xludf.DUMMYFUNCTION("""COMPUTED_VALUE"""),"Sani Moussa Aboubacar")</f>
        <v>Sani Moussa Aboubacar</v>
      </c>
      <c r="B1804" s="16"/>
      <c r="C1804" s="14"/>
      <c r="F1804" s="16" t="str">
        <f>IFERROR(__xludf.DUMMYFUNCTION("""COMPUTED_VALUE"""),"Tchaba Maiguizo")</f>
        <v>Tchaba Maiguizo</v>
      </c>
      <c r="G1804" s="16"/>
      <c r="H1804" s="14"/>
      <c r="K1804" s="16">
        <f>IFERROR(__xludf.DUMMYFUNCTION("""COMPUTED_VALUE"""),607.0)</f>
        <v>607</v>
      </c>
      <c r="L1804" s="16"/>
      <c r="M1804" s="14"/>
    </row>
    <row r="1805">
      <c r="A1805" s="16" t="str">
        <f>IFERROR(__xludf.DUMMYFUNCTION("""COMPUTED_VALUE"""),"Sani Moussa Aboubacar")</f>
        <v>Sani Moussa Aboubacar</v>
      </c>
      <c r="B1805" s="16"/>
      <c r="C1805" s="14"/>
      <c r="F1805" s="16" t="str">
        <f>IFERROR(__xludf.DUMMYFUNCTION("""COMPUTED_VALUE"""),"Tchaba Maiguizo")</f>
        <v>Tchaba Maiguizo</v>
      </c>
      <c r="G1805" s="16"/>
      <c r="H1805" s="14"/>
      <c r="K1805" s="16">
        <f>IFERROR(__xludf.DUMMYFUNCTION("""COMPUTED_VALUE"""),586.0)</f>
        <v>586</v>
      </c>
      <c r="L1805" s="16"/>
      <c r="M1805" s="14"/>
    </row>
    <row r="1806">
      <c r="A1806" s="16" t="str">
        <f>IFERROR(__xludf.DUMMYFUNCTION("""COMPUTED_VALUE"""),"Sani Moussa Aboubacar")</f>
        <v>Sani Moussa Aboubacar</v>
      </c>
      <c r="B1806" s="16"/>
      <c r="C1806" s="14"/>
      <c r="F1806" s="16" t="str">
        <f>IFERROR(__xludf.DUMMYFUNCTION("""COMPUTED_VALUE"""),"Tchaba Maiguizo")</f>
        <v>Tchaba Maiguizo</v>
      </c>
      <c r="G1806" s="16"/>
      <c r="H1806" s="14"/>
      <c r="K1806" s="16">
        <f>IFERROR(__xludf.DUMMYFUNCTION("""COMPUTED_VALUE"""),667.0)</f>
        <v>667</v>
      </c>
      <c r="L1806" s="16"/>
      <c r="M1806" s="14"/>
    </row>
    <row r="1807">
      <c r="A1807" s="16" t="str">
        <f>IFERROR(__xludf.DUMMYFUNCTION("""COMPUTED_VALUE"""),"Sani Moussa Aboubacar")</f>
        <v>Sani Moussa Aboubacar</v>
      </c>
      <c r="B1807" s="16"/>
      <c r="C1807" s="14"/>
      <c r="F1807" s="16" t="str">
        <f>IFERROR(__xludf.DUMMYFUNCTION("""COMPUTED_VALUE"""),"Tchaba Maiguizo")</f>
        <v>Tchaba Maiguizo</v>
      </c>
      <c r="G1807" s="16"/>
      <c r="H1807" s="14"/>
      <c r="K1807" s="16">
        <f>IFERROR(__xludf.DUMMYFUNCTION("""COMPUTED_VALUE"""),478.0)</f>
        <v>478</v>
      </c>
      <c r="L1807" s="16"/>
      <c r="M1807" s="14"/>
    </row>
    <row r="1808">
      <c r="A1808" s="16" t="str">
        <f>IFERROR(__xludf.DUMMYFUNCTION("""COMPUTED_VALUE"""),"Sani Moussa Aboubacar")</f>
        <v>Sani Moussa Aboubacar</v>
      </c>
      <c r="B1808" s="16"/>
      <c r="C1808" s="14"/>
      <c r="F1808" s="16" t="str">
        <f>IFERROR(__xludf.DUMMYFUNCTION("""COMPUTED_VALUE"""),"Satourou")</f>
        <v>Satourou</v>
      </c>
      <c r="G1808" s="16"/>
      <c r="H1808" s="14"/>
      <c r="K1808" s="16">
        <f>IFERROR(__xludf.DUMMYFUNCTION("""COMPUTED_VALUE"""),537.0)</f>
        <v>537</v>
      </c>
      <c r="L1808" s="16"/>
      <c r="M1808" s="14"/>
    </row>
    <row r="1809">
      <c r="A1809" s="16" t="str">
        <f>IFERROR(__xludf.DUMMYFUNCTION("""COMPUTED_VALUE"""),"Sani Moussa Aboubacar")</f>
        <v>Sani Moussa Aboubacar</v>
      </c>
      <c r="B1809" s="16"/>
      <c r="C1809" s="14"/>
      <c r="F1809" s="16" t="str">
        <f>IFERROR(__xludf.DUMMYFUNCTION("""COMPUTED_VALUE"""),"Kalalé")</f>
        <v>Kalalé</v>
      </c>
      <c r="G1809" s="16"/>
      <c r="H1809" s="14"/>
      <c r="K1809" s="16">
        <f>IFERROR(__xludf.DUMMYFUNCTION("""COMPUTED_VALUE"""),265.0)</f>
        <v>265</v>
      </c>
      <c r="L1809" s="16"/>
      <c r="M1809" s="14"/>
    </row>
    <row r="1810">
      <c r="A1810" s="16" t="str">
        <f>IFERROR(__xludf.DUMMYFUNCTION("""COMPUTED_VALUE"""),"Issoufou Amadou Aichatou")</f>
        <v>Issoufou Amadou Aichatou</v>
      </c>
      <c r="B1810" s="16"/>
      <c r="C1810" s="14"/>
      <c r="F1810" s="16" t="str">
        <f>IFERROR(__xludf.DUMMYFUNCTION("""COMPUTED_VALUE"""),"Kalalé")</f>
        <v>Kalalé</v>
      </c>
      <c r="G1810" s="16"/>
      <c r="H1810" s="14"/>
      <c r="K1810" s="16">
        <f>IFERROR(__xludf.DUMMYFUNCTION("""COMPUTED_VALUE"""),566.0)</f>
        <v>566</v>
      </c>
      <c r="L1810" s="16"/>
      <c r="M1810" s="14"/>
    </row>
    <row r="1811">
      <c r="A1811" s="16" t="str">
        <f>IFERROR(__xludf.DUMMYFUNCTION("""COMPUTED_VALUE"""),"Issoufou Amadou Aichatou")</f>
        <v>Issoufou Amadou Aichatou</v>
      </c>
      <c r="B1811" s="16"/>
      <c r="C1811" s="14"/>
      <c r="F1811" s="16" t="str">
        <f>IFERROR(__xludf.DUMMYFUNCTION("""COMPUTED_VALUE"""),"Kalalé")</f>
        <v>Kalalé</v>
      </c>
      <c r="G1811" s="16"/>
      <c r="H1811" s="14"/>
      <c r="K1811" s="16">
        <f>IFERROR(__xludf.DUMMYFUNCTION("""COMPUTED_VALUE"""),2143.0)</f>
        <v>2143</v>
      </c>
      <c r="L1811" s="16"/>
      <c r="M1811" s="14"/>
    </row>
    <row r="1812">
      <c r="A1812" s="16" t="str">
        <f>IFERROR(__xludf.DUMMYFUNCTION("""COMPUTED_VALUE"""),"Larabou Chamsoudine")</f>
        <v>Larabou Chamsoudine</v>
      </c>
      <c r="B1812" s="16"/>
      <c r="C1812" s="14"/>
      <c r="F1812" s="16" t="str">
        <f>IFERROR(__xludf.DUMMYFUNCTION("""COMPUTED_VALUE"""),"Satourou")</f>
        <v>Satourou</v>
      </c>
      <c r="G1812" s="16"/>
      <c r="H1812" s="14"/>
      <c r="K1812" s="16">
        <f>IFERROR(__xludf.DUMMYFUNCTION("""COMPUTED_VALUE"""),1798.0)</f>
        <v>1798</v>
      </c>
      <c r="L1812" s="16"/>
      <c r="M1812" s="14"/>
    </row>
    <row r="1813">
      <c r="A1813" s="16" t="str">
        <f>IFERROR(__xludf.DUMMYFUNCTION("""COMPUTED_VALUE"""),"Larabou Chamsoudine")</f>
        <v>Larabou Chamsoudine</v>
      </c>
      <c r="B1813" s="16"/>
      <c r="C1813" s="14"/>
      <c r="F1813" s="16" t="str">
        <f>IFERROR(__xludf.DUMMYFUNCTION("""COMPUTED_VALUE"""),"Satourou")</f>
        <v>Satourou</v>
      </c>
      <c r="G1813" s="16"/>
      <c r="H1813" s="14"/>
      <c r="K1813" s="16">
        <f>IFERROR(__xludf.DUMMYFUNCTION("""COMPUTED_VALUE"""),1429.0)</f>
        <v>1429</v>
      </c>
      <c r="L1813" s="16"/>
      <c r="M1813" s="14"/>
    </row>
    <row r="1814">
      <c r="A1814" s="16" t="str">
        <f>IFERROR(__xludf.DUMMYFUNCTION("""COMPUTED_VALUE"""),"Larabou Chamsoudine")</f>
        <v>Larabou Chamsoudine</v>
      </c>
      <c r="B1814" s="16"/>
      <c r="C1814" s="14"/>
      <c r="F1814" s="16" t="str">
        <f>IFERROR(__xludf.DUMMYFUNCTION("""COMPUTED_VALUE"""),"Satourou")</f>
        <v>Satourou</v>
      </c>
      <c r="G1814" s="16"/>
      <c r="H1814" s="14"/>
      <c r="K1814" s="16">
        <f>IFERROR(__xludf.DUMMYFUNCTION("""COMPUTED_VALUE"""),911.0)</f>
        <v>911</v>
      </c>
      <c r="L1814" s="16"/>
      <c r="M1814" s="14"/>
    </row>
    <row r="1815">
      <c r="A1815" s="16" t="str">
        <f>IFERROR(__xludf.DUMMYFUNCTION("""COMPUTED_VALUE"""),"Larabou Chamsoudine")</f>
        <v>Larabou Chamsoudine</v>
      </c>
      <c r="B1815" s="16"/>
      <c r="C1815" s="14"/>
      <c r="F1815" s="16" t="str">
        <f>IFERROR(__xludf.DUMMYFUNCTION("""COMPUTED_VALUE"""),"Satourou")</f>
        <v>Satourou</v>
      </c>
      <c r="G1815" s="16"/>
      <c r="H1815" s="14"/>
      <c r="K1815" s="16">
        <f>IFERROR(__xludf.DUMMYFUNCTION("""COMPUTED_VALUE"""),519.0)</f>
        <v>519</v>
      </c>
      <c r="L1815" s="16"/>
      <c r="M1815" s="14"/>
    </row>
    <row r="1816">
      <c r="A1816" s="16" t="str">
        <f>IFERROR(__xludf.DUMMYFUNCTION("""COMPUTED_VALUE"""),"Kadidja Issaka Hamidou")</f>
        <v>Kadidja Issaka Hamidou</v>
      </c>
      <c r="B1816" s="16"/>
      <c r="C1816" s="14"/>
      <c r="F1816" s="16" t="str">
        <f>IFERROR(__xludf.DUMMYFUNCTION("""COMPUTED_VALUE"""),"Toundou Kou")</f>
        <v>Toundou Kou</v>
      </c>
      <c r="G1816" s="16"/>
      <c r="H1816" s="14"/>
      <c r="K1816" s="16">
        <f>IFERROR(__xludf.DUMMYFUNCTION("""COMPUTED_VALUE"""),733.0)</f>
        <v>733</v>
      </c>
      <c r="L1816" s="16"/>
      <c r="M1816" s="14"/>
    </row>
    <row r="1817">
      <c r="A1817" s="16" t="str">
        <f>IFERROR(__xludf.DUMMYFUNCTION("""COMPUTED_VALUE"""),"Kadidja Issaka Hamidou")</f>
        <v>Kadidja Issaka Hamidou</v>
      </c>
      <c r="B1817" s="16"/>
      <c r="C1817" s="14"/>
      <c r="F1817" s="16" t="str">
        <f>IFERROR(__xludf.DUMMYFUNCTION("""COMPUTED_VALUE"""),"Toundou Kou")</f>
        <v>Toundou Kou</v>
      </c>
      <c r="G1817" s="16"/>
      <c r="H1817" s="14"/>
      <c r="K1817" s="16">
        <f>IFERROR(__xludf.DUMMYFUNCTION("""COMPUTED_VALUE"""),580.0)</f>
        <v>580</v>
      </c>
      <c r="L1817" s="16"/>
      <c r="M1817" s="14"/>
    </row>
    <row r="1818">
      <c r="A1818" s="16" t="str">
        <f>IFERROR(__xludf.DUMMYFUNCTION("""COMPUTED_VALUE"""),"Kadidja Issaka Hamidou")</f>
        <v>Kadidja Issaka Hamidou</v>
      </c>
      <c r="B1818" s="16"/>
      <c r="C1818" s="14"/>
      <c r="F1818" s="16" t="str">
        <f>IFERROR(__xludf.DUMMYFUNCTION("""COMPUTED_VALUE"""),"Toundou Kou")</f>
        <v>Toundou Kou</v>
      </c>
      <c r="G1818" s="16"/>
      <c r="H1818" s="14"/>
      <c r="K1818" s="16">
        <f>IFERROR(__xludf.DUMMYFUNCTION("""COMPUTED_VALUE"""),1812.0)</f>
        <v>1812</v>
      </c>
      <c r="L1818" s="16"/>
      <c r="M1818" s="14"/>
    </row>
    <row r="1819">
      <c r="A1819" s="16" t="str">
        <f>IFERROR(__xludf.DUMMYFUNCTION("""COMPUTED_VALUE"""),"Kadidja Issaka Hamidou")</f>
        <v>Kadidja Issaka Hamidou</v>
      </c>
      <c r="B1819" s="16"/>
      <c r="C1819" s="14"/>
      <c r="F1819" s="16" t="str">
        <f>IFERROR(__xludf.DUMMYFUNCTION("""COMPUTED_VALUE"""),"Toundou Kou")</f>
        <v>Toundou Kou</v>
      </c>
      <c r="G1819" s="16"/>
      <c r="H1819" s="14"/>
      <c r="K1819" s="16">
        <f>IFERROR(__xludf.DUMMYFUNCTION("""COMPUTED_VALUE"""),1736.0)</f>
        <v>1736</v>
      </c>
      <c r="L1819" s="16"/>
      <c r="M1819" s="14"/>
    </row>
    <row r="1820">
      <c r="A1820" s="16" t="str">
        <f>IFERROR(__xludf.DUMMYFUNCTION("""COMPUTED_VALUE"""),"Maman Ado Abdourahamane")</f>
        <v>Maman Ado Abdourahamane</v>
      </c>
      <c r="B1820" s="16"/>
      <c r="C1820" s="14"/>
      <c r="F1820" s="16" t="str">
        <f>IFERROR(__xludf.DUMMYFUNCTION("""COMPUTED_VALUE"""),"Kalalé")</f>
        <v>Kalalé</v>
      </c>
      <c r="G1820" s="16"/>
      <c r="H1820" s="14"/>
      <c r="K1820" s="16">
        <f>IFERROR(__xludf.DUMMYFUNCTION("""COMPUTED_VALUE"""),246.0)</f>
        <v>246</v>
      </c>
      <c r="L1820" s="16"/>
      <c r="M1820" s="14"/>
    </row>
    <row r="1821">
      <c r="A1821" s="16" t="str">
        <f>IFERROR(__xludf.DUMMYFUNCTION("""COMPUTED_VALUE"""),"Maman Ado Abdourahamane")</f>
        <v>Maman Ado Abdourahamane</v>
      </c>
      <c r="B1821" s="16"/>
      <c r="C1821" s="14"/>
      <c r="F1821" s="16" t="str">
        <f>IFERROR(__xludf.DUMMYFUNCTION("""COMPUTED_VALUE"""),"Kalalé")</f>
        <v>Kalalé</v>
      </c>
      <c r="G1821" s="16"/>
      <c r="H1821" s="14"/>
      <c r="K1821" s="16">
        <f>IFERROR(__xludf.DUMMYFUNCTION("""COMPUTED_VALUE"""),301.0)</f>
        <v>301</v>
      </c>
      <c r="L1821" s="16"/>
      <c r="M1821" s="14"/>
    </row>
    <row r="1822">
      <c r="A1822" s="16" t="str">
        <f>IFERROR(__xludf.DUMMYFUNCTION("""COMPUTED_VALUE"""),"Maman Ado Abdourahamane")</f>
        <v>Maman Ado Abdourahamane</v>
      </c>
      <c r="B1822" s="16"/>
      <c r="C1822" s="14"/>
      <c r="F1822" s="16" t="str">
        <f>IFERROR(__xludf.DUMMYFUNCTION("""COMPUTED_VALUE"""),"Sabon Sara")</f>
        <v>Sabon Sara</v>
      </c>
      <c r="G1822" s="16"/>
      <c r="H1822" s="14"/>
      <c r="K1822" s="16">
        <f>IFERROR(__xludf.DUMMYFUNCTION("""COMPUTED_VALUE"""),866.0)</f>
        <v>866</v>
      </c>
      <c r="L1822" s="16"/>
      <c r="M1822" s="14"/>
    </row>
    <row r="1823">
      <c r="A1823" s="16" t="str">
        <f>IFERROR(__xludf.DUMMYFUNCTION("""COMPUTED_VALUE"""),"Maman Ado Abdourahamane")</f>
        <v>Maman Ado Abdourahamane</v>
      </c>
      <c r="B1823" s="16"/>
      <c r="C1823" s="14"/>
      <c r="F1823" s="16" t="str">
        <f>IFERROR(__xludf.DUMMYFUNCTION("""COMPUTED_VALUE"""),"Sabon Sara")</f>
        <v>Sabon Sara</v>
      </c>
      <c r="G1823" s="16"/>
      <c r="H1823" s="14"/>
      <c r="K1823" s="16">
        <f>IFERROR(__xludf.DUMMYFUNCTION("""COMPUTED_VALUE"""),307.0)</f>
        <v>307</v>
      </c>
      <c r="L1823" s="16"/>
      <c r="M1823" s="14"/>
    </row>
    <row r="1824">
      <c r="A1824" s="16" t="str">
        <f>IFERROR(__xludf.DUMMYFUNCTION("""COMPUTED_VALUE"""),"Maman Zayanou Harouna")</f>
        <v>Maman Zayanou Harouna</v>
      </c>
      <c r="B1824" s="16"/>
      <c r="C1824" s="14"/>
      <c r="F1824" s="16" t="str">
        <f>IFERROR(__xludf.DUMMYFUNCTION("""COMPUTED_VALUE"""),"Satourou")</f>
        <v>Satourou</v>
      </c>
      <c r="G1824" s="16"/>
      <c r="H1824" s="14"/>
      <c r="K1824" s="16">
        <f>IFERROR(__xludf.DUMMYFUNCTION("""COMPUTED_VALUE"""),525.0)</f>
        <v>525</v>
      </c>
      <c r="L1824" s="16"/>
      <c r="M1824" s="14"/>
    </row>
    <row r="1825">
      <c r="A1825" s="16" t="str">
        <f>IFERROR(__xludf.DUMMYFUNCTION("""COMPUTED_VALUE"""),"Maman Zayanou Harouna")</f>
        <v>Maman Zayanou Harouna</v>
      </c>
      <c r="B1825" s="16"/>
      <c r="C1825" s="14"/>
      <c r="F1825" s="16" t="str">
        <f>IFERROR(__xludf.DUMMYFUNCTION("""COMPUTED_VALUE"""),"Satourou")</f>
        <v>Satourou</v>
      </c>
      <c r="G1825" s="16"/>
      <c r="H1825" s="14"/>
      <c r="K1825" s="16">
        <f>IFERROR(__xludf.DUMMYFUNCTION("""COMPUTED_VALUE"""),1364.0)</f>
        <v>1364</v>
      </c>
      <c r="L1825" s="16"/>
      <c r="M1825" s="14"/>
    </row>
    <row r="1826">
      <c r="A1826" s="16" t="str">
        <f>IFERROR(__xludf.DUMMYFUNCTION("""COMPUTED_VALUE"""),"Maman Zayanou Harouna")</f>
        <v>Maman Zayanou Harouna</v>
      </c>
      <c r="B1826" s="16"/>
      <c r="C1826" s="14"/>
      <c r="F1826" s="16" t="str">
        <f>IFERROR(__xludf.DUMMYFUNCTION("""COMPUTED_VALUE"""),"Satourou")</f>
        <v>Satourou</v>
      </c>
      <c r="G1826" s="16"/>
      <c r="H1826" s="14"/>
      <c r="K1826" s="16">
        <f>IFERROR(__xludf.DUMMYFUNCTION("""COMPUTED_VALUE"""),273.0)</f>
        <v>273</v>
      </c>
      <c r="L1826" s="16"/>
      <c r="M1826" s="14"/>
    </row>
    <row r="1827">
      <c r="A1827" s="16" t="str">
        <f>IFERROR(__xludf.DUMMYFUNCTION("""COMPUTED_VALUE"""),"Maman Zayanou Harouna")</f>
        <v>Maman Zayanou Harouna</v>
      </c>
      <c r="B1827" s="16"/>
      <c r="C1827" s="14"/>
      <c r="F1827" s="16" t="str">
        <f>IFERROR(__xludf.DUMMYFUNCTION("""COMPUTED_VALUE"""),"Satourou")</f>
        <v>Satourou</v>
      </c>
      <c r="G1827" s="16"/>
      <c r="H1827" s="14"/>
      <c r="K1827" s="16">
        <f>IFERROR(__xludf.DUMMYFUNCTION("""COMPUTED_VALUE"""),532.0)</f>
        <v>532</v>
      </c>
      <c r="L1827" s="16"/>
      <c r="M1827" s="14"/>
    </row>
    <row r="1828">
      <c r="A1828" s="16" t="str">
        <f>IFERROR(__xludf.DUMMYFUNCTION("""COMPUTED_VALUE"""),"Maman Zayanou Harouna")</f>
        <v>Maman Zayanou Harouna</v>
      </c>
      <c r="B1828" s="16"/>
      <c r="C1828" s="14"/>
      <c r="F1828" s="16" t="str">
        <f>IFERROR(__xludf.DUMMYFUNCTION("""COMPUTED_VALUE"""),"Satourou")</f>
        <v>Satourou</v>
      </c>
      <c r="G1828" s="16"/>
      <c r="H1828" s="14"/>
      <c r="K1828" s="16">
        <f>IFERROR(__xludf.DUMMYFUNCTION("""COMPUTED_VALUE"""),440.0)</f>
        <v>440</v>
      </c>
      <c r="L1828" s="16"/>
      <c r="M1828" s="14"/>
    </row>
    <row r="1829">
      <c r="A1829" s="16" t="str">
        <f>IFERROR(__xludf.DUMMYFUNCTION("""COMPUTED_VALUE"""),"Maman Zayanou Harouna")</f>
        <v>Maman Zayanou Harouna</v>
      </c>
      <c r="B1829" s="16"/>
      <c r="C1829" s="14"/>
      <c r="F1829" s="16" t="str">
        <f>IFERROR(__xludf.DUMMYFUNCTION("""COMPUTED_VALUE"""),"Satourou")</f>
        <v>Satourou</v>
      </c>
      <c r="G1829" s="16"/>
      <c r="H1829" s="14"/>
      <c r="K1829" s="16">
        <f>IFERROR(__xludf.DUMMYFUNCTION("""COMPUTED_VALUE"""),2096.0)</f>
        <v>2096</v>
      </c>
      <c r="L1829" s="16"/>
      <c r="M1829" s="14"/>
    </row>
    <row r="1830">
      <c r="A1830" s="16" t="str">
        <f>IFERROR(__xludf.DUMMYFUNCTION("""COMPUTED_VALUE"""),"Maman Zayanou Harouna")</f>
        <v>Maman Zayanou Harouna</v>
      </c>
      <c r="B1830" s="16"/>
      <c r="C1830" s="14"/>
      <c r="F1830" s="16" t="str">
        <f>IFERROR(__xludf.DUMMYFUNCTION("""COMPUTED_VALUE"""),"Satourou")</f>
        <v>Satourou</v>
      </c>
      <c r="G1830" s="16"/>
      <c r="H1830" s="14"/>
      <c r="K1830" s="16">
        <f>IFERROR(__xludf.DUMMYFUNCTION("""COMPUTED_VALUE"""),240.0)</f>
        <v>240</v>
      </c>
      <c r="L1830" s="16"/>
      <c r="M1830" s="14"/>
    </row>
    <row r="1831">
      <c r="A1831" s="16" t="str">
        <f>IFERROR(__xludf.DUMMYFUNCTION("""COMPUTED_VALUE"""),"Maman Zayanou Harouna")</f>
        <v>Maman Zayanou Harouna</v>
      </c>
      <c r="B1831" s="16"/>
      <c r="C1831" s="14"/>
      <c r="F1831" s="16" t="str">
        <f>IFERROR(__xludf.DUMMYFUNCTION("""COMPUTED_VALUE"""),"Sabon Sara")</f>
        <v>Sabon Sara</v>
      </c>
      <c r="G1831" s="16"/>
      <c r="H1831" s="14"/>
      <c r="K1831" s="16">
        <f>IFERROR(__xludf.DUMMYFUNCTION("""COMPUTED_VALUE"""),488.0)</f>
        <v>488</v>
      </c>
      <c r="L1831" s="16"/>
      <c r="M1831" s="14"/>
    </row>
    <row r="1832">
      <c r="A1832" s="16" t="str">
        <f>IFERROR(__xludf.DUMMYFUNCTION("""COMPUTED_VALUE"""),"Maman Zayanou Harouna")</f>
        <v>Maman Zayanou Harouna</v>
      </c>
      <c r="B1832" s="16"/>
      <c r="C1832" s="14"/>
      <c r="F1832" s="16" t="str">
        <f>IFERROR(__xludf.DUMMYFUNCTION("""COMPUTED_VALUE"""),"Batan Warka")</f>
        <v>Batan Warka</v>
      </c>
      <c r="G1832" s="16"/>
      <c r="H1832" s="14"/>
      <c r="K1832" s="16">
        <f>IFERROR(__xludf.DUMMYFUNCTION("""COMPUTED_VALUE"""),323.0)</f>
        <v>323</v>
      </c>
      <c r="L1832" s="16"/>
      <c r="M1832" s="14"/>
    </row>
    <row r="1833">
      <c r="A1833" s="16" t="str">
        <f>IFERROR(__xludf.DUMMYFUNCTION("""COMPUTED_VALUE"""),"Younoussi Bilan Djamila")</f>
        <v>Younoussi Bilan Djamila</v>
      </c>
      <c r="B1833" s="16"/>
      <c r="C1833" s="14"/>
      <c r="F1833" s="16" t="str">
        <f>IFERROR(__xludf.DUMMYFUNCTION("""COMPUTED_VALUE"""),"Batan Warka")</f>
        <v>Batan Warka</v>
      </c>
      <c r="G1833" s="16"/>
      <c r="H1833" s="14"/>
      <c r="K1833" s="16">
        <f>IFERROR(__xludf.DUMMYFUNCTION("""COMPUTED_VALUE"""),282.0)</f>
        <v>282</v>
      </c>
      <c r="L1833" s="16"/>
      <c r="M1833" s="14"/>
    </row>
    <row r="1834">
      <c r="A1834" s="16" t="str">
        <f>IFERROR(__xludf.DUMMYFUNCTION("""COMPUTED_VALUE"""),"Younoussi Bilan Djamila")</f>
        <v>Younoussi Bilan Djamila</v>
      </c>
      <c r="B1834" s="16"/>
      <c r="C1834" s="14"/>
      <c r="F1834" s="16" t="str">
        <f>IFERROR(__xludf.DUMMYFUNCTION("""COMPUTED_VALUE"""),"Batan Warka")</f>
        <v>Batan Warka</v>
      </c>
      <c r="G1834" s="16"/>
      <c r="H1834" s="14"/>
      <c r="K1834" s="16">
        <f>IFERROR(__xludf.DUMMYFUNCTION("""COMPUTED_VALUE"""),1799.0)</f>
        <v>1799</v>
      </c>
      <c r="L1834" s="16"/>
      <c r="M1834" s="14"/>
    </row>
    <row r="1835">
      <c r="A1835" s="16" t="str">
        <f>IFERROR(__xludf.DUMMYFUNCTION("""COMPUTED_VALUE"""),"Adamou Halidou Daouda")</f>
        <v>Adamou Halidou Daouda</v>
      </c>
      <c r="B1835" s="16"/>
      <c r="C1835" s="14"/>
      <c r="F1835" s="16" t="str">
        <f>IFERROR(__xludf.DUMMYFUNCTION("""COMPUTED_VALUE"""),"Batan Warka")</f>
        <v>Batan Warka</v>
      </c>
      <c r="G1835" s="16"/>
      <c r="H1835" s="14"/>
      <c r="K1835" s="16">
        <f>IFERROR(__xludf.DUMMYFUNCTION("""COMPUTED_VALUE"""),262.0)</f>
        <v>262</v>
      </c>
      <c r="L1835" s="16"/>
      <c r="M1835" s="14"/>
    </row>
    <row r="1836">
      <c r="A1836" s="16" t="str">
        <f>IFERROR(__xludf.DUMMYFUNCTION("""COMPUTED_VALUE"""),"Adamou Halidou Daouda")</f>
        <v>Adamou Halidou Daouda</v>
      </c>
      <c r="B1836" s="16"/>
      <c r="C1836" s="14"/>
      <c r="F1836" s="16" t="str">
        <f>IFERROR(__xludf.DUMMYFUNCTION("""COMPUTED_VALUE"""),"Batan Warka")</f>
        <v>Batan Warka</v>
      </c>
      <c r="G1836" s="16"/>
      <c r="H1836" s="14"/>
      <c r="K1836" s="16">
        <f>IFERROR(__xludf.DUMMYFUNCTION("""COMPUTED_VALUE"""),439.0)</f>
        <v>439</v>
      </c>
      <c r="L1836" s="16"/>
      <c r="M1836" s="14"/>
    </row>
    <row r="1837">
      <c r="A1837" s="16" t="str">
        <f>IFERROR(__xludf.DUMMYFUNCTION("""COMPUTED_VALUE"""),"Adamou Halidou Daouda")</f>
        <v>Adamou Halidou Daouda</v>
      </c>
      <c r="B1837" s="16"/>
      <c r="C1837" s="14"/>
      <c r="F1837" s="16" t="str">
        <f>IFERROR(__xludf.DUMMYFUNCTION("""COMPUTED_VALUE"""),"Sabon Sara")</f>
        <v>Sabon Sara</v>
      </c>
      <c r="G1837" s="16"/>
      <c r="H1837" s="14"/>
      <c r="K1837" s="16">
        <f>IFERROR(__xludf.DUMMYFUNCTION("""COMPUTED_VALUE"""),1347.0)</f>
        <v>1347</v>
      </c>
      <c r="L1837" s="16"/>
      <c r="M1837" s="14"/>
    </row>
    <row r="1838">
      <c r="A1838" s="16" t="str">
        <f>IFERROR(__xludf.DUMMYFUNCTION("""COMPUTED_VALUE"""),"Adamou Halidou Daouda")</f>
        <v>Adamou Halidou Daouda</v>
      </c>
      <c r="B1838" s="16"/>
      <c r="C1838" s="14"/>
      <c r="F1838" s="16" t="str">
        <f>IFERROR(__xludf.DUMMYFUNCTION("""COMPUTED_VALUE"""),"Batan Warka")</f>
        <v>Batan Warka</v>
      </c>
      <c r="G1838" s="16"/>
      <c r="H1838" s="14"/>
      <c r="K1838" s="16">
        <f>IFERROR(__xludf.DUMMYFUNCTION("""COMPUTED_VALUE"""),633.0)</f>
        <v>633</v>
      </c>
      <c r="L1838" s="16"/>
      <c r="M1838" s="14"/>
    </row>
    <row r="1839">
      <c r="A1839" s="16" t="str">
        <f>IFERROR(__xludf.DUMMYFUNCTION("""COMPUTED_VALUE"""),"Adamou Halidou Daouda")</f>
        <v>Adamou Halidou Daouda</v>
      </c>
      <c r="B1839" s="16"/>
      <c r="C1839" s="14"/>
      <c r="F1839" s="16" t="str">
        <f>IFERROR(__xludf.DUMMYFUNCTION("""COMPUTED_VALUE"""),"Batan Warka")</f>
        <v>Batan Warka</v>
      </c>
      <c r="G1839" s="16"/>
      <c r="H1839" s="14"/>
      <c r="K1839" s="16">
        <f>IFERROR(__xludf.DUMMYFUNCTION("""COMPUTED_VALUE"""),1017.0)</f>
        <v>1017</v>
      </c>
      <c r="L1839" s="16"/>
      <c r="M1839" s="14"/>
    </row>
    <row r="1840">
      <c r="A1840" s="16" t="str">
        <f>IFERROR(__xludf.DUMMYFUNCTION("""COMPUTED_VALUE"""),"Adamou Halidou Daouda")</f>
        <v>Adamou Halidou Daouda</v>
      </c>
      <c r="B1840" s="16"/>
      <c r="C1840" s="14"/>
      <c r="F1840" s="16" t="str">
        <f>IFERROR(__xludf.DUMMYFUNCTION("""COMPUTED_VALUE"""),"Batan Warka")</f>
        <v>Batan Warka</v>
      </c>
      <c r="G1840" s="16"/>
      <c r="H1840" s="14"/>
      <c r="K1840" s="16">
        <f>IFERROR(__xludf.DUMMYFUNCTION("""COMPUTED_VALUE"""),387.0)</f>
        <v>387</v>
      </c>
      <c r="L1840" s="16"/>
      <c r="M1840" s="14"/>
    </row>
    <row r="1841">
      <c r="A1841" s="16" t="str">
        <f>IFERROR(__xludf.DUMMYFUNCTION("""COMPUTED_VALUE"""),"Adamou Halidou Daouda")</f>
        <v>Adamou Halidou Daouda</v>
      </c>
      <c r="B1841" s="16"/>
      <c r="C1841" s="14"/>
      <c r="F1841" s="16" t="str">
        <f>IFERROR(__xludf.DUMMYFUNCTION("""COMPUTED_VALUE"""),"Batan Warka")</f>
        <v>Batan Warka</v>
      </c>
      <c r="G1841" s="16"/>
      <c r="H1841" s="14"/>
      <c r="K1841" s="16">
        <f>IFERROR(__xludf.DUMMYFUNCTION("""COMPUTED_VALUE"""),405.0)</f>
        <v>405</v>
      </c>
      <c r="L1841" s="16"/>
      <c r="M1841" s="14"/>
    </row>
    <row r="1842">
      <c r="A1842" s="16" t="str">
        <f>IFERROR(__xludf.DUMMYFUNCTION("""COMPUTED_VALUE"""),"Kaltoume Kimba")</f>
        <v>Kaltoume Kimba</v>
      </c>
      <c r="B1842" s="16"/>
      <c r="C1842" s="14"/>
      <c r="F1842" s="16" t="str">
        <f>IFERROR(__xludf.DUMMYFUNCTION("""COMPUTED_VALUE"""),"Batan Warka")</f>
        <v>Batan Warka</v>
      </c>
      <c r="G1842" s="16"/>
      <c r="H1842" s="14"/>
      <c r="K1842" s="16">
        <f>IFERROR(__xludf.DUMMYFUNCTION("""COMPUTED_VALUE"""),516.0)</f>
        <v>516</v>
      </c>
      <c r="L1842" s="16"/>
      <c r="M1842" s="14"/>
    </row>
    <row r="1843">
      <c r="A1843" s="16" t="str">
        <f>IFERROR(__xludf.DUMMYFUNCTION("""COMPUTED_VALUE"""),"Amadou Tidjani Ousmane")</f>
        <v>Amadou Tidjani Ousmane</v>
      </c>
      <c r="B1843" s="16"/>
      <c r="C1843" s="14"/>
      <c r="F1843" s="16" t="str">
        <f>IFERROR(__xludf.DUMMYFUNCTION("""COMPUTED_VALUE"""),"Samo II")</f>
        <v>Samo II</v>
      </c>
      <c r="G1843" s="16"/>
      <c r="H1843" s="14"/>
      <c r="K1843" s="16">
        <f>IFERROR(__xludf.DUMMYFUNCTION("""COMPUTED_VALUE"""),780.0)</f>
        <v>780</v>
      </c>
      <c r="L1843" s="16"/>
      <c r="M1843" s="14"/>
    </row>
    <row r="1844">
      <c r="A1844" s="16" t="str">
        <f>IFERROR(__xludf.DUMMYFUNCTION("""COMPUTED_VALUE"""),"Amadou Hamidou Abdoul Karim")</f>
        <v>Amadou Hamidou Abdoul Karim</v>
      </c>
      <c r="B1844" s="16"/>
      <c r="C1844" s="14"/>
      <c r="F1844" s="16" t="str">
        <f>IFERROR(__xludf.DUMMYFUNCTION("""COMPUTED_VALUE"""),"Samo II")</f>
        <v>Samo II</v>
      </c>
      <c r="G1844" s="16"/>
      <c r="H1844" s="14"/>
      <c r="K1844" s="16">
        <f>IFERROR(__xludf.DUMMYFUNCTION("""COMPUTED_VALUE"""),903.0)</f>
        <v>903</v>
      </c>
      <c r="L1844" s="16"/>
      <c r="M1844" s="14"/>
    </row>
    <row r="1845">
      <c r="A1845" s="16" t="str">
        <f>IFERROR(__xludf.DUMMYFUNCTION("""COMPUTED_VALUE"""),"Amadou Hamidou Abdoul Karim")</f>
        <v>Amadou Hamidou Abdoul Karim</v>
      </c>
      <c r="B1845" s="16"/>
      <c r="C1845" s="14"/>
      <c r="F1845" s="16" t="str">
        <f>IFERROR(__xludf.DUMMYFUNCTION("""COMPUTED_VALUE"""),"Samo II")</f>
        <v>Samo II</v>
      </c>
      <c r="G1845" s="16"/>
      <c r="H1845" s="14"/>
      <c r="K1845" s="16">
        <f>IFERROR(__xludf.DUMMYFUNCTION("""COMPUTED_VALUE"""),688.0)</f>
        <v>688</v>
      </c>
      <c r="L1845" s="16"/>
      <c r="M1845" s="14"/>
    </row>
    <row r="1846">
      <c r="A1846" s="16" t="str">
        <f>IFERROR(__xludf.DUMMYFUNCTION("""COMPUTED_VALUE"""),"Amadou Hamidou Abdoul Karim")</f>
        <v>Amadou Hamidou Abdoul Karim</v>
      </c>
      <c r="B1846" s="16"/>
      <c r="C1846" s="14"/>
      <c r="F1846" s="16" t="str">
        <f>IFERROR(__xludf.DUMMYFUNCTION("""COMPUTED_VALUE"""),"Samo II")</f>
        <v>Samo II</v>
      </c>
      <c r="G1846" s="16"/>
      <c r="H1846" s="14"/>
      <c r="K1846" s="16">
        <f>IFERROR(__xludf.DUMMYFUNCTION("""COMPUTED_VALUE"""),793.0)</f>
        <v>793</v>
      </c>
      <c r="L1846" s="16"/>
      <c r="M1846" s="14"/>
    </row>
    <row r="1847">
      <c r="A1847" s="16" t="str">
        <f>IFERROR(__xludf.DUMMYFUNCTION("""COMPUTED_VALUE"""),"Amadou Hamidou Abdoul Karim")</f>
        <v>Amadou Hamidou Abdoul Karim</v>
      </c>
      <c r="B1847" s="16"/>
      <c r="C1847" s="14"/>
      <c r="F1847" s="16" t="str">
        <f>IFERROR(__xludf.DUMMYFUNCTION("""COMPUTED_VALUE"""),"Tchinahar")</f>
        <v>Tchinahar</v>
      </c>
      <c r="G1847" s="16"/>
      <c r="H1847" s="14"/>
      <c r="K1847" s="16">
        <f>IFERROR(__xludf.DUMMYFUNCTION("""COMPUTED_VALUE"""),474.0)</f>
        <v>474</v>
      </c>
      <c r="L1847" s="16"/>
      <c r="M1847" s="14"/>
    </row>
    <row r="1848">
      <c r="A1848" s="16" t="str">
        <f>IFERROR(__xludf.DUMMYFUNCTION("""COMPUTED_VALUE"""),"Amadou Hamidou Abdoul Karim")</f>
        <v>Amadou Hamidou Abdoul Karim</v>
      </c>
      <c r="B1848" s="16"/>
      <c r="C1848" s="14"/>
      <c r="F1848" s="16" t="str">
        <f>IFERROR(__xludf.DUMMYFUNCTION("""COMPUTED_VALUE"""),"Batan Warka")</f>
        <v>Batan Warka</v>
      </c>
      <c r="G1848" s="16"/>
      <c r="H1848" s="14"/>
      <c r="K1848" s="16">
        <f>IFERROR(__xludf.DUMMYFUNCTION("""COMPUTED_VALUE"""),615.0)</f>
        <v>615</v>
      </c>
      <c r="L1848" s="16"/>
      <c r="M1848" s="14"/>
    </row>
    <row r="1849">
      <c r="A1849" s="16" t="str">
        <f>IFERROR(__xludf.DUMMYFUNCTION("""COMPUTED_VALUE"""),"Amadou Hamidou Abdoul Karim")</f>
        <v>Amadou Hamidou Abdoul Karim</v>
      </c>
      <c r="B1849" s="16"/>
      <c r="C1849" s="14"/>
      <c r="F1849" s="16" t="str">
        <f>IFERROR(__xludf.DUMMYFUNCTION("""COMPUTED_VALUE"""),"Tchinahar")</f>
        <v>Tchinahar</v>
      </c>
      <c r="G1849" s="16"/>
      <c r="H1849" s="14"/>
      <c r="K1849" s="16">
        <f>IFERROR(__xludf.DUMMYFUNCTION("""COMPUTED_VALUE"""),846.0)</f>
        <v>846</v>
      </c>
      <c r="L1849" s="16"/>
      <c r="M1849" s="14"/>
    </row>
    <row r="1850">
      <c r="A1850" s="16" t="str">
        <f>IFERROR(__xludf.DUMMYFUNCTION("""COMPUTED_VALUE"""),"Amadou Hamidou Abdoul Karim")</f>
        <v>Amadou Hamidou Abdoul Karim</v>
      </c>
      <c r="B1850" s="16"/>
      <c r="C1850" s="14"/>
      <c r="F1850" s="16" t="str">
        <f>IFERROR(__xludf.DUMMYFUNCTION("""COMPUTED_VALUE"""),"Tchinahar")</f>
        <v>Tchinahar</v>
      </c>
      <c r="G1850" s="16"/>
      <c r="H1850" s="14"/>
      <c r="K1850" s="16">
        <f>IFERROR(__xludf.DUMMYFUNCTION("""COMPUTED_VALUE"""),607.0)</f>
        <v>607</v>
      </c>
      <c r="L1850" s="16"/>
      <c r="M1850" s="14"/>
    </row>
    <row r="1851">
      <c r="A1851" s="16" t="str">
        <f>IFERROR(__xludf.DUMMYFUNCTION("""COMPUTED_VALUE"""),"Amadou Tidjani Ousmane")</f>
        <v>Amadou Tidjani Ousmane</v>
      </c>
      <c r="B1851" s="16"/>
      <c r="C1851" s="14"/>
      <c r="F1851" s="16" t="str">
        <f>IFERROR(__xludf.DUMMYFUNCTION("""COMPUTED_VALUE"""),"Batan Warka")</f>
        <v>Batan Warka</v>
      </c>
      <c r="G1851" s="16"/>
      <c r="H1851" s="14"/>
      <c r="K1851" s="16">
        <f>IFERROR(__xludf.DUMMYFUNCTION("""COMPUTED_VALUE"""),422.0)</f>
        <v>422</v>
      </c>
      <c r="L1851" s="16"/>
      <c r="M1851" s="14"/>
    </row>
    <row r="1852">
      <c r="A1852" s="16" t="str">
        <f>IFERROR(__xludf.DUMMYFUNCTION("""COMPUTED_VALUE"""),"Amadou Tidjani Ousmane")</f>
        <v>Amadou Tidjani Ousmane</v>
      </c>
      <c r="B1852" s="16"/>
      <c r="C1852" s="14"/>
      <c r="F1852" s="16" t="str">
        <f>IFERROR(__xludf.DUMMYFUNCTION("""COMPUTED_VALUE"""),"Tchinahar")</f>
        <v>Tchinahar</v>
      </c>
      <c r="G1852" s="16"/>
      <c r="H1852" s="14"/>
      <c r="K1852" s="16">
        <f>IFERROR(__xludf.DUMMYFUNCTION("""COMPUTED_VALUE"""),853.0)</f>
        <v>853</v>
      </c>
      <c r="L1852" s="16"/>
      <c r="M1852" s="14"/>
    </row>
    <row r="1853">
      <c r="A1853" s="16" t="str">
        <f>IFERROR(__xludf.DUMMYFUNCTION("""COMPUTED_VALUE"""),"Amadou Tidjani Ousmane")</f>
        <v>Amadou Tidjani Ousmane</v>
      </c>
      <c r="B1853" s="16"/>
      <c r="C1853" s="14"/>
      <c r="F1853" s="16" t="str">
        <f>IFERROR(__xludf.DUMMYFUNCTION("""COMPUTED_VALUE"""),"Batan Warka")</f>
        <v>Batan Warka</v>
      </c>
      <c r="G1853" s="16"/>
      <c r="H1853" s="14"/>
      <c r="K1853" s="16">
        <f>IFERROR(__xludf.DUMMYFUNCTION("""COMPUTED_VALUE"""),454.0)</f>
        <v>454</v>
      </c>
      <c r="L1853" s="16"/>
      <c r="M1853" s="14"/>
    </row>
    <row r="1854">
      <c r="A1854" s="16" t="str">
        <f>IFERROR(__xludf.DUMMYFUNCTION("""COMPUTED_VALUE"""),"Amadou Tidjani Ousmane")</f>
        <v>Amadou Tidjani Ousmane</v>
      </c>
      <c r="B1854" s="16"/>
      <c r="C1854" s="14"/>
      <c r="F1854" s="16" t="str">
        <f>IFERROR(__xludf.DUMMYFUNCTION("""COMPUTED_VALUE"""),"Tchinahar")</f>
        <v>Tchinahar</v>
      </c>
      <c r="G1854" s="16"/>
      <c r="H1854" s="14"/>
      <c r="K1854" s="16">
        <f>IFERROR(__xludf.DUMMYFUNCTION("""COMPUTED_VALUE"""),432.0)</f>
        <v>432</v>
      </c>
      <c r="L1854" s="16"/>
      <c r="M1854" s="14"/>
    </row>
    <row r="1855">
      <c r="A1855" s="16" t="str">
        <f>IFERROR(__xludf.DUMMYFUNCTION("""COMPUTED_VALUE"""),"Amadou Tidjani Ousmane")</f>
        <v>Amadou Tidjani Ousmane</v>
      </c>
      <c r="B1855" s="16"/>
      <c r="C1855" s="14"/>
      <c r="F1855" s="16" t="str">
        <f>IFERROR(__xludf.DUMMYFUNCTION("""COMPUTED_VALUE"""),"Tchinahar")</f>
        <v>Tchinahar</v>
      </c>
      <c r="G1855" s="16"/>
      <c r="H1855" s="14"/>
      <c r="K1855" s="16">
        <f>IFERROR(__xludf.DUMMYFUNCTION("""COMPUTED_VALUE"""),288.0)</f>
        <v>288</v>
      </c>
      <c r="L1855" s="16"/>
      <c r="M1855" s="14"/>
    </row>
    <row r="1856">
      <c r="A1856" s="16" t="str">
        <f>IFERROR(__xludf.DUMMYFUNCTION("""COMPUTED_VALUE"""),"Amadou Tidjani Ousmane")</f>
        <v>Amadou Tidjani Ousmane</v>
      </c>
      <c r="B1856" s="16"/>
      <c r="C1856" s="14"/>
      <c r="F1856" s="16" t="str">
        <f>IFERROR(__xludf.DUMMYFUNCTION("""COMPUTED_VALUE"""),"Batan Warka")</f>
        <v>Batan Warka</v>
      </c>
      <c r="G1856" s="16"/>
      <c r="H1856" s="14"/>
      <c r="K1856" s="16">
        <f>IFERROR(__xludf.DUMMYFUNCTION("""COMPUTED_VALUE"""),280.0)</f>
        <v>280</v>
      </c>
      <c r="L1856" s="16"/>
      <c r="M1856" s="14"/>
    </row>
    <row r="1857">
      <c r="A1857" s="16" t="str">
        <f>IFERROR(__xludf.DUMMYFUNCTION("""COMPUTED_VALUE"""),"Amadou Tidjani Ousmane")</f>
        <v>Amadou Tidjani Ousmane</v>
      </c>
      <c r="B1857" s="16"/>
      <c r="C1857" s="14"/>
      <c r="F1857" s="16" t="str">
        <f>IFERROR(__xludf.DUMMYFUNCTION("""COMPUTED_VALUE"""),"Tchinahar")</f>
        <v>Tchinahar</v>
      </c>
      <c r="G1857" s="16"/>
      <c r="H1857" s="14"/>
      <c r="K1857" s="16">
        <f>IFERROR(__xludf.DUMMYFUNCTION("""COMPUTED_VALUE"""),851.0)</f>
        <v>851</v>
      </c>
      <c r="L1857" s="16"/>
      <c r="M1857" s="14"/>
    </row>
    <row r="1858">
      <c r="A1858" s="16" t="str">
        <f>IFERROR(__xludf.DUMMYFUNCTION("""COMPUTED_VALUE"""),"Aboubacar Hamadou Manga")</f>
        <v>Aboubacar Hamadou Manga</v>
      </c>
      <c r="B1858" s="16"/>
      <c r="C1858" s="14"/>
      <c r="F1858" s="16" t="str">
        <f>IFERROR(__xludf.DUMMYFUNCTION("""COMPUTED_VALUE"""),"Batan Warka")</f>
        <v>Batan Warka</v>
      </c>
      <c r="G1858" s="16"/>
      <c r="H1858" s="14"/>
      <c r="K1858" s="16">
        <f>IFERROR(__xludf.DUMMYFUNCTION("""COMPUTED_VALUE"""),1296.0)</f>
        <v>1296</v>
      </c>
      <c r="L1858" s="16"/>
      <c r="M1858" s="14"/>
    </row>
    <row r="1859">
      <c r="A1859" s="16" t="str">
        <f>IFERROR(__xludf.DUMMYFUNCTION("""COMPUTED_VALUE"""),"Aboubacar Hamadou Manga")</f>
        <v>Aboubacar Hamadou Manga</v>
      </c>
      <c r="B1859" s="16"/>
      <c r="C1859" s="14"/>
      <c r="F1859" s="16" t="str">
        <f>IFERROR(__xludf.DUMMYFUNCTION("""COMPUTED_VALUE"""),"Tchinahar")</f>
        <v>Tchinahar</v>
      </c>
      <c r="G1859" s="16"/>
      <c r="H1859" s="14"/>
      <c r="K1859" s="16">
        <f>IFERROR(__xludf.DUMMYFUNCTION("""COMPUTED_VALUE"""),600.0)</f>
        <v>600</v>
      </c>
      <c r="L1859" s="16"/>
      <c r="M1859" s="14"/>
    </row>
    <row r="1860">
      <c r="A1860" s="16" t="str">
        <f>IFERROR(__xludf.DUMMYFUNCTION("""COMPUTED_VALUE"""),"Elhaji Abdou Leilata")</f>
        <v>Elhaji Abdou Leilata</v>
      </c>
      <c r="B1860" s="16"/>
      <c r="C1860" s="14"/>
      <c r="F1860" s="16" t="str">
        <f>IFERROR(__xludf.DUMMYFUNCTION("""COMPUTED_VALUE"""),"Tchinahar")</f>
        <v>Tchinahar</v>
      </c>
      <c r="G1860" s="16"/>
      <c r="H1860" s="14"/>
      <c r="K1860" s="16">
        <f>IFERROR(__xludf.DUMMYFUNCTION("""COMPUTED_VALUE"""),453.0)</f>
        <v>453</v>
      </c>
      <c r="L1860" s="16"/>
      <c r="M1860" s="14"/>
    </row>
    <row r="1861">
      <c r="A1861" s="16" t="str">
        <f>IFERROR(__xludf.DUMMYFUNCTION("""COMPUTED_VALUE"""),"Aboubacar Hamadou Manga")</f>
        <v>Aboubacar Hamadou Manga</v>
      </c>
      <c r="B1861" s="16"/>
      <c r="C1861" s="14"/>
      <c r="F1861" s="16" t="str">
        <f>IFERROR(__xludf.DUMMYFUNCTION("""COMPUTED_VALUE"""),"Batan Warka")</f>
        <v>Batan Warka</v>
      </c>
      <c r="G1861" s="16"/>
      <c r="H1861" s="14"/>
      <c r="K1861" s="16">
        <f>IFERROR(__xludf.DUMMYFUNCTION("""COMPUTED_VALUE"""),409.0)</f>
        <v>409</v>
      </c>
      <c r="L1861" s="16"/>
      <c r="M1861" s="14"/>
    </row>
    <row r="1862">
      <c r="A1862" s="16" t="str">
        <f>IFERROR(__xludf.DUMMYFUNCTION("""COMPUTED_VALUE"""),"Elhaji Abdou Leilata")</f>
        <v>Elhaji Abdou Leilata</v>
      </c>
      <c r="B1862" s="16"/>
      <c r="C1862" s="14"/>
      <c r="F1862" s="16" t="str">
        <f>IFERROR(__xludf.DUMMYFUNCTION("""COMPUTED_VALUE"""),"Tchinahar")</f>
        <v>Tchinahar</v>
      </c>
      <c r="G1862" s="16"/>
      <c r="H1862" s="14"/>
      <c r="K1862" s="16">
        <f>IFERROR(__xludf.DUMMYFUNCTION("""COMPUTED_VALUE"""),1231.0)</f>
        <v>1231</v>
      </c>
      <c r="L1862" s="16"/>
      <c r="M1862" s="14"/>
    </row>
    <row r="1863">
      <c r="A1863" s="16" t="str">
        <f>IFERROR(__xludf.DUMMYFUNCTION("""COMPUTED_VALUE"""),"Aboubacar Hamadou Manga")</f>
        <v>Aboubacar Hamadou Manga</v>
      </c>
      <c r="B1863" s="16"/>
      <c r="C1863" s="14"/>
      <c r="F1863" s="16" t="str">
        <f>IFERROR(__xludf.DUMMYFUNCTION("""COMPUTED_VALUE"""),"Tchinahar")</f>
        <v>Tchinahar</v>
      </c>
      <c r="G1863" s="16"/>
      <c r="H1863" s="14"/>
      <c r="K1863" s="16">
        <f>IFERROR(__xludf.DUMMYFUNCTION("""COMPUTED_VALUE"""),396.0)</f>
        <v>396</v>
      </c>
      <c r="L1863" s="16"/>
      <c r="M1863" s="14"/>
    </row>
    <row r="1864">
      <c r="A1864" s="16" t="str">
        <f>IFERROR(__xludf.DUMMYFUNCTION("""COMPUTED_VALUE"""),"Elhaji Abdou Leilata")</f>
        <v>Elhaji Abdou Leilata</v>
      </c>
      <c r="B1864" s="16"/>
      <c r="C1864" s="14"/>
      <c r="F1864" s="16" t="str">
        <f>IFERROR(__xludf.DUMMYFUNCTION("""COMPUTED_VALUE"""),"Tchinahar")</f>
        <v>Tchinahar</v>
      </c>
      <c r="G1864" s="16"/>
      <c r="H1864" s="14"/>
      <c r="K1864" s="16">
        <f>IFERROR(__xludf.DUMMYFUNCTION("""COMPUTED_VALUE"""),1083.0)</f>
        <v>1083</v>
      </c>
      <c r="L1864" s="16"/>
      <c r="M1864" s="14"/>
    </row>
    <row r="1865">
      <c r="A1865" s="16" t="str">
        <f>IFERROR(__xludf.DUMMYFUNCTION("""COMPUTED_VALUE"""),"Kailou Hamidou Rainatou")</f>
        <v>Kailou Hamidou Rainatou</v>
      </c>
      <c r="B1865" s="16"/>
      <c r="C1865" s="14"/>
      <c r="F1865" s="16" t="str">
        <f>IFERROR(__xludf.DUMMYFUNCTION("""COMPUTED_VALUE"""),"Tchinahar")</f>
        <v>Tchinahar</v>
      </c>
      <c r="G1865" s="16"/>
      <c r="H1865" s="14"/>
      <c r="K1865" s="16">
        <f>IFERROR(__xludf.DUMMYFUNCTION("""COMPUTED_VALUE"""),401.0)</f>
        <v>401</v>
      </c>
      <c r="L1865" s="16"/>
      <c r="M1865" s="14"/>
    </row>
    <row r="1866">
      <c r="A1866" s="16" t="str">
        <f>IFERROR(__xludf.DUMMYFUNCTION("""COMPUTED_VALUE"""),"Mohamed Cherif")</f>
        <v>Mohamed Cherif</v>
      </c>
      <c r="B1866" s="16"/>
      <c r="C1866" s="14"/>
      <c r="F1866" s="16" t="str">
        <f>IFERROR(__xludf.DUMMYFUNCTION("""COMPUTED_VALUE"""),"Samo II")</f>
        <v>Samo II</v>
      </c>
      <c r="G1866" s="16"/>
      <c r="H1866" s="14"/>
      <c r="K1866" s="16">
        <f>IFERROR(__xludf.DUMMYFUNCTION("""COMPUTED_VALUE"""),407.0)</f>
        <v>407</v>
      </c>
      <c r="L1866" s="16"/>
      <c r="M1866" s="14"/>
    </row>
    <row r="1867">
      <c r="A1867" s="16" t="str">
        <f>IFERROR(__xludf.DUMMYFUNCTION("""COMPUTED_VALUE"""),"Mohamed Cherif")</f>
        <v>Mohamed Cherif</v>
      </c>
      <c r="B1867" s="16"/>
      <c r="C1867" s="14"/>
      <c r="F1867" s="16" t="str">
        <f>IFERROR(__xludf.DUMMYFUNCTION("""COMPUTED_VALUE"""),"Samo II")</f>
        <v>Samo II</v>
      </c>
      <c r="G1867" s="16"/>
      <c r="H1867" s="14"/>
      <c r="K1867" s="16">
        <f>IFERROR(__xludf.DUMMYFUNCTION("""COMPUTED_VALUE"""),278.0)</f>
        <v>278</v>
      </c>
      <c r="L1867" s="16"/>
      <c r="M1867" s="14"/>
    </row>
    <row r="1868">
      <c r="A1868" s="16" t="str">
        <f>IFERROR(__xludf.DUMMYFUNCTION("""COMPUTED_VALUE"""),"Mohamed Cherif")</f>
        <v>Mohamed Cherif</v>
      </c>
      <c r="B1868" s="16"/>
      <c r="C1868" s="14"/>
      <c r="F1868" s="16" t="str">
        <f>IFERROR(__xludf.DUMMYFUNCTION("""COMPUTED_VALUE"""),"Samo II")</f>
        <v>Samo II</v>
      </c>
      <c r="G1868" s="16"/>
      <c r="H1868" s="14"/>
      <c r="K1868" s="16">
        <f>IFERROR(__xludf.DUMMYFUNCTION("""COMPUTED_VALUE"""),1231.0)</f>
        <v>1231</v>
      </c>
      <c r="L1868" s="16"/>
      <c r="M1868" s="14"/>
    </row>
    <row r="1869">
      <c r="A1869" s="16" t="str">
        <f>IFERROR(__xludf.DUMMYFUNCTION("""COMPUTED_VALUE"""),"Achirou Malam Dan Maradi Nassirou")</f>
        <v>Achirou Malam Dan Maradi Nassirou</v>
      </c>
      <c r="B1869" s="16"/>
      <c r="C1869" s="14"/>
      <c r="F1869" s="16" t="str">
        <f>IFERROR(__xludf.DUMMYFUNCTION("""COMPUTED_VALUE"""),"Samo II")</f>
        <v>Samo II</v>
      </c>
      <c r="G1869" s="16"/>
      <c r="H1869" s="14"/>
      <c r="K1869" s="16">
        <f>IFERROR(__xludf.DUMMYFUNCTION("""COMPUTED_VALUE"""),1719.0)</f>
        <v>1719</v>
      </c>
      <c r="L1869" s="16"/>
      <c r="M1869" s="14"/>
    </row>
    <row r="1870">
      <c r="A1870" s="16" t="str">
        <f>IFERROR(__xludf.DUMMYFUNCTION("""COMPUTED_VALUE"""),"Achirou Malam Dan Maradi Nassirou")</f>
        <v>Achirou Malam Dan Maradi Nassirou</v>
      </c>
      <c r="B1870" s="16"/>
      <c r="C1870" s="14"/>
      <c r="F1870" s="16" t="str">
        <f>IFERROR(__xludf.DUMMYFUNCTION("""COMPUTED_VALUE"""),"Tchaba Maiguizo")</f>
        <v>Tchaba Maiguizo</v>
      </c>
      <c r="G1870" s="16"/>
      <c r="H1870" s="14"/>
      <c r="K1870" s="16">
        <f>IFERROR(__xludf.DUMMYFUNCTION("""COMPUTED_VALUE"""),477.0)</f>
        <v>477</v>
      </c>
      <c r="L1870" s="16"/>
      <c r="M1870" s="14"/>
    </row>
    <row r="1871">
      <c r="A1871" s="16" t="str">
        <f>IFERROR(__xludf.DUMMYFUNCTION("""COMPUTED_VALUE"""),"Achirou Malam Dan Maradi Nassirou")</f>
        <v>Achirou Malam Dan Maradi Nassirou</v>
      </c>
      <c r="B1871" s="16"/>
      <c r="C1871" s="14"/>
      <c r="F1871" s="16" t="str">
        <f>IFERROR(__xludf.DUMMYFUNCTION("""COMPUTED_VALUE"""),"Tchaba Maiguizo")</f>
        <v>Tchaba Maiguizo</v>
      </c>
      <c r="G1871" s="16"/>
      <c r="H1871" s="14"/>
      <c r="K1871" s="16">
        <f>IFERROR(__xludf.DUMMYFUNCTION("""COMPUTED_VALUE"""),825.0)</f>
        <v>825</v>
      </c>
      <c r="L1871" s="16"/>
      <c r="M1871" s="14"/>
    </row>
    <row r="1872">
      <c r="A1872" s="16" t="str">
        <f>IFERROR(__xludf.DUMMYFUNCTION("""COMPUTED_VALUE"""),"ALASSANE TAWEY AWALOU")</f>
        <v>ALASSANE TAWEY AWALOU</v>
      </c>
      <c r="B1872" s="16"/>
      <c r="C1872" s="14"/>
      <c r="F1872" s="16" t="str">
        <f>IFERROR(__xludf.DUMMYFUNCTION("""COMPUTED_VALUE"""),"Tchaba Maiguizo")</f>
        <v>Tchaba Maiguizo</v>
      </c>
      <c r="G1872" s="16"/>
      <c r="H1872" s="14"/>
      <c r="K1872" s="16">
        <f>IFERROR(__xludf.DUMMYFUNCTION("""COMPUTED_VALUE"""),488.0)</f>
        <v>488</v>
      </c>
      <c r="L1872" s="16"/>
      <c r="M1872" s="14"/>
    </row>
    <row r="1873">
      <c r="A1873" s="16" t="str">
        <f>IFERROR(__xludf.DUMMYFUNCTION("""COMPUTED_VALUE"""),"ALASSANE TAWEY AWALOU")</f>
        <v>ALASSANE TAWEY AWALOU</v>
      </c>
      <c r="B1873" s="16"/>
      <c r="C1873" s="14"/>
      <c r="F1873" s="16" t="str">
        <f>IFERROR(__xludf.DUMMYFUNCTION("""COMPUTED_VALUE"""),"Tchaba Maiguizo")</f>
        <v>Tchaba Maiguizo</v>
      </c>
      <c r="G1873" s="16"/>
      <c r="H1873" s="14"/>
      <c r="K1873" s="16">
        <f>IFERROR(__xludf.DUMMYFUNCTION("""COMPUTED_VALUE"""),400.0)</f>
        <v>400</v>
      </c>
      <c r="L1873" s="16"/>
      <c r="M1873" s="14"/>
    </row>
    <row r="1874">
      <c r="A1874" s="16" t="str">
        <f>IFERROR(__xludf.DUMMYFUNCTION("""COMPUTED_VALUE"""),"ALASSANE TAWEY AWALOU")</f>
        <v>ALASSANE TAWEY AWALOU</v>
      </c>
      <c r="B1874" s="16"/>
      <c r="C1874" s="14"/>
      <c r="F1874" s="16" t="str">
        <f>IFERROR(__xludf.DUMMYFUNCTION("""COMPUTED_VALUE"""),"Tchaba Maiguizo")</f>
        <v>Tchaba Maiguizo</v>
      </c>
      <c r="G1874" s="16"/>
      <c r="H1874" s="14"/>
      <c r="K1874" s="16">
        <f>IFERROR(__xludf.DUMMYFUNCTION("""COMPUTED_VALUE"""),279.0)</f>
        <v>279</v>
      </c>
      <c r="L1874" s="16"/>
      <c r="M1874" s="14"/>
    </row>
    <row r="1875">
      <c r="A1875" s="16" t="str">
        <f>IFERROR(__xludf.DUMMYFUNCTION("""COMPUTED_VALUE"""),"ALASSANE TAWEY AWALOU")</f>
        <v>ALASSANE TAWEY AWALOU</v>
      </c>
      <c r="B1875" s="16"/>
      <c r="C1875" s="14"/>
      <c r="F1875" s="16" t="str">
        <f>IFERROR(__xludf.DUMMYFUNCTION("""COMPUTED_VALUE"""),"Tchaba Maiguizo")</f>
        <v>Tchaba Maiguizo</v>
      </c>
      <c r="G1875" s="16"/>
      <c r="H1875" s="14"/>
      <c r="K1875" s="16">
        <f>IFERROR(__xludf.DUMMYFUNCTION("""COMPUTED_VALUE"""),835.0)</f>
        <v>835</v>
      </c>
      <c r="L1875" s="16"/>
      <c r="M1875" s="14"/>
    </row>
    <row r="1876">
      <c r="A1876" s="16" t="str">
        <f>IFERROR(__xludf.DUMMYFUNCTION("""COMPUTED_VALUE"""),"ALASSANE TAWEY AWALOU")</f>
        <v>ALASSANE TAWEY AWALOU</v>
      </c>
      <c r="B1876" s="16"/>
      <c r="C1876" s="14"/>
      <c r="F1876" s="16" t="str">
        <f>IFERROR(__xludf.DUMMYFUNCTION("""COMPUTED_VALUE"""),"Tchaba Maiguizo")</f>
        <v>Tchaba Maiguizo</v>
      </c>
      <c r="G1876" s="16"/>
      <c r="H1876" s="14"/>
      <c r="K1876" s="16">
        <f>IFERROR(__xludf.DUMMYFUNCTION("""COMPUTED_VALUE"""),895.0)</f>
        <v>895</v>
      </c>
      <c r="L1876" s="16"/>
      <c r="M1876" s="14"/>
    </row>
    <row r="1877">
      <c r="A1877" s="16" t="str">
        <f>IFERROR(__xludf.DUMMYFUNCTION("""COMPUTED_VALUE"""),"ALASSANE TAWEY AWALOU")</f>
        <v>ALASSANE TAWEY AWALOU</v>
      </c>
      <c r="B1877" s="16"/>
      <c r="C1877" s="14"/>
      <c r="F1877" s="16" t="str">
        <f>IFERROR(__xludf.DUMMYFUNCTION("""COMPUTED_VALUE"""),"Tchinahar")</f>
        <v>Tchinahar</v>
      </c>
      <c r="G1877" s="16"/>
      <c r="H1877" s="14"/>
      <c r="K1877" s="16">
        <f>IFERROR(__xludf.DUMMYFUNCTION("""COMPUTED_VALUE"""),504.0)</f>
        <v>504</v>
      </c>
      <c r="L1877" s="16"/>
      <c r="M1877" s="14"/>
    </row>
    <row r="1878">
      <c r="A1878" s="16" t="str">
        <f>IFERROR(__xludf.DUMMYFUNCTION("""COMPUTED_VALUE"""),"ALASSANE TAWEY AWALOU")</f>
        <v>ALASSANE TAWEY AWALOU</v>
      </c>
      <c r="B1878" s="16"/>
      <c r="C1878" s="14"/>
      <c r="F1878" s="16" t="str">
        <f>IFERROR(__xludf.DUMMYFUNCTION("""COMPUTED_VALUE"""),"Tchinahar")</f>
        <v>Tchinahar</v>
      </c>
      <c r="G1878" s="16"/>
      <c r="H1878" s="14"/>
      <c r="K1878" s="16">
        <f>IFERROR(__xludf.DUMMYFUNCTION("""COMPUTED_VALUE"""),299.0)</f>
        <v>299</v>
      </c>
      <c r="L1878" s="16"/>
      <c r="M1878" s="14"/>
    </row>
    <row r="1879">
      <c r="A1879" s="16" t="str">
        <f>IFERROR(__xludf.DUMMYFUNCTION("""COMPUTED_VALUE"""),"ALASSANE TAWEY AWALOU")</f>
        <v>ALASSANE TAWEY AWALOU</v>
      </c>
      <c r="B1879" s="16"/>
      <c r="C1879" s="14"/>
      <c r="F1879" s="16" t="str">
        <f>IFERROR(__xludf.DUMMYFUNCTION("""COMPUTED_VALUE"""),"Tchinahar")</f>
        <v>Tchinahar</v>
      </c>
      <c r="G1879" s="16"/>
      <c r="H1879" s="14"/>
      <c r="K1879" s="16">
        <f>IFERROR(__xludf.DUMMYFUNCTION("""COMPUTED_VALUE"""),699.0)</f>
        <v>699</v>
      </c>
      <c r="L1879" s="16"/>
      <c r="M1879" s="14"/>
    </row>
    <row r="1880">
      <c r="A1880" s="16" t="str">
        <f>IFERROR(__xludf.DUMMYFUNCTION("""COMPUTED_VALUE"""),"Ibrahim Dan Habou Larwana")</f>
        <v>Ibrahim Dan Habou Larwana</v>
      </c>
      <c r="B1880" s="16"/>
      <c r="C1880" s="14"/>
      <c r="F1880" s="16" t="str">
        <f>IFERROR(__xludf.DUMMYFUNCTION("""COMPUTED_VALUE"""),"Tchinahar")</f>
        <v>Tchinahar</v>
      </c>
      <c r="G1880" s="16"/>
      <c r="H1880" s="14"/>
      <c r="K1880" s="16">
        <f>IFERROR(__xludf.DUMMYFUNCTION("""COMPUTED_VALUE"""),444.0)</f>
        <v>444</v>
      </c>
      <c r="L1880" s="16"/>
      <c r="M1880" s="14"/>
    </row>
    <row r="1881">
      <c r="A1881" s="16" t="str">
        <f>IFERROR(__xludf.DUMMYFUNCTION("""COMPUTED_VALUE"""),"Ibrahim Dan Habou Larwana")</f>
        <v>Ibrahim Dan Habou Larwana</v>
      </c>
      <c r="B1881" s="16"/>
      <c r="C1881" s="14"/>
      <c r="F1881" s="16" t="str">
        <f>IFERROR(__xludf.DUMMYFUNCTION("""COMPUTED_VALUE"""),"Tchinahar")</f>
        <v>Tchinahar</v>
      </c>
      <c r="G1881" s="16"/>
      <c r="H1881" s="14"/>
      <c r="K1881" s="16">
        <f>IFERROR(__xludf.DUMMYFUNCTION("""COMPUTED_VALUE"""),1535.0)</f>
        <v>1535</v>
      </c>
      <c r="L1881" s="16"/>
      <c r="M1881" s="14"/>
    </row>
    <row r="1882">
      <c r="A1882" s="16" t="str">
        <f>IFERROR(__xludf.DUMMYFUNCTION("""COMPUTED_VALUE"""),"Ibrahim Dan Habou Larwana")</f>
        <v>Ibrahim Dan Habou Larwana</v>
      </c>
      <c r="B1882" s="16"/>
      <c r="C1882" s="14"/>
      <c r="F1882" s="16" t="str">
        <f>IFERROR(__xludf.DUMMYFUNCTION("""COMPUTED_VALUE"""),"Tchinahar")</f>
        <v>Tchinahar</v>
      </c>
      <c r="G1882" s="16"/>
      <c r="H1882" s="14"/>
      <c r="K1882" s="16">
        <f>IFERROR(__xludf.DUMMYFUNCTION("""COMPUTED_VALUE"""),2605.0)</f>
        <v>2605</v>
      </c>
      <c r="L1882" s="16"/>
      <c r="M1882" s="14"/>
    </row>
    <row r="1883">
      <c r="A1883" s="16" t="str">
        <f>IFERROR(__xludf.DUMMYFUNCTION("""COMPUTED_VALUE"""),"Ibrahim Dan Habou Larwana")</f>
        <v>Ibrahim Dan Habou Larwana</v>
      </c>
      <c r="B1883" s="16"/>
      <c r="C1883" s="14"/>
      <c r="F1883" s="16" t="str">
        <f>IFERROR(__xludf.DUMMYFUNCTION("""COMPUTED_VALUE"""),"Batan Warka")</f>
        <v>Batan Warka</v>
      </c>
      <c r="G1883" s="16"/>
      <c r="H1883" s="14"/>
      <c r="K1883" s="16">
        <f>IFERROR(__xludf.DUMMYFUNCTION("""COMPUTED_VALUE"""),1253.0)</f>
        <v>1253</v>
      </c>
      <c r="L1883" s="16"/>
      <c r="M1883" s="14"/>
    </row>
    <row r="1884">
      <c r="A1884" s="16" t="str">
        <f>IFERROR(__xludf.DUMMYFUNCTION("""COMPUTED_VALUE"""),"Ibrahim Dan Habou Larwana")</f>
        <v>Ibrahim Dan Habou Larwana</v>
      </c>
      <c r="B1884" s="16"/>
      <c r="C1884" s="14"/>
      <c r="F1884" s="16" t="str">
        <f>IFERROR(__xludf.DUMMYFUNCTION("""COMPUTED_VALUE"""),"Batan Warka")</f>
        <v>Batan Warka</v>
      </c>
      <c r="G1884" s="16"/>
      <c r="H1884" s="14"/>
      <c r="K1884" s="16">
        <f>IFERROR(__xludf.DUMMYFUNCTION("""COMPUTED_VALUE"""),1917.0)</f>
        <v>1917</v>
      </c>
      <c r="L1884" s="16"/>
      <c r="M1884" s="14"/>
    </row>
    <row r="1885">
      <c r="A1885" s="16" t="str">
        <f>IFERROR(__xludf.DUMMYFUNCTION("""COMPUTED_VALUE"""),"Ibrahim Dan Habou Larwana")</f>
        <v>Ibrahim Dan Habou Larwana</v>
      </c>
      <c r="B1885" s="16"/>
      <c r="C1885" s="14"/>
      <c r="F1885" s="16" t="str">
        <f>IFERROR(__xludf.DUMMYFUNCTION("""COMPUTED_VALUE"""),"Batan Warka")</f>
        <v>Batan Warka</v>
      </c>
      <c r="G1885" s="16"/>
      <c r="H1885" s="14"/>
      <c r="K1885" s="16">
        <f>IFERROR(__xludf.DUMMYFUNCTION("""COMPUTED_VALUE"""),1159.0)</f>
        <v>1159</v>
      </c>
      <c r="L1885" s="16"/>
      <c r="M1885" s="14"/>
    </row>
    <row r="1886">
      <c r="A1886" s="16" t="str">
        <f>IFERROR(__xludf.DUMMYFUNCTION("""COMPUTED_VALUE"""),"Halimatou Adamou Marafa")</f>
        <v>Halimatou Adamou Marafa</v>
      </c>
      <c r="B1886" s="16"/>
      <c r="C1886" s="14"/>
      <c r="F1886" s="16" t="str">
        <f>IFERROR(__xludf.DUMMYFUNCTION("""COMPUTED_VALUE"""),"Batan Warka")</f>
        <v>Batan Warka</v>
      </c>
      <c r="G1886" s="16"/>
      <c r="H1886" s="14"/>
      <c r="K1886" s="16">
        <f>IFERROR(__xludf.DUMMYFUNCTION("""COMPUTED_VALUE"""),476.0)</f>
        <v>476</v>
      </c>
      <c r="L1886" s="16"/>
      <c r="M1886" s="14"/>
    </row>
    <row r="1887">
      <c r="A1887" s="16" t="str">
        <f>IFERROR(__xludf.DUMMYFUNCTION("""COMPUTED_VALUE"""),"Halimatou Adamou Marafa")</f>
        <v>Halimatou Adamou Marafa</v>
      </c>
      <c r="B1887" s="16"/>
      <c r="C1887" s="14"/>
      <c r="F1887" s="16" t="str">
        <f>IFERROR(__xludf.DUMMYFUNCTION("""COMPUTED_VALUE"""),"Batan Warka")</f>
        <v>Batan Warka</v>
      </c>
      <c r="G1887" s="16"/>
      <c r="H1887" s="14"/>
      <c r="K1887" s="16">
        <f>IFERROR(__xludf.DUMMYFUNCTION("""COMPUTED_VALUE"""),381.0)</f>
        <v>381</v>
      </c>
      <c r="L1887" s="16"/>
      <c r="M1887" s="14"/>
    </row>
    <row r="1888">
      <c r="A1888" s="16" t="str">
        <f>IFERROR(__xludf.DUMMYFUNCTION("""COMPUTED_VALUE"""),"Halimatou Adamou Marafa")</f>
        <v>Halimatou Adamou Marafa</v>
      </c>
      <c r="B1888" s="16"/>
      <c r="C1888" s="14"/>
      <c r="F1888" s="16" t="str">
        <f>IFERROR(__xludf.DUMMYFUNCTION("""COMPUTED_VALUE"""),"Er Tsanna")</f>
        <v>Er Tsanna</v>
      </c>
      <c r="G1888" s="16"/>
      <c r="H1888" s="14"/>
      <c r="K1888" s="16">
        <f>IFERROR(__xludf.DUMMYFUNCTION("""COMPUTED_VALUE"""),2133.0)</f>
        <v>2133</v>
      </c>
      <c r="L1888" s="16"/>
      <c r="M1888" s="14"/>
    </row>
    <row r="1889">
      <c r="A1889" s="16" t="str">
        <f>IFERROR(__xludf.DUMMYFUNCTION("""COMPUTED_VALUE"""),"Moussa Ide Ibrahim")</f>
        <v>Moussa Ide Ibrahim</v>
      </c>
      <c r="B1889" s="16"/>
      <c r="C1889" s="14"/>
      <c r="F1889" s="16" t="str">
        <f>IFERROR(__xludf.DUMMYFUNCTION("""COMPUTED_VALUE"""),"Er Tsanna")</f>
        <v>Er Tsanna</v>
      </c>
      <c r="G1889" s="16"/>
      <c r="H1889" s="14"/>
      <c r="K1889" s="16">
        <f>IFERROR(__xludf.DUMMYFUNCTION("""COMPUTED_VALUE"""),228.0)</f>
        <v>228</v>
      </c>
      <c r="L1889" s="16"/>
      <c r="M1889" s="14"/>
    </row>
    <row r="1890">
      <c r="A1890" s="16" t="str">
        <f>IFERROR(__xludf.DUMMYFUNCTION("""COMPUTED_VALUE"""),"Moussa Ide Ibrahim")</f>
        <v>Moussa Ide Ibrahim</v>
      </c>
      <c r="B1890" s="16"/>
      <c r="C1890" s="14"/>
      <c r="F1890" s="16" t="str">
        <f>IFERROR(__xludf.DUMMYFUNCTION("""COMPUTED_VALUE"""),"Koufan Tahoua")</f>
        <v>Koufan Tahoua</v>
      </c>
      <c r="G1890" s="16"/>
      <c r="H1890" s="14"/>
      <c r="K1890" s="16">
        <f>IFERROR(__xludf.DUMMYFUNCTION("""COMPUTED_VALUE"""),472.0)</f>
        <v>472</v>
      </c>
      <c r="L1890" s="16"/>
      <c r="M1890" s="14"/>
    </row>
    <row r="1891">
      <c r="A1891" s="16" t="str">
        <f>IFERROR(__xludf.DUMMYFUNCTION("""COMPUTED_VALUE"""),"Moussa Ide Ibrahim")</f>
        <v>Moussa Ide Ibrahim</v>
      </c>
      <c r="B1891" s="16"/>
      <c r="C1891" s="14"/>
      <c r="F1891" s="16" t="str">
        <f>IFERROR(__xludf.DUMMYFUNCTION("""COMPUTED_VALUE"""),"Koufan Tahoua")</f>
        <v>Koufan Tahoua</v>
      </c>
      <c r="G1891" s="16"/>
      <c r="H1891" s="14"/>
      <c r="K1891" s="16">
        <f>IFERROR(__xludf.DUMMYFUNCTION("""COMPUTED_VALUE"""),204.0)</f>
        <v>204</v>
      </c>
      <c r="L1891" s="16"/>
      <c r="M1891" s="14"/>
    </row>
    <row r="1892">
      <c r="A1892" s="16" t="str">
        <f>IFERROR(__xludf.DUMMYFUNCTION("""COMPUTED_VALUE"""),"Moussa Ide Ibrahim")</f>
        <v>Moussa Ide Ibrahim</v>
      </c>
      <c r="B1892" s="16"/>
      <c r="C1892" s="14"/>
      <c r="F1892" s="16" t="str">
        <f>IFERROR(__xludf.DUMMYFUNCTION("""COMPUTED_VALUE"""),"Koufan Tahoua")</f>
        <v>Koufan Tahoua</v>
      </c>
      <c r="G1892" s="16"/>
      <c r="H1892" s="14"/>
      <c r="K1892" s="16">
        <f>IFERROR(__xludf.DUMMYFUNCTION("""COMPUTED_VALUE"""),602.0)</f>
        <v>602</v>
      </c>
      <c r="L1892" s="16"/>
      <c r="M1892" s="14"/>
    </row>
    <row r="1893">
      <c r="A1893" s="16" t="str">
        <f>IFERROR(__xludf.DUMMYFUNCTION("""COMPUTED_VALUE"""),"Moussa Ide Ibrahim")</f>
        <v>Moussa Ide Ibrahim</v>
      </c>
      <c r="B1893" s="16"/>
      <c r="C1893" s="14"/>
      <c r="F1893" s="16" t="str">
        <f>IFERROR(__xludf.DUMMYFUNCTION("""COMPUTED_VALUE"""),"Koufan Tahoua")</f>
        <v>Koufan Tahoua</v>
      </c>
      <c r="G1893" s="16"/>
      <c r="H1893" s="14"/>
      <c r="K1893" s="16">
        <f>IFERROR(__xludf.DUMMYFUNCTION("""COMPUTED_VALUE"""),564.0)</f>
        <v>564</v>
      </c>
      <c r="L1893" s="16"/>
      <c r="M1893" s="14"/>
    </row>
    <row r="1894">
      <c r="A1894" s="16" t="str">
        <f>IFERROR(__xludf.DUMMYFUNCTION("""COMPUTED_VALUE"""),"Moussa Ide Ibrahim")</f>
        <v>Moussa Ide Ibrahim</v>
      </c>
      <c r="B1894" s="16"/>
      <c r="C1894" s="14"/>
      <c r="F1894" s="16" t="str">
        <f>IFERROR(__xludf.DUMMYFUNCTION("""COMPUTED_VALUE"""),"Koufan Tahoua")</f>
        <v>Koufan Tahoua</v>
      </c>
      <c r="G1894" s="16"/>
      <c r="H1894" s="14"/>
      <c r="K1894" s="16">
        <f>IFERROR(__xludf.DUMMYFUNCTION("""COMPUTED_VALUE"""),175.0)</f>
        <v>175</v>
      </c>
      <c r="L1894" s="16"/>
      <c r="M1894" s="14"/>
    </row>
    <row r="1895">
      <c r="A1895" s="16" t="str">
        <f>IFERROR(__xludf.DUMMYFUNCTION("""COMPUTED_VALUE"""),"Moussa Ide Ibrahim")</f>
        <v>Moussa Ide Ibrahim</v>
      </c>
      <c r="B1895" s="16"/>
      <c r="C1895" s="14"/>
      <c r="F1895" s="16" t="str">
        <f>IFERROR(__xludf.DUMMYFUNCTION("""COMPUTED_VALUE"""),"Koufan Tahoua")</f>
        <v>Koufan Tahoua</v>
      </c>
      <c r="G1895" s="16"/>
      <c r="H1895" s="14"/>
      <c r="K1895" s="16">
        <f>IFERROR(__xludf.DUMMYFUNCTION("""COMPUTED_VALUE"""),931.0)</f>
        <v>931</v>
      </c>
      <c r="L1895" s="16"/>
      <c r="M1895" s="14"/>
    </row>
    <row r="1896">
      <c r="A1896" s="16" t="str">
        <f>IFERROR(__xludf.DUMMYFUNCTION("""COMPUTED_VALUE"""),"Moussa Ide Ibrahim")</f>
        <v>Moussa Ide Ibrahim</v>
      </c>
      <c r="B1896" s="16"/>
      <c r="C1896" s="14"/>
      <c r="F1896" s="16" t="str">
        <f>IFERROR(__xludf.DUMMYFUNCTION("""COMPUTED_VALUE"""),"Koufan Tahoua")</f>
        <v>Koufan Tahoua</v>
      </c>
      <c r="G1896" s="16"/>
      <c r="H1896" s="14"/>
      <c r="K1896" s="16">
        <f>IFERROR(__xludf.DUMMYFUNCTION("""COMPUTED_VALUE"""),680.0)</f>
        <v>680</v>
      </c>
      <c r="L1896" s="16"/>
      <c r="M1896" s="14"/>
    </row>
    <row r="1897">
      <c r="A1897" s="16" t="str">
        <f>IFERROR(__xludf.DUMMYFUNCTION("""COMPUTED_VALUE"""),"Kimba Issa Mamoudou")</f>
        <v>Kimba Issa Mamoudou</v>
      </c>
      <c r="B1897" s="16"/>
      <c r="C1897" s="14"/>
      <c r="F1897" s="16" t="str">
        <f>IFERROR(__xludf.DUMMYFUNCTION("""COMPUTED_VALUE"""),"Koufan Tahoua")</f>
        <v>Koufan Tahoua</v>
      </c>
      <c r="G1897" s="16"/>
      <c r="H1897" s="14"/>
      <c r="K1897" s="16">
        <f>IFERROR(__xludf.DUMMYFUNCTION("""COMPUTED_VALUE"""),406.0)</f>
        <v>406</v>
      </c>
      <c r="L1897" s="16"/>
      <c r="M1897" s="14"/>
    </row>
    <row r="1898">
      <c r="A1898" s="16" t="str">
        <f>IFERROR(__xludf.DUMMYFUNCTION("""COMPUTED_VALUE"""),"Kimba Issa Mamoudou")</f>
        <v>Kimba Issa Mamoudou</v>
      </c>
      <c r="B1898" s="16"/>
      <c r="C1898" s="14"/>
      <c r="F1898" s="16" t="str">
        <f>IFERROR(__xludf.DUMMYFUNCTION("""COMPUTED_VALUE"""),"Koufan Tahoua")</f>
        <v>Koufan Tahoua</v>
      </c>
      <c r="G1898" s="16"/>
      <c r="H1898" s="14"/>
      <c r="K1898" s="16">
        <f>IFERROR(__xludf.DUMMYFUNCTION("""COMPUTED_VALUE"""),508.0)</f>
        <v>508</v>
      </c>
      <c r="L1898" s="16"/>
      <c r="M1898" s="14"/>
    </row>
    <row r="1899">
      <c r="A1899" s="16" t="str">
        <f>IFERROR(__xludf.DUMMYFUNCTION("""COMPUTED_VALUE"""),"Kimba Issa Mamoudou")</f>
        <v>Kimba Issa Mamoudou</v>
      </c>
      <c r="B1899" s="16"/>
      <c r="C1899" s="14"/>
      <c r="F1899" s="16" t="str">
        <f>IFERROR(__xludf.DUMMYFUNCTION("""COMPUTED_VALUE"""),"Koufan Tahoua")</f>
        <v>Koufan Tahoua</v>
      </c>
      <c r="G1899" s="16"/>
      <c r="H1899" s="14"/>
      <c r="K1899" s="16">
        <f>IFERROR(__xludf.DUMMYFUNCTION("""COMPUTED_VALUE"""),366.0)</f>
        <v>366</v>
      </c>
      <c r="L1899" s="16"/>
      <c r="M1899" s="14"/>
    </row>
    <row r="1900">
      <c r="A1900" s="16" t="str">
        <f>IFERROR(__xludf.DUMMYFUNCTION("""COMPUTED_VALUE"""),"Kimba Issa Mamoudou")</f>
        <v>Kimba Issa Mamoudou</v>
      </c>
      <c r="B1900" s="16"/>
      <c r="C1900" s="14"/>
      <c r="F1900" s="16" t="str">
        <f>IFERROR(__xludf.DUMMYFUNCTION("""COMPUTED_VALUE"""),"Wadata")</f>
        <v>Wadata</v>
      </c>
      <c r="G1900" s="16"/>
      <c r="H1900" s="14"/>
      <c r="K1900" s="16">
        <f>IFERROR(__xludf.DUMMYFUNCTION("""COMPUTED_VALUE"""),551.0)</f>
        <v>551</v>
      </c>
      <c r="L1900" s="16"/>
      <c r="M1900" s="14"/>
    </row>
    <row r="1901">
      <c r="A1901" s="16" t="str">
        <f>IFERROR(__xludf.DUMMYFUNCTION("""COMPUTED_VALUE"""),"Kimba Issa Mamoudou")</f>
        <v>Kimba Issa Mamoudou</v>
      </c>
      <c r="B1901" s="16"/>
      <c r="C1901" s="14"/>
      <c r="F1901" s="16" t="str">
        <f>IFERROR(__xludf.DUMMYFUNCTION("""COMPUTED_VALUE"""),"Wadata")</f>
        <v>Wadata</v>
      </c>
      <c r="G1901" s="16"/>
      <c r="H1901" s="14"/>
      <c r="K1901" s="16">
        <f>IFERROR(__xludf.DUMMYFUNCTION("""COMPUTED_VALUE"""),342.0)</f>
        <v>342</v>
      </c>
      <c r="L1901" s="16"/>
      <c r="M1901" s="14"/>
    </row>
    <row r="1902">
      <c r="A1902" s="16" t="str">
        <f>IFERROR(__xludf.DUMMYFUNCTION("""COMPUTED_VALUE"""),"Kimba Issa Mamoudou")</f>
        <v>Kimba Issa Mamoudou</v>
      </c>
      <c r="B1902" s="16"/>
      <c r="C1902" s="14"/>
      <c r="F1902" s="16" t="str">
        <f>IFERROR(__xludf.DUMMYFUNCTION("""COMPUTED_VALUE"""),"Wadata")</f>
        <v>Wadata</v>
      </c>
      <c r="G1902" s="16"/>
      <c r="H1902" s="14"/>
      <c r="K1902" s="16">
        <f>IFERROR(__xludf.DUMMYFUNCTION("""COMPUTED_VALUE"""),820.0)</f>
        <v>820</v>
      </c>
      <c r="L1902" s="16"/>
      <c r="M1902" s="14"/>
    </row>
    <row r="1903">
      <c r="A1903" s="16" t="str">
        <f>IFERROR(__xludf.DUMMYFUNCTION("""COMPUTED_VALUE"""),"Kimba Issa Mamoudou")</f>
        <v>Kimba Issa Mamoudou</v>
      </c>
      <c r="B1903" s="16"/>
      <c r="C1903" s="14"/>
      <c r="F1903" s="16" t="str">
        <f>IFERROR(__xludf.DUMMYFUNCTION("""COMPUTED_VALUE"""),"Wadata")</f>
        <v>Wadata</v>
      </c>
      <c r="G1903" s="16"/>
      <c r="H1903" s="14"/>
      <c r="K1903" s="16">
        <f>IFERROR(__xludf.DUMMYFUNCTION("""COMPUTED_VALUE"""),758.0)</f>
        <v>758</v>
      </c>
      <c r="L1903" s="16"/>
      <c r="M1903" s="14"/>
    </row>
    <row r="1904">
      <c r="A1904" s="16" t="str">
        <f>IFERROR(__xludf.DUMMYFUNCTION("""COMPUTED_VALUE"""),"Gaoh Maazou")</f>
        <v>Gaoh Maazou</v>
      </c>
      <c r="B1904" s="16"/>
      <c r="C1904" s="14"/>
      <c r="F1904" s="16" t="str">
        <f>IFERROR(__xludf.DUMMYFUNCTION("""COMPUTED_VALUE"""),"Batan Warka")</f>
        <v>Batan Warka</v>
      </c>
      <c r="G1904" s="16"/>
      <c r="H1904" s="14"/>
      <c r="K1904" s="16">
        <f>IFERROR(__xludf.DUMMYFUNCTION("""COMPUTED_VALUE"""),776.0)</f>
        <v>776</v>
      </c>
      <c r="L1904" s="16"/>
      <c r="M1904" s="14"/>
    </row>
    <row r="1905">
      <c r="A1905" s="16" t="str">
        <f>IFERROR(__xludf.DUMMYFUNCTION("""COMPUTED_VALUE"""),"Gaoh Maazou")</f>
        <v>Gaoh Maazou</v>
      </c>
      <c r="B1905" s="16"/>
      <c r="C1905" s="14"/>
      <c r="F1905" s="16" t="str">
        <f>IFERROR(__xludf.DUMMYFUNCTION("""COMPUTED_VALUE"""),"Batan Warka")</f>
        <v>Batan Warka</v>
      </c>
      <c r="G1905" s="16"/>
      <c r="H1905" s="14"/>
      <c r="K1905" s="16">
        <f>IFERROR(__xludf.DUMMYFUNCTION("""COMPUTED_VALUE"""),423.0)</f>
        <v>423</v>
      </c>
      <c r="L1905" s="16"/>
      <c r="M1905" s="14"/>
    </row>
    <row r="1906">
      <c r="A1906" s="16" t="str">
        <f>IFERROR(__xludf.DUMMYFUNCTION("""COMPUTED_VALUE"""),"Gaoh Maazou")</f>
        <v>Gaoh Maazou</v>
      </c>
      <c r="B1906" s="16"/>
      <c r="C1906" s="14"/>
      <c r="F1906" s="16" t="str">
        <f>IFERROR(__xludf.DUMMYFUNCTION("""COMPUTED_VALUE"""),"Batan Warka")</f>
        <v>Batan Warka</v>
      </c>
      <c r="G1906" s="16"/>
      <c r="H1906" s="14"/>
      <c r="K1906" s="16">
        <f>IFERROR(__xludf.DUMMYFUNCTION("""COMPUTED_VALUE"""),1879.0)</f>
        <v>1879</v>
      </c>
      <c r="L1906" s="16"/>
      <c r="M1906" s="14"/>
    </row>
    <row r="1907">
      <c r="A1907" s="16" t="str">
        <f>IFERROR(__xludf.DUMMYFUNCTION("""COMPUTED_VALUE"""),"Asmaou Tanko Issa")</f>
        <v>Asmaou Tanko Issa</v>
      </c>
      <c r="B1907" s="16"/>
      <c r="C1907" s="14"/>
      <c r="F1907" s="16" t="str">
        <f>IFERROR(__xludf.DUMMYFUNCTION("""COMPUTED_VALUE"""),"Batan Warka")</f>
        <v>Batan Warka</v>
      </c>
      <c r="G1907" s="16"/>
      <c r="H1907" s="14"/>
      <c r="K1907" s="16">
        <f>IFERROR(__xludf.DUMMYFUNCTION("""COMPUTED_VALUE"""),960.0)</f>
        <v>960</v>
      </c>
      <c r="L1907" s="16"/>
      <c r="M1907" s="14"/>
    </row>
    <row r="1908">
      <c r="A1908" s="16" t="str">
        <f>IFERROR(__xludf.DUMMYFUNCTION("""COMPUTED_VALUE"""),"Asmaou Tanko Issa")</f>
        <v>Asmaou Tanko Issa</v>
      </c>
      <c r="B1908" s="16"/>
      <c r="C1908" s="14"/>
      <c r="F1908" s="16" t="str">
        <f>IFERROR(__xludf.DUMMYFUNCTION("""COMPUTED_VALUE"""),"Koufan Tahoua")</f>
        <v>Koufan Tahoua</v>
      </c>
      <c r="G1908" s="16"/>
      <c r="H1908" s="14"/>
      <c r="K1908" s="16">
        <f>IFERROR(__xludf.DUMMYFUNCTION("""COMPUTED_VALUE"""),1305.0)</f>
        <v>1305</v>
      </c>
      <c r="L1908" s="16"/>
      <c r="M1908" s="14"/>
    </row>
    <row r="1909">
      <c r="A1909" s="16" t="str">
        <f>IFERROR(__xludf.DUMMYFUNCTION("""COMPUTED_VALUE"""),"Hachimou Rabiou Mamoudou")</f>
        <v>Hachimou Rabiou Mamoudou</v>
      </c>
      <c r="B1909" s="16"/>
      <c r="C1909" s="14"/>
      <c r="F1909" s="16" t="str">
        <f>IFERROR(__xludf.DUMMYFUNCTION("""COMPUTED_VALUE"""),"Koufan Tahoua")</f>
        <v>Koufan Tahoua</v>
      </c>
      <c r="G1909" s="16"/>
      <c r="H1909" s="14"/>
      <c r="K1909" s="16">
        <f>IFERROR(__xludf.DUMMYFUNCTION("""COMPUTED_VALUE"""),1595.0)</f>
        <v>1595</v>
      </c>
      <c r="L1909" s="16"/>
      <c r="M1909" s="14"/>
    </row>
    <row r="1910">
      <c r="A1910" s="16" t="str">
        <f>IFERROR(__xludf.DUMMYFUNCTION("""COMPUTED_VALUE"""),"Hachimou Rabiou Mamoudou")</f>
        <v>Hachimou Rabiou Mamoudou</v>
      </c>
      <c r="B1910" s="16"/>
      <c r="C1910" s="14"/>
      <c r="F1910" s="16" t="str">
        <f>IFERROR(__xludf.DUMMYFUNCTION("""COMPUTED_VALUE"""),"Koufan Tahoua")</f>
        <v>Koufan Tahoua</v>
      </c>
      <c r="G1910" s="16"/>
      <c r="H1910" s="14"/>
      <c r="K1910" s="16">
        <f>IFERROR(__xludf.DUMMYFUNCTION("""COMPUTED_VALUE"""),429.0)</f>
        <v>429</v>
      </c>
      <c r="L1910" s="16"/>
      <c r="M1910" s="14"/>
    </row>
    <row r="1911">
      <c r="A1911" s="16" t="str">
        <f>IFERROR(__xludf.DUMMYFUNCTION("""COMPUTED_VALUE"""),"Hachimou Rabiou Mamoudou")</f>
        <v>Hachimou Rabiou Mamoudou</v>
      </c>
      <c r="B1911" s="16"/>
      <c r="C1911" s="14"/>
      <c r="F1911" s="16" t="str">
        <f>IFERROR(__xludf.DUMMYFUNCTION("""COMPUTED_VALUE"""),"Koufan Tahoua")</f>
        <v>Koufan Tahoua</v>
      </c>
      <c r="G1911" s="16"/>
      <c r="H1911" s="14"/>
      <c r="K1911" s="16">
        <f>IFERROR(__xludf.DUMMYFUNCTION("""COMPUTED_VALUE"""),869.0)</f>
        <v>869</v>
      </c>
      <c r="L1911" s="16"/>
      <c r="M1911" s="14"/>
    </row>
    <row r="1912">
      <c r="A1912" s="16" t="str">
        <f>IFERROR(__xludf.DUMMYFUNCTION("""COMPUTED_VALUE"""),"Hachimou Rabiou Mamoudou")</f>
        <v>Hachimou Rabiou Mamoudou</v>
      </c>
      <c r="B1912" s="16"/>
      <c r="C1912" s="14"/>
      <c r="F1912" s="16" t="str">
        <f>IFERROR(__xludf.DUMMYFUNCTION("""COMPUTED_VALUE"""),"Koufan Tahoua")</f>
        <v>Koufan Tahoua</v>
      </c>
      <c r="G1912" s="16"/>
      <c r="H1912" s="14"/>
      <c r="K1912" s="16">
        <f>IFERROR(__xludf.DUMMYFUNCTION("""COMPUTED_VALUE"""),676.0)</f>
        <v>676</v>
      </c>
      <c r="L1912" s="16"/>
      <c r="M1912" s="14"/>
    </row>
    <row r="1913">
      <c r="A1913" s="16" t="str">
        <f>IFERROR(__xludf.DUMMYFUNCTION("""COMPUTED_VALUE"""),"Hachimou Rabiou Mamoudou")</f>
        <v>Hachimou Rabiou Mamoudou</v>
      </c>
      <c r="B1913" s="16"/>
      <c r="C1913" s="14"/>
      <c r="F1913" s="16" t="str">
        <f>IFERROR(__xludf.DUMMYFUNCTION("""COMPUTED_VALUE"""),"Koufan Tahoua")</f>
        <v>Koufan Tahoua</v>
      </c>
      <c r="G1913" s="16"/>
      <c r="H1913" s="14"/>
      <c r="K1913" s="16">
        <f>IFERROR(__xludf.DUMMYFUNCTION("""COMPUTED_VALUE"""),517.0)</f>
        <v>517</v>
      </c>
      <c r="L1913" s="16"/>
      <c r="M1913" s="14"/>
    </row>
    <row r="1914">
      <c r="A1914" s="16" t="str">
        <f>IFERROR(__xludf.DUMMYFUNCTION("""COMPUTED_VALUE"""),"Hachimou Rabiou Mamoudou")</f>
        <v>Hachimou Rabiou Mamoudou</v>
      </c>
      <c r="B1914" s="16"/>
      <c r="C1914" s="14"/>
      <c r="F1914" s="16" t="str">
        <f>IFERROR(__xludf.DUMMYFUNCTION("""COMPUTED_VALUE"""),"Dabagou")</f>
        <v>Dabagou</v>
      </c>
      <c r="G1914" s="16"/>
      <c r="H1914" s="14"/>
      <c r="K1914" s="16">
        <f>IFERROR(__xludf.DUMMYFUNCTION("""COMPUTED_VALUE"""),381.0)</f>
        <v>381</v>
      </c>
      <c r="L1914" s="16"/>
      <c r="M1914" s="14"/>
    </row>
    <row r="1915">
      <c r="A1915" s="16" t="str">
        <f>IFERROR(__xludf.DUMMYFUNCTION("""COMPUTED_VALUE"""),"Ouhoumoudou Djannou Ibrahim")</f>
        <v>Ouhoumoudou Djannou Ibrahim</v>
      </c>
      <c r="B1915" s="16"/>
      <c r="C1915" s="14"/>
      <c r="F1915" s="16" t="str">
        <f>IFERROR(__xludf.DUMMYFUNCTION("""COMPUTED_VALUE"""),"Dabagou")</f>
        <v>Dabagou</v>
      </c>
      <c r="G1915" s="16"/>
      <c r="H1915" s="14"/>
      <c r="K1915" s="16">
        <f>IFERROR(__xludf.DUMMYFUNCTION("""COMPUTED_VALUE"""),550.0)</f>
        <v>550</v>
      </c>
      <c r="L1915" s="16"/>
      <c r="M1915" s="14"/>
    </row>
    <row r="1916">
      <c r="A1916" s="16" t="str">
        <f>IFERROR(__xludf.DUMMYFUNCTION("""COMPUTED_VALUE"""),"Ouhoumoudou Djannou Ibrahim")</f>
        <v>Ouhoumoudou Djannou Ibrahim</v>
      </c>
      <c r="B1916" s="16"/>
      <c r="C1916" s="14"/>
      <c r="F1916" s="16" t="str">
        <f>IFERROR(__xludf.DUMMYFUNCTION("""COMPUTED_VALUE"""),"Dabagou")</f>
        <v>Dabagou</v>
      </c>
      <c r="G1916" s="16"/>
      <c r="H1916" s="14"/>
      <c r="K1916" s="16">
        <f>IFERROR(__xludf.DUMMYFUNCTION("""COMPUTED_VALUE"""),420.0)</f>
        <v>420</v>
      </c>
      <c r="L1916" s="16"/>
      <c r="M1916" s="14"/>
    </row>
    <row r="1917">
      <c r="A1917" s="16" t="str">
        <f>IFERROR(__xludf.DUMMYFUNCTION("""COMPUTED_VALUE"""),"Ouhoumoudou Djannou Ibrahim")</f>
        <v>Ouhoumoudou Djannou Ibrahim</v>
      </c>
      <c r="B1917" s="16"/>
      <c r="C1917" s="14"/>
      <c r="F1917" s="16" t="str">
        <f>IFERROR(__xludf.DUMMYFUNCTION("""COMPUTED_VALUE"""),"Hayi")</f>
        <v>Hayi</v>
      </c>
      <c r="G1917" s="16"/>
      <c r="H1917" s="14"/>
      <c r="K1917" s="16">
        <f>IFERROR(__xludf.DUMMYFUNCTION("""COMPUTED_VALUE"""),217.0)</f>
        <v>217</v>
      </c>
      <c r="L1917" s="16"/>
      <c r="M1917" s="14"/>
    </row>
    <row r="1918">
      <c r="A1918" s="16" t="str">
        <f>IFERROR(__xludf.DUMMYFUNCTION("""COMPUTED_VALUE"""),"Ouhoumoudou Djannou Ibrahim")</f>
        <v>Ouhoumoudou Djannou Ibrahim</v>
      </c>
      <c r="B1918" s="16"/>
      <c r="C1918" s="14"/>
      <c r="F1918" s="16" t="str">
        <f>IFERROR(__xludf.DUMMYFUNCTION("""COMPUTED_VALUE"""),"Dabagou")</f>
        <v>Dabagou</v>
      </c>
      <c r="G1918" s="16"/>
      <c r="H1918" s="14"/>
      <c r="K1918" s="16">
        <f>IFERROR(__xludf.DUMMYFUNCTION("""COMPUTED_VALUE"""),246.0)</f>
        <v>246</v>
      </c>
      <c r="L1918" s="16"/>
      <c r="M1918" s="14"/>
    </row>
    <row r="1919">
      <c r="A1919" s="16" t="str">
        <f>IFERROR(__xludf.DUMMYFUNCTION("""COMPUTED_VALUE"""),"Elhaji Abdou Leilata")</f>
        <v>Elhaji Abdou Leilata</v>
      </c>
      <c r="B1919" s="16"/>
      <c r="C1919" s="14"/>
      <c r="F1919" s="16" t="str">
        <f>IFERROR(__xludf.DUMMYFUNCTION("""COMPUTED_VALUE"""),"Hayi")</f>
        <v>Hayi</v>
      </c>
      <c r="G1919" s="16"/>
      <c r="H1919" s="14"/>
      <c r="K1919" s="16">
        <f>IFERROR(__xludf.DUMMYFUNCTION("""COMPUTED_VALUE"""),1316.0)</f>
        <v>1316</v>
      </c>
      <c r="L1919" s="16"/>
      <c r="M1919" s="14"/>
    </row>
    <row r="1920">
      <c r="A1920" s="16" t="str">
        <f>IFERROR(__xludf.DUMMYFUNCTION("""COMPUTED_VALUE"""),"Elhaji Abdou Leilata")</f>
        <v>Elhaji Abdou Leilata</v>
      </c>
      <c r="B1920" s="16"/>
      <c r="C1920" s="14"/>
      <c r="F1920" s="16" t="str">
        <f>IFERROR(__xludf.DUMMYFUNCTION("""COMPUTED_VALUE"""),"Dabagou")</f>
        <v>Dabagou</v>
      </c>
      <c r="G1920" s="16"/>
      <c r="H1920" s="14"/>
      <c r="K1920" s="16">
        <f>IFERROR(__xludf.DUMMYFUNCTION("""COMPUTED_VALUE"""),1247.0)</f>
        <v>1247</v>
      </c>
      <c r="L1920" s="16"/>
      <c r="M1920" s="14"/>
    </row>
    <row r="1921">
      <c r="A1921" s="16" t="str">
        <f>IFERROR(__xludf.DUMMYFUNCTION("""COMPUTED_VALUE"""),"Aboubacar Hamadou Manga")</f>
        <v>Aboubacar Hamadou Manga</v>
      </c>
      <c r="B1921" s="16"/>
      <c r="C1921" s="14"/>
      <c r="F1921" s="16" t="str">
        <f>IFERROR(__xludf.DUMMYFUNCTION("""COMPUTED_VALUE"""),"Dabagou")</f>
        <v>Dabagou</v>
      </c>
      <c r="G1921" s="16"/>
      <c r="H1921" s="14"/>
      <c r="K1921" s="16">
        <f>IFERROR(__xludf.DUMMYFUNCTION("""COMPUTED_VALUE"""),1055.0)</f>
        <v>1055</v>
      </c>
      <c r="L1921" s="16"/>
      <c r="M1921" s="14"/>
    </row>
    <row r="1922">
      <c r="A1922" s="16" t="str">
        <f>IFERROR(__xludf.DUMMYFUNCTION("""COMPUTED_VALUE"""),"Aboubacar Hamadou Manga")</f>
        <v>Aboubacar Hamadou Manga</v>
      </c>
      <c r="B1922" s="16"/>
      <c r="C1922" s="14"/>
      <c r="F1922" s="16" t="str">
        <f>IFERROR(__xludf.DUMMYFUNCTION("""COMPUTED_VALUE"""),"Dabagou")</f>
        <v>Dabagou</v>
      </c>
      <c r="G1922" s="16"/>
      <c r="H1922" s="14"/>
      <c r="K1922" s="16">
        <f>IFERROR(__xludf.DUMMYFUNCTION("""COMPUTED_VALUE"""),716.0)</f>
        <v>716</v>
      </c>
      <c r="L1922" s="16"/>
      <c r="M1922" s="14"/>
    </row>
    <row r="1923">
      <c r="A1923" s="16" t="str">
        <f>IFERROR(__xludf.DUMMYFUNCTION("""COMPUTED_VALUE"""),"Aboubacar Hamadou Manga")</f>
        <v>Aboubacar Hamadou Manga</v>
      </c>
      <c r="B1923" s="16"/>
      <c r="C1923" s="14"/>
      <c r="F1923" s="16" t="str">
        <f>IFERROR(__xludf.DUMMYFUNCTION("""COMPUTED_VALUE"""),"Dabagou")</f>
        <v>Dabagou</v>
      </c>
      <c r="G1923" s="16"/>
      <c r="H1923" s="14"/>
      <c r="K1923" s="16">
        <f>IFERROR(__xludf.DUMMYFUNCTION("""COMPUTED_VALUE"""),526.0)</f>
        <v>526</v>
      </c>
      <c r="L1923" s="16"/>
      <c r="M1923" s="14"/>
    </row>
    <row r="1924">
      <c r="A1924" s="16" t="str">
        <f>IFERROR(__xludf.DUMMYFUNCTION("""COMPUTED_VALUE"""),"Maman Ado Abdourahamane")</f>
        <v>Maman Ado Abdourahamane</v>
      </c>
      <c r="B1924" s="16"/>
      <c r="C1924" s="14"/>
      <c r="F1924" s="16" t="str">
        <f>IFERROR(__xludf.DUMMYFUNCTION("""COMPUTED_VALUE"""),"Dabagou")</f>
        <v>Dabagou</v>
      </c>
      <c r="G1924" s="16"/>
      <c r="H1924" s="14"/>
      <c r="K1924" s="16">
        <f>IFERROR(__xludf.DUMMYFUNCTION("""COMPUTED_VALUE"""),559.0)</f>
        <v>559</v>
      </c>
      <c r="L1924" s="16"/>
      <c r="M1924" s="14"/>
    </row>
    <row r="1925">
      <c r="A1925" s="16" t="str">
        <f>IFERROR(__xludf.DUMMYFUNCTION("""COMPUTED_VALUE"""),"Maman Ado Abdourahamane")</f>
        <v>Maman Ado Abdourahamane</v>
      </c>
      <c r="B1925" s="16"/>
      <c r="C1925" s="14"/>
      <c r="F1925" s="16" t="str">
        <f>IFERROR(__xludf.DUMMYFUNCTION("""COMPUTED_VALUE"""),"Hayi")</f>
        <v>Hayi</v>
      </c>
      <c r="G1925" s="16"/>
      <c r="H1925" s="14"/>
      <c r="K1925" s="16">
        <f>IFERROR(__xludf.DUMMYFUNCTION("""COMPUTED_VALUE"""),344.0)</f>
        <v>344</v>
      </c>
      <c r="L1925" s="16"/>
      <c r="M1925" s="14"/>
    </row>
    <row r="1926">
      <c r="A1926" s="16" t="str">
        <f>IFERROR(__xludf.DUMMYFUNCTION("""COMPUTED_VALUE"""),"Maman Ado Abdourahamane")</f>
        <v>Maman Ado Abdourahamane</v>
      </c>
      <c r="B1926" s="16"/>
      <c r="C1926" s="14"/>
      <c r="F1926" s="16" t="str">
        <f>IFERROR(__xludf.DUMMYFUNCTION("""COMPUTED_VALUE"""),"Tchaba Maiguizo")</f>
        <v>Tchaba Maiguizo</v>
      </c>
      <c r="G1926" s="16"/>
      <c r="H1926" s="14"/>
      <c r="K1926" s="16">
        <f>IFERROR(__xludf.DUMMYFUNCTION("""COMPUTED_VALUE"""),344.0)</f>
        <v>344</v>
      </c>
      <c r="L1926" s="16"/>
      <c r="M1926" s="14"/>
    </row>
    <row r="1927">
      <c r="A1927" s="16" t="str">
        <f>IFERROR(__xludf.DUMMYFUNCTION("""COMPUTED_VALUE"""),"Hamissou Moussa Nana Mariama")</f>
        <v>Hamissou Moussa Nana Mariama</v>
      </c>
      <c r="B1927" s="16"/>
      <c r="C1927" s="14"/>
      <c r="F1927" s="16" t="str">
        <f>IFERROR(__xludf.DUMMYFUNCTION("""COMPUTED_VALUE"""),"Kounkouzout")</f>
        <v>Kounkouzout</v>
      </c>
      <c r="G1927" s="16"/>
      <c r="H1927" s="14"/>
      <c r="K1927" s="16">
        <f>IFERROR(__xludf.DUMMYFUNCTION("""COMPUTED_VALUE"""),330.0)</f>
        <v>330</v>
      </c>
      <c r="L1927" s="16"/>
      <c r="M1927" s="14"/>
    </row>
    <row r="1928">
      <c r="A1928" s="16" t="str">
        <f>IFERROR(__xludf.DUMMYFUNCTION("""COMPUTED_VALUE"""),"Adamou Halidou Daouda")</f>
        <v>Adamou Halidou Daouda</v>
      </c>
      <c r="B1928" s="16"/>
      <c r="C1928" s="14"/>
      <c r="F1928" s="16" t="str">
        <f>IFERROR(__xludf.DUMMYFUNCTION("""COMPUTED_VALUE"""),"Kounkouzout")</f>
        <v>Kounkouzout</v>
      </c>
      <c r="G1928" s="16"/>
      <c r="H1928" s="14"/>
      <c r="K1928" s="16">
        <f>IFERROR(__xludf.DUMMYFUNCTION("""COMPUTED_VALUE"""),434.0)</f>
        <v>434</v>
      </c>
      <c r="L1928" s="16"/>
      <c r="M1928" s="14"/>
    </row>
    <row r="1929">
      <c r="A1929" s="16" t="str">
        <f>IFERROR(__xludf.DUMMYFUNCTION("""COMPUTED_VALUE"""),"Adamou Halidou Daouda")</f>
        <v>Adamou Halidou Daouda</v>
      </c>
      <c r="B1929" s="16"/>
      <c r="C1929" s="14"/>
      <c r="F1929" s="16" t="str">
        <f>IFERROR(__xludf.DUMMYFUNCTION("""COMPUTED_VALUE"""),"Tchaba Maiguizo")</f>
        <v>Tchaba Maiguizo</v>
      </c>
      <c r="G1929" s="16"/>
      <c r="H1929" s="14"/>
      <c r="K1929" s="16">
        <f>IFERROR(__xludf.DUMMYFUNCTION("""COMPUTED_VALUE"""),342.0)</f>
        <v>342</v>
      </c>
      <c r="L1929" s="16"/>
      <c r="M1929" s="14"/>
    </row>
    <row r="1930">
      <c r="A1930" s="16" t="str">
        <f>IFERROR(__xludf.DUMMYFUNCTION("""COMPUTED_VALUE"""),"Adamou Halidou Daouda")</f>
        <v>Adamou Halidou Daouda</v>
      </c>
      <c r="B1930" s="16"/>
      <c r="C1930" s="14"/>
      <c r="F1930" s="16" t="str">
        <f>IFERROR(__xludf.DUMMYFUNCTION("""COMPUTED_VALUE"""),"Tchaba Maiguizo")</f>
        <v>Tchaba Maiguizo</v>
      </c>
      <c r="G1930" s="16"/>
      <c r="H1930" s="14"/>
      <c r="K1930" s="16">
        <f>IFERROR(__xludf.DUMMYFUNCTION("""COMPUTED_VALUE"""),998.0)</f>
        <v>998</v>
      </c>
      <c r="L1930" s="16"/>
      <c r="M1930" s="14"/>
    </row>
    <row r="1931">
      <c r="A1931" s="16" t="str">
        <f>IFERROR(__xludf.DUMMYFUNCTION("""COMPUTED_VALUE"""),"Adamou Halidou Daouda")</f>
        <v>Adamou Halidou Daouda</v>
      </c>
      <c r="B1931" s="16"/>
      <c r="C1931" s="14"/>
      <c r="F1931" s="16" t="str">
        <f>IFERROR(__xludf.DUMMYFUNCTION("""COMPUTED_VALUE"""),"Tchaba Maiguizo")</f>
        <v>Tchaba Maiguizo</v>
      </c>
      <c r="G1931" s="16"/>
      <c r="H1931" s="14"/>
      <c r="K1931" s="16">
        <f>IFERROR(__xludf.DUMMYFUNCTION("""COMPUTED_VALUE"""),695.0)</f>
        <v>695</v>
      </c>
      <c r="L1931" s="16"/>
      <c r="M1931" s="14"/>
    </row>
    <row r="1932">
      <c r="A1932" s="16" t="str">
        <f>IFERROR(__xludf.DUMMYFUNCTION("""COMPUTED_VALUE"""),"Adamou Halidou Daouda")</f>
        <v>Adamou Halidou Daouda</v>
      </c>
      <c r="B1932" s="16"/>
      <c r="C1932" s="14"/>
      <c r="F1932" s="16" t="str">
        <f>IFERROR(__xludf.DUMMYFUNCTION("""COMPUTED_VALUE"""),"Tchaba Maiguizo")</f>
        <v>Tchaba Maiguizo</v>
      </c>
      <c r="G1932" s="16"/>
      <c r="H1932" s="14"/>
      <c r="K1932" s="16">
        <f>IFERROR(__xludf.DUMMYFUNCTION("""COMPUTED_VALUE"""),917.0)</f>
        <v>917</v>
      </c>
      <c r="L1932" s="16"/>
      <c r="M1932" s="14"/>
    </row>
    <row r="1933">
      <c r="A1933" s="16" t="str">
        <f>IFERROR(__xludf.DUMMYFUNCTION("""COMPUTED_VALUE"""),"Adamou Halidou Daouda")</f>
        <v>Adamou Halidou Daouda</v>
      </c>
      <c r="B1933" s="16"/>
      <c r="C1933" s="14"/>
      <c r="F1933" s="16" t="str">
        <f>IFERROR(__xludf.DUMMYFUNCTION("""COMPUTED_VALUE"""),"Kounkouzout")</f>
        <v>Kounkouzout</v>
      </c>
      <c r="G1933" s="16"/>
      <c r="H1933" s="14"/>
      <c r="K1933" s="16">
        <f>IFERROR(__xludf.DUMMYFUNCTION("""COMPUTED_VALUE"""),617.0)</f>
        <v>617</v>
      </c>
      <c r="L1933" s="16"/>
      <c r="M1933" s="14"/>
    </row>
    <row r="1934">
      <c r="A1934" s="16" t="str">
        <f>IFERROR(__xludf.DUMMYFUNCTION("""COMPUTED_VALUE"""),"Adamou Halidou Daouda")</f>
        <v>Adamou Halidou Daouda</v>
      </c>
      <c r="B1934" s="16"/>
      <c r="C1934" s="14"/>
      <c r="F1934" s="16" t="str">
        <f>IFERROR(__xludf.DUMMYFUNCTION("""COMPUTED_VALUE"""),"Kounkouzout")</f>
        <v>Kounkouzout</v>
      </c>
      <c r="G1934" s="16"/>
      <c r="H1934" s="14"/>
      <c r="K1934" s="16">
        <f>IFERROR(__xludf.DUMMYFUNCTION("""COMPUTED_VALUE"""),1376.0)</f>
        <v>1376</v>
      </c>
      <c r="L1934" s="16"/>
      <c r="M1934" s="14"/>
    </row>
    <row r="1935">
      <c r="A1935" s="16" t="str">
        <f>IFERROR(__xludf.DUMMYFUNCTION("""COMPUTED_VALUE"""),"Achirou Malam Dan Maradi Nassirou")</f>
        <v>Achirou Malam Dan Maradi Nassirou</v>
      </c>
      <c r="B1935" s="16"/>
      <c r="C1935" s="14"/>
      <c r="F1935" s="16" t="str">
        <f>IFERROR(__xludf.DUMMYFUNCTION("""COMPUTED_VALUE"""),"Tchaba Maiguizo")</f>
        <v>Tchaba Maiguizo</v>
      </c>
      <c r="G1935" s="16"/>
      <c r="H1935" s="14"/>
      <c r="K1935" s="16">
        <f>IFERROR(__xludf.DUMMYFUNCTION("""COMPUTED_VALUE"""),838.0)</f>
        <v>838</v>
      </c>
      <c r="L1935" s="16"/>
      <c r="M1935" s="14"/>
    </row>
    <row r="1936">
      <c r="A1936" s="16" t="str">
        <f>IFERROR(__xludf.DUMMYFUNCTION("""COMPUTED_VALUE"""),"Achirou Malam Dan Maradi Nassirou")</f>
        <v>Achirou Malam Dan Maradi Nassirou</v>
      </c>
      <c r="B1936" s="16"/>
      <c r="C1936" s="14"/>
      <c r="F1936" s="16" t="str">
        <f>IFERROR(__xludf.DUMMYFUNCTION("""COMPUTED_VALUE"""),"Tchaba Maiguizo")</f>
        <v>Tchaba Maiguizo</v>
      </c>
      <c r="G1936" s="16"/>
      <c r="H1936" s="14"/>
      <c r="K1936" s="16">
        <f>IFERROR(__xludf.DUMMYFUNCTION("""COMPUTED_VALUE"""),954.0)</f>
        <v>954</v>
      </c>
      <c r="L1936" s="16"/>
      <c r="M1936" s="14"/>
    </row>
    <row r="1937">
      <c r="A1937" s="16" t="str">
        <f>IFERROR(__xludf.DUMMYFUNCTION("""COMPUTED_VALUE"""),"Achirou Malam Dan Maradi Nassirou")</f>
        <v>Achirou Malam Dan Maradi Nassirou</v>
      </c>
      <c r="B1937" s="16"/>
      <c r="C1937" s="14"/>
      <c r="F1937" s="16" t="str">
        <f>IFERROR(__xludf.DUMMYFUNCTION("""COMPUTED_VALUE"""),"Tchaba Maiguizo")</f>
        <v>Tchaba Maiguizo</v>
      </c>
      <c r="G1937" s="16"/>
      <c r="H1937" s="14"/>
      <c r="K1937" s="16">
        <f>IFERROR(__xludf.DUMMYFUNCTION("""COMPUTED_VALUE"""),902.0)</f>
        <v>902</v>
      </c>
      <c r="L1937" s="16"/>
      <c r="M1937" s="14"/>
    </row>
    <row r="1938">
      <c r="A1938" s="16" t="str">
        <f>IFERROR(__xludf.DUMMYFUNCTION("""COMPUTED_VALUE"""),"Achirou Malam Dan Maradi Nassirou")</f>
        <v>Achirou Malam Dan Maradi Nassirou</v>
      </c>
      <c r="B1938" s="16"/>
      <c r="C1938" s="14"/>
      <c r="F1938" s="16" t="str">
        <f>IFERROR(__xludf.DUMMYFUNCTION("""COMPUTED_VALUE"""),"Tchaba Maiguizo")</f>
        <v>Tchaba Maiguizo</v>
      </c>
      <c r="G1938" s="16"/>
      <c r="H1938" s="14"/>
      <c r="K1938" s="16">
        <f>IFERROR(__xludf.DUMMYFUNCTION("""COMPUTED_VALUE"""),548.0)</f>
        <v>548</v>
      </c>
      <c r="L1938" s="16"/>
      <c r="M1938" s="14"/>
    </row>
    <row r="1939">
      <c r="A1939" s="16" t="str">
        <f>IFERROR(__xludf.DUMMYFUNCTION("""COMPUTED_VALUE"""),"Kimba Issa Mamoudou")</f>
        <v>Kimba Issa Mamoudou</v>
      </c>
      <c r="B1939" s="16"/>
      <c r="C1939" s="14"/>
      <c r="F1939" s="16" t="str">
        <f>IFERROR(__xludf.DUMMYFUNCTION("""COMPUTED_VALUE"""),"Falalia Guidan Saidi (Ibrahim)")</f>
        <v>Falalia Guidan Saidi (Ibrahim)</v>
      </c>
      <c r="G1939" s="16"/>
      <c r="H1939" s="14"/>
      <c r="K1939" s="16">
        <f>IFERROR(__xludf.DUMMYFUNCTION("""COMPUTED_VALUE"""),486.0)</f>
        <v>486</v>
      </c>
      <c r="L1939" s="16"/>
      <c r="M1939" s="14"/>
    </row>
    <row r="1940">
      <c r="A1940" s="16" t="str">
        <f>IFERROR(__xludf.DUMMYFUNCTION("""COMPUTED_VALUE"""),"Kimba Issa Mamoudou")</f>
        <v>Kimba Issa Mamoudou</v>
      </c>
      <c r="B1940" s="16"/>
      <c r="C1940" s="14"/>
      <c r="F1940" s="16" t="str">
        <f>IFERROR(__xludf.DUMMYFUNCTION("""COMPUTED_VALUE"""),"Falalia Guidan Saidi (Ibrahim)")</f>
        <v>Falalia Guidan Saidi (Ibrahim)</v>
      </c>
      <c r="G1940" s="16"/>
      <c r="H1940" s="14"/>
      <c r="K1940" s="16">
        <f>IFERROR(__xludf.DUMMYFUNCTION("""COMPUTED_VALUE"""),1397.0)</f>
        <v>1397</v>
      </c>
      <c r="L1940" s="16"/>
      <c r="M1940" s="14"/>
    </row>
    <row r="1941">
      <c r="A1941" s="16" t="str">
        <f>IFERROR(__xludf.DUMMYFUNCTION("""COMPUTED_VALUE"""),"Kimba Issa Mamoudou")</f>
        <v>Kimba Issa Mamoudou</v>
      </c>
      <c r="B1941" s="16"/>
      <c r="C1941" s="14"/>
      <c r="F1941" s="16" t="str">
        <f>IFERROR(__xludf.DUMMYFUNCTION("""COMPUTED_VALUE"""),"Tsamaoua")</f>
        <v>Tsamaoua</v>
      </c>
      <c r="G1941" s="16"/>
      <c r="H1941" s="14"/>
      <c r="K1941" s="16">
        <f>IFERROR(__xludf.DUMMYFUNCTION("""COMPUTED_VALUE"""),1521.0)</f>
        <v>1521</v>
      </c>
      <c r="L1941" s="16"/>
      <c r="M1941" s="14"/>
    </row>
    <row r="1942">
      <c r="A1942" s="16" t="str">
        <f>IFERROR(__xludf.DUMMYFUNCTION("""COMPUTED_VALUE"""),"Moussa Ide Ibrahim")</f>
        <v>Moussa Ide Ibrahim</v>
      </c>
      <c r="B1942" s="16"/>
      <c r="C1942" s="14"/>
      <c r="F1942" s="16" t="str">
        <f>IFERROR(__xludf.DUMMYFUNCTION("""COMPUTED_VALUE"""),"Tsamaoua")</f>
        <v>Tsamaoua</v>
      </c>
      <c r="G1942" s="16"/>
      <c r="H1942" s="14"/>
      <c r="K1942" s="16">
        <f>IFERROR(__xludf.DUMMYFUNCTION("""COMPUTED_VALUE"""),263.0)</f>
        <v>263</v>
      </c>
      <c r="L1942" s="16"/>
      <c r="M1942" s="14"/>
    </row>
    <row r="1943">
      <c r="A1943" s="16" t="str">
        <f>IFERROR(__xludf.DUMMYFUNCTION("""COMPUTED_VALUE"""),"Moussa Ide Ibrahim")</f>
        <v>Moussa Ide Ibrahim</v>
      </c>
      <c r="B1943" s="16"/>
      <c r="C1943" s="14"/>
      <c r="F1943" s="16" t="str">
        <f>IFERROR(__xludf.DUMMYFUNCTION("""COMPUTED_VALUE"""),"Tsamaoua")</f>
        <v>Tsamaoua</v>
      </c>
      <c r="G1943" s="16"/>
      <c r="H1943" s="14"/>
      <c r="K1943" s="16">
        <f>IFERROR(__xludf.DUMMYFUNCTION("""COMPUTED_VALUE"""),1199.0)</f>
        <v>1199</v>
      </c>
      <c r="L1943" s="16"/>
      <c r="M1943" s="14"/>
    </row>
    <row r="1944">
      <c r="A1944" s="16" t="str">
        <f>IFERROR(__xludf.DUMMYFUNCTION("""COMPUTED_VALUE"""),"Moussa Ide Ibrahim")</f>
        <v>Moussa Ide Ibrahim</v>
      </c>
      <c r="B1944" s="16"/>
      <c r="C1944" s="14"/>
      <c r="F1944" s="16" t="str">
        <f>IFERROR(__xludf.DUMMYFUNCTION("""COMPUTED_VALUE"""),"Tsamaoua")</f>
        <v>Tsamaoua</v>
      </c>
      <c r="G1944" s="16"/>
      <c r="H1944" s="14"/>
      <c r="K1944" s="16">
        <f>IFERROR(__xludf.DUMMYFUNCTION("""COMPUTED_VALUE"""),491.0)</f>
        <v>491</v>
      </c>
      <c r="L1944" s="16"/>
      <c r="M1944" s="14"/>
    </row>
    <row r="1945">
      <c r="A1945" s="16" t="str">
        <f>IFERROR(__xludf.DUMMYFUNCTION("""COMPUTED_VALUE"""),"Moussa Ide Ibrahim")</f>
        <v>Moussa Ide Ibrahim</v>
      </c>
      <c r="B1945" s="16"/>
      <c r="C1945" s="14"/>
      <c r="F1945" s="16" t="str">
        <f>IFERROR(__xludf.DUMMYFUNCTION("""COMPUTED_VALUE"""),"Tsamaoua")</f>
        <v>Tsamaoua</v>
      </c>
      <c r="G1945" s="16"/>
      <c r="H1945" s="14"/>
      <c r="K1945" s="16">
        <f>IFERROR(__xludf.DUMMYFUNCTION("""COMPUTED_VALUE"""),475.0)</f>
        <v>475</v>
      </c>
      <c r="L1945" s="16"/>
      <c r="M1945" s="14"/>
    </row>
    <row r="1946">
      <c r="A1946" s="16" t="str">
        <f>IFERROR(__xludf.DUMMYFUNCTION("""COMPUTED_VALUE"""),"Saddy Youssouf")</f>
        <v>Saddy Youssouf</v>
      </c>
      <c r="B1946" s="16"/>
      <c r="C1946" s="14"/>
      <c r="F1946" s="16" t="str">
        <f>IFERROR(__xludf.DUMMYFUNCTION("""COMPUTED_VALUE"""),"Tsamaoua")</f>
        <v>Tsamaoua</v>
      </c>
      <c r="G1946" s="16"/>
      <c r="H1946" s="14"/>
      <c r="K1946" s="16">
        <f>IFERROR(__xludf.DUMMYFUNCTION("""COMPUTED_VALUE"""),658.0)</f>
        <v>658</v>
      </c>
      <c r="L1946" s="16"/>
      <c r="M1946" s="14"/>
    </row>
    <row r="1947">
      <c r="A1947" s="16" t="str">
        <f>IFERROR(__xludf.DUMMYFUNCTION("""COMPUTED_VALUE"""),"Yacouba Idé dit Lumana")</f>
        <v>Yacouba Idé dit Lumana</v>
      </c>
      <c r="B1947" s="16"/>
      <c r="C1947" s="14"/>
      <c r="F1947" s="16" t="str">
        <f>IFERROR(__xludf.DUMMYFUNCTION("""COMPUTED_VALUE"""),"Tsamaoua")</f>
        <v>Tsamaoua</v>
      </c>
      <c r="G1947" s="16"/>
      <c r="H1947" s="14"/>
      <c r="K1947" s="16">
        <f>IFERROR(__xludf.DUMMYFUNCTION("""COMPUTED_VALUE"""),884.0)</f>
        <v>884</v>
      </c>
      <c r="L1947" s="16"/>
      <c r="M1947" s="14"/>
    </row>
    <row r="1948">
      <c r="A1948" s="16" t="str">
        <f>IFERROR(__xludf.DUMMYFUNCTION("""COMPUTED_VALUE"""),"Yacouba Idé dit Lumana")</f>
        <v>Yacouba Idé dit Lumana</v>
      </c>
      <c r="B1948" s="16"/>
      <c r="C1948" s="14"/>
      <c r="F1948" s="16" t="str">
        <f>IFERROR(__xludf.DUMMYFUNCTION("""COMPUTED_VALUE"""),"Tsamaoua")</f>
        <v>Tsamaoua</v>
      </c>
      <c r="G1948" s="16"/>
      <c r="H1948" s="14"/>
      <c r="K1948" s="16">
        <f>IFERROR(__xludf.DUMMYFUNCTION("""COMPUTED_VALUE"""),1402.0)</f>
        <v>1402</v>
      </c>
      <c r="L1948" s="16"/>
      <c r="M1948" s="14"/>
    </row>
    <row r="1949">
      <c r="A1949" s="16" t="str">
        <f>IFERROR(__xludf.DUMMYFUNCTION("""COMPUTED_VALUE"""),"Yacouba Idé dit Lumana")</f>
        <v>Yacouba Idé dit Lumana</v>
      </c>
      <c r="B1949" s="16"/>
      <c r="C1949" s="14"/>
      <c r="F1949" s="16" t="str">
        <f>IFERROR(__xludf.DUMMYFUNCTION("""COMPUTED_VALUE"""),"Tsamaoua")</f>
        <v>Tsamaoua</v>
      </c>
      <c r="G1949" s="16"/>
      <c r="H1949" s="14"/>
      <c r="K1949" s="16">
        <f>IFERROR(__xludf.DUMMYFUNCTION("""COMPUTED_VALUE"""),825.0)</f>
        <v>825</v>
      </c>
      <c r="L1949" s="16"/>
      <c r="M1949" s="14"/>
    </row>
    <row r="1950">
      <c r="A1950" s="16" t="str">
        <f>IFERROR(__xludf.DUMMYFUNCTION("""COMPUTED_VALUE"""),"Saddy Youssouf")</f>
        <v>Saddy Youssouf</v>
      </c>
      <c r="B1950" s="16"/>
      <c r="C1950" s="14"/>
      <c r="F1950" s="16" t="str">
        <f>IFERROR(__xludf.DUMMYFUNCTION("""COMPUTED_VALUE"""),"Tsamaoua")</f>
        <v>Tsamaoua</v>
      </c>
      <c r="G1950" s="16"/>
      <c r="H1950" s="14"/>
      <c r="K1950" s="16">
        <f>IFERROR(__xludf.DUMMYFUNCTION("""COMPUTED_VALUE"""),333.0)</f>
        <v>333</v>
      </c>
      <c r="L1950" s="16"/>
      <c r="M1950" s="14"/>
    </row>
    <row r="1951">
      <c r="A1951" s="16" t="str">
        <f>IFERROR(__xludf.DUMMYFUNCTION("""COMPUTED_VALUE"""),"Saddy Youssouf")</f>
        <v>Saddy Youssouf</v>
      </c>
      <c r="B1951" s="16"/>
      <c r="C1951" s="14"/>
      <c r="F1951" s="16" t="str">
        <f>IFERROR(__xludf.DUMMYFUNCTION("""COMPUTED_VALUE"""),"Tsamaoua")</f>
        <v>Tsamaoua</v>
      </c>
      <c r="G1951" s="16"/>
      <c r="H1951" s="14"/>
      <c r="K1951" s="16">
        <f>IFERROR(__xludf.DUMMYFUNCTION("""COMPUTED_VALUE"""),362.0)</f>
        <v>362</v>
      </c>
      <c r="L1951" s="16"/>
      <c r="M1951" s="14"/>
    </row>
    <row r="1952">
      <c r="A1952" s="16" t="str">
        <f>IFERROR(__xludf.DUMMYFUNCTION("""COMPUTED_VALUE"""),"Saddy Youssouf")</f>
        <v>Saddy Youssouf</v>
      </c>
      <c r="B1952" s="16"/>
      <c r="C1952" s="14"/>
      <c r="F1952" s="16" t="str">
        <f>IFERROR(__xludf.DUMMYFUNCTION("""COMPUTED_VALUE"""),"Tsamaoua")</f>
        <v>Tsamaoua</v>
      </c>
      <c r="G1952" s="16"/>
      <c r="H1952" s="14"/>
      <c r="K1952" s="16">
        <f>IFERROR(__xludf.DUMMYFUNCTION("""COMPUTED_VALUE"""),2010.0)</f>
        <v>2010</v>
      </c>
      <c r="L1952" s="16"/>
      <c r="M1952" s="14"/>
    </row>
    <row r="1953">
      <c r="A1953" s="16" t="str">
        <f>IFERROR(__xludf.DUMMYFUNCTION("""COMPUTED_VALUE"""),"Razinatou Salissou")</f>
        <v>Razinatou Salissou</v>
      </c>
      <c r="B1953" s="16"/>
      <c r="C1953" s="14"/>
      <c r="F1953" s="16" t="str">
        <f>IFERROR(__xludf.DUMMYFUNCTION("""COMPUTED_VALUE"""),"Sabon Guida Damna")</f>
        <v>Sabon Guida Damna</v>
      </c>
      <c r="G1953" s="16"/>
      <c r="H1953" s="14"/>
      <c r="K1953" s="16">
        <f>IFERROR(__xludf.DUMMYFUNCTION("""COMPUTED_VALUE"""),377.0)</f>
        <v>377</v>
      </c>
      <c r="L1953" s="16"/>
      <c r="M1953" s="14"/>
    </row>
    <row r="1954">
      <c r="A1954" s="16" t="str">
        <f>IFERROR(__xludf.DUMMYFUNCTION("""COMPUTED_VALUE"""),"Razinatou Salissou")</f>
        <v>Razinatou Salissou</v>
      </c>
      <c r="B1954" s="16"/>
      <c r="C1954" s="14"/>
      <c r="F1954" s="16" t="str">
        <f>IFERROR(__xludf.DUMMYFUNCTION("""COMPUTED_VALUE"""),"Sabon Guida Damna")</f>
        <v>Sabon Guida Damna</v>
      </c>
      <c r="G1954" s="16"/>
      <c r="H1954" s="14"/>
      <c r="K1954" s="16">
        <f>IFERROR(__xludf.DUMMYFUNCTION("""COMPUTED_VALUE"""),326.0)</f>
        <v>326</v>
      </c>
      <c r="L1954" s="16"/>
      <c r="M1954" s="14"/>
    </row>
    <row r="1955">
      <c r="A1955" s="16" t="str">
        <f>IFERROR(__xludf.DUMMYFUNCTION("""COMPUTED_VALUE"""),"Kailou Hamidou Rainatou")</f>
        <v>Kailou Hamidou Rainatou</v>
      </c>
      <c r="B1955" s="16"/>
      <c r="C1955" s="14"/>
      <c r="F1955" s="16" t="str">
        <f>IFERROR(__xludf.DUMMYFUNCTION("""COMPUTED_VALUE"""),"Sabon Guida Damna")</f>
        <v>Sabon Guida Damna</v>
      </c>
      <c r="G1955" s="16"/>
      <c r="H1955" s="14"/>
      <c r="K1955" s="16">
        <f>IFERROR(__xludf.DUMMYFUNCTION("""COMPUTED_VALUE"""),1189.0)</f>
        <v>1189</v>
      </c>
      <c r="L1955" s="16"/>
      <c r="M1955" s="14"/>
    </row>
    <row r="1956">
      <c r="A1956" s="16" t="str">
        <f>IFERROR(__xludf.DUMMYFUNCTION("""COMPUTED_VALUE"""),"Kailou Hamidou Rainatou")</f>
        <v>Kailou Hamidou Rainatou</v>
      </c>
      <c r="B1956" s="16"/>
      <c r="C1956" s="14"/>
      <c r="F1956" s="16" t="str">
        <f>IFERROR(__xludf.DUMMYFUNCTION("""COMPUTED_VALUE"""),"Sabon Guida Damna")</f>
        <v>Sabon Guida Damna</v>
      </c>
      <c r="G1956" s="16"/>
      <c r="H1956" s="14"/>
      <c r="K1956" s="16">
        <f>IFERROR(__xludf.DUMMYFUNCTION("""COMPUTED_VALUE"""),1247.0)</f>
        <v>1247</v>
      </c>
      <c r="L1956" s="16"/>
      <c r="M1956" s="14"/>
    </row>
    <row r="1957">
      <c r="A1957" s="16" t="str">
        <f>IFERROR(__xludf.DUMMYFUNCTION("""COMPUTED_VALUE"""),"Kailou Hamidou Rainatou")</f>
        <v>Kailou Hamidou Rainatou</v>
      </c>
      <c r="B1957" s="16"/>
      <c r="C1957" s="14"/>
      <c r="F1957" s="16" t="str">
        <f>IFERROR(__xludf.DUMMYFUNCTION("""COMPUTED_VALUE"""),"Sabon Guidan Ba Tamaské-Kelgress (village de la commune de Garhanga)")</f>
        <v>Sabon Guidan Ba Tamaské-Kelgress (village de la commune de Garhanga)</v>
      </c>
      <c r="G1957" s="16"/>
      <c r="H1957" s="14"/>
      <c r="K1957" s="16">
        <f>IFERROR(__xludf.DUMMYFUNCTION("""COMPUTED_VALUE"""),449.0)</f>
        <v>449</v>
      </c>
      <c r="L1957" s="16"/>
      <c r="M1957" s="14"/>
    </row>
    <row r="1958">
      <c r="A1958" s="16" t="str">
        <f>IFERROR(__xludf.DUMMYFUNCTION("""COMPUTED_VALUE"""),"Achirou Malam Dan Maradi Nassirou")</f>
        <v>Achirou Malam Dan Maradi Nassirou</v>
      </c>
      <c r="B1958" s="16"/>
      <c r="C1958" s="14"/>
      <c r="F1958" s="16" t="str">
        <f>IFERROR(__xludf.DUMMYFUNCTION("""COMPUTED_VALUE"""),"Sabon Guidan Ba Tamaské-Kelgress (village de la commune de Garhanga)")</f>
        <v>Sabon Guidan Ba Tamaské-Kelgress (village de la commune de Garhanga)</v>
      </c>
      <c r="G1958" s="16"/>
      <c r="H1958" s="14"/>
      <c r="K1958" s="16">
        <f>IFERROR(__xludf.DUMMYFUNCTION("""COMPUTED_VALUE"""),399.0)</f>
        <v>399</v>
      </c>
      <c r="L1958" s="16"/>
      <c r="M1958" s="14"/>
    </row>
    <row r="1959">
      <c r="A1959" s="16" t="str">
        <f>IFERROR(__xludf.DUMMYFUNCTION("""COMPUTED_VALUE"""),"Achirou Malam Dan Maradi Nassirou")</f>
        <v>Achirou Malam Dan Maradi Nassirou</v>
      </c>
      <c r="B1959" s="16"/>
      <c r="C1959" s="14"/>
      <c r="F1959" s="16" t="str">
        <f>IFERROR(__xludf.DUMMYFUNCTION("""COMPUTED_VALUE"""),"Sabon Guidan Ba Tamaské-Kelgress (village de la commune de Garhanga)")</f>
        <v>Sabon Guidan Ba Tamaské-Kelgress (village de la commune de Garhanga)</v>
      </c>
      <c r="G1959" s="16"/>
      <c r="H1959" s="14"/>
      <c r="K1959" s="16">
        <f>IFERROR(__xludf.DUMMYFUNCTION("""COMPUTED_VALUE"""),230.0)</f>
        <v>230</v>
      </c>
      <c r="L1959" s="16"/>
      <c r="M1959" s="14"/>
    </row>
    <row r="1960">
      <c r="A1960" s="16" t="str">
        <f>IFERROR(__xludf.DUMMYFUNCTION("""COMPUTED_VALUE"""),"Achirou Malam Dan Maradi Nassirou")</f>
        <v>Achirou Malam Dan Maradi Nassirou</v>
      </c>
      <c r="B1960" s="16"/>
      <c r="C1960" s="14"/>
      <c r="F1960" s="16" t="str">
        <f>IFERROR(__xludf.DUMMYFUNCTION("""COMPUTED_VALUE"""),"Takakoumi")</f>
        <v>Takakoumi</v>
      </c>
      <c r="G1960" s="16"/>
      <c r="H1960" s="14"/>
      <c r="K1960" s="16">
        <f>IFERROR(__xludf.DUMMYFUNCTION("""COMPUTED_VALUE"""),780.0)</f>
        <v>780</v>
      </c>
      <c r="L1960" s="16"/>
      <c r="M1960" s="14"/>
    </row>
    <row r="1961">
      <c r="A1961" s="16" t="str">
        <f>IFERROR(__xludf.DUMMYFUNCTION("""COMPUTED_VALUE"""),"Achirou Malam Dan Maradi Nassirou")</f>
        <v>Achirou Malam Dan Maradi Nassirou</v>
      </c>
      <c r="B1961" s="16"/>
      <c r="C1961" s="14"/>
      <c r="F1961" s="16" t="str">
        <f>IFERROR(__xludf.DUMMYFUNCTION("""COMPUTED_VALUE"""),"Falalia Daoudawa")</f>
        <v>Falalia Daoudawa</v>
      </c>
      <c r="G1961" s="16"/>
      <c r="H1961" s="14"/>
      <c r="K1961" s="16">
        <f>IFERROR(__xludf.DUMMYFUNCTION("""COMPUTED_VALUE"""),1618.0)</f>
        <v>1618</v>
      </c>
      <c r="L1961" s="16"/>
      <c r="M1961" s="14"/>
    </row>
    <row r="1962">
      <c r="A1962" s="16" t="str">
        <f>IFERROR(__xludf.DUMMYFUNCTION("""COMPUTED_VALUE"""),"Mohamadou Amadou")</f>
        <v>Mohamadou Amadou</v>
      </c>
      <c r="B1962" s="16"/>
      <c r="C1962" s="14"/>
      <c r="F1962" s="16" t="str">
        <f>IFERROR(__xludf.DUMMYFUNCTION("""COMPUTED_VALUE"""),"Falalia Guidan Saidi (Ibrahim)")</f>
        <v>Falalia Guidan Saidi (Ibrahim)</v>
      </c>
      <c r="G1962" s="16"/>
      <c r="H1962" s="14"/>
      <c r="K1962" s="16">
        <f>IFERROR(__xludf.DUMMYFUNCTION("""COMPUTED_VALUE"""),1173.0)</f>
        <v>1173</v>
      </c>
      <c r="L1962" s="16"/>
      <c r="M1962" s="14"/>
    </row>
    <row r="1963">
      <c r="A1963" s="16" t="str">
        <f>IFERROR(__xludf.DUMMYFUNCTION("""COMPUTED_VALUE"""),"Mohamadou Amadou")</f>
        <v>Mohamadou Amadou</v>
      </c>
      <c r="B1963" s="16"/>
      <c r="C1963" s="14"/>
      <c r="F1963" s="16" t="str">
        <f>IFERROR(__xludf.DUMMYFUNCTION("""COMPUTED_VALUE"""),"Falalia Guidan Saidi (Ibrahim)")</f>
        <v>Falalia Guidan Saidi (Ibrahim)</v>
      </c>
      <c r="G1963" s="16"/>
      <c r="H1963" s="14"/>
      <c r="K1963" s="16">
        <f>IFERROR(__xludf.DUMMYFUNCTION("""COMPUTED_VALUE"""),601.0)</f>
        <v>601</v>
      </c>
      <c r="L1963" s="16"/>
      <c r="M1963" s="14"/>
    </row>
    <row r="1964">
      <c r="A1964" s="16" t="str">
        <f>IFERROR(__xludf.DUMMYFUNCTION("""COMPUTED_VALUE"""),"Mohamadou Amadou")</f>
        <v>Mohamadou Amadou</v>
      </c>
      <c r="B1964" s="16"/>
      <c r="C1964" s="14"/>
      <c r="F1964" s="16" t="str">
        <f>IFERROR(__xludf.DUMMYFUNCTION("""COMPUTED_VALUE"""),"Falalia Guidan Saidi (Ibrahim)")</f>
        <v>Falalia Guidan Saidi (Ibrahim)</v>
      </c>
      <c r="G1964" s="16"/>
      <c r="H1964" s="14"/>
      <c r="K1964" s="16">
        <f>IFERROR(__xludf.DUMMYFUNCTION("""COMPUTED_VALUE"""),1735.0)</f>
        <v>1735</v>
      </c>
      <c r="L1964" s="16"/>
      <c r="M1964" s="14"/>
    </row>
    <row r="1965">
      <c r="A1965" s="16" t="str">
        <f>IFERROR(__xludf.DUMMYFUNCTION("""COMPUTED_VALUE"""),"Mohamadou Amadou")</f>
        <v>Mohamadou Amadou</v>
      </c>
      <c r="B1965" s="16"/>
      <c r="C1965" s="14"/>
      <c r="F1965" s="16" t="str">
        <f>IFERROR(__xludf.DUMMYFUNCTION("""COMPUTED_VALUE"""),"Falalia Kiratawa")</f>
        <v>Falalia Kiratawa</v>
      </c>
      <c r="G1965" s="16"/>
      <c r="H1965" s="14"/>
      <c r="K1965" s="16">
        <f>IFERROR(__xludf.DUMMYFUNCTION("""COMPUTED_VALUE"""),225.0)</f>
        <v>225</v>
      </c>
      <c r="L1965" s="16"/>
      <c r="M1965" s="14"/>
    </row>
    <row r="1966">
      <c r="A1966" s="16" t="str">
        <f>IFERROR(__xludf.DUMMYFUNCTION("""COMPUTED_VALUE"""),"Mohamadou Amadou")</f>
        <v>Mohamadou Amadou</v>
      </c>
      <c r="B1966" s="16"/>
      <c r="C1966" s="14"/>
      <c r="F1966" s="16" t="str">
        <f>IFERROR(__xludf.DUMMYFUNCTION("""COMPUTED_VALUE"""),"Falalia Kiratawa")</f>
        <v>Falalia Kiratawa</v>
      </c>
      <c r="G1966" s="16"/>
      <c r="H1966" s="14"/>
      <c r="K1966" s="16">
        <f>IFERROR(__xludf.DUMMYFUNCTION("""COMPUTED_VALUE"""),299.0)</f>
        <v>299</v>
      </c>
      <c r="L1966" s="16"/>
      <c r="M1966" s="14"/>
    </row>
    <row r="1967">
      <c r="A1967" s="16" t="str">
        <f>IFERROR(__xludf.DUMMYFUNCTION("""COMPUTED_VALUE"""),"Mohamadou Amadou")</f>
        <v>Mohamadou Amadou</v>
      </c>
      <c r="B1967" s="16"/>
      <c r="C1967" s="14"/>
      <c r="F1967" s="16" t="str">
        <f>IFERROR(__xludf.DUMMYFUNCTION("""COMPUTED_VALUE"""),"Falalia Kiratawa")</f>
        <v>Falalia Kiratawa</v>
      </c>
      <c r="G1967" s="16"/>
      <c r="H1967" s="14"/>
      <c r="K1967" s="16">
        <f>IFERROR(__xludf.DUMMYFUNCTION("""COMPUTED_VALUE"""),347.0)</f>
        <v>347</v>
      </c>
      <c r="L1967" s="16"/>
      <c r="M1967" s="14"/>
    </row>
    <row r="1968">
      <c r="A1968" s="16" t="str">
        <f>IFERROR(__xludf.DUMMYFUNCTION("""COMPUTED_VALUE"""),"Mohamadou Amadou")</f>
        <v>Mohamadou Amadou</v>
      </c>
      <c r="B1968" s="16"/>
      <c r="C1968" s="14"/>
      <c r="F1968" s="16" t="str">
        <f>IFERROR(__xludf.DUMMYFUNCTION("""COMPUTED_VALUE"""),"Falalia Kiratawa")</f>
        <v>Falalia Kiratawa</v>
      </c>
      <c r="G1968" s="16"/>
      <c r="H1968" s="14"/>
      <c r="K1968" s="16">
        <f>IFERROR(__xludf.DUMMYFUNCTION("""COMPUTED_VALUE"""),1347.0)</f>
        <v>1347</v>
      </c>
      <c r="L1968" s="16"/>
      <c r="M1968" s="14"/>
    </row>
    <row r="1969">
      <c r="A1969" s="16" t="str">
        <f>IFERROR(__xludf.DUMMYFUNCTION("""COMPUTED_VALUE"""),"Mohamadou Amadou")</f>
        <v>Mohamadou Amadou</v>
      </c>
      <c r="B1969" s="16"/>
      <c r="C1969" s="14"/>
      <c r="F1969" s="16" t="str">
        <f>IFERROR(__xludf.DUMMYFUNCTION("""COMPUTED_VALUE"""),"Tchaba Maiguizo")</f>
        <v>Tchaba Maiguizo</v>
      </c>
      <c r="G1969" s="16"/>
      <c r="H1969" s="14"/>
      <c r="K1969" s="16">
        <f>IFERROR(__xludf.DUMMYFUNCTION("""COMPUTED_VALUE"""),1756.0)</f>
        <v>1756</v>
      </c>
      <c r="L1969" s="16"/>
      <c r="M1969" s="14"/>
    </row>
    <row r="1970">
      <c r="A1970" s="16" t="str">
        <f>IFERROR(__xludf.DUMMYFUNCTION("""COMPUTED_VALUE"""),"Mohamadou Amadou")</f>
        <v>Mohamadou Amadou</v>
      </c>
      <c r="B1970" s="16"/>
      <c r="C1970" s="14"/>
      <c r="F1970" s="16" t="str">
        <f>IFERROR(__xludf.DUMMYFUNCTION("""COMPUTED_VALUE"""),"Tchaba Maiguizo")</f>
        <v>Tchaba Maiguizo</v>
      </c>
      <c r="G1970" s="16"/>
      <c r="H1970" s="14"/>
      <c r="K1970" s="16">
        <f>IFERROR(__xludf.DUMMYFUNCTION("""COMPUTED_VALUE"""),968.0)</f>
        <v>968</v>
      </c>
      <c r="L1970" s="16"/>
      <c r="M1970" s="14"/>
    </row>
    <row r="1971">
      <c r="A1971" s="16" t="str">
        <f>IFERROR(__xludf.DUMMYFUNCTION("""COMPUTED_VALUE"""),"Mohamadou Amadou")</f>
        <v>Mohamadou Amadou</v>
      </c>
      <c r="B1971" s="16"/>
      <c r="C1971" s="14"/>
      <c r="F1971" s="16" t="str">
        <f>IFERROR(__xludf.DUMMYFUNCTION("""COMPUTED_VALUE"""),"Sabon Guidan Ba Tamaské-Kelgress (village de la commune de Garhanga)")</f>
        <v>Sabon Guidan Ba Tamaské-Kelgress (village de la commune de Garhanga)</v>
      </c>
      <c r="G1971" s="16"/>
      <c r="H1971" s="14"/>
      <c r="K1971" s="16">
        <f>IFERROR(__xludf.DUMMYFUNCTION("""COMPUTED_VALUE"""),990.0)</f>
        <v>990</v>
      </c>
      <c r="L1971" s="16"/>
      <c r="M1971" s="14"/>
    </row>
    <row r="1972">
      <c r="A1972" s="16" t="str">
        <f>IFERROR(__xludf.DUMMYFUNCTION("""COMPUTED_VALUE"""),"Asmaou Tanko Issa")</f>
        <v>Asmaou Tanko Issa</v>
      </c>
      <c r="B1972" s="16"/>
      <c r="C1972" s="14"/>
      <c r="F1972" s="16" t="str">
        <f>IFERROR(__xludf.DUMMYFUNCTION("""COMPUTED_VALUE"""),"Sabon Guidan Ba Tamaské-Kelgress (village de la commune de Garhanga)")</f>
        <v>Sabon Guidan Ba Tamaské-Kelgress (village de la commune de Garhanga)</v>
      </c>
      <c r="G1972" s="16"/>
      <c r="H1972" s="14"/>
      <c r="K1972" s="16">
        <f>IFERROR(__xludf.DUMMYFUNCTION("""COMPUTED_VALUE"""),270.0)</f>
        <v>270</v>
      </c>
      <c r="L1972" s="16"/>
      <c r="M1972" s="14"/>
    </row>
    <row r="1973">
      <c r="A1973" s="16" t="str">
        <f>IFERROR(__xludf.DUMMYFUNCTION("""COMPUTED_VALUE"""),"Asmaou Tanko Issa")</f>
        <v>Asmaou Tanko Issa</v>
      </c>
      <c r="B1973" s="16"/>
      <c r="C1973" s="14"/>
      <c r="F1973" s="16" t="str">
        <f>IFERROR(__xludf.DUMMYFUNCTION("""COMPUTED_VALUE"""),"Sabon Guidan Ba Tamaské-Kelgress (village de la commune de Garhanga)")</f>
        <v>Sabon Guidan Ba Tamaské-Kelgress (village de la commune de Garhanga)</v>
      </c>
      <c r="G1973" s="16"/>
      <c r="H1973" s="14"/>
      <c r="K1973" s="16">
        <f>IFERROR(__xludf.DUMMYFUNCTION("""COMPUTED_VALUE"""),442.0)</f>
        <v>442</v>
      </c>
      <c r="L1973" s="16"/>
      <c r="M1973" s="14"/>
    </row>
    <row r="1974">
      <c r="A1974" s="16" t="str">
        <f>IFERROR(__xludf.DUMMYFUNCTION("""COMPUTED_VALUE"""),"Asmaou Tanko Issa")</f>
        <v>Asmaou Tanko Issa</v>
      </c>
      <c r="B1974" s="16"/>
      <c r="C1974" s="14"/>
      <c r="F1974" s="16" t="str">
        <f>IFERROR(__xludf.DUMMYFUNCTION("""COMPUTED_VALUE"""),"Tsamaoua")</f>
        <v>Tsamaoua</v>
      </c>
      <c r="G1974" s="16"/>
      <c r="H1974" s="14"/>
      <c r="K1974" s="16">
        <f>IFERROR(__xludf.DUMMYFUNCTION("""COMPUTED_VALUE"""),297.0)</f>
        <v>297</v>
      </c>
      <c r="L1974" s="16"/>
      <c r="M1974" s="14"/>
    </row>
    <row r="1975">
      <c r="A1975" s="16" t="str">
        <f>IFERROR(__xludf.DUMMYFUNCTION("""COMPUTED_VALUE"""),"Asmaou Tanko Issa")</f>
        <v>Asmaou Tanko Issa</v>
      </c>
      <c r="B1975" s="16"/>
      <c r="C1975" s="14"/>
      <c r="F1975" s="16" t="str">
        <f>IFERROR(__xludf.DUMMYFUNCTION("""COMPUTED_VALUE"""),"Tsamaoua")</f>
        <v>Tsamaoua</v>
      </c>
      <c r="G1975" s="16"/>
      <c r="H1975" s="14"/>
      <c r="K1975" s="16">
        <f>IFERROR(__xludf.DUMMYFUNCTION("""COMPUTED_VALUE"""),405.0)</f>
        <v>405</v>
      </c>
      <c r="L1975" s="16"/>
      <c r="M1975" s="14"/>
    </row>
    <row r="1976">
      <c r="A1976" s="16" t="str">
        <f>IFERROR(__xludf.DUMMYFUNCTION("""COMPUTED_VALUE"""),"Yacouba Idé dit Lumana")</f>
        <v>Yacouba Idé dit Lumana</v>
      </c>
      <c r="B1976" s="16"/>
      <c r="C1976" s="14"/>
      <c r="F1976" s="16" t="str">
        <f>IFERROR(__xludf.DUMMYFUNCTION("""COMPUTED_VALUE"""),"Tsamaoua")</f>
        <v>Tsamaoua</v>
      </c>
      <c r="G1976" s="16"/>
      <c r="H1976" s="14"/>
      <c r="K1976" s="16">
        <f>IFERROR(__xludf.DUMMYFUNCTION("""COMPUTED_VALUE"""),327.0)</f>
        <v>327</v>
      </c>
      <c r="L1976" s="16"/>
      <c r="M1976" s="14"/>
    </row>
    <row r="1977">
      <c r="A1977" s="16" t="str">
        <f>IFERROR(__xludf.DUMMYFUNCTION("""COMPUTED_VALUE"""),"Yacouba Idé dit Lumana")</f>
        <v>Yacouba Idé dit Lumana</v>
      </c>
      <c r="B1977" s="16"/>
      <c r="C1977" s="14"/>
      <c r="F1977" s="16" t="str">
        <f>IFERROR(__xludf.DUMMYFUNCTION("""COMPUTED_VALUE"""),"Koufan Tahoua")</f>
        <v>Koufan Tahoua</v>
      </c>
      <c r="G1977" s="16"/>
      <c r="H1977" s="14"/>
      <c r="K1977" s="16">
        <f>IFERROR(__xludf.DUMMYFUNCTION("""COMPUTED_VALUE"""),402.0)</f>
        <v>402</v>
      </c>
      <c r="L1977" s="16"/>
      <c r="M1977" s="14"/>
    </row>
    <row r="1978">
      <c r="A1978" s="16" t="str">
        <f>IFERROR(__xludf.DUMMYFUNCTION("""COMPUTED_VALUE"""),"Yacouba Idé dit Lumana")</f>
        <v>Yacouba Idé dit Lumana</v>
      </c>
      <c r="B1978" s="16"/>
      <c r="C1978" s="14"/>
      <c r="F1978" s="16" t="str">
        <f>IFERROR(__xludf.DUMMYFUNCTION("""COMPUTED_VALUE"""),"Koufan Tahoua")</f>
        <v>Koufan Tahoua</v>
      </c>
      <c r="G1978" s="16"/>
      <c r="H1978" s="14"/>
      <c r="K1978" s="16">
        <f>IFERROR(__xludf.DUMMYFUNCTION("""COMPUTED_VALUE"""),2333.0)</f>
        <v>2333</v>
      </c>
      <c r="L1978" s="16"/>
      <c r="M1978" s="14"/>
    </row>
    <row r="1979">
      <c r="A1979" s="16" t="str">
        <f>IFERROR(__xludf.DUMMYFUNCTION("""COMPUTED_VALUE"""),"Razinatou Salissou")</f>
        <v>Razinatou Salissou</v>
      </c>
      <c r="B1979" s="16"/>
      <c r="C1979" s="14"/>
      <c r="F1979" s="16" t="str">
        <f>IFERROR(__xludf.DUMMYFUNCTION("""COMPUTED_VALUE"""),"Koufan Tahoua")</f>
        <v>Koufan Tahoua</v>
      </c>
      <c r="G1979" s="16"/>
      <c r="H1979" s="14"/>
      <c r="K1979" s="16">
        <f>IFERROR(__xludf.DUMMYFUNCTION("""COMPUTED_VALUE"""),1832.0)</f>
        <v>1832</v>
      </c>
      <c r="L1979" s="16"/>
      <c r="M1979" s="14"/>
    </row>
    <row r="1980">
      <c r="A1980" s="16" t="str">
        <f>IFERROR(__xludf.DUMMYFUNCTION("""COMPUTED_VALUE"""),"Razinatou Salissou")</f>
        <v>Razinatou Salissou</v>
      </c>
      <c r="B1980" s="16"/>
      <c r="C1980" s="14"/>
      <c r="F1980" s="16" t="str">
        <f>IFERROR(__xludf.DUMMYFUNCTION("""COMPUTED_VALUE"""),"Koufan Tahoua")</f>
        <v>Koufan Tahoua</v>
      </c>
      <c r="G1980" s="16"/>
      <c r="H1980" s="14"/>
      <c r="K1980" s="16">
        <f>IFERROR(__xludf.DUMMYFUNCTION("""COMPUTED_VALUE"""),1629.0)</f>
        <v>1629</v>
      </c>
      <c r="L1980" s="16"/>
      <c r="M1980" s="14"/>
    </row>
    <row r="1981">
      <c r="A1981" s="16" t="str">
        <f>IFERROR(__xludf.DUMMYFUNCTION("""COMPUTED_VALUE"""),"Abdoul Razak Mahamane Boukari")</f>
        <v>Abdoul Razak Mahamane Boukari</v>
      </c>
      <c r="B1981" s="16"/>
      <c r="C1981" s="14"/>
      <c r="F1981" s="16" t="str">
        <f>IFERROR(__xludf.DUMMYFUNCTION("""COMPUTED_VALUE"""),"Koufan Tahoua")</f>
        <v>Koufan Tahoua</v>
      </c>
      <c r="G1981" s="16"/>
      <c r="H1981" s="14"/>
      <c r="K1981" s="16">
        <f>IFERROR(__xludf.DUMMYFUNCTION("""COMPUTED_VALUE"""),1766.0)</f>
        <v>1766</v>
      </c>
      <c r="L1981" s="16"/>
      <c r="M1981" s="14"/>
    </row>
    <row r="1982">
      <c r="A1982" s="16" t="str">
        <f>IFERROR(__xludf.DUMMYFUNCTION("""COMPUTED_VALUE"""),"Abdoul Razak Mahamane Boukari")</f>
        <v>Abdoul Razak Mahamane Boukari</v>
      </c>
      <c r="B1982" s="16"/>
      <c r="C1982" s="14"/>
      <c r="F1982" s="16" t="str">
        <f>IFERROR(__xludf.DUMMYFUNCTION("""COMPUTED_VALUE"""),"Tsamaoua")</f>
        <v>Tsamaoua</v>
      </c>
      <c r="G1982" s="16"/>
      <c r="H1982" s="14"/>
      <c r="K1982" s="16">
        <f>IFERROR(__xludf.DUMMYFUNCTION("""COMPUTED_VALUE"""),537.0)</f>
        <v>537</v>
      </c>
      <c r="L1982" s="16"/>
      <c r="M1982" s="14"/>
    </row>
    <row r="1983">
      <c r="A1983" s="16" t="str">
        <f>IFERROR(__xludf.DUMMYFUNCTION("""COMPUTED_VALUE"""),"Abdoul Razak Mahamane Boukari")</f>
        <v>Abdoul Razak Mahamane Boukari</v>
      </c>
      <c r="B1983" s="16"/>
      <c r="C1983" s="14"/>
      <c r="F1983" s="16" t="str">
        <f>IFERROR(__xludf.DUMMYFUNCTION("""COMPUTED_VALUE"""),"Tsamaoua")</f>
        <v>Tsamaoua</v>
      </c>
      <c r="G1983" s="16"/>
      <c r="H1983" s="14"/>
      <c r="K1983" s="16">
        <f>IFERROR(__xludf.DUMMYFUNCTION("""COMPUTED_VALUE"""),1038.0)</f>
        <v>1038</v>
      </c>
      <c r="L1983" s="16"/>
      <c r="M1983" s="14"/>
    </row>
    <row r="1984">
      <c r="A1984" s="16" t="str">
        <f>IFERROR(__xludf.DUMMYFUNCTION("""COMPUTED_VALUE"""),"Abdoul Razak Mahamane Boukari")</f>
        <v>Abdoul Razak Mahamane Boukari</v>
      </c>
      <c r="B1984" s="16"/>
      <c r="C1984" s="14"/>
      <c r="F1984" s="16" t="str">
        <f>IFERROR(__xludf.DUMMYFUNCTION("""COMPUTED_VALUE"""),"Tsamaoua")</f>
        <v>Tsamaoua</v>
      </c>
      <c r="G1984" s="16"/>
      <c r="H1984" s="14"/>
      <c r="K1984" s="16">
        <f>IFERROR(__xludf.DUMMYFUNCTION("""COMPUTED_VALUE"""),424.0)</f>
        <v>424</v>
      </c>
      <c r="L1984" s="16"/>
      <c r="M1984" s="14"/>
    </row>
    <row r="1985">
      <c r="A1985" s="16" t="str">
        <f>IFERROR(__xludf.DUMMYFUNCTION("""COMPUTED_VALUE"""),"Abdoul Razak Mahamane Boukari")</f>
        <v>Abdoul Razak Mahamane Boukari</v>
      </c>
      <c r="B1985" s="16"/>
      <c r="C1985" s="14"/>
      <c r="F1985" s="16" t="str">
        <f>IFERROR(__xludf.DUMMYFUNCTION("""COMPUTED_VALUE"""),"Tsamaoua")</f>
        <v>Tsamaoua</v>
      </c>
      <c r="G1985" s="16"/>
      <c r="H1985" s="14"/>
      <c r="K1985" s="16">
        <f>IFERROR(__xludf.DUMMYFUNCTION("""COMPUTED_VALUE"""),571.0)</f>
        <v>571</v>
      </c>
      <c r="L1985" s="16"/>
      <c r="M1985" s="14"/>
    </row>
    <row r="1986">
      <c r="A1986" s="16" t="str">
        <f>IFERROR(__xludf.DUMMYFUNCTION("""COMPUTED_VALUE"""),"Abdoul Razak Mahamane Boukari")</f>
        <v>Abdoul Razak Mahamane Boukari</v>
      </c>
      <c r="B1986" s="16"/>
      <c r="C1986" s="14"/>
      <c r="F1986" s="16" t="str">
        <f>IFERROR(__xludf.DUMMYFUNCTION("""COMPUTED_VALUE"""),"Tsamaoua")</f>
        <v>Tsamaoua</v>
      </c>
      <c r="G1986" s="16"/>
      <c r="H1986" s="14"/>
      <c r="K1986" s="16">
        <f>IFERROR(__xludf.DUMMYFUNCTION("""COMPUTED_VALUE"""),484.0)</f>
        <v>484</v>
      </c>
      <c r="L1986" s="16"/>
      <c r="M1986" s="14"/>
    </row>
    <row r="1987">
      <c r="A1987" s="16" t="str">
        <f>IFERROR(__xludf.DUMMYFUNCTION("""COMPUTED_VALUE"""),"Abdoul Razak Mahamane Boukari")</f>
        <v>Abdoul Razak Mahamane Boukari</v>
      </c>
      <c r="B1987" s="16"/>
      <c r="C1987" s="14"/>
      <c r="F1987" s="16" t="str">
        <f>IFERROR(__xludf.DUMMYFUNCTION("""COMPUTED_VALUE"""),"Falalia Guidan Saidi (Ibrahim)")</f>
        <v>Falalia Guidan Saidi (Ibrahim)</v>
      </c>
      <c r="G1987" s="16"/>
      <c r="H1987" s="14"/>
      <c r="K1987" s="16">
        <f>IFERROR(__xludf.DUMMYFUNCTION("""COMPUTED_VALUE"""),536.0)</f>
        <v>536</v>
      </c>
      <c r="L1987" s="16"/>
      <c r="M1987" s="14"/>
    </row>
    <row r="1988">
      <c r="A1988" s="16" t="str">
        <f>IFERROR(__xludf.DUMMYFUNCTION("""COMPUTED_VALUE"""),"Abdoul Razak Mahamane Boukari")</f>
        <v>Abdoul Razak Mahamane Boukari</v>
      </c>
      <c r="B1988" s="16"/>
      <c r="C1988" s="14"/>
      <c r="F1988" s="16" t="str">
        <f>IFERROR(__xludf.DUMMYFUNCTION("""COMPUTED_VALUE"""),"Falalia Guidan Saidi (Ibrahim)")</f>
        <v>Falalia Guidan Saidi (Ibrahim)</v>
      </c>
      <c r="G1988" s="16"/>
      <c r="H1988" s="14"/>
      <c r="K1988" s="16">
        <f>IFERROR(__xludf.DUMMYFUNCTION("""COMPUTED_VALUE"""),2018.0)</f>
        <v>2018</v>
      </c>
      <c r="L1988" s="16"/>
      <c r="M1988" s="14"/>
    </row>
    <row r="1989">
      <c r="A1989" s="16" t="str">
        <f>IFERROR(__xludf.DUMMYFUNCTION("""COMPUTED_VALUE"""),"Abdoul Razak Mahamane Boukari")</f>
        <v>Abdoul Razak Mahamane Boukari</v>
      </c>
      <c r="B1989" s="16"/>
      <c r="C1989" s="14"/>
      <c r="F1989" s="16" t="str">
        <f>IFERROR(__xludf.DUMMYFUNCTION("""COMPUTED_VALUE"""),"Falalia Guidan Saidi (Ibrahim)")</f>
        <v>Falalia Guidan Saidi (Ibrahim)</v>
      </c>
      <c r="G1989" s="16"/>
      <c r="H1989" s="14"/>
      <c r="K1989" s="16">
        <f>IFERROR(__xludf.DUMMYFUNCTION("""COMPUTED_VALUE"""),319.0)</f>
        <v>319</v>
      </c>
      <c r="L1989" s="16"/>
      <c r="M1989" s="14"/>
    </row>
    <row r="1990">
      <c r="A1990" s="16" t="str">
        <f>IFERROR(__xludf.DUMMYFUNCTION("""COMPUTED_VALUE"""),"Abdoul Razak Mahamane Boukari")</f>
        <v>Abdoul Razak Mahamane Boukari</v>
      </c>
      <c r="B1990" s="16"/>
      <c r="C1990" s="14"/>
      <c r="F1990" s="16" t="str">
        <f>IFERROR(__xludf.DUMMYFUNCTION("""COMPUTED_VALUE"""),"Falalia Guidan Saidi (Ibrahim)")</f>
        <v>Falalia Guidan Saidi (Ibrahim)</v>
      </c>
      <c r="G1990" s="16"/>
      <c r="H1990" s="14"/>
      <c r="K1990" s="16">
        <f>IFERROR(__xludf.DUMMYFUNCTION("""COMPUTED_VALUE"""),865.0)</f>
        <v>865</v>
      </c>
      <c r="L1990" s="16"/>
      <c r="M1990" s="14"/>
    </row>
    <row r="1991">
      <c r="A1991" s="16" t="str">
        <f>IFERROR(__xludf.DUMMYFUNCTION("""COMPUTED_VALUE"""),"Abdoul Razak Mahamane Boukari")</f>
        <v>Abdoul Razak Mahamane Boukari</v>
      </c>
      <c r="B1991" s="16"/>
      <c r="C1991" s="14"/>
      <c r="F1991" s="16" t="str">
        <f>IFERROR(__xludf.DUMMYFUNCTION("""COMPUTED_VALUE"""),"Falalia Guidan Saidi (Ibrahim)")</f>
        <v>Falalia Guidan Saidi (Ibrahim)</v>
      </c>
      <c r="G1991" s="16"/>
      <c r="H1991" s="14"/>
      <c r="K1991" s="16">
        <f>IFERROR(__xludf.DUMMYFUNCTION("""COMPUTED_VALUE"""),612.0)</f>
        <v>612</v>
      </c>
      <c r="L1991" s="16"/>
      <c r="M1991" s="14"/>
    </row>
    <row r="1992">
      <c r="A1992" s="16" t="str">
        <f>IFERROR(__xludf.DUMMYFUNCTION("""COMPUTED_VALUE"""),"Abdoul Razak Mahamane Boukari")</f>
        <v>Abdoul Razak Mahamane Boukari</v>
      </c>
      <c r="B1992" s="16"/>
      <c r="C1992" s="14"/>
      <c r="F1992" s="16" t="str">
        <f>IFERROR(__xludf.DUMMYFUNCTION("""COMPUTED_VALUE"""),"Falalia Daoudawa")</f>
        <v>Falalia Daoudawa</v>
      </c>
      <c r="G1992" s="16"/>
      <c r="H1992" s="14"/>
      <c r="K1992" s="16">
        <f>IFERROR(__xludf.DUMMYFUNCTION("""COMPUTED_VALUE"""),345.0)</f>
        <v>345</v>
      </c>
      <c r="L1992" s="16"/>
      <c r="M1992" s="14"/>
    </row>
    <row r="1993">
      <c r="A1993" s="16" t="str">
        <f>IFERROR(__xludf.DUMMYFUNCTION("""COMPUTED_VALUE"""),"Abdoul Salami Ibrahim")</f>
        <v>Abdoul Salami Ibrahim</v>
      </c>
      <c r="B1993" s="16"/>
      <c r="C1993" s="14"/>
      <c r="F1993" s="16" t="str">
        <f>IFERROR(__xludf.DUMMYFUNCTION("""COMPUTED_VALUE"""),"Falalia Guidan Saidi (Ibrahim)")</f>
        <v>Falalia Guidan Saidi (Ibrahim)</v>
      </c>
      <c r="G1993" s="16"/>
      <c r="H1993" s="14"/>
      <c r="K1993" s="16">
        <f>IFERROR(__xludf.DUMMYFUNCTION("""COMPUTED_VALUE"""),347.0)</f>
        <v>347</v>
      </c>
      <c r="L1993" s="16"/>
      <c r="M1993" s="14"/>
    </row>
    <row r="1994">
      <c r="A1994" s="16" t="str">
        <f>IFERROR(__xludf.DUMMYFUNCTION("""COMPUTED_VALUE"""),"Abdoul Salami Ibrahim")</f>
        <v>Abdoul Salami Ibrahim</v>
      </c>
      <c r="B1994" s="16"/>
      <c r="C1994" s="14"/>
      <c r="F1994" s="16" t="str">
        <f>IFERROR(__xludf.DUMMYFUNCTION("""COMPUTED_VALUE"""),"Falalia Guidan Saidi (Ibrahim)")</f>
        <v>Falalia Guidan Saidi (Ibrahim)</v>
      </c>
      <c r="G1994" s="16"/>
      <c r="H1994" s="14"/>
      <c r="K1994" s="16">
        <f>IFERROR(__xludf.DUMMYFUNCTION("""COMPUTED_VALUE"""),284.0)</f>
        <v>284</v>
      </c>
      <c r="L1994" s="16"/>
      <c r="M1994" s="14"/>
    </row>
    <row r="1995">
      <c r="A1995" s="16" t="str">
        <f>IFERROR(__xludf.DUMMYFUNCTION("""COMPUTED_VALUE"""),"Abdoul Salami Ibrahim")</f>
        <v>Abdoul Salami Ibrahim</v>
      </c>
      <c r="B1995" s="16"/>
      <c r="C1995" s="14"/>
      <c r="F1995" s="16" t="str">
        <f>IFERROR(__xludf.DUMMYFUNCTION("""COMPUTED_VALUE"""),"Falalia Daoudawa")</f>
        <v>Falalia Daoudawa</v>
      </c>
      <c r="G1995" s="16"/>
      <c r="H1995" s="14"/>
      <c r="K1995" s="16">
        <f>IFERROR(__xludf.DUMMYFUNCTION("""COMPUTED_VALUE"""),1845.0)</f>
        <v>1845</v>
      </c>
      <c r="L1995" s="16"/>
      <c r="M1995" s="14"/>
    </row>
    <row r="1996">
      <c r="A1996" s="16" t="str">
        <f>IFERROR(__xludf.DUMMYFUNCTION("""COMPUTED_VALUE"""),"Abdoul Salami Ibrahim")</f>
        <v>Abdoul Salami Ibrahim</v>
      </c>
      <c r="B1996" s="16"/>
      <c r="C1996" s="14"/>
      <c r="F1996" s="16" t="str">
        <f>IFERROR(__xludf.DUMMYFUNCTION("""COMPUTED_VALUE"""),"Falalia Guidan Saidi (Ibrahim)")</f>
        <v>Falalia Guidan Saidi (Ibrahim)</v>
      </c>
      <c r="G1996" s="16"/>
      <c r="H1996" s="14"/>
      <c r="K1996" s="16">
        <f>IFERROR(__xludf.DUMMYFUNCTION("""COMPUTED_VALUE"""),1249.0)</f>
        <v>1249</v>
      </c>
      <c r="L1996" s="16"/>
      <c r="M1996" s="14"/>
    </row>
    <row r="1997">
      <c r="A1997" s="16" t="str">
        <f>IFERROR(__xludf.DUMMYFUNCTION("""COMPUTED_VALUE"""),"Abdoul Salami Ibrahim")</f>
        <v>Abdoul Salami Ibrahim</v>
      </c>
      <c r="B1997" s="16"/>
      <c r="C1997" s="14"/>
      <c r="F1997" s="16" t="str">
        <f>IFERROR(__xludf.DUMMYFUNCTION("""COMPUTED_VALUE"""),"Falalia Guidan Saidi (Ibrahim)")</f>
        <v>Falalia Guidan Saidi (Ibrahim)</v>
      </c>
      <c r="G1997" s="16"/>
      <c r="H1997" s="14"/>
      <c r="K1997" s="16">
        <f>IFERROR(__xludf.DUMMYFUNCTION("""COMPUTED_VALUE"""),1488.0)</f>
        <v>1488</v>
      </c>
      <c r="L1997" s="16"/>
      <c r="M1997" s="14"/>
    </row>
    <row r="1998">
      <c r="A1998" s="16" t="str">
        <f>IFERROR(__xludf.DUMMYFUNCTION("""COMPUTED_VALUE"""),"Abdoul Salami Ibrahim")</f>
        <v>Abdoul Salami Ibrahim</v>
      </c>
      <c r="B1998" s="16"/>
      <c r="C1998" s="14"/>
      <c r="F1998" s="16" t="str">
        <f>IFERROR(__xludf.DUMMYFUNCTION("""COMPUTED_VALUE"""),"Falalia Guidan Saidi (Ibrahim)")</f>
        <v>Falalia Guidan Saidi (Ibrahim)</v>
      </c>
      <c r="G1998" s="16"/>
      <c r="H1998" s="14"/>
      <c r="K1998" s="16">
        <f>IFERROR(__xludf.DUMMYFUNCTION("""COMPUTED_VALUE"""),297.0)</f>
        <v>297</v>
      </c>
      <c r="L1998" s="16"/>
      <c r="M1998" s="14"/>
    </row>
    <row r="1999">
      <c r="A1999" s="16" t="str">
        <f>IFERROR(__xludf.DUMMYFUNCTION("""COMPUTED_VALUE"""),"Abdoul Salami Ibrahim")</f>
        <v>Abdoul Salami Ibrahim</v>
      </c>
      <c r="B1999" s="16"/>
      <c r="C1999" s="14"/>
      <c r="F1999" s="16" t="str">
        <f>IFERROR(__xludf.DUMMYFUNCTION("""COMPUTED_VALUE"""),"Falalia Guidan Saidi (Ibrahim)")</f>
        <v>Falalia Guidan Saidi (Ibrahim)</v>
      </c>
      <c r="G1999" s="16"/>
      <c r="H1999" s="14"/>
      <c r="K1999" s="16">
        <f>IFERROR(__xludf.DUMMYFUNCTION("""COMPUTED_VALUE"""),300.0)</f>
        <v>300</v>
      </c>
      <c r="L1999" s="16"/>
      <c r="M1999" s="14"/>
    </row>
    <row r="2000">
      <c r="A2000" s="16" t="str">
        <f>IFERROR(__xludf.DUMMYFUNCTION("""COMPUTED_VALUE"""),"Abdoul Salami Ibrahim")</f>
        <v>Abdoul Salami Ibrahim</v>
      </c>
      <c r="B2000" s="16"/>
      <c r="C2000" s="14"/>
      <c r="F2000" s="16" t="str">
        <f>IFERROR(__xludf.DUMMYFUNCTION("""COMPUTED_VALUE"""),"Batan Warka")</f>
        <v>Batan Warka</v>
      </c>
      <c r="G2000" s="16"/>
      <c r="H2000" s="14"/>
      <c r="K2000" s="16">
        <f>IFERROR(__xludf.DUMMYFUNCTION("""COMPUTED_VALUE"""),329.0)</f>
        <v>329</v>
      </c>
      <c r="L2000" s="16"/>
      <c r="M2000" s="14"/>
    </row>
    <row r="2001">
      <c r="A2001" s="16" t="str">
        <f>IFERROR(__xludf.DUMMYFUNCTION("""COMPUTED_VALUE"""),"Abdoul Salami Ibrahim")</f>
        <v>Abdoul Salami Ibrahim</v>
      </c>
      <c r="B2001" s="16"/>
      <c r="C2001" s="14"/>
      <c r="F2001" s="16" t="str">
        <f>IFERROR(__xludf.DUMMYFUNCTION("""COMPUTED_VALUE"""),"Falalia Guidan Saidi (Ibrahim)")</f>
        <v>Falalia Guidan Saidi (Ibrahim)</v>
      </c>
      <c r="G2001" s="16"/>
      <c r="H2001" s="14"/>
      <c r="K2001" s="16">
        <f>IFERROR(__xludf.DUMMYFUNCTION("""COMPUTED_VALUE"""),1157.0)</f>
        <v>1157</v>
      </c>
      <c r="L2001" s="16"/>
      <c r="M2001" s="14"/>
    </row>
    <row r="2002">
      <c r="A2002" s="16" t="str">
        <f>IFERROR(__xludf.DUMMYFUNCTION("""COMPUTED_VALUE"""),"Abdoul Salami Ibrahim")</f>
        <v>Abdoul Salami Ibrahim</v>
      </c>
      <c r="B2002" s="16"/>
      <c r="C2002" s="14"/>
      <c r="F2002" s="16" t="str">
        <f>IFERROR(__xludf.DUMMYFUNCTION("""COMPUTED_VALUE"""),"Falalia Guidan Saidi (Ibrahim)")</f>
        <v>Falalia Guidan Saidi (Ibrahim)</v>
      </c>
      <c r="G2002" s="16"/>
      <c r="H2002" s="14"/>
      <c r="K2002" s="16">
        <f>IFERROR(__xludf.DUMMYFUNCTION("""COMPUTED_VALUE"""),991.0)</f>
        <v>991</v>
      </c>
      <c r="L2002" s="16"/>
      <c r="M2002" s="14"/>
    </row>
    <row r="2003">
      <c r="A2003" s="16" t="str">
        <f>IFERROR(__xludf.DUMMYFUNCTION("""COMPUTED_VALUE"""),"Abdoul Salami Ibrahim")</f>
        <v>Abdoul Salami Ibrahim</v>
      </c>
      <c r="B2003" s="16"/>
      <c r="C2003" s="14"/>
      <c r="F2003" s="16" t="str">
        <f>IFERROR(__xludf.DUMMYFUNCTION("""COMPUTED_VALUE"""),"Falalia Guidan Saidi (Ibrahim)")</f>
        <v>Falalia Guidan Saidi (Ibrahim)</v>
      </c>
      <c r="G2003" s="16"/>
      <c r="H2003" s="14"/>
      <c r="K2003" s="16">
        <f>IFERROR(__xludf.DUMMYFUNCTION("""COMPUTED_VALUE"""),553.0)</f>
        <v>553</v>
      </c>
      <c r="L2003" s="16"/>
      <c r="M2003" s="14"/>
    </row>
    <row r="2004">
      <c r="A2004" s="16" t="str">
        <f>IFERROR(__xludf.DUMMYFUNCTION("""COMPUTED_VALUE"""),"Hachimou Rabiou Mamoudou")</f>
        <v>Hachimou Rabiou Mamoudou</v>
      </c>
      <c r="B2004" s="16"/>
      <c r="C2004" s="14"/>
      <c r="F2004" s="16" t="str">
        <f>IFERROR(__xludf.DUMMYFUNCTION("""COMPUTED_VALUE"""),"Falalia Guidan Saidi (Ibrahim)")</f>
        <v>Falalia Guidan Saidi (Ibrahim)</v>
      </c>
      <c r="G2004" s="16"/>
      <c r="H2004" s="14"/>
      <c r="K2004" s="16">
        <f>IFERROR(__xludf.DUMMYFUNCTION("""COMPUTED_VALUE"""),536.0)</f>
        <v>536</v>
      </c>
      <c r="L2004" s="16"/>
      <c r="M2004" s="14"/>
    </row>
    <row r="2005">
      <c r="A2005" s="16" t="str">
        <f>IFERROR(__xludf.DUMMYFUNCTION("""COMPUTED_VALUE"""),"Hachimou Rabiou Mamoudou")</f>
        <v>Hachimou Rabiou Mamoudou</v>
      </c>
      <c r="B2005" s="16"/>
      <c r="C2005" s="14"/>
      <c r="F2005" s="16" t="str">
        <f>IFERROR(__xludf.DUMMYFUNCTION("""COMPUTED_VALUE"""),"Falalia Guidan Saidi (Ibrahim)")</f>
        <v>Falalia Guidan Saidi (Ibrahim)</v>
      </c>
      <c r="G2005" s="16"/>
      <c r="H2005" s="14"/>
      <c r="K2005" s="16">
        <f>IFERROR(__xludf.DUMMYFUNCTION("""COMPUTED_VALUE"""),250.0)</f>
        <v>250</v>
      </c>
      <c r="L2005" s="16"/>
      <c r="M2005" s="14"/>
    </row>
    <row r="2006">
      <c r="A2006" s="16" t="str">
        <f>IFERROR(__xludf.DUMMYFUNCTION("""COMPUTED_VALUE"""),"Hachimou Rabiou Mamoudou")</f>
        <v>Hachimou Rabiou Mamoudou</v>
      </c>
      <c r="B2006" s="16"/>
      <c r="C2006" s="14"/>
      <c r="F2006" s="16" t="str">
        <f>IFERROR(__xludf.DUMMYFUNCTION("""COMPUTED_VALUE"""),"Falalia Guidan Saidi (Ibrahim)")</f>
        <v>Falalia Guidan Saidi (Ibrahim)</v>
      </c>
      <c r="G2006" s="16"/>
      <c r="H2006" s="14"/>
      <c r="K2006" s="16">
        <f>IFERROR(__xludf.DUMMYFUNCTION("""COMPUTED_VALUE"""),816.0)</f>
        <v>816</v>
      </c>
      <c r="L2006" s="16"/>
      <c r="M2006" s="14"/>
    </row>
    <row r="2007">
      <c r="A2007" s="16" t="str">
        <f>IFERROR(__xludf.DUMMYFUNCTION("""COMPUTED_VALUE"""),"Hachimou Rabiou Mamoudou")</f>
        <v>Hachimou Rabiou Mamoudou</v>
      </c>
      <c r="B2007" s="16"/>
      <c r="C2007" s="14"/>
      <c r="F2007" s="16" t="str">
        <f>IFERROR(__xludf.DUMMYFUNCTION("""COMPUTED_VALUE"""),"Falalia Guidan Saidi (Ibrahim)")</f>
        <v>Falalia Guidan Saidi (Ibrahim)</v>
      </c>
      <c r="G2007" s="16"/>
      <c r="H2007" s="14"/>
      <c r="K2007" s="16">
        <f>IFERROR(__xludf.DUMMYFUNCTION("""COMPUTED_VALUE"""),507.0)</f>
        <v>507</v>
      </c>
      <c r="L2007" s="16"/>
      <c r="M2007" s="14"/>
    </row>
    <row r="2008">
      <c r="A2008" s="16" t="str">
        <f>IFERROR(__xludf.DUMMYFUNCTION("""COMPUTED_VALUE"""),"Hachimou Rabiou Mamoudou")</f>
        <v>Hachimou Rabiou Mamoudou</v>
      </c>
      <c r="B2008" s="16"/>
      <c r="C2008" s="14"/>
      <c r="F2008" s="16" t="str">
        <f>IFERROR(__xludf.DUMMYFUNCTION("""COMPUTED_VALUE"""),"Falalia Guidan Saidi (Ibrahim)")</f>
        <v>Falalia Guidan Saidi (Ibrahim)</v>
      </c>
      <c r="G2008" s="16"/>
      <c r="H2008" s="14"/>
      <c r="K2008" s="16">
        <f>IFERROR(__xludf.DUMMYFUNCTION("""COMPUTED_VALUE"""),628.0)</f>
        <v>628</v>
      </c>
      <c r="L2008" s="16"/>
      <c r="M2008" s="14"/>
    </row>
    <row r="2009">
      <c r="A2009" s="16" t="str">
        <f>IFERROR(__xludf.DUMMYFUNCTION("""COMPUTED_VALUE"""),"Hachimou Rabiou Mamoudou")</f>
        <v>Hachimou Rabiou Mamoudou</v>
      </c>
      <c r="B2009" s="16"/>
      <c r="C2009" s="14"/>
      <c r="F2009" s="16" t="str">
        <f>IFERROR(__xludf.DUMMYFUNCTION("""COMPUTED_VALUE"""),"Falalia Guidan Saidi (Ibrahim)")</f>
        <v>Falalia Guidan Saidi (Ibrahim)</v>
      </c>
      <c r="G2009" s="16"/>
      <c r="H2009" s="14"/>
      <c r="K2009" s="16">
        <f>IFERROR(__xludf.DUMMYFUNCTION("""COMPUTED_VALUE"""),937.0)</f>
        <v>937</v>
      </c>
      <c r="L2009" s="16"/>
      <c r="M2009" s="14"/>
    </row>
    <row r="2010">
      <c r="A2010" s="16" t="str">
        <f>IFERROR(__xludf.DUMMYFUNCTION("""COMPUTED_VALUE"""),"Ouhoumoudou Djannou Ibrahim")</f>
        <v>Ouhoumoudou Djannou Ibrahim</v>
      </c>
      <c r="B2010" s="16"/>
      <c r="C2010" s="14"/>
      <c r="F2010" s="16" t="str">
        <f>IFERROR(__xludf.DUMMYFUNCTION("""COMPUTED_VALUE"""),"Falalia Guidan Saidi (Ibrahim)")</f>
        <v>Falalia Guidan Saidi (Ibrahim)</v>
      </c>
      <c r="G2010" s="16"/>
      <c r="H2010" s="14"/>
      <c r="K2010" s="16">
        <f>IFERROR(__xludf.DUMMYFUNCTION("""COMPUTED_VALUE"""),285.0)</f>
        <v>285</v>
      </c>
      <c r="L2010" s="16"/>
      <c r="M2010" s="14"/>
    </row>
    <row r="2011">
      <c r="A2011" s="16" t="str">
        <f>IFERROR(__xludf.DUMMYFUNCTION("""COMPUTED_VALUE"""),"Ouhoumoudou Djannou Ibrahim")</f>
        <v>Ouhoumoudou Djannou Ibrahim</v>
      </c>
      <c r="B2011" s="16"/>
      <c r="C2011" s="14"/>
      <c r="F2011" s="16" t="str">
        <f>IFERROR(__xludf.DUMMYFUNCTION("""COMPUTED_VALUE"""),"Tsamaoua")</f>
        <v>Tsamaoua</v>
      </c>
      <c r="G2011" s="16"/>
      <c r="H2011" s="14"/>
      <c r="K2011" s="16">
        <f>IFERROR(__xludf.DUMMYFUNCTION("""COMPUTED_VALUE"""),877.0)</f>
        <v>877</v>
      </c>
      <c r="L2011" s="16"/>
      <c r="M2011" s="14"/>
    </row>
    <row r="2012">
      <c r="A2012" s="16" t="str">
        <f>IFERROR(__xludf.DUMMYFUNCTION("""COMPUTED_VALUE"""),"Ouhoumoudou Djannou Ibrahim")</f>
        <v>Ouhoumoudou Djannou Ibrahim</v>
      </c>
      <c r="B2012" s="16"/>
      <c r="C2012" s="14"/>
      <c r="F2012" s="16" t="str">
        <f>IFERROR(__xludf.DUMMYFUNCTION("""COMPUTED_VALUE"""),"Tsamaoua")</f>
        <v>Tsamaoua</v>
      </c>
      <c r="G2012" s="16"/>
      <c r="H2012" s="14"/>
      <c r="K2012" s="16">
        <f>IFERROR(__xludf.DUMMYFUNCTION("""COMPUTED_VALUE"""),562.0)</f>
        <v>562</v>
      </c>
      <c r="L2012" s="16"/>
      <c r="M2012" s="14"/>
    </row>
    <row r="2013">
      <c r="A2013" s="16" t="str">
        <f>IFERROR(__xludf.DUMMYFUNCTION("""COMPUTED_VALUE"""),"Ouhoumoudou Djannou Ibrahim")</f>
        <v>Ouhoumoudou Djannou Ibrahim</v>
      </c>
      <c r="B2013" s="16"/>
      <c r="C2013" s="14"/>
      <c r="F2013" s="16" t="str">
        <f>IFERROR(__xludf.DUMMYFUNCTION("""COMPUTED_VALUE"""),"Tsamaoua")</f>
        <v>Tsamaoua</v>
      </c>
      <c r="G2013" s="16"/>
      <c r="H2013" s="14"/>
      <c r="K2013" s="16">
        <f>IFERROR(__xludf.DUMMYFUNCTION("""COMPUTED_VALUE"""),816.0)</f>
        <v>816</v>
      </c>
      <c r="L2013" s="16"/>
      <c r="M2013" s="14"/>
    </row>
    <row r="2014">
      <c r="A2014" s="16" t="str">
        <f>IFERROR(__xludf.DUMMYFUNCTION("""COMPUTED_VALUE"""),"Saddy Youssouf")</f>
        <v>Saddy Youssouf</v>
      </c>
      <c r="B2014" s="16"/>
      <c r="C2014" s="14"/>
      <c r="F2014" s="16" t="str">
        <f>IFERROR(__xludf.DUMMYFUNCTION("""COMPUTED_VALUE"""),"Tsamaoua")</f>
        <v>Tsamaoua</v>
      </c>
      <c r="G2014" s="16"/>
      <c r="H2014" s="14"/>
      <c r="K2014" s="16">
        <f>IFERROR(__xludf.DUMMYFUNCTION("""COMPUTED_VALUE"""),476.0)</f>
        <v>476</v>
      </c>
      <c r="L2014" s="16"/>
      <c r="M2014" s="14"/>
    </row>
    <row r="2015">
      <c r="A2015" s="16" t="str">
        <f>IFERROR(__xludf.DUMMYFUNCTION("""COMPUTED_VALUE"""),"Saddy Youssouf")</f>
        <v>Saddy Youssouf</v>
      </c>
      <c r="B2015" s="16"/>
      <c r="C2015" s="14"/>
      <c r="F2015" s="16" t="str">
        <f>IFERROR(__xludf.DUMMYFUNCTION("""COMPUTED_VALUE"""),"Tsamaoua")</f>
        <v>Tsamaoua</v>
      </c>
      <c r="G2015" s="16"/>
      <c r="H2015" s="14"/>
      <c r="K2015" s="16">
        <f>IFERROR(__xludf.DUMMYFUNCTION("""COMPUTED_VALUE"""),332.0)</f>
        <v>332</v>
      </c>
      <c r="L2015" s="16"/>
      <c r="M2015" s="14"/>
    </row>
    <row r="2016">
      <c r="A2016" s="16" t="str">
        <f>IFERROR(__xludf.DUMMYFUNCTION("""COMPUTED_VALUE"""),"Saddy Youssouf")</f>
        <v>Saddy Youssouf</v>
      </c>
      <c r="B2016" s="16"/>
      <c r="C2016" s="14"/>
      <c r="F2016" s="16" t="str">
        <f>IFERROR(__xludf.DUMMYFUNCTION("""COMPUTED_VALUE"""),"Tsamaoua")</f>
        <v>Tsamaoua</v>
      </c>
      <c r="G2016" s="16"/>
      <c r="H2016" s="14"/>
      <c r="K2016" s="16">
        <f>IFERROR(__xludf.DUMMYFUNCTION("""COMPUTED_VALUE"""),466.0)</f>
        <v>466</v>
      </c>
      <c r="L2016" s="16"/>
      <c r="M2016" s="14"/>
    </row>
    <row r="2017">
      <c r="A2017" s="16" t="str">
        <f>IFERROR(__xludf.DUMMYFUNCTION("""COMPUTED_VALUE"""),"Saddy Youssouf")</f>
        <v>Saddy Youssouf</v>
      </c>
      <c r="B2017" s="16"/>
      <c r="C2017" s="14"/>
      <c r="F2017" s="16" t="str">
        <f>IFERROR(__xludf.DUMMYFUNCTION("""COMPUTED_VALUE"""),"Kounkouzout")</f>
        <v>Kounkouzout</v>
      </c>
      <c r="G2017" s="16"/>
      <c r="H2017" s="14"/>
      <c r="K2017" s="16">
        <f>IFERROR(__xludf.DUMMYFUNCTION("""COMPUTED_VALUE"""),1471.0)</f>
        <v>1471</v>
      </c>
      <c r="L2017" s="16"/>
      <c r="M2017" s="14"/>
    </row>
    <row r="2018">
      <c r="A2018" s="16" t="str">
        <f>IFERROR(__xludf.DUMMYFUNCTION("""COMPUTED_VALUE"""),"Saddy Youssouf")</f>
        <v>Saddy Youssouf</v>
      </c>
      <c r="B2018" s="16"/>
      <c r="C2018" s="14"/>
      <c r="F2018" s="16" t="str">
        <f>IFERROR(__xludf.DUMMYFUNCTION("""COMPUTED_VALUE"""),"Kounkouzout")</f>
        <v>Kounkouzout</v>
      </c>
      <c r="G2018" s="16"/>
      <c r="H2018" s="14"/>
      <c r="K2018" s="16">
        <f>IFERROR(__xludf.DUMMYFUNCTION("""COMPUTED_VALUE"""),279.0)</f>
        <v>279</v>
      </c>
      <c r="L2018" s="16"/>
      <c r="M2018" s="14"/>
    </row>
    <row r="2019">
      <c r="A2019" s="16" t="str">
        <f>IFERROR(__xludf.DUMMYFUNCTION("""COMPUTED_VALUE"""),"Saddy Youssouf")</f>
        <v>Saddy Youssouf</v>
      </c>
      <c r="B2019" s="16"/>
      <c r="C2019" s="14"/>
      <c r="F2019" s="16" t="str">
        <f>IFERROR(__xludf.DUMMYFUNCTION("""COMPUTED_VALUE"""),"Kounkouzout")</f>
        <v>Kounkouzout</v>
      </c>
      <c r="G2019" s="16"/>
      <c r="H2019" s="14"/>
      <c r="K2019" s="16">
        <f>IFERROR(__xludf.DUMMYFUNCTION("""COMPUTED_VALUE"""),899.0)</f>
        <v>899</v>
      </c>
      <c r="L2019" s="16"/>
      <c r="M2019" s="14"/>
    </row>
    <row r="2020">
      <c r="A2020" s="16" t="str">
        <f>IFERROR(__xludf.DUMMYFUNCTION("""COMPUTED_VALUE"""),"Saddy Youssouf")</f>
        <v>Saddy Youssouf</v>
      </c>
      <c r="B2020" s="16"/>
      <c r="C2020" s="14"/>
      <c r="F2020" s="16" t="str">
        <f>IFERROR(__xludf.DUMMYFUNCTION("""COMPUTED_VALUE"""),"Kounkouzout")</f>
        <v>Kounkouzout</v>
      </c>
      <c r="G2020" s="16"/>
      <c r="H2020" s="14"/>
      <c r="K2020" s="16">
        <f>IFERROR(__xludf.DUMMYFUNCTION("""COMPUTED_VALUE"""),817.0)</f>
        <v>817</v>
      </c>
      <c r="L2020" s="16"/>
      <c r="M2020" s="14"/>
    </row>
    <row r="2021">
      <c r="A2021" s="16" t="str">
        <f>IFERROR(__xludf.DUMMYFUNCTION("""COMPUTED_VALUE"""),"Abdoul Salami Ibrahim")</f>
        <v>Abdoul Salami Ibrahim</v>
      </c>
      <c r="B2021" s="16"/>
      <c r="C2021" s="14"/>
      <c r="F2021" s="16" t="str">
        <f>IFERROR(__xludf.DUMMYFUNCTION("""COMPUTED_VALUE"""),"Kounkouzout")</f>
        <v>Kounkouzout</v>
      </c>
      <c r="G2021" s="16"/>
      <c r="H2021" s="14"/>
      <c r="K2021" s="16">
        <f>IFERROR(__xludf.DUMMYFUNCTION("""COMPUTED_VALUE"""),292.0)</f>
        <v>292</v>
      </c>
      <c r="L2021" s="16"/>
      <c r="M2021" s="14"/>
    </row>
    <row r="2022">
      <c r="A2022" s="16" t="str">
        <f>IFERROR(__xludf.DUMMYFUNCTION("""COMPUTED_VALUE"""),"Inoussa Balkissou")</f>
        <v>Inoussa Balkissou</v>
      </c>
      <c r="B2022" s="16"/>
      <c r="C2022" s="14"/>
      <c r="F2022" s="16" t="str">
        <f>IFERROR(__xludf.DUMMYFUNCTION("""COMPUTED_VALUE"""),"Kounkouzout")</f>
        <v>Kounkouzout</v>
      </c>
      <c r="G2022" s="16"/>
      <c r="H2022" s="14"/>
      <c r="K2022" s="16">
        <f>IFERROR(__xludf.DUMMYFUNCTION("""COMPUTED_VALUE"""),625.0)</f>
        <v>625</v>
      </c>
      <c r="L2022" s="16"/>
      <c r="M2022" s="14"/>
    </row>
    <row r="2023">
      <c r="A2023" s="16" t="str">
        <f>IFERROR(__xludf.DUMMYFUNCTION("""COMPUTED_VALUE"""),"Mohamed Cherif")</f>
        <v>Mohamed Cherif</v>
      </c>
      <c r="B2023" s="16"/>
      <c r="C2023" s="14"/>
      <c r="F2023" s="16" t="str">
        <f>IFERROR(__xludf.DUMMYFUNCTION("""COMPUTED_VALUE"""),"Kounkouzout")</f>
        <v>Kounkouzout</v>
      </c>
      <c r="G2023" s="16"/>
      <c r="H2023" s="14"/>
      <c r="K2023" s="16">
        <f>IFERROR(__xludf.DUMMYFUNCTION("""COMPUTED_VALUE"""),542.0)</f>
        <v>542</v>
      </c>
      <c r="L2023" s="16"/>
      <c r="M2023" s="14"/>
    </row>
    <row r="2024">
      <c r="A2024" s="16" t="str">
        <f>IFERROR(__xludf.DUMMYFUNCTION("""COMPUTED_VALUE"""),"Mohamed Cherif")</f>
        <v>Mohamed Cherif</v>
      </c>
      <c r="B2024" s="16"/>
      <c r="C2024" s="14"/>
      <c r="F2024" s="16" t="str">
        <f>IFERROR(__xludf.DUMMYFUNCTION("""COMPUTED_VALUE"""),"Koufan Tahoua")</f>
        <v>Koufan Tahoua</v>
      </c>
      <c r="G2024" s="16"/>
      <c r="H2024" s="14"/>
      <c r="K2024" s="16">
        <f>IFERROR(__xludf.DUMMYFUNCTION("""COMPUTED_VALUE"""),395.0)</f>
        <v>395</v>
      </c>
      <c r="L2024" s="16"/>
      <c r="M2024" s="14"/>
    </row>
    <row r="2025">
      <c r="A2025" s="16" t="str">
        <f>IFERROR(__xludf.DUMMYFUNCTION("""COMPUTED_VALUE"""),"Elhaji Abdou Leilata")</f>
        <v>Elhaji Abdou Leilata</v>
      </c>
      <c r="B2025" s="16"/>
      <c r="C2025" s="14"/>
      <c r="F2025" s="16" t="str">
        <f>IFERROR(__xludf.DUMMYFUNCTION("""COMPUTED_VALUE"""),"Koufan Tahoua")</f>
        <v>Koufan Tahoua</v>
      </c>
      <c r="G2025" s="16"/>
      <c r="H2025" s="14"/>
      <c r="K2025" s="16">
        <f>IFERROR(__xludf.DUMMYFUNCTION("""COMPUTED_VALUE"""),1704.0)</f>
        <v>1704</v>
      </c>
      <c r="L2025" s="16"/>
      <c r="M2025" s="14"/>
    </row>
    <row r="2026">
      <c r="A2026" s="16" t="str">
        <f>IFERROR(__xludf.DUMMYFUNCTION("""COMPUTED_VALUE"""),"Elhaji Abdou Leilata")</f>
        <v>Elhaji Abdou Leilata</v>
      </c>
      <c r="B2026" s="16"/>
      <c r="C2026" s="14"/>
      <c r="F2026" s="16" t="str">
        <f>IFERROR(__xludf.DUMMYFUNCTION("""COMPUTED_VALUE"""),"Tsamaoua")</f>
        <v>Tsamaoua</v>
      </c>
      <c r="G2026" s="16"/>
      <c r="H2026" s="14"/>
      <c r="K2026" s="16">
        <f>IFERROR(__xludf.DUMMYFUNCTION("""COMPUTED_VALUE"""),289.0)</f>
        <v>289</v>
      </c>
      <c r="L2026" s="16"/>
      <c r="M2026" s="14"/>
    </row>
    <row r="2027">
      <c r="A2027" s="16" t="str">
        <f>IFERROR(__xludf.DUMMYFUNCTION("""COMPUTED_VALUE"""),"Elhaji Abdou Leilata")</f>
        <v>Elhaji Abdou Leilata</v>
      </c>
      <c r="B2027" s="16"/>
      <c r="C2027" s="14"/>
      <c r="F2027" s="16" t="str">
        <f>IFERROR(__xludf.DUMMYFUNCTION("""COMPUTED_VALUE"""),"Tsamaoua")</f>
        <v>Tsamaoua</v>
      </c>
      <c r="G2027" s="16"/>
      <c r="H2027" s="14"/>
      <c r="K2027" s="16">
        <f>IFERROR(__xludf.DUMMYFUNCTION("""COMPUTED_VALUE"""),1212.0)</f>
        <v>1212</v>
      </c>
      <c r="L2027" s="16"/>
      <c r="M2027" s="14"/>
    </row>
    <row r="2028">
      <c r="A2028" s="16" t="str">
        <f>IFERROR(__xludf.DUMMYFUNCTION("""COMPUTED_VALUE"""),"Elhaji Abdou Leilata")</f>
        <v>Elhaji Abdou Leilata</v>
      </c>
      <c r="B2028" s="16"/>
      <c r="C2028" s="14"/>
      <c r="F2028" s="16" t="str">
        <f>IFERROR(__xludf.DUMMYFUNCTION("""COMPUTED_VALUE"""),"Tsamaoua")</f>
        <v>Tsamaoua</v>
      </c>
      <c r="G2028" s="16"/>
      <c r="H2028" s="14"/>
      <c r="K2028" s="16">
        <f>IFERROR(__xludf.DUMMYFUNCTION("""COMPUTED_VALUE"""),1206.0)</f>
        <v>1206</v>
      </c>
      <c r="L2028" s="16"/>
      <c r="M2028" s="14"/>
    </row>
    <row r="2029">
      <c r="A2029" s="16" t="str">
        <f>IFERROR(__xludf.DUMMYFUNCTION("""COMPUTED_VALUE"""),"Elhaji Abdou Leilata")</f>
        <v>Elhaji Abdou Leilata</v>
      </c>
      <c r="B2029" s="16"/>
      <c r="C2029" s="14"/>
      <c r="F2029" s="16" t="str">
        <f>IFERROR(__xludf.DUMMYFUNCTION("""COMPUTED_VALUE"""),"Tsamaoua")</f>
        <v>Tsamaoua</v>
      </c>
      <c r="G2029" s="16"/>
      <c r="H2029" s="14"/>
      <c r="K2029" s="16">
        <f>IFERROR(__xludf.DUMMYFUNCTION("""COMPUTED_VALUE"""),739.0)</f>
        <v>739</v>
      </c>
      <c r="L2029" s="16"/>
      <c r="M2029" s="14"/>
    </row>
    <row r="2030">
      <c r="A2030" s="16" t="str">
        <f>IFERROR(__xludf.DUMMYFUNCTION("""COMPUTED_VALUE"""),"Kailou Hamidou Rainatou")</f>
        <v>Kailou Hamidou Rainatou</v>
      </c>
      <c r="B2030" s="16"/>
      <c r="C2030" s="14"/>
      <c r="F2030" s="16" t="str">
        <f>IFERROR(__xludf.DUMMYFUNCTION("""COMPUTED_VALUE"""),"Dabagou")</f>
        <v>Dabagou</v>
      </c>
      <c r="G2030" s="16"/>
      <c r="H2030" s="14"/>
      <c r="K2030" s="16">
        <f>IFERROR(__xludf.DUMMYFUNCTION("""COMPUTED_VALUE"""),1261.0)</f>
        <v>1261</v>
      </c>
      <c r="L2030" s="16"/>
      <c r="M2030" s="14"/>
    </row>
    <row r="2031">
      <c r="A2031" s="16" t="str">
        <f>IFERROR(__xludf.DUMMYFUNCTION("""COMPUTED_VALUE"""),"Kailou Hamidou Rainatou")</f>
        <v>Kailou Hamidou Rainatou</v>
      </c>
      <c r="B2031" s="16"/>
      <c r="C2031" s="14"/>
      <c r="F2031" s="16" t="str">
        <f>IFERROR(__xludf.DUMMYFUNCTION("""COMPUTED_VALUE"""),"Dabagou")</f>
        <v>Dabagou</v>
      </c>
      <c r="G2031" s="16"/>
      <c r="H2031" s="14"/>
      <c r="K2031" s="16">
        <f>IFERROR(__xludf.DUMMYFUNCTION("""COMPUTED_VALUE"""),1344.0)</f>
        <v>1344</v>
      </c>
      <c r="L2031" s="16"/>
      <c r="M2031" s="14"/>
    </row>
    <row r="2032">
      <c r="A2032" s="16" t="str">
        <f>IFERROR(__xludf.DUMMYFUNCTION("""COMPUTED_VALUE"""),"Kailou Hamidou Rainatou")</f>
        <v>Kailou Hamidou Rainatou</v>
      </c>
      <c r="B2032" s="16"/>
      <c r="C2032" s="14"/>
      <c r="F2032" s="16" t="str">
        <f>IFERROR(__xludf.DUMMYFUNCTION("""COMPUTED_VALUE"""),"Dabagou")</f>
        <v>Dabagou</v>
      </c>
      <c r="G2032" s="16"/>
      <c r="H2032" s="14"/>
      <c r="K2032" s="16">
        <f>IFERROR(__xludf.DUMMYFUNCTION("""COMPUTED_VALUE"""),1688.0)</f>
        <v>1688</v>
      </c>
      <c r="L2032" s="16"/>
      <c r="M2032" s="14"/>
    </row>
    <row r="2033">
      <c r="A2033" s="16" t="str">
        <f>IFERROR(__xludf.DUMMYFUNCTION("""COMPUTED_VALUE"""),"Maman Ado Abdourahamane")</f>
        <v>Maman Ado Abdourahamane</v>
      </c>
      <c r="B2033" s="16"/>
      <c r="C2033" s="14"/>
      <c r="F2033" s="16" t="str">
        <f>IFERROR(__xludf.DUMMYFUNCTION("""COMPUTED_VALUE"""),"Dabagou")</f>
        <v>Dabagou</v>
      </c>
      <c r="G2033" s="16"/>
      <c r="H2033" s="14"/>
      <c r="K2033" s="16">
        <f>IFERROR(__xludf.DUMMYFUNCTION("""COMPUTED_VALUE"""),2188.0)</f>
        <v>2188</v>
      </c>
      <c r="L2033" s="16"/>
      <c r="M2033" s="14"/>
    </row>
    <row r="2034">
      <c r="A2034" s="16" t="str">
        <f>IFERROR(__xludf.DUMMYFUNCTION("""COMPUTED_VALUE"""),"Maman Ado Abdourahamane")</f>
        <v>Maman Ado Abdourahamane</v>
      </c>
      <c r="B2034" s="16"/>
      <c r="C2034" s="14"/>
      <c r="F2034" s="16" t="str">
        <f>IFERROR(__xludf.DUMMYFUNCTION("""COMPUTED_VALUE"""),"Dabagou")</f>
        <v>Dabagou</v>
      </c>
      <c r="G2034" s="16"/>
      <c r="H2034" s="14"/>
      <c r="K2034" s="16">
        <f>IFERROR(__xludf.DUMMYFUNCTION("""COMPUTED_VALUE"""),599.0)</f>
        <v>599</v>
      </c>
      <c r="L2034" s="16"/>
      <c r="M2034" s="14"/>
    </row>
    <row r="2035">
      <c r="A2035" s="16" t="str">
        <f>IFERROR(__xludf.DUMMYFUNCTION("""COMPUTED_VALUE"""),"Maman Ado Abdourahamane")</f>
        <v>Maman Ado Abdourahamane</v>
      </c>
      <c r="B2035" s="16"/>
      <c r="C2035" s="14"/>
      <c r="F2035" s="16" t="str">
        <f>IFERROR(__xludf.DUMMYFUNCTION("""COMPUTED_VALUE"""),"Dabagou")</f>
        <v>Dabagou</v>
      </c>
      <c r="G2035" s="16"/>
      <c r="H2035" s="14"/>
      <c r="K2035" s="16">
        <f>IFERROR(__xludf.DUMMYFUNCTION("""COMPUTED_VALUE"""),419.0)</f>
        <v>419</v>
      </c>
      <c r="L2035" s="16"/>
      <c r="M2035" s="14"/>
    </row>
    <row r="2036">
      <c r="A2036" s="16" t="str">
        <f>IFERROR(__xludf.DUMMYFUNCTION("""COMPUTED_VALUE"""),"Maman Ado Abdourahamane")</f>
        <v>Maman Ado Abdourahamane</v>
      </c>
      <c r="B2036" s="16"/>
      <c r="C2036" s="14"/>
      <c r="F2036" s="16" t="str">
        <f>IFERROR(__xludf.DUMMYFUNCTION("""COMPUTED_VALUE"""),"Dabagou")</f>
        <v>Dabagou</v>
      </c>
      <c r="G2036" s="16"/>
      <c r="H2036" s="14"/>
      <c r="K2036" s="16">
        <f>IFERROR(__xludf.DUMMYFUNCTION("""COMPUTED_VALUE"""),401.0)</f>
        <v>401</v>
      </c>
      <c r="L2036" s="16"/>
      <c r="M2036" s="14"/>
    </row>
    <row r="2037">
      <c r="A2037" s="16" t="str">
        <f>IFERROR(__xludf.DUMMYFUNCTION("""COMPUTED_VALUE"""),"Aboubacar Hamadou Manga")</f>
        <v>Aboubacar Hamadou Manga</v>
      </c>
      <c r="B2037" s="16"/>
      <c r="C2037" s="14"/>
      <c r="F2037" s="16" t="str">
        <f>IFERROR(__xludf.DUMMYFUNCTION("""COMPUTED_VALUE"""),"Dabagou")</f>
        <v>Dabagou</v>
      </c>
      <c r="G2037" s="16"/>
      <c r="H2037" s="14"/>
      <c r="K2037" s="16">
        <f>IFERROR(__xludf.DUMMYFUNCTION("""COMPUTED_VALUE"""),869.0)</f>
        <v>869</v>
      </c>
      <c r="L2037" s="16"/>
      <c r="M2037" s="14"/>
    </row>
    <row r="2038">
      <c r="A2038" s="16" t="str">
        <f>IFERROR(__xludf.DUMMYFUNCTION("""COMPUTED_VALUE"""),"Moussa Ide Ibrahim")</f>
        <v>Moussa Ide Ibrahim</v>
      </c>
      <c r="B2038" s="16"/>
      <c r="C2038" s="14"/>
      <c r="F2038" s="16" t="str">
        <f>IFERROR(__xludf.DUMMYFUNCTION("""COMPUTED_VALUE"""),"Dabagou")</f>
        <v>Dabagou</v>
      </c>
      <c r="G2038" s="16"/>
      <c r="H2038" s="14"/>
      <c r="K2038" s="16">
        <f>IFERROR(__xludf.DUMMYFUNCTION("""COMPUTED_VALUE"""),670.0)</f>
        <v>670</v>
      </c>
      <c r="L2038" s="16"/>
      <c r="M2038" s="14"/>
    </row>
    <row r="2039">
      <c r="A2039" s="16" t="str">
        <f>IFERROR(__xludf.DUMMYFUNCTION("""COMPUTED_VALUE"""),"Moussa Ide Ibrahim")</f>
        <v>Moussa Ide Ibrahim</v>
      </c>
      <c r="B2039" s="16"/>
      <c r="C2039" s="14"/>
      <c r="F2039" s="16" t="str">
        <f>IFERROR(__xludf.DUMMYFUNCTION("""COMPUTED_VALUE"""),"Dabagou")</f>
        <v>Dabagou</v>
      </c>
      <c r="G2039" s="16"/>
      <c r="H2039" s="14"/>
      <c r="K2039" s="16">
        <f>IFERROR(__xludf.DUMMYFUNCTION("""COMPUTED_VALUE"""),1102.0)</f>
        <v>1102</v>
      </c>
      <c r="L2039" s="16"/>
      <c r="M2039" s="14"/>
    </row>
    <row r="2040">
      <c r="A2040" s="16" t="str">
        <f>IFERROR(__xludf.DUMMYFUNCTION("""COMPUTED_VALUE"""),"Moussa Ide Ibrahim")</f>
        <v>Moussa Ide Ibrahim</v>
      </c>
      <c r="B2040" s="16"/>
      <c r="C2040" s="14"/>
      <c r="F2040" s="16" t="str">
        <f>IFERROR(__xludf.DUMMYFUNCTION("""COMPUTED_VALUE"""),"Dabagou")</f>
        <v>Dabagou</v>
      </c>
      <c r="G2040" s="16"/>
      <c r="H2040" s="14"/>
      <c r="K2040" s="16">
        <f>IFERROR(__xludf.DUMMYFUNCTION("""COMPUTED_VALUE"""),1370.0)</f>
        <v>1370</v>
      </c>
      <c r="L2040" s="16"/>
      <c r="M2040" s="14"/>
    </row>
    <row r="2041">
      <c r="A2041" s="16" t="str">
        <f>IFERROR(__xludf.DUMMYFUNCTION("""COMPUTED_VALUE"""),"Moussa Ide Ibrahim")</f>
        <v>Moussa Ide Ibrahim</v>
      </c>
      <c r="B2041" s="16"/>
      <c r="C2041" s="14"/>
      <c r="F2041" s="16" t="str">
        <f>IFERROR(__xludf.DUMMYFUNCTION("""COMPUTED_VALUE"""),"Dabagou")</f>
        <v>Dabagou</v>
      </c>
      <c r="G2041" s="16"/>
      <c r="H2041" s="14"/>
      <c r="K2041" s="16">
        <f>IFERROR(__xludf.DUMMYFUNCTION("""COMPUTED_VALUE"""),1002.0)</f>
        <v>1002</v>
      </c>
      <c r="L2041" s="16"/>
      <c r="M2041" s="14"/>
    </row>
    <row r="2042">
      <c r="A2042" s="16" t="str">
        <f>IFERROR(__xludf.DUMMYFUNCTION("""COMPUTED_VALUE"""),"Moussa Ide Ibrahim")</f>
        <v>Moussa Ide Ibrahim</v>
      </c>
      <c r="B2042" s="16"/>
      <c r="C2042" s="14"/>
      <c r="F2042" s="16" t="str">
        <f>IFERROR(__xludf.DUMMYFUNCTION("""COMPUTED_VALUE"""),"Dabagou")</f>
        <v>Dabagou</v>
      </c>
      <c r="G2042" s="16"/>
      <c r="H2042" s="14"/>
      <c r="K2042" s="16">
        <f>IFERROR(__xludf.DUMMYFUNCTION("""COMPUTED_VALUE"""),374.0)</f>
        <v>374</v>
      </c>
      <c r="L2042" s="16"/>
      <c r="M2042" s="14"/>
    </row>
    <row r="2043">
      <c r="A2043" s="16" t="str">
        <f>IFERROR(__xludf.DUMMYFUNCTION("""COMPUTED_VALUE"""),"Moussa Ide Ibrahim")</f>
        <v>Moussa Ide Ibrahim</v>
      </c>
      <c r="B2043" s="16"/>
      <c r="C2043" s="14"/>
      <c r="F2043" s="16" t="str">
        <f>IFERROR(__xludf.DUMMYFUNCTION("""COMPUTED_VALUE"""),"Dabagou")</f>
        <v>Dabagou</v>
      </c>
      <c r="G2043" s="16"/>
      <c r="H2043" s="14"/>
      <c r="K2043" s="16">
        <f>IFERROR(__xludf.DUMMYFUNCTION("""COMPUTED_VALUE"""),1083.0)</f>
        <v>1083</v>
      </c>
      <c r="L2043" s="16"/>
      <c r="M2043" s="14"/>
    </row>
    <row r="2044">
      <c r="A2044" s="16" t="str">
        <f>IFERROR(__xludf.DUMMYFUNCTION("""COMPUTED_VALUE"""),"Moussa Ide Ibrahim")</f>
        <v>Moussa Ide Ibrahim</v>
      </c>
      <c r="B2044" s="16"/>
      <c r="C2044" s="14"/>
      <c r="F2044" s="16" t="str">
        <f>IFERROR(__xludf.DUMMYFUNCTION("""COMPUTED_VALUE"""),"Dabagou")</f>
        <v>Dabagou</v>
      </c>
      <c r="G2044" s="16"/>
      <c r="H2044" s="14"/>
      <c r="K2044" s="16">
        <f>IFERROR(__xludf.DUMMYFUNCTION("""COMPUTED_VALUE"""),406.0)</f>
        <v>406</v>
      </c>
      <c r="L2044" s="16"/>
      <c r="M2044" s="14"/>
    </row>
    <row r="2045">
      <c r="A2045" s="16" t="str">
        <f>IFERROR(__xludf.DUMMYFUNCTION("""COMPUTED_VALUE"""),"Halimatou Adamou Marafa")</f>
        <v>Halimatou Adamou Marafa</v>
      </c>
      <c r="B2045" s="16"/>
      <c r="C2045" s="14"/>
      <c r="F2045" s="16" t="str">
        <f>IFERROR(__xludf.DUMMYFUNCTION("""COMPUTED_VALUE"""),"Kounkouzout")</f>
        <v>Kounkouzout</v>
      </c>
      <c r="G2045" s="16"/>
      <c r="H2045" s="14"/>
      <c r="K2045" s="16">
        <f>IFERROR(__xludf.DUMMYFUNCTION("""COMPUTED_VALUE"""),398.0)</f>
        <v>398</v>
      </c>
      <c r="L2045" s="16"/>
      <c r="M2045" s="14"/>
    </row>
    <row r="2046">
      <c r="A2046" s="16" t="str">
        <f>IFERROR(__xludf.DUMMYFUNCTION("""COMPUTED_VALUE"""),"Kimba Issa Mamoudou")</f>
        <v>Kimba Issa Mamoudou</v>
      </c>
      <c r="B2046" s="16"/>
      <c r="C2046" s="14"/>
      <c r="F2046" s="16" t="str">
        <f>IFERROR(__xludf.DUMMYFUNCTION("""COMPUTED_VALUE"""),"Kounkouzout")</f>
        <v>Kounkouzout</v>
      </c>
      <c r="G2046" s="16"/>
      <c r="H2046" s="14"/>
      <c r="K2046" s="16">
        <f>IFERROR(__xludf.DUMMYFUNCTION("""COMPUTED_VALUE"""),384.0)</f>
        <v>384</v>
      </c>
      <c r="L2046" s="16"/>
      <c r="M2046" s="14"/>
    </row>
    <row r="2047">
      <c r="A2047" s="16" t="str">
        <f>IFERROR(__xludf.DUMMYFUNCTION("""COMPUTED_VALUE"""),"Kimba Issa Mamoudou")</f>
        <v>Kimba Issa Mamoudou</v>
      </c>
      <c r="B2047" s="16"/>
      <c r="C2047" s="14"/>
      <c r="F2047" s="16" t="str">
        <f>IFERROR(__xludf.DUMMYFUNCTION("""COMPUTED_VALUE"""),"Kounkouzout")</f>
        <v>Kounkouzout</v>
      </c>
      <c r="G2047" s="16"/>
      <c r="H2047" s="14"/>
      <c r="K2047" s="16">
        <f>IFERROR(__xludf.DUMMYFUNCTION("""COMPUTED_VALUE"""),1456.0)</f>
        <v>1456</v>
      </c>
      <c r="L2047" s="16"/>
      <c r="M2047" s="14"/>
    </row>
    <row r="2048">
      <c r="A2048" s="16" t="str">
        <f>IFERROR(__xludf.DUMMYFUNCTION("""COMPUTED_VALUE"""),"Kimba Issa Mamoudou")</f>
        <v>Kimba Issa Mamoudou</v>
      </c>
      <c r="B2048" s="16"/>
      <c r="C2048" s="14"/>
      <c r="F2048" s="16" t="str">
        <f>IFERROR(__xludf.DUMMYFUNCTION("""COMPUTED_VALUE"""),"Kounkouzout")</f>
        <v>Kounkouzout</v>
      </c>
      <c r="G2048" s="16"/>
      <c r="H2048" s="14"/>
      <c r="K2048" s="16">
        <f>IFERROR(__xludf.DUMMYFUNCTION("""COMPUTED_VALUE"""),566.0)</f>
        <v>566</v>
      </c>
      <c r="L2048" s="16"/>
      <c r="M2048" s="14"/>
    </row>
    <row r="2049">
      <c r="A2049" s="16" t="str">
        <f>IFERROR(__xludf.DUMMYFUNCTION("""COMPUTED_VALUE"""),"Kimba Issa Mamoudou")</f>
        <v>Kimba Issa Mamoudou</v>
      </c>
      <c r="B2049" s="16"/>
      <c r="C2049" s="14"/>
      <c r="F2049" s="16" t="str">
        <f>IFERROR(__xludf.DUMMYFUNCTION("""COMPUTED_VALUE"""),"Kounkouzout")</f>
        <v>Kounkouzout</v>
      </c>
      <c r="G2049" s="16"/>
      <c r="H2049" s="14"/>
      <c r="K2049" s="16">
        <f>IFERROR(__xludf.DUMMYFUNCTION("""COMPUTED_VALUE"""),732.0)</f>
        <v>732</v>
      </c>
      <c r="L2049" s="16"/>
      <c r="M2049" s="14"/>
    </row>
    <row r="2050">
      <c r="A2050" s="16" t="str">
        <f>IFERROR(__xludf.DUMMYFUNCTION("""COMPUTED_VALUE"""),"Kimba Issa Mamoudou")</f>
        <v>Kimba Issa Mamoudou</v>
      </c>
      <c r="B2050" s="16"/>
      <c r="C2050" s="14"/>
      <c r="F2050" s="16" t="str">
        <f>IFERROR(__xludf.DUMMYFUNCTION("""COMPUTED_VALUE"""),"Karaji Sud")</f>
        <v>Karaji Sud</v>
      </c>
      <c r="G2050" s="16"/>
      <c r="H2050" s="14"/>
      <c r="K2050" s="16">
        <f>IFERROR(__xludf.DUMMYFUNCTION("""COMPUTED_VALUE"""),677.0)</f>
        <v>677</v>
      </c>
      <c r="L2050" s="16"/>
      <c r="M2050" s="14"/>
    </row>
    <row r="2051">
      <c r="A2051" s="16" t="str">
        <f>IFERROR(__xludf.DUMMYFUNCTION("""COMPUTED_VALUE"""),"Kimba Issa Mamoudou")</f>
        <v>Kimba Issa Mamoudou</v>
      </c>
      <c r="B2051" s="16"/>
      <c r="C2051" s="14"/>
      <c r="F2051" s="16" t="str">
        <f>IFERROR(__xludf.DUMMYFUNCTION("""COMPUTED_VALUE"""),"Karaji Sud")</f>
        <v>Karaji Sud</v>
      </c>
      <c r="G2051" s="16"/>
      <c r="H2051" s="14"/>
      <c r="K2051" s="16">
        <f>IFERROR(__xludf.DUMMYFUNCTION("""COMPUTED_VALUE"""),982.0)</f>
        <v>982</v>
      </c>
      <c r="L2051" s="16"/>
      <c r="M2051" s="14"/>
    </row>
    <row r="2052">
      <c r="A2052" s="16" t="str">
        <f>IFERROR(__xludf.DUMMYFUNCTION("""COMPUTED_VALUE"""),"Abdoul Razak Mahamane Boukari")</f>
        <v>Abdoul Razak Mahamane Boukari</v>
      </c>
      <c r="B2052" s="16"/>
      <c r="C2052" s="14"/>
      <c r="F2052" s="16" t="str">
        <f>IFERROR(__xludf.DUMMYFUNCTION("""COMPUTED_VALUE"""),"Karaji Sud")</f>
        <v>Karaji Sud</v>
      </c>
      <c r="G2052" s="16"/>
      <c r="H2052" s="14"/>
      <c r="K2052" s="16">
        <f>IFERROR(__xludf.DUMMYFUNCTION("""COMPUTED_VALUE"""),646.0)</f>
        <v>646</v>
      </c>
      <c r="L2052" s="16"/>
      <c r="M2052" s="14"/>
    </row>
    <row r="2053">
      <c r="A2053" s="16" t="str">
        <f>IFERROR(__xludf.DUMMYFUNCTION("""COMPUTED_VALUE"""),"Abdoul Razak Mahamane Boukari")</f>
        <v>Abdoul Razak Mahamane Boukari</v>
      </c>
      <c r="B2053" s="16"/>
      <c r="C2053" s="14"/>
      <c r="F2053" s="16" t="str">
        <f>IFERROR(__xludf.DUMMYFUNCTION("""COMPUTED_VALUE"""),"Karaji Sud")</f>
        <v>Karaji Sud</v>
      </c>
      <c r="G2053" s="16"/>
      <c r="H2053" s="14"/>
      <c r="K2053" s="16">
        <f>IFERROR(__xludf.DUMMYFUNCTION("""COMPUTED_VALUE"""),844.0)</f>
        <v>844</v>
      </c>
      <c r="L2053" s="16"/>
      <c r="M2053" s="14"/>
    </row>
    <row r="2054">
      <c r="A2054" s="16" t="str">
        <f>IFERROR(__xludf.DUMMYFUNCTION("""COMPUTED_VALUE"""),"Abdoul Razak Mahamane Boukari")</f>
        <v>Abdoul Razak Mahamane Boukari</v>
      </c>
      <c r="B2054" s="16"/>
      <c r="C2054" s="14"/>
      <c r="F2054" s="16" t="str">
        <f>IFERROR(__xludf.DUMMYFUNCTION("""COMPUTED_VALUE"""),"Karaji Sud")</f>
        <v>Karaji Sud</v>
      </c>
      <c r="G2054" s="16"/>
      <c r="H2054" s="14"/>
      <c r="K2054" s="16">
        <f>IFERROR(__xludf.DUMMYFUNCTION("""COMPUTED_VALUE"""),725.0)</f>
        <v>725</v>
      </c>
      <c r="L2054" s="16"/>
      <c r="M2054" s="14"/>
    </row>
    <row r="2055">
      <c r="A2055" s="16" t="str">
        <f>IFERROR(__xludf.DUMMYFUNCTION("""COMPUTED_VALUE"""),"Abdoul Razak Mahamane Boukari")</f>
        <v>Abdoul Razak Mahamane Boukari</v>
      </c>
      <c r="B2055" s="16"/>
      <c r="C2055" s="14"/>
      <c r="F2055" s="16" t="str">
        <f>IFERROR(__xludf.DUMMYFUNCTION("""COMPUTED_VALUE"""),"Karaji Sud")</f>
        <v>Karaji Sud</v>
      </c>
      <c r="G2055" s="16"/>
      <c r="H2055" s="14"/>
      <c r="K2055" s="16">
        <f>IFERROR(__xludf.DUMMYFUNCTION("""COMPUTED_VALUE"""),1133.0)</f>
        <v>1133</v>
      </c>
      <c r="L2055" s="16"/>
      <c r="M2055" s="14"/>
    </row>
    <row r="2056">
      <c r="A2056" s="16" t="str">
        <f>IFERROR(__xludf.DUMMYFUNCTION("""COMPUTED_VALUE"""),"Abdoul Razak Mahamane Boukari")</f>
        <v>Abdoul Razak Mahamane Boukari</v>
      </c>
      <c r="B2056" s="16"/>
      <c r="C2056" s="14"/>
      <c r="F2056" s="16" t="str">
        <f>IFERROR(__xludf.DUMMYFUNCTION("""COMPUTED_VALUE"""),"Karaji Sud")</f>
        <v>Karaji Sud</v>
      </c>
      <c r="G2056" s="16"/>
      <c r="H2056" s="14"/>
      <c r="K2056" s="16">
        <f>IFERROR(__xludf.DUMMYFUNCTION("""COMPUTED_VALUE"""),312.0)</f>
        <v>312</v>
      </c>
      <c r="L2056" s="16"/>
      <c r="M2056" s="14"/>
    </row>
    <row r="2057">
      <c r="A2057" s="16" t="str">
        <f>IFERROR(__xludf.DUMMYFUNCTION("""COMPUTED_VALUE"""),"Abdoul Razak Mahamane Boukari")</f>
        <v>Abdoul Razak Mahamane Boukari</v>
      </c>
      <c r="B2057" s="16"/>
      <c r="C2057" s="14"/>
      <c r="F2057" s="16" t="str">
        <f>IFERROR(__xludf.DUMMYFUNCTION("""COMPUTED_VALUE"""),"Kounkouzout")</f>
        <v>Kounkouzout</v>
      </c>
      <c r="G2057" s="16"/>
      <c r="H2057" s="14"/>
      <c r="K2057" s="16">
        <f>IFERROR(__xludf.DUMMYFUNCTION("""COMPUTED_VALUE"""),493.0)</f>
        <v>493</v>
      </c>
      <c r="L2057" s="16"/>
      <c r="M2057" s="14"/>
    </row>
    <row r="2058">
      <c r="A2058" s="16" t="str">
        <f>IFERROR(__xludf.DUMMYFUNCTION("""COMPUTED_VALUE"""),"Adamou Halidou Daouda")</f>
        <v>Adamou Halidou Daouda</v>
      </c>
      <c r="B2058" s="16"/>
      <c r="C2058" s="14"/>
      <c r="F2058" s="16" t="str">
        <f>IFERROR(__xludf.DUMMYFUNCTION("""COMPUTED_VALUE"""),"Kounkouzout")</f>
        <v>Kounkouzout</v>
      </c>
      <c r="G2058" s="16"/>
      <c r="H2058" s="14"/>
      <c r="K2058" s="16">
        <f>IFERROR(__xludf.DUMMYFUNCTION("""COMPUTED_VALUE"""),1531.0)</f>
        <v>1531</v>
      </c>
      <c r="L2058" s="16"/>
      <c r="M2058" s="14"/>
    </row>
    <row r="2059">
      <c r="A2059" s="16" t="str">
        <f>IFERROR(__xludf.DUMMYFUNCTION("""COMPUTED_VALUE"""),"Adamou Halidou Daouda")</f>
        <v>Adamou Halidou Daouda</v>
      </c>
      <c r="B2059" s="16"/>
      <c r="C2059" s="14"/>
      <c r="F2059" s="16" t="str">
        <f>IFERROR(__xludf.DUMMYFUNCTION("""COMPUTED_VALUE"""),"Kounkouzout")</f>
        <v>Kounkouzout</v>
      </c>
      <c r="G2059" s="16"/>
      <c r="H2059" s="14"/>
      <c r="K2059" s="16">
        <f>IFERROR(__xludf.DUMMYFUNCTION("""COMPUTED_VALUE"""),401.0)</f>
        <v>401</v>
      </c>
      <c r="L2059" s="16"/>
      <c r="M2059" s="14"/>
    </row>
    <row r="2060">
      <c r="A2060" s="16" t="str">
        <f>IFERROR(__xludf.DUMMYFUNCTION("""COMPUTED_VALUE"""),"Adamou Halidou Daouda")</f>
        <v>Adamou Halidou Daouda</v>
      </c>
      <c r="B2060" s="16"/>
      <c r="C2060" s="14"/>
      <c r="F2060" s="16" t="str">
        <f>IFERROR(__xludf.DUMMYFUNCTION("""COMPUTED_VALUE"""),"Kounkouzout")</f>
        <v>Kounkouzout</v>
      </c>
      <c r="G2060" s="16"/>
      <c r="H2060" s="14"/>
      <c r="K2060" s="16">
        <f>IFERROR(__xludf.DUMMYFUNCTION("""COMPUTED_VALUE"""),553.0)</f>
        <v>553</v>
      </c>
      <c r="L2060" s="16"/>
      <c r="M2060" s="14"/>
    </row>
    <row r="2061">
      <c r="A2061" s="16" t="str">
        <f>IFERROR(__xludf.DUMMYFUNCTION("""COMPUTED_VALUE"""),"Adamou Halidou Daouda")</f>
        <v>Adamou Halidou Daouda</v>
      </c>
      <c r="B2061" s="16"/>
      <c r="C2061" s="14"/>
      <c r="F2061" s="16" t="str">
        <f>IFERROR(__xludf.DUMMYFUNCTION("""COMPUTED_VALUE"""),"Kabima-Al Baraka")</f>
        <v>Kabima-Al Baraka</v>
      </c>
      <c r="G2061" s="16"/>
      <c r="H2061" s="14"/>
      <c r="K2061" s="16">
        <f>IFERROR(__xludf.DUMMYFUNCTION("""COMPUTED_VALUE"""),398.0)</f>
        <v>398</v>
      </c>
      <c r="L2061" s="16"/>
      <c r="M2061" s="14"/>
    </row>
    <row r="2062">
      <c r="A2062" s="16" t="str">
        <f>IFERROR(__xludf.DUMMYFUNCTION("""COMPUTED_VALUE"""),"Adamou Halidou Daouda")</f>
        <v>Adamou Halidou Daouda</v>
      </c>
      <c r="B2062" s="16"/>
      <c r="C2062" s="14"/>
      <c r="F2062" s="16" t="str">
        <f>IFERROR(__xludf.DUMMYFUNCTION("""COMPUTED_VALUE"""),"Sabon Guidan Ba Tamaské-Kelgress (village de la commune de Garhanga)")</f>
        <v>Sabon Guidan Ba Tamaské-Kelgress (village de la commune de Garhanga)</v>
      </c>
      <c r="G2062" s="16"/>
      <c r="H2062" s="14"/>
      <c r="K2062" s="16">
        <f>IFERROR(__xludf.DUMMYFUNCTION("""COMPUTED_VALUE"""),679.0)</f>
        <v>679</v>
      </c>
      <c r="L2062" s="16"/>
      <c r="M2062" s="14"/>
    </row>
    <row r="2063">
      <c r="A2063" s="16" t="str">
        <f>IFERROR(__xludf.DUMMYFUNCTION("""COMPUTED_VALUE"""),"Adamou Halidou Daouda")</f>
        <v>Adamou Halidou Daouda</v>
      </c>
      <c r="B2063" s="16"/>
      <c r="C2063" s="14"/>
      <c r="F2063" s="16" t="str">
        <f>IFERROR(__xludf.DUMMYFUNCTION("""COMPUTED_VALUE"""),"Kabima-Al Baraka")</f>
        <v>Kabima-Al Baraka</v>
      </c>
      <c r="G2063" s="16"/>
      <c r="H2063" s="14"/>
      <c r="K2063" s="16">
        <f>IFERROR(__xludf.DUMMYFUNCTION("""COMPUTED_VALUE"""),462.0)</f>
        <v>462</v>
      </c>
      <c r="L2063" s="16"/>
      <c r="M2063" s="14"/>
    </row>
    <row r="2064">
      <c r="A2064" s="16" t="str">
        <f>IFERROR(__xludf.DUMMYFUNCTION("""COMPUTED_VALUE"""),"Adamou Halidou Daouda")</f>
        <v>Adamou Halidou Daouda</v>
      </c>
      <c r="B2064" s="16"/>
      <c r="C2064" s="14"/>
      <c r="F2064" s="16" t="str">
        <f>IFERROR(__xludf.DUMMYFUNCTION("""COMPUTED_VALUE"""),"Kabima-Al Baraka")</f>
        <v>Kabima-Al Baraka</v>
      </c>
      <c r="G2064" s="16"/>
      <c r="H2064" s="14"/>
      <c r="K2064" s="16">
        <f>IFERROR(__xludf.DUMMYFUNCTION("""COMPUTED_VALUE"""),1570.0)</f>
        <v>1570</v>
      </c>
      <c r="L2064" s="16"/>
      <c r="M2064" s="14"/>
    </row>
    <row r="2065">
      <c r="A2065" s="16" t="str">
        <f>IFERROR(__xludf.DUMMYFUNCTION("""COMPUTED_VALUE"""),"Adamou Halidou Daouda")</f>
        <v>Adamou Halidou Daouda</v>
      </c>
      <c r="B2065" s="16"/>
      <c r="C2065" s="14"/>
      <c r="F2065" s="16" t="str">
        <f>IFERROR(__xludf.DUMMYFUNCTION("""COMPUTED_VALUE"""),"Sabon Guidan Ba Tamaské-Kelgress (village de la commune de Garhanga)")</f>
        <v>Sabon Guidan Ba Tamaské-Kelgress (village de la commune de Garhanga)</v>
      </c>
      <c r="G2065" s="16"/>
      <c r="H2065" s="14"/>
      <c r="K2065" s="16">
        <f>IFERROR(__xludf.DUMMYFUNCTION("""COMPUTED_VALUE"""),317.0)</f>
        <v>317</v>
      </c>
      <c r="L2065" s="16"/>
      <c r="M2065" s="14"/>
    </row>
    <row r="2066">
      <c r="A2066" s="16" t="str">
        <f>IFERROR(__xludf.DUMMYFUNCTION("""COMPUTED_VALUE"""),"Adamou Halidou Daouda")</f>
        <v>Adamou Halidou Daouda</v>
      </c>
      <c r="B2066" s="16"/>
      <c r="C2066" s="14"/>
      <c r="F2066" s="16" t="str">
        <f>IFERROR(__xludf.DUMMYFUNCTION("""COMPUTED_VALUE"""),"Sabon Guidan Ba Tamaské-Kelgress (village de la commune de Garhanga)")</f>
        <v>Sabon Guidan Ba Tamaské-Kelgress (village de la commune de Garhanga)</v>
      </c>
      <c r="G2066" s="16"/>
      <c r="H2066" s="14"/>
      <c r="K2066" s="16">
        <f>IFERROR(__xludf.DUMMYFUNCTION("""COMPUTED_VALUE"""),1296.0)</f>
        <v>1296</v>
      </c>
      <c r="L2066" s="16"/>
      <c r="M2066" s="14"/>
    </row>
    <row r="2067">
      <c r="A2067" s="16" t="str">
        <f>IFERROR(__xludf.DUMMYFUNCTION("""COMPUTED_VALUE"""),"Adamou Halidou Daouda")</f>
        <v>Adamou Halidou Daouda</v>
      </c>
      <c r="B2067" s="16"/>
      <c r="C2067" s="14"/>
      <c r="F2067" s="16" t="str">
        <f>IFERROR(__xludf.DUMMYFUNCTION("""COMPUTED_VALUE"""),"Sabon Guidan Ba Tamaské-Kelgress (village de la commune de Garhanga)")</f>
        <v>Sabon Guidan Ba Tamaské-Kelgress (village de la commune de Garhanga)</v>
      </c>
      <c r="G2067" s="16"/>
      <c r="H2067" s="14"/>
      <c r="K2067" s="16">
        <f>IFERROR(__xludf.DUMMYFUNCTION("""COMPUTED_VALUE"""),1856.0)</f>
        <v>1856</v>
      </c>
      <c r="L2067" s="16"/>
      <c r="M2067" s="14"/>
    </row>
    <row r="2068">
      <c r="A2068" s="16" t="str">
        <f>IFERROR(__xludf.DUMMYFUNCTION("""COMPUTED_VALUE"""),"Gaoh Maazou")</f>
        <v>Gaoh Maazou</v>
      </c>
      <c r="B2068" s="16"/>
      <c r="C2068" s="14"/>
      <c r="F2068" s="16" t="str">
        <f>IFERROR(__xludf.DUMMYFUNCTION("""COMPUTED_VALUE"""),"Sabon Guidan Ba Tamaské-Kelgress (village de la commune de Garhanga)")</f>
        <v>Sabon Guidan Ba Tamaské-Kelgress (village de la commune de Garhanga)</v>
      </c>
      <c r="G2068" s="16"/>
      <c r="H2068" s="14"/>
      <c r="K2068" s="16">
        <f>IFERROR(__xludf.DUMMYFUNCTION("""COMPUTED_VALUE"""),1497.0)</f>
        <v>1497</v>
      </c>
      <c r="L2068" s="16"/>
      <c r="M2068" s="14"/>
    </row>
    <row r="2069">
      <c r="A2069" s="16" t="str">
        <f>IFERROR(__xludf.DUMMYFUNCTION("""COMPUTED_VALUE"""),"Gaoh Maazou")</f>
        <v>Gaoh Maazou</v>
      </c>
      <c r="B2069" s="16"/>
      <c r="C2069" s="14"/>
      <c r="F2069" s="16" t="str">
        <f>IFERROR(__xludf.DUMMYFUNCTION("""COMPUTED_VALUE"""),"Sabon Guidan Ba Tamaské-Kelgress (village de la commune de Garhanga)")</f>
        <v>Sabon Guidan Ba Tamaské-Kelgress (village de la commune de Garhanga)</v>
      </c>
      <c r="G2069" s="16"/>
      <c r="H2069" s="14"/>
      <c r="K2069" s="16">
        <f>IFERROR(__xludf.DUMMYFUNCTION("""COMPUTED_VALUE"""),1436.0)</f>
        <v>1436</v>
      </c>
      <c r="L2069" s="16"/>
      <c r="M2069" s="14"/>
    </row>
    <row r="2070">
      <c r="A2070" s="16" t="str">
        <f>IFERROR(__xludf.DUMMYFUNCTION("""COMPUTED_VALUE"""),"Gaoh Maazou")</f>
        <v>Gaoh Maazou</v>
      </c>
      <c r="B2070" s="16"/>
      <c r="C2070" s="14"/>
      <c r="F2070" s="16" t="str">
        <f>IFERROR(__xludf.DUMMYFUNCTION("""COMPUTED_VALUE"""),"Sabon Guidan Ba Tamaské-Kelgress (village de la commune de Garhanga)")</f>
        <v>Sabon Guidan Ba Tamaské-Kelgress (village de la commune de Garhanga)</v>
      </c>
      <c r="G2070" s="16"/>
      <c r="H2070" s="14"/>
      <c r="K2070" s="16">
        <f>IFERROR(__xludf.DUMMYFUNCTION("""COMPUTED_VALUE"""),993.0)</f>
        <v>993</v>
      </c>
      <c r="L2070" s="16"/>
      <c r="M2070" s="14"/>
    </row>
    <row r="2071">
      <c r="A2071" s="16" t="str">
        <f>IFERROR(__xludf.DUMMYFUNCTION("""COMPUTED_VALUE"""),"Gaoh Maazou")</f>
        <v>Gaoh Maazou</v>
      </c>
      <c r="B2071" s="16"/>
      <c r="C2071" s="14"/>
      <c r="F2071" s="16" t="str">
        <f>IFERROR(__xludf.DUMMYFUNCTION("""COMPUTED_VALUE"""),"Sabon Guidan Ba Tamaské-Kelgress (village de la commune de Garhanga)")</f>
        <v>Sabon Guidan Ba Tamaské-Kelgress (village de la commune de Garhanga)</v>
      </c>
      <c r="G2071" s="16"/>
      <c r="H2071" s="14"/>
      <c r="K2071" s="16">
        <f>IFERROR(__xludf.DUMMYFUNCTION("""COMPUTED_VALUE"""),948.0)</f>
        <v>948</v>
      </c>
      <c r="L2071" s="16"/>
      <c r="M2071" s="14"/>
    </row>
    <row r="2072">
      <c r="A2072" s="16" t="str">
        <f>IFERROR(__xludf.DUMMYFUNCTION("""COMPUTED_VALUE"""),"Gaoh Maazou")</f>
        <v>Gaoh Maazou</v>
      </c>
      <c r="B2072" s="16"/>
      <c r="C2072" s="14"/>
      <c r="F2072" s="16" t="str">
        <f>IFERROR(__xludf.DUMMYFUNCTION("""COMPUTED_VALUE"""),"Sabon Guidan Ba Tamaské-Kelgress (village de la commune de Garhanga)")</f>
        <v>Sabon Guidan Ba Tamaské-Kelgress (village de la commune de Garhanga)</v>
      </c>
      <c r="G2072" s="16"/>
      <c r="H2072" s="14"/>
      <c r="K2072" s="16">
        <f>IFERROR(__xludf.DUMMYFUNCTION("""COMPUTED_VALUE"""),1379.0)</f>
        <v>1379</v>
      </c>
      <c r="L2072" s="16"/>
      <c r="M2072" s="14"/>
    </row>
    <row r="2073">
      <c r="A2073" s="16" t="str">
        <f>IFERROR(__xludf.DUMMYFUNCTION("""COMPUTED_VALUE"""),"Asmaou Tanko Issa")</f>
        <v>Asmaou Tanko Issa</v>
      </c>
      <c r="B2073" s="16"/>
      <c r="C2073" s="14"/>
      <c r="F2073" s="16" t="str">
        <f>IFERROR(__xludf.DUMMYFUNCTION("""COMPUTED_VALUE"""),"Sabon Guidan Ba Tamaské-Kelgress (village de la commune de Garhanga)")</f>
        <v>Sabon Guidan Ba Tamaské-Kelgress (village de la commune de Garhanga)</v>
      </c>
      <c r="G2073" s="16"/>
      <c r="H2073" s="14"/>
      <c r="K2073" s="16">
        <f>IFERROR(__xludf.DUMMYFUNCTION("""COMPUTED_VALUE"""),1508.0)</f>
        <v>1508</v>
      </c>
      <c r="L2073" s="16"/>
      <c r="M2073" s="14"/>
    </row>
    <row r="2074">
      <c r="A2074" s="16" t="str">
        <f>IFERROR(__xludf.DUMMYFUNCTION("""COMPUTED_VALUE"""),"Gaoh Maazou")</f>
        <v>Gaoh Maazou</v>
      </c>
      <c r="B2074" s="16"/>
      <c r="C2074" s="14"/>
      <c r="F2074" s="16" t="str">
        <f>IFERROR(__xludf.DUMMYFUNCTION("""COMPUTED_VALUE"""),"Sabon Guidan Ba Tamaské-Kelgress (village de la commune de Garhanga)")</f>
        <v>Sabon Guidan Ba Tamaské-Kelgress (village de la commune de Garhanga)</v>
      </c>
      <c r="G2074" s="16"/>
      <c r="H2074" s="14"/>
      <c r="K2074" s="16">
        <f>IFERROR(__xludf.DUMMYFUNCTION("""COMPUTED_VALUE"""),1614.0)</f>
        <v>1614</v>
      </c>
      <c r="L2074" s="16"/>
      <c r="M2074" s="14"/>
    </row>
    <row r="2075">
      <c r="A2075" s="16" t="str">
        <f>IFERROR(__xludf.DUMMYFUNCTION("""COMPUTED_VALUE"""),"Gaoh Maazou")</f>
        <v>Gaoh Maazou</v>
      </c>
      <c r="B2075" s="16"/>
      <c r="C2075" s="14"/>
      <c r="F2075" s="16" t="str">
        <f>IFERROR(__xludf.DUMMYFUNCTION("""COMPUTED_VALUE"""),"Sabon Guidan Ba Tamaské-Kelgress (village de la commune de Garhanga)")</f>
        <v>Sabon Guidan Ba Tamaské-Kelgress (village de la commune de Garhanga)</v>
      </c>
      <c r="G2075" s="16"/>
      <c r="H2075" s="14"/>
      <c r="K2075" s="16">
        <f>IFERROR(__xludf.DUMMYFUNCTION("""COMPUTED_VALUE"""),559.0)</f>
        <v>559</v>
      </c>
      <c r="L2075" s="16"/>
      <c r="M2075" s="14"/>
    </row>
    <row r="2076">
      <c r="A2076" s="16" t="str">
        <f>IFERROR(__xludf.DUMMYFUNCTION("""COMPUTED_VALUE"""),"Gaoh Maazou")</f>
        <v>Gaoh Maazou</v>
      </c>
      <c r="B2076" s="16"/>
      <c r="C2076" s="14"/>
      <c r="F2076" s="16" t="str">
        <f>IFERROR(__xludf.DUMMYFUNCTION("""COMPUTED_VALUE"""),"Sabon Guidan Ba Tamaské-Kelgress (village de la commune de Garhanga)")</f>
        <v>Sabon Guidan Ba Tamaské-Kelgress (village de la commune de Garhanga)</v>
      </c>
      <c r="G2076" s="16"/>
      <c r="H2076" s="14"/>
      <c r="K2076" s="16">
        <f>IFERROR(__xludf.DUMMYFUNCTION("""COMPUTED_VALUE"""),796.0)</f>
        <v>796</v>
      </c>
      <c r="L2076" s="16"/>
      <c r="M2076" s="14"/>
    </row>
    <row r="2077">
      <c r="A2077" s="16" t="str">
        <f>IFERROR(__xludf.DUMMYFUNCTION("""COMPUTED_VALUE"""),"Amadou Hamidou Abdoul Karim")</f>
        <v>Amadou Hamidou Abdoul Karim</v>
      </c>
      <c r="B2077" s="16"/>
      <c r="C2077" s="14"/>
      <c r="F2077" s="16" t="str">
        <f>IFERROR(__xludf.DUMMYFUNCTION("""COMPUTED_VALUE"""),"Kabima-Al Baraka")</f>
        <v>Kabima-Al Baraka</v>
      </c>
      <c r="G2077" s="16"/>
      <c r="H2077" s="14"/>
      <c r="K2077" s="16">
        <f>IFERROR(__xludf.DUMMYFUNCTION("""COMPUTED_VALUE"""),1893.0)</f>
        <v>1893</v>
      </c>
      <c r="L2077" s="16"/>
      <c r="M2077" s="14"/>
    </row>
    <row r="2078">
      <c r="A2078" s="16" t="str">
        <f>IFERROR(__xludf.DUMMYFUNCTION("""COMPUTED_VALUE"""),"Amadou Hamidou Abdoul Karim")</f>
        <v>Amadou Hamidou Abdoul Karim</v>
      </c>
      <c r="B2078" s="16"/>
      <c r="C2078" s="14"/>
      <c r="F2078" s="16" t="str">
        <f>IFERROR(__xludf.DUMMYFUNCTION("""COMPUTED_VALUE"""),"Kabima-Al Baraka")</f>
        <v>Kabima-Al Baraka</v>
      </c>
      <c r="G2078" s="16"/>
      <c r="H2078" s="14"/>
      <c r="K2078" s="16">
        <f>IFERROR(__xludf.DUMMYFUNCTION("""COMPUTED_VALUE"""),1673.0)</f>
        <v>1673</v>
      </c>
      <c r="L2078" s="16"/>
      <c r="M2078" s="14"/>
    </row>
    <row r="2079">
      <c r="A2079" s="16" t="str">
        <f>IFERROR(__xludf.DUMMYFUNCTION("""COMPUTED_VALUE"""),"Amadou Hamidou Abdoul Karim")</f>
        <v>Amadou Hamidou Abdoul Karim</v>
      </c>
      <c r="B2079" s="16"/>
      <c r="C2079" s="14"/>
      <c r="F2079" s="16" t="str">
        <f>IFERROR(__xludf.DUMMYFUNCTION("""COMPUTED_VALUE"""),"Sabon Guida Damna")</f>
        <v>Sabon Guida Damna</v>
      </c>
      <c r="G2079" s="16"/>
      <c r="H2079" s="14"/>
      <c r="K2079" s="16">
        <f>IFERROR(__xludf.DUMMYFUNCTION("""COMPUTED_VALUE"""),342.0)</f>
        <v>342</v>
      </c>
      <c r="L2079" s="16"/>
      <c r="M2079" s="14"/>
    </row>
    <row r="2080">
      <c r="A2080" s="16" t="str">
        <f>IFERROR(__xludf.DUMMYFUNCTION("""COMPUTED_VALUE"""),"Amadou Hamidou Abdoul Karim")</f>
        <v>Amadou Hamidou Abdoul Karim</v>
      </c>
      <c r="B2080" s="16"/>
      <c r="C2080" s="14"/>
      <c r="F2080" s="16" t="str">
        <f>IFERROR(__xludf.DUMMYFUNCTION("""COMPUTED_VALUE"""),"Sabon Guidan Ba Tamaské-Kelgress (village de la commune de Garhanga)")</f>
        <v>Sabon Guidan Ba Tamaské-Kelgress (village de la commune de Garhanga)</v>
      </c>
      <c r="G2080" s="16"/>
      <c r="H2080" s="14"/>
      <c r="K2080" s="16">
        <f>IFERROR(__xludf.DUMMYFUNCTION("""COMPUTED_VALUE"""),395.0)</f>
        <v>395</v>
      </c>
      <c r="L2080" s="16"/>
      <c r="M2080" s="14"/>
    </row>
    <row r="2081">
      <c r="A2081" s="16" t="str">
        <f>IFERROR(__xludf.DUMMYFUNCTION("""COMPUTED_VALUE"""),"Amadou Hamidou Abdoul Karim")</f>
        <v>Amadou Hamidou Abdoul Karim</v>
      </c>
      <c r="B2081" s="16"/>
      <c r="C2081" s="14"/>
      <c r="F2081" s="16" t="str">
        <f>IFERROR(__xludf.DUMMYFUNCTION("""COMPUTED_VALUE"""),"Sabon Guidan Ba Tamaské-Kelgress (village de la commune de Garhanga)")</f>
        <v>Sabon Guidan Ba Tamaské-Kelgress (village de la commune de Garhanga)</v>
      </c>
      <c r="G2081" s="16"/>
      <c r="H2081" s="14"/>
      <c r="K2081" s="16">
        <f>IFERROR(__xludf.DUMMYFUNCTION("""COMPUTED_VALUE"""),806.0)</f>
        <v>806</v>
      </c>
      <c r="L2081" s="16"/>
      <c r="M2081" s="14"/>
    </row>
    <row r="2082">
      <c r="A2082" s="16" t="str">
        <f>IFERROR(__xludf.DUMMYFUNCTION("""COMPUTED_VALUE"""),"Amadou Hamidou Abdoul Karim")</f>
        <v>Amadou Hamidou Abdoul Karim</v>
      </c>
      <c r="B2082" s="16"/>
      <c r="C2082" s="14"/>
      <c r="F2082" s="16" t="str">
        <f>IFERROR(__xludf.DUMMYFUNCTION("""COMPUTED_VALUE"""),"AgouloumKarama")</f>
        <v>AgouloumKarama</v>
      </c>
      <c r="G2082" s="16"/>
      <c r="H2082" s="14"/>
      <c r="K2082" s="16">
        <f>IFERROR(__xludf.DUMMYFUNCTION("""COMPUTED_VALUE"""),1058.0)</f>
        <v>1058</v>
      </c>
      <c r="L2082" s="16"/>
      <c r="M2082" s="14"/>
    </row>
    <row r="2083">
      <c r="A2083" s="16" t="str">
        <f>IFERROR(__xludf.DUMMYFUNCTION("""COMPUTED_VALUE"""),"Amadou Hamidou Abdoul Karim")</f>
        <v>Amadou Hamidou Abdoul Karim</v>
      </c>
      <c r="B2083" s="16"/>
      <c r="C2083" s="14"/>
      <c r="F2083" s="16" t="str">
        <f>IFERROR(__xludf.DUMMYFUNCTION("""COMPUTED_VALUE"""),"Kabima-Al Baraka")</f>
        <v>Kabima-Al Baraka</v>
      </c>
      <c r="G2083" s="16"/>
      <c r="H2083" s="14"/>
      <c r="K2083" s="16">
        <f>IFERROR(__xludf.DUMMYFUNCTION("""COMPUTED_VALUE"""),1490.0)</f>
        <v>1490</v>
      </c>
      <c r="L2083" s="16"/>
      <c r="M2083" s="14"/>
    </row>
    <row r="2084">
      <c r="A2084" s="16" t="str">
        <f>IFERROR(__xludf.DUMMYFUNCTION("""COMPUTED_VALUE"""),"Amadou Hamidou Abdoul Karim")</f>
        <v>Amadou Hamidou Abdoul Karim</v>
      </c>
      <c r="B2084" s="16"/>
      <c r="C2084" s="14"/>
      <c r="F2084" s="16" t="str">
        <f>IFERROR(__xludf.DUMMYFUNCTION("""COMPUTED_VALUE"""),"Kabima-Al Baraka")</f>
        <v>Kabima-Al Baraka</v>
      </c>
      <c r="G2084" s="16"/>
      <c r="H2084" s="14"/>
      <c r="K2084" s="16">
        <f>IFERROR(__xludf.DUMMYFUNCTION("""COMPUTED_VALUE"""),457.0)</f>
        <v>457</v>
      </c>
      <c r="L2084" s="16"/>
      <c r="M2084" s="14"/>
    </row>
    <row r="2085">
      <c r="A2085" s="16" t="str">
        <f>IFERROR(__xludf.DUMMYFUNCTION("""COMPUTED_VALUE"""),"Amadou Hamidou Abdoul Karim")</f>
        <v>Amadou Hamidou Abdoul Karim</v>
      </c>
      <c r="B2085" s="16"/>
      <c r="C2085" s="14"/>
      <c r="F2085" s="16" t="str">
        <f>IFERROR(__xludf.DUMMYFUNCTION("""COMPUTED_VALUE"""),"Sabon Guida Damna")</f>
        <v>Sabon Guida Damna</v>
      </c>
      <c r="G2085" s="16"/>
      <c r="H2085" s="14"/>
      <c r="K2085" s="16">
        <f>IFERROR(__xludf.DUMMYFUNCTION("""COMPUTED_VALUE"""),2077.0)</f>
        <v>2077</v>
      </c>
      <c r="L2085" s="16"/>
      <c r="M2085" s="14"/>
    </row>
    <row r="2086">
      <c r="A2086" s="16" t="str">
        <f>IFERROR(__xludf.DUMMYFUNCTION("""COMPUTED_VALUE"""),"Amadou Hamidou Abdoul Karim")</f>
        <v>Amadou Hamidou Abdoul Karim</v>
      </c>
      <c r="B2086" s="16"/>
      <c r="C2086" s="14"/>
      <c r="F2086" s="16" t="str">
        <f>IFERROR(__xludf.DUMMYFUNCTION("""COMPUTED_VALUE"""),"Sabon Guida Damna")</f>
        <v>Sabon Guida Damna</v>
      </c>
      <c r="G2086" s="16"/>
      <c r="H2086" s="14"/>
      <c r="K2086" s="16">
        <f>IFERROR(__xludf.DUMMYFUNCTION("""COMPUTED_VALUE"""),918.0)</f>
        <v>918</v>
      </c>
      <c r="L2086" s="16"/>
      <c r="M2086" s="14"/>
    </row>
    <row r="2087">
      <c r="A2087" s="16" t="str">
        <f>IFERROR(__xludf.DUMMYFUNCTION("""COMPUTED_VALUE"""),"Amadou Hamidou Abdoul Karim")</f>
        <v>Amadou Hamidou Abdoul Karim</v>
      </c>
      <c r="B2087" s="16"/>
      <c r="C2087" s="14"/>
      <c r="F2087" s="16" t="str">
        <f>IFERROR(__xludf.DUMMYFUNCTION("""COMPUTED_VALUE"""),"Sabon Guida Damna")</f>
        <v>Sabon Guida Damna</v>
      </c>
      <c r="G2087" s="16"/>
      <c r="H2087" s="14"/>
      <c r="K2087" s="16">
        <f>IFERROR(__xludf.DUMMYFUNCTION("""COMPUTED_VALUE"""),1645.0)</f>
        <v>1645</v>
      </c>
      <c r="L2087" s="16"/>
      <c r="M2087" s="14"/>
    </row>
    <row r="2088">
      <c r="A2088" s="16" t="str">
        <f>IFERROR(__xludf.DUMMYFUNCTION("""COMPUTED_VALUE"""),"Amadou Hamidou Abdoul Karim")</f>
        <v>Amadou Hamidou Abdoul Karim</v>
      </c>
      <c r="B2088" s="16"/>
      <c r="C2088" s="14"/>
      <c r="F2088" s="16" t="str">
        <f>IFERROR(__xludf.DUMMYFUNCTION("""COMPUTED_VALUE"""),"Sabon Guidan Ba Tamaské-Kelgress (village de la commune de Garhanga)")</f>
        <v>Sabon Guidan Ba Tamaské-Kelgress (village de la commune de Garhanga)</v>
      </c>
      <c r="G2088" s="16"/>
      <c r="H2088" s="14"/>
      <c r="K2088" s="16">
        <f>IFERROR(__xludf.DUMMYFUNCTION("""COMPUTED_VALUE"""),380.0)</f>
        <v>380</v>
      </c>
      <c r="L2088" s="16"/>
      <c r="M2088" s="14"/>
    </row>
    <row r="2089">
      <c r="A2089" s="16" t="str">
        <f>IFERROR(__xludf.DUMMYFUNCTION("""COMPUTED_VALUE"""),"Binta Maman")</f>
        <v>Binta Maman</v>
      </c>
      <c r="B2089" s="16"/>
      <c r="C2089" s="14"/>
      <c r="F2089" s="16" t="str">
        <f>IFERROR(__xludf.DUMMYFUNCTION("""COMPUTED_VALUE"""),"Sabon Guida Damna")</f>
        <v>Sabon Guida Damna</v>
      </c>
      <c r="G2089" s="16"/>
      <c r="H2089" s="14"/>
      <c r="K2089" s="16">
        <f>IFERROR(__xludf.DUMMYFUNCTION("""COMPUTED_VALUE"""),794.0)</f>
        <v>794</v>
      </c>
      <c r="L2089" s="16"/>
      <c r="M2089" s="14"/>
    </row>
    <row r="2090">
      <c r="A2090" s="16" t="str">
        <f>IFERROR(__xludf.DUMMYFUNCTION("""COMPUTED_VALUE"""),"Binta Maman")</f>
        <v>Binta Maman</v>
      </c>
      <c r="B2090" s="16"/>
      <c r="C2090" s="14"/>
      <c r="F2090" s="16" t="str">
        <f>IFERROR(__xludf.DUMMYFUNCTION("""COMPUTED_VALUE"""),"Founkoye")</f>
        <v>Founkoye</v>
      </c>
      <c r="G2090" s="16"/>
      <c r="H2090" s="14"/>
      <c r="K2090" s="16">
        <f>IFERROR(__xludf.DUMMYFUNCTION("""COMPUTED_VALUE"""),480.0)</f>
        <v>480</v>
      </c>
      <c r="L2090" s="16"/>
      <c r="M2090" s="14"/>
    </row>
    <row r="2091">
      <c r="A2091" s="16" t="str">
        <f>IFERROR(__xludf.DUMMYFUNCTION("""COMPUTED_VALUE"""),"Binta Maman")</f>
        <v>Binta Maman</v>
      </c>
      <c r="B2091" s="16"/>
      <c r="C2091" s="14"/>
      <c r="F2091" s="16" t="str">
        <f>IFERROR(__xludf.DUMMYFUNCTION("""COMPUTED_VALUE"""),"Founkoye")</f>
        <v>Founkoye</v>
      </c>
      <c r="G2091" s="16"/>
      <c r="H2091" s="14"/>
      <c r="K2091" s="16">
        <f>IFERROR(__xludf.DUMMYFUNCTION("""COMPUTED_VALUE"""),932.0)</f>
        <v>932</v>
      </c>
      <c r="L2091" s="16"/>
      <c r="M2091" s="14"/>
    </row>
    <row r="2092">
      <c r="A2092" s="16" t="str">
        <f>IFERROR(__xludf.DUMMYFUNCTION("""COMPUTED_VALUE"""),"Binta Maman")</f>
        <v>Binta Maman</v>
      </c>
      <c r="B2092" s="16"/>
      <c r="C2092" s="14"/>
      <c r="F2092" s="16" t="str">
        <f>IFERROR(__xludf.DUMMYFUNCTION("""COMPUTED_VALUE"""),"Founkoye")</f>
        <v>Founkoye</v>
      </c>
      <c r="G2092" s="16"/>
      <c r="H2092" s="14"/>
      <c r="K2092" s="16">
        <f>IFERROR(__xludf.DUMMYFUNCTION("""COMPUTED_VALUE"""),961.0)</f>
        <v>961</v>
      </c>
      <c r="L2092" s="16"/>
      <c r="M2092" s="14"/>
    </row>
    <row r="2093">
      <c r="A2093" s="16" t="str">
        <f>IFERROR(__xludf.DUMMYFUNCTION("""COMPUTED_VALUE"""),"Larabou Chamsoudine")</f>
        <v>Larabou Chamsoudine</v>
      </c>
      <c r="B2093" s="16"/>
      <c r="C2093" s="14"/>
      <c r="F2093" s="16" t="str">
        <f>IFERROR(__xludf.DUMMYFUNCTION("""COMPUTED_VALUE"""),"Founkoye")</f>
        <v>Founkoye</v>
      </c>
      <c r="G2093" s="16"/>
      <c r="H2093" s="14"/>
      <c r="K2093" s="16">
        <f>IFERROR(__xludf.DUMMYFUNCTION("""COMPUTED_VALUE"""),131.0)</f>
        <v>131</v>
      </c>
      <c r="L2093" s="16"/>
      <c r="M2093" s="14"/>
    </row>
    <row r="2094">
      <c r="A2094" s="16" t="str">
        <f>IFERROR(__xludf.DUMMYFUNCTION("""COMPUTED_VALUE"""),"Larabou Chamsoudine")</f>
        <v>Larabou Chamsoudine</v>
      </c>
      <c r="B2094" s="16"/>
      <c r="C2094" s="14"/>
      <c r="F2094" s="16" t="str">
        <f>IFERROR(__xludf.DUMMYFUNCTION("""COMPUTED_VALUE"""),"Founkoye")</f>
        <v>Founkoye</v>
      </c>
      <c r="G2094" s="16"/>
      <c r="H2094" s="14"/>
      <c r="K2094" s="16">
        <f>IFERROR(__xludf.DUMMYFUNCTION("""COMPUTED_VALUE"""),520.0)</f>
        <v>520</v>
      </c>
      <c r="L2094" s="16"/>
      <c r="M2094" s="14"/>
    </row>
    <row r="2095">
      <c r="A2095" s="16" t="str">
        <f>IFERROR(__xludf.DUMMYFUNCTION("""COMPUTED_VALUE"""),"Larabou Chamsoudine")</f>
        <v>Larabou Chamsoudine</v>
      </c>
      <c r="B2095" s="16"/>
      <c r="C2095" s="14"/>
      <c r="F2095" s="16" t="str">
        <f>IFERROR(__xludf.DUMMYFUNCTION("""COMPUTED_VALUE"""),"Founkoye")</f>
        <v>Founkoye</v>
      </c>
      <c r="G2095" s="16"/>
      <c r="H2095" s="14"/>
      <c r="K2095" s="16">
        <f>IFERROR(__xludf.DUMMYFUNCTION("""COMPUTED_VALUE"""),1238.0)</f>
        <v>1238</v>
      </c>
      <c r="L2095" s="16"/>
      <c r="M2095" s="14"/>
    </row>
    <row r="2096">
      <c r="A2096" s="16" t="str">
        <f>IFERROR(__xludf.DUMMYFUNCTION("""COMPUTED_VALUE"""),"Larabou Chamsoudine")</f>
        <v>Larabou Chamsoudine</v>
      </c>
      <c r="B2096" s="16"/>
      <c r="C2096" s="14"/>
      <c r="F2096" s="16" t="str">
        <f>IFERROR(__xludf.DUMMYFUNCTION("""COMPUTED_VALUE"""),"Founkoye")</f>
        <v>Founkoye</v>
      </c>
      <c r="G2096" s="16"/>
      <c r="H2096" s="14"/>
      <c r="K2096" s="16">
        <f>IFERROR(__xludf.DUMMYFUNCTION("""COMPUTED_VALUE"""),753.0)</f>
        <v>753</v>
      </c>
      <c r="L2096" s="16"/>
      <c r="M2096" s="14"/>
    </row>
    <row r="2097">
      <c r="A2097" s="16" t="str">
        <f>IFERROR(__xludf.DUMMYFUNCTION("""COMPUTED_VALUE"""),"Larabou Chamsoudine")</f>
        <v>Larabou Chamsoudine</v>
      </c>
      <c r="B2097" s="16"/>
      <c r="C2097" s="14"/>
      <c r="F2097" s="16" t="str">
        <f>IFERROR(__xludf.DUMMYFUNCTION("""COMPUTED_VALUE"""),"Falalia Kiratawa")</f>
        <v>Falalia Kiratawa</v>
      </c>
      <c r="G2097" s="16"/>
      <c r="H2097" s="14"/>
      <c r="K2097" s="16">
        <f>IFERROR(__xludf.DUMMYFUNCTION("""COMPUTED_VALUE"""),264.0)</f>
        <v>264</v>
      </c>
      <c r="L2097" s="16"/>
      <c r="M2097" s="14"/>
    </row>
    <row r="2098">
      <c r="A2098" s="16" t="str">
        <f>IFERROR(__xludf.DUMMYFUNCTION("""COMPUTED_VALUE"""),"Larabou Chamsoudine")</f>
        <v>Larabou Chamsoudine</v>
      </c>
      <c r="B2098" s="16"/>
      <c r="C2098" s="14"/>
      <c r="F2098" s="16" t="str">
        <f>IFERROR(__xludf.DUMMYFUNCTION("""COMPUTED_VALUE"""),"Falalia Kiratawa")</f>
        <v>Falalia Kiratawa</v>
      </c>
      <c r="G2098" s="16"/>
      <c r="H2098" s="14"/>
      <c r="K2098" s="16">
        <f>IFERROR(__xludf.DUMMYFUNCTION("""COMPUTED_VALUE"""),965.0)</f>
        <v>965</v>
      </c>
      <c r="L2098" s="16"/>
      <c r="M2098" s="14"/>
    </row>
    <row r="2099">
      <c r="A2099" s="16" t="str">
        <f>IFERROR(__xludf.DUMMYFUNCTION("""COMPUTED_VALUE"""),"Larabou Chamsoudine")</f>
        <v>Larabou Chamsoudine</v>
      </c>
      <c r="B2099" s="16"/>
      <c r="C2099" s="14"/>
      <c r="F2099" s="16" t="str">
        <f>IFERROR(__xludf.DUMMYFUNCTION("""COMPUTED_VALUE"""),"Mareda")</f>
        <v>Mareda</v>
      </c>
      <c r="G2099" s="16"/>
      <c r="H2099" s="14"/>
      <c r="K2099" s="16">
        <f>IFERROR(__xludf.DUMMYFUNCTION("""COMPUTED_VALUE"""),487.0)</f>
        <v>487</v>
      </c>
      <c r="L2099" s="16"/>
      <c r="M2099" s="14"/>
    </row>
    <row r="2100">
      <c r="A2100" s="16" t="str">
        <f>IFERROR(__xludf.DUMMYFUNCTION("""COMPUTED_VALUE"""),"Larabou Chamsoudine")</f>
        <v>Larabou Chamsoudine</v>
      </c>
      <c r="B2100" s="16"/>
      <c r="C2100" s="14"/>
      <c r="F2100" s="16" t="str">
        <f>IFERROR(__xludf.DUMMYFUNCTION("""COMPUTED_VALUE"""),"Mareda")</f>
        <v>Mareda</v>
      </c>
      <c r="G2100" s="16"/>
      <c r="H2100" s="14"/>
      <c r="K2100" s="16">
        <f>IFERROR(__xludf.DUMMYFUNCTION("""COMPUTED_VALUE"""),2393.0)</f>
        <v>2393</v>
      </c>
      <c r="L2100" s="16"/>
      <c r="M2100" s="14"/>
    </row>
    <row r="2101">
      <c r="A2101" s="16" t="str">
        <f>IFERROR(__xludf.DUMMYFUNCTION("""COMPUTED_VALUE"""),"Larabou Chamsoudine")</f>
        <v>Larabou Chamsoudine</v>
      </c>
      <c r="B2101" s="16"/>
      <c r="C2101" s="14"/>
      <c r="F2101" s="16" t="str">
        <f>IFERROR(__xludf.DUMMYFUNCTION("""COMPUTED_VALUE"""),"Mareda")</f>
        <v>Mareda</v>
      </c>
      <c r="G2101" s="16"/>
      <c r="H2101" s="14"/>
      <c r="K2101" s="16">
        <f>IFERROR(__xludf.DUMMYFUNCTION("""COMPUTED_VALUE"""),606.0)</f>
        <v>606</v>
      </c>
      <c r="L2101" s="16"/>
      <c r="M2101" s="14"/>
    </row>
    <row r="2102">
      <c r="A2102" s="16" t="str">
        <f>IFERROR(__xludf.DUMMYFUNCTION("""COMPUTED_VALUE"""),"Kadidja Issaka Hamidou")</f>
        <v>Kadidja Issaka Hamidou</v>
      </c>
      <c r="B2102" s="16"/>
      <c r="C2102" s="14"/>
      <c r="F2102" s="16" t="str">
        <f>IFERROR(__xludf.DUMMYFUNCTION("""COMPUTED_VALUE"""),"Mareda")</f>
        <v>Mareda</v>
      </c>
      <c r="G2102" s="16"/>
      <c r="H2102" s="14"/>
      <c r="K2102" s="16">
        <f>IFERROR(__xludf.DUMMYFUNCTION("""COMPUTED_VALUE"""),394.0)</f>
        <v>394</v>
      </c>
      <c r="L2102" s="16"/>
      <c r="M2102" s="14"/>
    </row>
    <row r="2103">
      <c r="A2103" s="16" t="str">
        <f>IFERROR(__xludf.DUMMYFUNCTION("""COMPUTED_VALUE"""),"Kadidja Issaka Hamidou")</f>
        <v>Kadidja Issaka Hamidou</v>
      </c>
      <c r="B2103" s="16"/>
      <c r="C2103" s="14"/>
      <c r="F2103" s="16" t="str">
        <f>IFERROR(__xludf.DUMMYFUNCTION("""COMPUTED_VALUE"""),"Toundou Kou")</f>
        <v>Toundou Kou</v>
      </c>
      <c r="G2103" s="16"/>
      <c r="H2103" s="14"/>
      <c r="K2103" s="16">
        <f>IFERROR(__xludf.DUMMYFUNCTION("""COMPUTED_VALUE"""),719.0)</f>
        <v>719</v>
      </c>
      <c r="L2103" s="16"/>
      <c r="M2103" s="14"/>
    </row>
    <row r="2104">
      <c r="A2104" s="16" t="str">
        <f>IFERROR(__xludf.DUMMYFUNCTION("""COMPUTED_VALUE"""),"Kadidja Issaka Hamidou")</f>
        <v>Kadidja Issaka Hamidou</v>
      </c>
      <c r="B2104" s="16"/>
      <c r="C2104" s="14"/>
      <c r="F2104" s="16" t="str">
        <f>IFERROR(__xludf.DUMMYFUNCTION("""COMPUTED_VALUE"""),"Toundou Kou")</f>
        <v>Toundou Kou</v>
      </c>
      <c r="G2104" s="16"/>
      <c r="H2104" s="14"/>
      <c r="K2104" s="16">
        <f>IFERROR(__xludf.DUMMYFUNCTION("""COMPUTED_VALUE"""),699.0)</f>
        <v>699</v>
      </c>
      <c r="L2104" s="16"/>
      <c r="M2104" s="14"/>
    </row>
    <row r="2105">
      <c r="A2105" s="16" t="str">
        <f>IFERROR(__xludf.DUMMYFUNCTION("""COMPUTED_VALUE"""),"Kadidja Issaka Hamidou")</f>
        <v>Kadidja Issaka Hamidou</v>
      </c>
      <c r="B2105" s="16"/>
      <c r="C2105" s="14"/>
      <c r="F2105" s="16" t="str">
        <f>IFERROR(__xludf.DUMMYFUNCTION("""COMPUTED_VALUE"""),"Toundou Kou")</f>
        <v>Toundou Kou</v>
      </c>
      <c r="G2105" s="16"/>
      <c r="H2105" s="14"/>
      <c r="K2105" s="16">
        <f>IFERROR(__xludf.DUMMYFUNCTION("""COMPUTED_VALUE"""),1397.0)</f>
        <v>1397</v>
      </c>
      <c r="L2105" s="16"/>
      <c r="M2105" s="14"/>
    </row>
    <row r="2106">
      <c r="A2106" s="16" t="str">
        <f>IFERROR(__xludf.DUMMYFUNCTION("""COMPUTED_VALUE"""),"Kadidja Issaka Hamidou")</f>
        <v>Kadidja Issaka Hamidou</v>
      </c>
      <c r="B2106" s="16"/>
      <c r="C2106" s="14"/>
      <c r="F2106" s="16" t="str">
        <f>IFERROR(__xludf.DUMMYFUNCTION("""COMPUTED_VALUE"""),"Toundou Kou")</f>
        <v>Toundou Kou</v>
      </c>
      <c r="G2106" s="16"/>
      <c r="H2106" s="14"/>
      <c r="K2106" s="16">
        <f>IFERROR(__xludf.DUMMYFUNCTION("""COMPUTED_VALUE"""),432.0)</f>
        <v>432</v>
      </c>
      <c r="L2106" s="16"/>
      <c r="M2106" s="14"/>
    </row>
    <row r="2107">
      <c r="A2107" s="16" t="str">
        <f>IFERROR(__xludf.DUMMYFUNCTION("""COMPUTED_VALUE"""),"Kadidja Issaka Hamidou")</f>
        <v>Kadidja Issaka Hamidou</v>
      </c>
      <c r="B2107" s="16"/>
      <c r="C2107" s="14"/>
      <c r="F2107" s="16" t="str">
        <f>IFERROR(__xludf.DUMMYFUNCTION("""COMPUTED_VALUE"""),"Toundou Kou")</f>
        <v>Toundou Kou</v>
      </c>
      <c r="G2107" s="16"/>
      <c r="H2107" s="14"/>
      <c r="K2107" s="16">
        <f>IFERROR(__xludf.DUMMYFUNCTION("""COMPUTED_VALUE"""),245.0)</f>
        <v>245</v>
      </c>
      <c r="L2107" s="16"/>
      <c r="M2107" s="14"/>
    </row>
    <row r="2108">
      <c r="A2108" s="16" t="str">
        <f>IFERROR(__xludf.DUMMYFUNCTION("""COMPUTED_VALUE"""),"Maman Zayanou Harouna")</f>
        <v>Maman Zayanou Harouna</v>
      </c>
      <c r="B2108" s="16"/>
      <c r="C2108" s="14"/>
      <c r="F2108" s="16" t="str">
        <f>IFERROR(__xludf.DUMMYFUNCTION("""COMPUTED_VALUE"""),"Sabon Guida Damna")</f>
        <v>Sabon Guida Damna</v>
      </c>
      <c r="G2108" s="16"/>
      <c r="H2108" s="14"/>
      <c r="K2108" s="16">
        <f>IFERROR(__xludf.DUMMYFUNCTION("""COMPUTED_VALUE"""),551.0)</f>
        <v>551</v>
      </c>
      <c r="L2108" s="16"/>
      <c r="M2108" s="14"/>
    </row>
    <row r="2109">
      <c r="A2109" s="16" t="str">
        <f>IFERROR(__xludf.DUMMYFUNCTION("""COMPUTED_VALUE"""),"Maman Zayanou Harouna")</f>
        <v>Maman Zayanou Harouna</v>
      </c>
      <c r="B2109" s="16"/>
      <c r="C2109" s="14"/>
      <c r="F2109" s="16" t="str">
        <f>IFERROR(__xludf.DUMMYFUNCTION("""COMPUTED_VALUE"""),"Mareda")</f>
        <v>Mareda</v>
      </c>
      <c r="G2109" s="16"/>
      <c r="H2109" s="14"/>
      <c r="K2109" s="16">
        <f>IFERROR(__xludf.DUMMYFUNCTION("""COMPUTED_VALUE"""),271.0)</f>
        <v>271</v>
      </c>
      <c r="L2109" s="16"/>
      <c r="M2109" s="14"/>
    </row>
    <row r="2110">
      <c r="A2110" s="16" t="str">
        <f>IFERROR(__xludf.DUMMYFUNCTION("""COMPUTED_VALUE"""),"Maman Zayanou Harouna")</f>
        <v>Maman Zayanou Harouna</v>
      </c>
      <c r="B2110" s="16"/>
      <c r="C2110" s="14"/>
      <c r="F2110" s="16" t="str">
        <f>IFERROR(__xludf.DUMMYFUNCTION("""COMPUTED_VALUE"""),"Sabon Guida Damna")</f>
        <v>Sabon Guida Damna</v>
      </c>
      <c r="G2110" s="16"/>
      <c r="H2110" s="14"/>
      <c r="K2110" s="16">
        <f>IFERROR(__xludf.DUMMYFUNCTION("""COMPUTED_VALUE"""),195.0)</f>
        <v>195</v>
      </c>
      <c r="L2110" s="16"/>
      <c r="M2110" s="14"/>
    </row>
    <row r="2111">
      <c r="A2111" s="16" t="str">
        <f>IFERROR(__xludf.DUMMYFUNCTION("""COMPUTED_VALUE"""),"Maman Zayanou Harouna")</f>
        <v>Maman Zayanou Harouna</v>
      </c>
      <c r="B2111" s="16"/>
      <c r="C2111" s="14"/>
      <c r="F2111" s="16" t="str">
        <f>IFERROR(__xludf.DUMMYFUNCTION("""COMPUTED_VALUE"""),"Mareda")</f>
        <v>Mareda</v>
      </c>
      <c r="G2111" s="16"/>
      <c r="H2111" s="14"/>
      <c r="K2111" s="16">
        <f>IFERROR(__xludf.DUMMYFUNCTION("""COMPUTED_VALUE"""),508.0)</f>
        <v>508</v>
      </c>
      <c r="L2111" s="16"/>
      <c r="M2111" s="14"/>
    </row>
    <row r="2112">
      <c r="A2112" s="16" t="str">
        <f>IFERROR(__xludf.DUMMYFUNCTION("""COMPUTED_VALUE"""),"Maman Zayanou Harouna")</f>
        <v>Maman Zayanou Harouna</v>
      </c>
      <c r="B2112" s="16"/>
      <c r="C2112" s="14"/>
      <c r="F2112" s="16" t="str">
        <f>IFERROR(__xludf.DUMMYFUNCTION("""COMPUTED_VALUE"""),"Mareda")</f>
        <v>Mareda</v>
      </c>
      <c r="G2112" s="16"/>
      <c r="H2112" s="14"/>
      <c r="K2112" s="16">
        <f>IFERROR(__xludf.DUMMYFUNCTION("""COMPUTED_VALUE"""),574.0)</f>
        <v>574</v>
      </c>
      <c r="L2112" s="16"/>
      <c r="M2112" s="14"/>
    </row>
    <row r="2113">
      <c r="A2113" s="16" t="str">
        <f>IFERROR(__xludf.DUMMYFUNCTION("""COMPUTED_VALUE"""),"Maman Zayanou Harouna")</f>
        <v>Maman Zayanou Harouna</v>
      </c>
      <c r="B2113" s="16"/>
      <c r="C2113" s="14"/>
      <c r="F2113" s="16" t="str">
        <f>IFERROR(__xludf.DUMMYFUNCTION("""COMPUTED_VALUE"""),"Maboyar Amaré")</f>
        <v>Maboyar Amaré</v>
      </c>
      <c r="G2113" s="16"/>
      <c r="H2113" s="14"/>
      <c r="K2113" s="16">
        <f>IFERROR(__xludf.DUMMYFUNCTION("""COMPUTED_VALUE"""),248.0)</f>
        <v>248</v>
      </c>
      <c r="L2113" s="16"/>
      <c r="M2113" s="14"/>
    </row>
    <row r="2114">
      <c r="A2114" s="16" t="str">
        <f>IFERROR(__xludf.DUMMYFUNCTION("""COMPUTED_VALUE"""),"Maman Zayanou Harouna")</f>
        <v>Maman Zayanou Harouna</v>
      </c>
      <c r="B2114" s="16"/>
      <c r="C2114" s="14"/>
      <c r="F2114" s="16" t="str">
        <f>IFERROR(__xludf.DUMMYFUNCTION("""COMPUTED_VALUE"""),"Sabon Guida Damna")</f>
        <v>Sabon Guida Damna</v>
      </c>
      <c r="G2114" s="16"/>
      <c r="H2114" s="14"/>
      <c r="K2114" s="16">
        <f>IFERROR(__xludf.DUMMYFUNCTION("""COMPUTED_VALUE"""),608.0)</f>
        <v>608</v>
      </c>
      <c r="L2114" s="16"/>
      <c r="M2114" s="14"/>
    </row>
    <row r="2115">
      <c r="A2115" s="16" t="str">
        <f>IFERROR(__xludf.DUMMYFUNCTION("""COMPUTED_VALUE"""),"Maman Zayanou Harouna")</f>
        <v>Maman Zayanou Harouna</v>
      </c>
      <c r="B2115" s="16"/>
      <c r="C2115" s="14"/>
      <c r="F2115" s="16" t="str">
        <f>IFERROR(__xludf.DUMMYFUNCTION("""COMPUTED_VALUE"""),"Sabon Guida Damna")</f>
        <v>Sabon Guida Damna</v>
      </c>
      <c r="G2115" s="16"/>
      <c r="H2115" s="14"/>
      <c r="K2115" s="16">
        <f>IFERROR(__xludf.DUMMYFUNCTION("""COMPUTED_VALUE"""),241.0)</f>
        <v>241</v>
      </c>
      <c r="L2115" s="16"/>
      <c r="M2115" s="14"/>
    </row>
    <row r="2116">
      <c r="A2116" s="16" t="str">
        <f>IFERROR(__xludf.DUMMYFUNCTION("""COMPUTED_VALUE"""),"Maman Zayanou Harouna")</f>
        <v>Maman Zayanou Harouna</v>
      </c>
      <c r="B2116" s="16"/>
      <c r="C2116" s="14"/>
      <c r="F2116" s="16" t="str">
        <f>IFERROR(__xludf.DUMMYFUNCTION("""COMPUTED_VALUE"""),"Sabon Guida Damna")</f>
        <v>Sabon Guida Damna</v>
      </c>
      <c r="G2116" s="16"/>
      <c r="H2116" s="14"/>
      <c r="K2116" s="16">
        <f>IFERROR(__xludf.DUMMYFUNCTION("""COMPUTED_VALUE"""),418.0)</f>
        <v>418</v>
      </c>
      <c r="L2116" s="16"/>
      <c r="M2116" s="14"/>
    </row>
    <row r="2117">
      <c r="A2117" s="16" t="str">
        <f>IFERROR(__xludf.DUMMYFUNCTION("""COMPUTED_VALUE"""),"Maman Zayanou Harouna")</f>
        <v>Maman Zayanou Harouna</v>
      </c>
      <c r="B2117" s="16"/>
      <c r="C2117" s="14"/>
      <c r="F2117" s="16" t="str">
        <f>IFERROR(__xludf.DUMMYFUNCTION("""COMPUTED_VALUE"""),"Sabon Guida Damna")</f>
        <v>Sabon Guida Damna</v>
      </c>
      <c r="G2117" s="16"/>
      <c r="H2117" s="14"/>
      <c r="K2117" s="16">
        <f>IFERROR(__xludf.DUMMYFUNCTION("""COMPUTED_VALUE"""),401.0)</f>
        <v>401</v>
      </c>
      <c r="L2117" s="16"/>
      <c r="M2117" s="14"/>
    </row>
    <row r="2118">
      <c r="A2118" s="16" t="str">
        <f>IFERROR(__xludf.DUMMYFUNCTION("""COMPUTED_VALUE"""),"Maman Zayanou Harouna")</f>
        <v>Maman Zayanou Harouna</v>
      </c>
      <c r="B2118" s="16"/>
      <c r="C2118" s="14"/>
      <c r="F2118" s="16" t="str">
        <f>IFERROR(__xludf.DUMMYFUNCTION("""COMPUTED_VALUE"""),"Sabon Guida Damna")</f>
        <v>Sabon Guida Damna</v>
      </c>
      <c r="G2118" s="16"/>
      <c r="H2118" s="14"/>
      <c r="K2118" s="16">
        <f>IFERROR(__xludf.DUMMYFUNCTION("""COMPUTED_VALUE"""),545.0)</f>
        <v>545</v>
      </c>
      <c r="L2118" s="16"/>
      <c r="M2118" s="14"/>
    </row>
    <row r="2119">
      <c r="A2119" s="16" t="str">
        <f>IFERROR(__xludf.DUMMYFUNCTION("""COMPUTED_VALUE"""),"Maman Zayanou Harouna")</f>
        <v>Maman Zayanou Harouna</v>
      </c>
      <c r="B2119" s="16"/>
      <c r="C2119" s="14"/>
      <c r="F2119" s="16" t="str">
        <f>IFERROR(__xludf.DUMMYFUNCTION("""COMPUTED_VALUE"""),"Maboyar Amaré")</f>
        <v>Maboyar Amaré</v>
      </c>
      <c r="G2119" s="16"/>
      <c r="H2119" s="14"/>
      <c r="K2119" s="16">
        <f>IFERROR(__xludf.DUMMYFUNCTION("""COMPUTED_VALUE"""),544.0)</f>
        <v>544</v>
      </c>
      <c r="L2119" s="16"/>
      <c r="M2119" s="14"/>
    </row>
    <row r="2120">
      <c r="A2120" s="16" t="str">
        <f>IFERROR(__xludf.DUMMYFUNCTION("""COMPUTED_VALUE"""),"Maman Zayanou Harouna")</f>
        <v>Maman Zayanou Harouna</v>
      </c>
      <c r="B2120" s="16"/>
      <c r="C2120" s="14"/>
      <c r="F2120" s="16" t="str">
        <f>IFERROR(__xludf.DUMMYFUNCTION("""COMPUTED_VALUE"""),"Maboyar Amaré")</f>
        <v>Maboyar Amaré</v>
      </c>
      <c r="G2120" s="16"/>
      <c r="H2120" s="14"/>
      <c r="K2120" s="16">
        <f>IFERROR(__xludf.DUMMYFUNCTION("""COMPUTED_VALUE"""),705.0)</f>
        <v>705</v>
      </c>
      <c r="L2120" s="16"/>
      <c r="M2120" s="14"/>
    </row>
    <row r="2121">
      <c r="A2121" s="16" t="str">
        <f>IFERROR(__xludf.DUMMYFUNCTION("""COMPUTED_VALUE"""),"Maman Zayanou Harouna")</f>
        <v>Maman Zayanou Harouna</v>
      </c>
      <c r="B2121" s="16"/>
      <c r="C2121" s="14"/>
      <c r="F2121" s="16" t="str">
        <f>IFERROR(__xludf.DUMMYFUNCTION("""COMPUTED_VALUE"""),"Zoulinké")</f>
        <v>Zoulinké</v>
      </c>
      <c r="G2121" s="16"/>
      <c r="H2121" s="14"/>
      <c r="K2121" s="16">
        <f>IFERROR(__xludf.DUMMYFUNCTION("""COMPUTED_VALUE"""),1121.0)</f>
        <v>1121</v>
      </c>
      <c r="L2121" s="16"/>
      <c r="M2121" s="14"/>
    </row>
    <row r="2122">
      <c r="A2122" s="16" t="str">
        <f>IFERROR(__xludf.DUMMYFUNCTION("""COMPUTED_VALUE"""),"Maman Zayanou Harouna")</f>
        <v>Maman Zayanou Harouna</v>
      </c>
      <c r="B2122" s="16"/>
      <c r="C2122" s="14"/>
      <c r="F2122" s="16" t="str">
        <f>IFERROR(__xludf.DUMMYFUNCTION("""COMPUTED_VALUE"""),"Zoulinké")</f>
        <v>Zoulinké</v>
      </c>
      <c r="G2122" s="16"/>
      <c r="H2122" s="14"/>
      <c r="K2122" s="16">
        <f>IFERROR(__xludf.DUMMYFUNCTION("""COMPUTED_VALUE"""),856.0)</f>
        <v>856</v>
      </c>
      <c r="L2122" s="16"/>
      <c r="M2122" s="14"/>
    </row>
    <row r="2123">
      <c r="A2123" s="16" t="str">
        <f>IFERROR(__xludf.DUMMYFUNCTION("""COMPUTED_VALUE"""),"Younoussi Bilan Djamila")</f>
        <v>Younoussi Bilan Djamila</v>
      </c>
      <c r="B2123" s="16"/>
      <c r="C2123" s="14"/>
      <c r="F2123" s="16" t="str">
        <f>IFERROR(__xludf.DUMMYFUNCTION("""COMPUTED_VALUE"""),"Zoulinké")</f>
        <v>Zoulinké</v>
      </c>
      <c r="G2123" s="16"/>
      <c r="H2123" s="14"/>
      <c r="K2123" s="16">
        <f>IFERROR(__xludf.DUMMYFUNCTION("""COMPUTED_VALUE"""),505.0)</f>
        <v>505</v>
      </c>
      <c r="L2123" s="16"/>
      <c r="M2123" s="14"/>
    </row>
    <row r="2124">
      <c r="A2124" s="16" t="str">
        <f>IFERROR(__xludf.DUMMYFUNCTION("""COMPUTED_VALUE"""),"Younoussi Bilan Djamila")</f>
        <v>Younoussi Bilan Djamila</v>
      </c>
      <c r="B2124" s="16"/>
      <c r="C2124" s="14"/>
      <c r="F2124" s="16" t="str">
        <f>IFERROR(__xludf.DUMMYFUNCTION("""COMPUTED_VALUE"""),"Zoulinké")</f>
        <v>Zoulinké</v>
      </c>
      <c r="G2124" s="16"/>
      <c r="H2124" s="14"/>
      <c r="K2124" s="16">
        <f>IFERROR(__xludf.DUMMYFUNCTION("""COMPUTED_VALUE"""),625.0)</f>
        <v>625</v>
      </c>
      <c r="L2124" s="16"/>
      <c r="M2124" s="14"/>
    </row>
    <row r="2125">
      <c r="A2125" s="16" t="str">
        <f>IFERROR(__xludf.DUMMYFUNCTION("""COMPUTED_VALUE"""),"Haladou Boukar")</f>
        <v>Haladou Boukar</v>
      </c>
      <c r="B2125" s="16"/>
      <c r="C2125" s="14"/>
      <c r="F2125" s="16" t="str">
        <f>IFERROR(__xludf.DUMMYFUNCTION("""COMPUTED_VALUE"""),"Zoulinké")</f>
        <v>Zoulinké</v>
      </c>
      <c r="G2125" s="16"/>
      <c r="H2125" s="14"/>
      <c r="K2125" s="16">
        <f>IFERROR(__xludf.DUMMYFUNCTION("""COMPUTED_VALUE"""),685.0)</f>
        <v>685</v>
      </c>
      <c r="L2125" s="16"/>
      <c r="M2125" s="14"/>
    </row>
    <row r="2126">
      <c r="A2126" s="16" t="str">
        <f>IFERROR(__xludf.DUMMYFUNCTION("""COMPUTED_VALUE"""),"Haladou Boukar")</f>
        <v>Haladou Boukar</v>
      </c>
      <c r="B2126" s="16"/>
      <c r="C2126" s="14"/>
      <c r="F2126" s="16" t="str">
        <f>IFERROR(__xludf.DUMMYFUNCTION("""COMPUTED_VALUE"""),"Zoulinké")</f>
        <v>Zoulinké</v>
      </c>
      <c r="G2126" s="16"/>
      <c r="H2126" s="14"/>
      <c r="K2126" s="16">
        <f>IFERROR(__xludf.DUMMYFUNCTION("""COMPUTED_VALUE"""),498.0)</f>
        <v>498</v>
      </c>
      <c r="L2126" s="16"/>
      <c r="M2126" s="14"/>
    </row>
    <row r="2127">
      <c r="A2127" s="16" t="str">
        <f>IFERROR(__xludf.DUMMYFUNCTION("""COMPUTED_VALUE"""),"Haladou Boukar")</f>
        <v>Haladou Boukar</v>
      </c>
      <c r="B2127" s="16"/>
      <c r="C2127" s="14"/>
      <c r="F2127" s="16" t="str">
        <f>IFERROR(__xludf.DUMMYFUNCTION("""COMPUTED_VALUE"""),"Sabongari")</f>
        <v>Sabongari</v>
      </c>
      <c r="G2127" s="16"/>
      <c r="H2127" s="14"/>
      <c r="K2127" s="16">
        <f>IFERROR(__xludf.DUMMYFUNCTION("""COMPUTED_VALUE"""),476.0)</f>
        <v>476</v>
      </c>
      <c r="L2127" s="16"/>
      <c r="M2127" s="14"/>
    </row>
    <row r="2128">
      <c r="A2128" s="16" t="str">
        <f>IFERROR(__xludf.DUMMYFUNCTION("""COMPUTED_VALUE"""),"Haladou Boukar")</f>
        <v>Haladou Boukar</v>
      </c>
      <c r="B2128" s="16"/>
      <c r="C2128" s="14"/>
      <c r="F2128" s="16" t="str">
        <f>IFERROR(__xludf.DUMMYFUNCTION("""COMPUTED_VALUE"""),"Sabongari")</f>
        <v>Sabongari</v>
      </c>
      <c r="G2128" s="16"/>
      <c r="H2128" s="14"/>
      <c r="K2128" s="16">
        <f>IFERROR(__xludf.DUMMYFUNCTION("""COMPUTED_VALUE"""),602.0)</f>
        <v>602</v>
      </c>
      <c r="L2128" s="16"/>
      <c r="M2128" s="14"/>
    </row>
    <row r="2129">
      <c r="A2129" s="16" t="str">
        <f>IFERROR(__xludf.DUMMYFUNCTION("""COMPUTED_VALUE"""),"Haladou Boukar")</f>
        <v>Haladou Boukar</v>
      </c>
      <c r="B2129" s="16"/>
      <c r="C2129" s="14"/>
      <c r="F2129" s="16" t="str">
        <f>IFERROR(__xludf.DUMMYFUNCTION("""COMPUTED_VALUE"""),"Karaji Sud")</f>
        <v>Karaji Sud</v>
      </c>
      <c r="G2129" s="16"/>
      <c r="H2129" s="14"/>
      <c r="K2129" s="16">
        <f>IFERROR(__xludf.DUMMYFUNCTION("""COMPUTED_VALUE"""),625.0)</f>
        <v>625</v>
      </c>
      <c r="L2129" s="16"/>
      <c r="M2129" s="14"/>
    </row>
    <row r="2130">
      <c r="A2130" s="16" t="str">
        <f>IFERROR(__xludf.DUMMYFUNCTION("""COMPUTED_VALUE"""),"Haladou Boukar")</f>
        <v>Haladou Boukar</v>
      </c>
      <c r="B2130" s="16"/>
      <c r="C2130" s="14"/>
      <c r="F2130" s="16" t="str">
        <f>IFERROR(__xludf.DUMMYFUNCTION("""COMPUTED_VALUE"""),"Karaji Sud")</f>
        <v>Karaji Sud</v>
      </c>
      <c r="G2130" s="16"/>
      <c r="H2130" s="14"/>
      <c r="K2130" s="16">
        <f>IFERROR(__xludf.DUMMYFUNCTION("""COMPUTED_VALUE"""),634.0)</f>
        <v>634</v>
      </c>
      <c r="L2130" s="16"/>
      <c r="M2130" s="14"/>
    </row>
    <row r="2131">
      <c r="A2131" s="16" t="str">
        <f>IFERROR(__xludf.DUMMYFUNCTION("""COMPUTED_VALUE"""),"Haladou Boukar")</f>
        <v>Haladou Boukar</v>
      </c>
      <c r="B2131" s="16"/>
      <c r="C2131" s="14"/>
      <c r="F2131" s="16" t="str">
        <f>IFERROR(__xludf.DUMMYFUNCTION("""COMPUTED_VALUE"""),"Karaji Sud")</f>
        <v>Karaji Sud</v>
      </c>
      <c r="G2131" s="16"/>
      <c r="H2131" s="14"/>
      <c r="K2131" s="16">
        <f>IFERROR(__xludf.DUMMYFUNCTION("""COMPUTED_VALUE"""),560.0)</f>
        <v>560</v>
      </c>
      <c r="L2131" s="16"/>
      <c r="M2131" s="14"/>
    </row>
    <row r="2132">
      <c r="A2132" s="16" t="str">
        <f>IFERROR(__xludf.DUMMYFUNCTION("""COMPUTED_VALUE"""),"Haladou Boukar")</f>
        <v>Haladou Boukar</v>
      </c>
      <c r="B2132" s="16"/>
      <c r="C2132" s="14"/>
      <c r="F2132" s="16" t="str">
        <f>IFERROR(__xludf.DUMMYFUNCTION("""COMPUTED_VALUE"""),"Karaji Sud")</f>
        <v>Karaji Sud</v>
      </c>
      <c r="G2132" s="16"/>
      <c r="H2132" s="14"/>
      <c r="K2132" s="16">
        <f>IFERROR(__xludf.DUMMYFUNCTION("""COMPUTED_VALUE"""),443.0)</f>
        <v>443</v>
      </c>
      <c r="L2132" s="16"/>
      <c r="M2132" s="14"/>
    </row>
    <row r="2133">
      <c r="A2133" s="16" t="str">
        <f>IFERROR(__xludf.DUMMYFUNCTION("""COMPUTED_VALUE"""),"Haladou Boukar")</f>
        <v>Haladou Boukar</v>
      </c>
      <c r="B2133" s="16"/>
      <c r="C2133" s="14"/>
      <c r="F2133" s="16" t="str">
        <f>IFERROR(__xludf.DUMMYFUNCTION("""COMPUTED_VALUE"""),"Karaji Sud")</f>
        <v>Karaji Sud</v>
      </c>
      <c r="G2133" s="16"/>
      <c r="H2133" s="14"/>
      <c r="K2133" s="16">
        <f>IFERROR(__xludf.DUMMYFUNCTION("""COMPUTED_VALUE"""),841.0)</f>
        <v>841</v>
      </c>
      <c r="L2133" s="16"/>
      <c r="M2133" s="14"/>
    </row>
    <row r="2134">
      <c r="A2134" s="16" t="str">
        <f>IFERROR(__xludf.DUMMYFUNCTION("""COMPUTED_VALUE"""),"Haladou Boukar")</f>
        <v>Haladou Boukar</v>
      </c>
      <c r="B2134" s="16"/>
      <c r="C2134" s="14"/>
      <c r="F2134" s="16" t="str">
        <f>IFERROR(__xludf.DUMMYFUNCTION("""COMPUTED_VALUE"""),"Karaji Sud")</f>
        <v>Karaji Sud</v>
      </c>
      <c r="G2134" s="16"/>
      <c r="H2134" s="14"/>
      <c r="K2134" s="16">
        <f>IFERROR(__xludf.DUMMYFUNCTION("""COMPUTED_VALUE"""),1160.0)</f>
        <v>1160</v>
      </c>
      <c r="L2134" s="16"/>
      <c r="M2134" s="14"/>
    </row>
    <row r="2135">
      <c r="A2135" s="16" t="str">
        <f>IFERROR(__xludf.DUMMYFUNCTION("""COMPUTED_VALUE"""),"Haladou Boukar")</f>
        <v>Haladou Boukar</v>
      </c>
      <c r="B2135" s="16"/>
      <c r="C2135" s="14"/>
      <c r="F2135" s="16" t="str">
        <f>IFERROR(__xludf.DUMMYFUNCTION("""COMPUTED_VALUE"""),"Karaji Sud")</f>
        <v>Karaji Sud</v>
      </c>
      <c r="G2135" s="16"/>
      <c r="H2135" s="14"/>
      <c r="K2135" s="16">
        <f>IFERROR(__xludf.DUMMYFUNCTION("""COMPUTED_VALUE"""),757.0)</f>
        <v>757</v>
      </c>
      <c r="L2135" s="16"/>
      <c r="M2135" s="14"/>
    </row>
    <row r="2136">
      <c r="A2136" s="16" t="str">
        <f>IFERROR(__xludf.DUMMYFUNCTION("""COMPUTED_VALUE"""),"Haladou Boukar")</f>
        <v>Haladou Boukar</v>
      </c>
      <c r="B2136" s="16"/>
      <c r="C2136" s="14"/>
      <c r="F2136" s="16" t="str">
        <f>IFERROR(__xludf.DUMMYFUNCTION("""COMPUTED_VALUE"""),"Karaji Sud")</f>
        <v>Karaji Sud</v>
      </c>
      <c r="G2136" s="16"/>
      <c r="H2136" s="14"/>
      <c r="K2136" s="16">
        <f>IFERROR(__xludf.DUMMYFUNCTION("""COMPUTED_VALUE"""),402.0)</f>
        <v>402</v>
      </c>
      <c r="L2136" s="16"/>
      <c r="M2136" s="14"/>
    </row>
    <row r="2137">
      <c r="A2137" s="16" t="str">
        <f>IFERROR(__xludf.DUMMYFUNCTION("""COMPUTED_VALUE"""),"Haladou Boukar")</f>
        <v>Haladou Boukar</v>
      </c>
      <c r="B2137" s="16"/>
      <c r="C2137" s="14"/>
      <c r="F2137" s="16" t="str">
        <f>IFERROR(__xludf.DUMMYFUNCTION("""COMPUTED_VALUE"""),"Karaji Sud")</f>
        <v>Karaji Sud</v>
      </c>
      <c r="G2137" s="16"/>
      <c r="H2137" s="14"/>
      <c r="K2137" s="16">
        <f>IFERROR(__xludf.DUMMYFUNCTION("""COMPUTED_VALUE"""),1333.0)</f>
        <v>1333</v>
      </c>
      <c r="L2137" s="16"/>
      <c r="M2137" s="14"/>
    </row>
    <row r="2138">
      <c r="A2138" s="16" t="str">
        <f>IFERROR(__xludf.DUMMYFUNCTION("""COMPUTED_VALUE"""),"Haladou Boukar")</f>
        <v>Haladou Boukar</v>
      </c>
      <c r="B2138" s="16"/>
      <c r="C2138" s="14"/>
      <c r="F2138" s="16" t="str">
        <f>IFERROR(__xludf.DUMMYFUNCTION("""COMPUTED_VALUE"""),"Karaji Sud")</f>
        <v>Karaji Sud</v>
      </c>
      <c r="G2138" s="16"/>
      <c r="H2138" s="14"/>
      <c r="K2138" s="16">
        <f>IFERROR(__xludf.DUMMYFUNCTION("""COMPUTED_VALUE"""),1485.0)</f>
        <v>1485</v>
      </c>
      <c r="L2138" s="16"/>
      <c r="M2138" s="14"/>
    </row>
    <row r="2139">
      <c r="A2139" s="16" t="str">
        <f>IFERROR(__xludf.DUMMYFUNCTION("""COMPUTED_VALUE"""),"Haladou Boukar")</f>
        <v>Haladou Boukar</v>
      </c>
      <c r="B2139" s="16"/>
      <c r="C2139" s="14"/>
      <c r="F2139" s="16" t="str">
        <f>IFERROR(__xludf.DUMMYFUNCTION("""COMPUTED_VALUE"""),"Karaji Sud")</f>
        <v>Karaji Sud</v>
      </c>
      <c r="G2139" s="16"/>
      <c r="H2139" s="14"/>
      <c r="K2139" s="16">
        <f>IFERROR(__xludf.DUMMYFUNCTION("""COMPUTED_VALUE"""),1094.0)</f>
        <v>1094</v>
      </c>
      <c r="L2139" s="16"/>
      <c r="M2139" s="14"/>
    </row>
    <row r="2140">
      <c r="A2140" s="16" t="str">
        <f>IFERROR(__xludf.DUMMYFUNCTION("""COMPUTED_VALUE"""),"Haladou Boukar")</f>
        <v>Haladou Boukar</v>
      </c>
      <c r="B2140" s="16"/>
      <c r="C2140" s="14"/>
      <c r="F2140" s="16" t="str">
        <f>IFERROR(__xludf.DUMMYFUNCTION("""COMPUTED_VALUE"""),"Karaji Sud")</f>
        <v>Karaji Sud</v>
      </c>
      <c r="G2140" s="16"/>
      <c r="H2140" s="14"/>
      <c r="K2140" s="16">
        <f>IFERROR(__xludf.DUMMYFUNCTION("""COMPUTED_VALUE"""),1432.0)</f>
        <v>1432</v>
      </c>
      <c r="L2140" s="16"/>
      <c r="M2140" s="14"/>
    </row>
    <row r="2141">
      <c r="A2141" s="16" t="str">
        <f>IFERROR(__xludf.DUMMYFUNCTION("""COMPUTED_VALUE"""),"Haladou Boukar")</f>
        <v>Haladou Boukar</v>
      </c>
      <c r="B2141" s="16"/>
      <c r="C2141" s="14"/>
      <c r="F2141" s="16" t="str">
        <f>IFERROR(__xludf.DUMMYFUNCTION("""COMPUTED_VALUE"""),"Karaji Sud")</f>
        <v>Karaji Sud</v>
      </c>
      <c r="G2141" s="16"/>
      <c r="H2141" s="14"/>
      <c r="K2141" s="16">
        <f>IFERROR(__xludf.DUMMYFUNCTION("""COMPUTED_VALUE"""),353.0)</f>
        <v>353</v>
      </c>
      <c r="L2141" s="16"/>
      <c r="M2141" s="14"/>
    </row>
    <row r="2142">
      <c r="A2142" s="16" t="str">
        <f>IFERROR(__xludf.DUMMYFUNCTION("""COMPUTED_VALUE"""),"Moumouni Adamou Yahaya")</f>
        <v>Moumouni Adamou Yahaya</v>
      </c>
      <c r="B2142" s="16"/>
      <c r="C2142" s="14"/>
      <c r="F2142" s="16" t="str">
        <f>IFERROR(__xludf.DUMMYFUNCTION("""COMPUTED_VALUE"""),"Karaji Sud")</f>
        <v>Karaji Sud</v>
      </c>
      <c r="G2142" s="16"/>
      <c r="H2142" s="14"/>
      <c r="K2142" s="16">
        <f>IFERROR(__xludf.DUMMYFUNCTION("""COMPUTED_VALUE"""),753.0)</f>
        <v>753</v>
      </c>
      <c r="L2142" s="16"/>
      <c r="M2142" s="14"/>
    </row>
    <row r="2143">
      <c r="A2143" s="16" t="str">
        <f>IFERROR(__xludf.DUMMYFUNCTION("""COMPUTED_VALUE"""),"Moumouni Adamou Yahaya")</f>
        <v>Moumouni Adamou Yahaya</v>
      </c>
      <c r="B2143" s="16"/>
      <c r="C2143" s="14"/>
      <c r="F2143" s="16" t="str">
        <f>IFERROR(__xludf.DUMMYFUNCTION("""COMPUTED_VALUE"""),"Karaji Sud")</f>
        <v>Karaji Sud</v>
      </c>
      <c r="G2143" s="16"/>
      <c r="H2143" s="14"/>
      <c r="K2143" s="16">
        <f>IFERROR(__xludf.DUMMYFUNCTION("""COMPUTED_VALUE"""),304.0)</f>
        <v>304</v>
      </c>
      <c r="L2143" s="16"/>
      <c r="M2143" s="14"/>
    </row>
    <row r="2144">
      <c r="A2144" s="16" t="str">
        <f>IFERROR(__xludf.DUMMYFUNCTION("""COMPUTED_VALUE"""),"Moumouni Adamou Yahaya")</f>
        <v>Moumouni Adamou Yahaya</v>
      </c>
      <c r="B2144" s="16"/>
      <c r="C2144" s="14"/>
      <c r="F2144" s="16" t="str">
        <f>IFERROR(__xludf.DUMMYFUNCTION("""COMPUTED_VALUE"""),"Toundou Kou")</f>
        <v>Toundou Kou</v>
      </c>
      <c r="G2144" s="16"/>
      <c r="H2144" s="14"/>
      <c r="K2144" s="16">
        <f>IFERROR(__xludf.DUMMYFUNCTION("""COMPUTED_VALUE"""),531.0)</f>
        <v>531</v>
      </c>
      <c r="L2144" s="16"/>
      <c r="M2144" s="14"/>
    </row>
    <row r="2145">
      <c r="A2145" s="16" t="str">
        <f>IFERROR(__xludf.DUMMYFUNCTION("""COMPUTED_VALUE"""),"Moumouni Adamou Yahaya")</f>
        <v>Moumouni Adamou Yahaya</v>
      </c>
      <c r="B2145" s="16"/>
      <c r="C2145" s="14"/>
      <c r="F2145" s="16" t="str">
        <f>IFERROR(__xludf.DUMMYFUNCTION("""COMPUTED_VALUE"""),"Falalia Guidan Saidi (Ibrahim)")</f>
        <v>Falalia Guidan Saidi (Ibrahim)</v>
      </c>
      <c r="G2145" s="16"/>
      <c r="H2145" s="14"/>
      <c r="K2145" s="16">
        <f>IFERROR(__xludf.DUMMYFUNCTION("""COMPUTED_VALUE"""),237.0)</f>
        <v>237</v>
      </c>
      <c r="L2145" s="16"/>
      <c r="M2145" s="14"/>
    </row>
    <row r="2146">
      <c r="A2146" s="16" t="str">
        <f>IFERROR(__xludf.DUMMYFUNCTION("""COMPUTED_VALUE"""),"Moumouni Adamou Yahaya")</f>
        <v>Moumouni Adamou Yahaya</v>
      </c>
      <c r="B2146" s="16"/>
      <c r="C2146" s="14"/>
      <c r="F2146" s="16" t="str">
        <f>IFERROR(__xludf.DUMMYFUNCTION("""COMPUTED_VALUE"""),"Dabagou")</f>
        <v>Dabagou</v>
      </c>
      <c r="G2146" s="16"/>
      <c r="H2146" s="14"/>
      <c r="K2146" s="16">
        <f>IFERROR(__xludf.DUMMYFUNCTION("""COMPUTED_VALUE"""),484.0)</f>
        <v>484</v>
      </c>
      <c r="L2146" s="16"/>
      <c r="M2146" s="14"/>
    </row>
    <row r="2147">
      <c r="A2147" s="16" t="str">
        <f>IFERROR(__xludf.DUMMYFUNCTION("""COMPUTED_VALUE"""),"Moumouni Adamou Yahaya")</f>
        <v>Moumouni Adamou Yahaya</v>
      </c>
      <c r="B2147" s="16"/>
      <c r="C2147" s="14"/>
      <c r="F2147" s="16" t="str">
        <f>IFERROR(__xludf.DUMMYFUNCTION("""COMPUTED_VALUE"""),"Dabagou")</f>
        <v>Dabagou</v>
      </c>
      <c r="G2147" s="16"/>
      <c r="H2147" s="14"/>
      <c r="K2147" s="16">
        <f>IFERROR(__xludf.DUMMYFUNCTION("""COMPUTED_VALUE"""),774.0)</f>
        <v>774</v>
      </c>
      <c r="L2147" s="16"/>
      <c r="M2147" s="14"/>
    </row>
    <row r="2148">
      <c r="A2148" s="16" t="str">
        <f>IFERROR(__xludf.DUMMYFUNCTION("""COMPUTED_VALUE"""),"Moumouni Adamou Yahaya")</f>
        <v>Moumouni Adamou Yahaya</v>
      </c>
      <c r="B2148" s="16"/>
      <c r="C2148" s="14"/>
      <c r="F2148" s="16" t="str">
        <f>IFERROR(__xludf.DUMMYFUNCTION("""COMPUTED_VALUE"""),"Dabagou")</f>
        <v>Dabagou</v>
      </c>
      <c r="G2148" s="16"/>
      <c r="H2148" s="14"/>
      <c r="K2148" s="16">
        <f>IFERROR(__xludf.DUMMYFUNCTION("""COMPUTED_VALUE"""),359.0)</f>
        <v>359</v>
      </c>
      <c r="L2148" s="16"/>
      <c r="M2148" s="14"/>
    </row>
    <row r="2149">
      <c r="A2149" s="16" t="str">
        <f>IFERROR(__xludf.DUMMYFUNCTION("""COMPUTED_VALUE"""),"Moumouni Adamou Yahaya")</f>
        <v>Moumouni Adamou Yahaya</v>
      </c>
      <c r="B2149" s="16"/>
      <c r="C2149" s="14"/>
      <c r="F2149" s="16" t="str">
        <f>IFERROR(__xludf.DUMMYFUNCTION("""COMPUTED_VALUE"""),"Dabagou")</f>
        <v>Dabagou</v>
      </c>
      <c r="G2149" s="16"/>
      <c r="H2149" s="14"/>
      <c r="K2149" s="16">
        <f>IFERROR(__xludf.DUMMYFUNCTION("""COMPUTED_VALUE"""),581.0)</f>
        <v>581</v>
      </c>
      <c r="L2149" s="16"/>
      <c r="M2149" s="14"/>
    </row>
    <row r="2150">
      <c r="A2150" s="16" t="str">
        <f>IFERROR(__xludf.DUMMYFUNCTION("""COMPUTED_VALUE"""),"Achirou kane Abdoul Nasser")</f>
        <v>Achirou kane Abdoul Nasser</v>
      </c>
      <c r="B2150" s="16"/>
      <c r="C2150" s="14"/>
      <c r="F2150" s="16" t="str">
        <f>IFERROR(__xludf.DUMMYFUNCTION("""COMPUTED_VALUE"""),"Dabagou")</f>
        <v>Dabagou</v>
      </c>
      <c r="G2150" s="16"/>
      <c r="H2150" s="14"/>
      <c r="K2150" s="16">
        <f>IFERROR(__xludf.DUMMYFUNCTION("""COMPUTED_VALUE"""),383.0)</f>
        <v>383</v>
      </c>
      <c r="L2150" s="16"/>
      <c r="M2150" s="14"/>
    </row>
    <row r="2151">
      <c r="A2151" s="16" t="str">
        <f>IFERROR(__xludf.DUMMYFUNCTION("""COMPUTED_VALUE"""),"Achirou kane Abdoul Nasser")</f>
        <v>Achirou kane Abdoul Nasser</v>
      </c>
      <c r="B2151" s="16"/>
      <c r="C2151" s="14"/>
      <c r="F2151" s="16" t="str">
        <f>IFERROR(__xludf.DUMMYFUNCTION("""COMPUTED_VALUE"""),"Dabagou")</f>
        <v>Dabagou</v>
      </c>
      <c r="G2151" s="16"/>
      <c r="H2151" s="14"/>
      <c r="K2151" s="16">
        <f>IFERROR(__xludf.DUMMYFUNCTION("""COMPUTED_VALUE"""),630.0)</f>
        <v>630</v>
      </c>
      <c r="L2151" s="16"/>
      <c r="M2151" s="14"/>
    </row>
    <row r="2152">
      <c r="A2152" s="16" t="str">
        <f>IFERROR(__xludf.DUMMYFUNCTION("""COMPUTED_VALUE"""),"Achirou kane Abdoul Nasser")</f>
        <v>Achirou kane Abdoul Nasser</v>
      </c>
      <c r="B2152" s="16"/>
      <c r="C2152" s="14"/>
      <c r="F2152" s="16" t="str">
        <f>IFERROR(__xludf.DUMMYFUNCTION("""COMPUTED_VALUE"""),"Tchinkaki")</f>
        <v>Tchinkaki</v>
      </c>
      <c r="G2152" s="16"/>
      <c r="H2152" s="14"/>
      <c r="K2152" s="16">
        <f>IFERROR(__xludf.DUMMYFUNCTION("""COMPUTED_VALUE"""),504.0)</f>
        <v>504</v>
      </c>
      <c r="L2152" s="16"/>
      <c r="M2152" s="14"/>
    </row>
    <row r="2153">
      <c r="A2153" s="16" t="str">
        <f>IFERROR(__xludf.DUMMYFUNCTION("""COMPUTED_VALUE"""),"Rakia moussa")</f>
        <v>Rakia moussa</v>
      </c>
      <c r="B2153" s="16"/>
      <c r="C2153" s="14"/>
      <c r="F2153" s="16" t="str">
        <f>IFERROR(__xludf.DUMMYFUNCTION("""COMPUTED_VALUE"""),"Tchinkaki")</f>
        <v>Tchinkaki</v>
      </c>
      <c r="G2153" s="16"/>
      <c r="H2153" s="14"/>
      <c r="K2153" s="16">
        <f>IFERROR(__xludf.DUMMYFUNCTION("""COMPUTED_VALUE"""),1711.0)</f>
        <v>1711</v>
      </c>
      <c r="L2153" s="16"/>
      <c r="M2153" s="14"/>
    </row>
    <row r="2154">
      <c r="A2154" s="16" t="str">
        <f>IFERROR(__xludf.DUMMYFUNCTION("""COMPUTED_VALUE"""),"Achirou kane Abdoul Nasser")</f>
        <v>Achirou kane Abdoul Nasser</v>
      </c>
      <c r="B2154" s="16"/>
      <c r="C2154" s="14"/>
      <c r="F2154" s="16" t="str">
        <f>IFERROR(__xludf.DUMMYFUNCTION("""COMPUTED_VALUE"""),"Karaji Sud")</f>
        <v>Karaji Sud</v>
      </c>
      <c r="G2154" s="16"/>
      <c r="H2154" s="14"/>
      <c r="K2154" s="16">
        <f>IFERROR(__xludf.DUMMYFUNCTION("""COMPUTED_VALUE"""),486.0)</f>
        <v>486</v>
      </c>
      <c r="L2154" s="16"/>
      <c r="M2154" s="14"/>
    </row>
    <row r="2155">
      <c r="A2155" s="16" t="str">
        <f>IFERROR(__xludf.DUMMYFUNCTION("""COMPUTED_VALUE"""),"Achirou kane Abdoul Nasser")</f>
        <v>Achirou kane Abdoul Nasser</v>
      </c>
      <c r="B2155" s="16"/>
      <c r="C2155" s="14"/>
      <c r="F2155" s="16" t="str">
        <f>IFERROR(__xludf.DUMMYFUNCTION("""COMPUTED_VALUE"""),"Kounkouzout")</f>
        <v>Kounkouzout</v>
      </c>
      <c r="G2155" s="16"/>
      <c r="H2155" s="14"/>
      <c r="K2155" s="16">
        <f>IFERROR(__xludf.DUMMYFUNCTION("""COMPUTED_VALUE"""),438.0)</f>
        <v>438</v>
      </c>
      <c r="L2155" s="16"/>
      <c r="M2155" s="14"/>
    </row>
    <row r="2156">
      <c r="A2156" s="16" t="str">
        <f>IFERROR(__xludf.DUMMYFUNCTION("""COMPUTED_VALUE"""),"Achirou kane Abdoul Nasser")</f>
        <v>Achirou kane Abdoul Nasser</v>
      </c>
      <c r="B2156" s="16"/>
      <c r="C2156" s="14"/>
      <c r="F2156" s="16" t="str">
        <f>IFERROR(__xludf.DUMMYFUNCTION("""COMPUTED_VALUE"""),"Kounkouzout")</f>
        <v>Kounkouzout</v>
      </c>
      <c r="G2156" s="16"/>
      <c r="H2156" s="14"/>
      <c r="K2156" s="16">
        <f>IFERROR(__xludf.DUMMYFUNCTION("""COMPUTED_VALUE"""),758.0)</f>
        <v>758</v>
      </c>
      <c r="L2156" s="16"/>
      <c r="M2156" s="14"/>
    </row>
    <row r="2157">
      <c r="A2157" s="16" t="str">
        <f>IFERROR(__xludf.DUMMYFUNCTION("""COMPUTED_VALUE"""),"Achirou kane Abdoul Nasser")</f>
        <v>Achirou kane Abdoul Nasser</v>
      </c>
      <c r="B2157" s="16"/>
      <c r="C2157" s="14"/>
      <c r="F2157" s="16" t="str">
        <f>IFERROR(__xludf.DUMMYFUNCTION("""COMPUTED_VALUE"""),"Kounkouzout")</f>
        <v>Kounkouzout</v>
      </c>
      <c r="G2157" s="16"/>
      <c r="H2157" s="14"/>
      <c r="K2157" s="16">
        <f>IFERROR(__xludf.DUMMYFUNCTION("""COMPUTED_VALUE"""),827.0)</f>
        <v>827</v>
      </c>
      <c r="L2157" s="16"/>
      <c r="M2157" s="14"/>
    </row>
    <row r="2158">
      <c r="A2158" s="16" t="str">
        <f>IFERROR(__xludf.DUMMYFUNCTION("""COMPUTED_VALUE"""),"Achirou kane Abdoul Nasser")</f>
        <v>Achirou kane Abdoul Nasser</v>
      </c>
      <c r="B2158" s="16"/>
      <c r="C2158" s="14"/>
      <c r="F2158" s="16" t="str">
        <f>IFERROR(__xludf.DUMMYFUNCTION("""COMPUTED_VALUE"""),"Tchinkaki")</f>
        <v>Tchinkaki</v>
      </c>
      <c r="G2158" s="16"/>
      <c r="H2158" s="14"/>
      <c r="K2158" s="16">
        <f>IFERROR(__xludf.DUMMYFUNCTION("""COMPUTED_VALUE"""),701.0)</f>
        <v>701</v>
      </c>
      <c r="L2158" s="16"/>
      <c r="M2158" s="14"/>
    </row>
    <row r="2159">
      <c r="A2159" s="16" t="str">
        <f>IFERROR(__xludf.DUMMYFUNCTION("""COMPUTED_VALUE"""),"Achirou kane Abdoul Nasser")</f>
        <v>Achirou kane Abdoul Nasser</v>
      </c>
      <c r="B2159" s="16"/>
      <c r="C2159" s="14"/>
      <c r="F2159" s="16" t="str">
        <f>IFERROR(__xludf.DUMMYFUNCTION("""COMPUTED_VALUE"""),"Tchinkaki")</f>
        <v>Tchinkaki</v>
      </c>
      <c r="G2159" s="16"/>
      <c r="H2159" s="14"/>
      <c r="K2159" s="16">
        <f>IFERROR(__xludf.DUMMYFUNCTION("""COMPUTED_VALUE"""),310.0)</f>
        <v>310</v>
      </c>
      <c r="L2159" s="16"/>
      <c r="M2159" s="14"/>
    </row>
    <row r="2160">
      <c r="A2160" s="16" t="str">
        <f>IFERROR(__xludf.DUMMYFUNCTION("""COMPUTED_VALUE"""),"Achirou kane Abdoul Nasser")</f>
        <v>Achirou kane Abdoul Nasser</v>
      </c>
      <c r="B2160" s="16"/>
      <c r="C2160" s="14"/>
      <c r="F2160" s="16" t="str">
        <f>IFERROR(__xludf.DUMMYFUNCTION("""COMPUTED_VALUE"""),"Tchinkaki")</f>
        <v>Tchinkaki</v>
      </c>
      <c r="G2160" s="16"/>
      <c r="H2160" s="14"/>
      <c r="K2160" s="16">
        <f>IFERROR(__xludf.DUMMYFUNCTION("""COMPUTED_VALUE"""),255.0)</f>
        <v>255</v>
      </c>
      <c r="L2160" s="16"/>
      <c r="M2160" s="14"/>
    </row>
    <row r="2161">
      <c r="A2161" s="16" t="str">
        <f>IFERROR(__xludf.DUMMYFUNCTION("""COMPUTED_VALUE"""),"Rakia moussa")</f>
        <v>Rakia moussa</v>
      </c>
      <c r="B2161" s="16"/>
      <c r="C2161" s="14"/>
      <c r="F2161" s="16" t="str">
        <f>IFERROR(__xludf.DUMMYFUNCTION("""COMPUTED_VALUE"""),"Tchinkaki")</f>
        <v>Tchinkaki</v>
      </c>
      <c r="G2161" s="16"/>
      <c r="H2161" s="14"/>
      <c r="K2161" s="16">
        <f>IFERROR(__xludf.DUMMYFUNCTION("""COMPUTED_VALUE"""),859.0)</f>
        <v>859</v>
      </c>
      <c r="L2161" s="16"/>
      <c r="M2161" s="14"/>
    </row>
    <row r="2162">
      <c r="A2162" s="16" t="str">
        <f>IFERROR(__xludf.DUMMYFUNCTION("""COMPUTED_VALUE"""),"Rakia moussa")</f>
        <v>Rakia moussa</v>
      </c>
      <c r="B2162" s="16"/>
      <c r="C2162" s="14"/>
      <c r="F2162" s="16" t="str">
        <f>IFERROR(__xludf.DUMMYFUNCTION("""COMPUTED_VALUE"""),"Tchinkaki")</f>
        <v>Tchinkaki</v>
      </c>
      <c r="G2162" s="16"/>
      <c r="H2162" s="14"/>
      <c r="K2162" s="16">
        <f>IFERROR(__xludf.DUMMYFUNCTION("""COMPUTED_VALUE"""),400.0)</f>
        <v>400</v>
      </c>
      <c r="L2162" s="16"/>
      <c r="M2162" s="14"/>
    </row>
    <row r="2163">
      <c r="A2163" s="16" t="str">
        <f>IFERROR(__xludf.DUMMYFUNCTION("""COMPUTED_VALUE"""),"Rakia moussa")</f>
        <v>Rakia moussa</v>
      </c>
      <c r="B2163" s="16"/>
      <c r="C2163" s="14"/>
      <c r="F2163" s="16" t="str">
        <f>IFERROR(__xludf.DUMMYFUNCTION("""COMPUTED_VALUE"""),"Tchinkaki")</f>
        <v>Tchinkaki</v>
      </c>
      <c r="G2163" s="16"/>
      <c r="H2163" s="14"/>
      <c r="K2163" s="16">
        <f>IFERROR(__xludf.DUMMYFUNCTION("""COMPUTED_VALUE"""),274.0)</f>
        <v>274</v>
      </c>
      <c r="L2163" s="16"/>
      <c r="M2163" s="14"/>
    </row>
    <row r="2164">
      <c r="A2164" s="16" t="str">
        <f>IFERROR(__xludf.DUMMYFUNCTION("""COMPUTED_VALUE"""),"Ouhoumoudou Djannou Ibrahim")</f>
        <v>Ouhoumoudou Djannou Ibrahim</v>
      </c>
      <c r="B2164" s="16"/>
      <c r="C2164" s="14"/>
      <c r="F2164" s="16" t="str">
        <f>IFERROR(__xludf.DUMMYFUNCTION("""COMPUTED_VALUE"""),"Tchinkaki")</f>
        <v>Tchinkaki</v>
      </c>
      <c r="G2164" s="16"/>
      <c r="H2164" s="14"/>
      <c r="K2164" s="16">
        <f>IFERROR(__xludf.DUMMYFUNCTION("""COMPUTED_VALUE"""),213.0)</f>
        <v>213</v>
      </c>
      <c r="L2164" s="16"/>
      <c r="M2164" s="14"/>
    </row>
    <row r="2165">
      <c r="A2165" s="16" t="str">
        <f>IFERROR(__xludf.DUMMYFUNCTION("""COMPUTED_VALUE"""),"Ouhoumoudou Djannou Ibrahim")</f>
        <v>Ouhoumoudou Djannou Ibrahim</v>
      </c>
      <c r="B2165" s="16"/>
      <c r="C2165" s="14"/>
      <c r="F2165" s="16" t="str">
        <f>IFERROR(__xludf.DUMMYFUNCTION("""COMPUTED_VALUE"""),"Tchinkaki")</f>
        <v>Tchinkaki</v>
      </c>
      <c r="G2165" s="16"/>
      <c r="H2165" s="14"/>
      <c r="K2165" s="16">
        <f>IFERROR(__xludf.DUMMYFUNCTION("""COMPUTED_VALUE"""),510.0)</f>
        <v>510</v>
      </c>
      <c r="L2165" s="16"/>
      <c r="M2165" s="14"/>
    </row>
    <row r="2166">
      <c r="A2166" s="16" t="str">
        <f>IFERROR(__xludf.DUMMYFUNCTION("""COMPUTED_VALUE"""),"Ouhoumoudou Djannou Ibrahim")</f>
        <v>Ouhoumoudou Djannou Ibrahim</v>
      </c>
      <c r="B2166" s="16"/>
      <c r="C2166" s="14"/>
      <c r="F2166" s="16" t="str">
        <f>IFERROR(__xludf.DUMMYFUNCTION("""COMPUTED_VALUE"""),"Tchinkaki")</f>
        <v>Tchinkaki</v>
      </c>
      <c r="G2166" s="16"/>
      <c r="H2166" s="14"/>
      <c r="K2166" s="16">
        <f>IFERROR(__xludf.DUMMYFUNCTION("""COMPUTED_VALUE"""),850.0)</f>
        <v>850</v>
      </c>
      <c r="L2166" s="16"/>
      <c r="M2166" s="14"/>
    </row>
    <row r="2167">
      <c r="A2167" s="16" t="str">
        <f>IFERROR(__xludf.DUMMYFUNCTION("""COMPUTED_VALUE"""),"Ouhoumoudou Djannou Ibrahim")</f>
        <v>Ouhoumoudou Djannou Ibrahim</v>
      </c>
      <c r="B2167" s="16"/>
      <c r="C2167" s="14"/>
      <c r="F2167" s="16" t="str">
        <f>IFERROR(__xludf.DUMMYFUNCTION("""COMPUTED_VALUE"""),"Maboyar Amaré")</f>
        <v>Maboyar Amaré</v>
      </c>
      <c r="G2167" s="16"/>
      <c r="H2167" s="14"/>
      <c r="K2167" s="16">
        <f>IFERROR(__xludf.DUMMYFUNCTION("""COMPUTED_VALUE"""),828.0)</f>
        <v>828</v>
      </c>
      <c r="L2167" s="16"/>
      <c r="M2167" s="14"/>
    </row>
    <row r="2168">
      <c r="A2168" s="16" t="str">
        <f>IFERROR(__xludf.DUMMYFUNCTION("""COMPUTED_VALUE"""),"Ouhoumoudou Djannou Ibrahim")</f>
        <v>Ouhoumoudou Djannou Ibrahim</v>
      </c>
      <c r="B2168" s="16"/>
      <c r="C2168" s="14"/>
      <c r="F2168" s="16" t="str">
        <f>IFERROR(__xludf.DUMMYFUNCTION("""COMPUTED_VALUE"""),"Maboyar Amaré")</f>
        <v>Maboyar Amaré</v>
      </c>
      <c r="G2168" s="16"/>
      <c r="H2168" s="14"/>
      <c r="K2168" s="16">
        <f>IFERROR(__xludf.DUMMYFUNCTION("""COMPUTED_VALUE"""),1268.0)</f>
        <v>1268</v>
      </c>
      <c r="L2168" s="16"/>
      <c r="M2168" s="14"/>
    </row>
    <row r="2169">
      <c r="A2169" s="16" t="str">
        <f>IFERROR(__xludf.DUMMYFUNCTION("""COMPUTED_VALUE"""),"Hachimou Rabiou Mamoudou")</f>
        <v>Hachimou Rabiou Mamoudou</v>
      </c>
      <c r="B2169" s="16"/>
      <c r="C2169" s="14"/>
      <c r="F2169" s="16" t="str">
        <f>IFERROR(__xludf.DUMMYFUNCTION("""COMPUTED_VALUE"""),"Maboyar Amaré")</f>
        <v>Maboyar Amaré</v>
      </c>
      <c r="G2169" s="16"/>
      <c r="H2169" s="14"/>
      <c r="K2169" s="16">
        <f>IFERROR(__xludf.DUMMYFUNCTION("""COMPUTED_VALUE"""),439.0)</f>
        <v>439</v>
      </c>
      <c r="L2169" s="16"/>
      <c r="M2169" s="14"/>
    </row>
    <row r="2170">
      <c r="A2170" s="16" t="str">
        <f>IFERROR(__xludf.DUMMYFUNCTION("""COMPUTED_VALUE"""),"Hachimou Rabiou Mamoudou")</f>
        <v>Hachimou Rabiou Mamoudou</v>
      </c>
      <c r="B2170" s="16"/>
      <c r="C2170" s="14"/>
      <c r="F2170" s="16" t="str">
        <f>IFERROR(__xludf.DUMMYFUNCTION("""COMPUTED_VALUE"""),"Maboyar Amaré")</f>
        <v>Maboyar Amaré</v>
      </c>
      <c r="G2170" s="16"/>
      <c r="H2170" s="14"/>
      <c r="K2170" s="16">
        <f>IFERROR(__xludf.DUMMYFUNCTION("""COMPUTED_VALUE"""),566.0)</f>
        <v>566</v>
      </c>
      <c r="L2170" s="16"/>
      <c r="M2170" s="14"/>
    </row>
    <row r="2171">
      <c r="A2171" s="16" t="str">
        <f>IFERROR(__xludf.DUMMYFUNCTION("""COMPUTED_VALUE"""),"Hachimou Rabiou Mamoudou")</f>
        <v>Hachimou Rabiou Mamoudou</v>
      </c>
      <c r="B2171" s="16"/>
      <c r="C2171" s="14"/>
      <c r="F2171" s="16" t="str">
        <f>IFERROR(__xludf.DUMMYFUNCTION("""COMPUTED_VALUE"""),"Maboyar Amaré")</f>
        <v>Maboyar Amaré</v>
      </c>
      <c r="G2171" s="16"/>
      <c r="H2171" s="14"/>
      <c r="K2171" s="16">
        <f>IFERROR(__xludf.DUMMYFUNCTION("""COMPUTED_VALUE"""),527.0)</f>
        <v>527</v>
      </c>
      <c r="L2171" s="16"/>
      <c r="M2171" s="14"/>
    </row>
    <row r="2172">
      <c r="A2172" s="16" t="str">
        <f>IFERROR(__xludf.DUMMYFUNCTION("""COMPUTED_VALUE"""),"Hachimou Rabiou Mamoudou")</f>
        <v>Hachimou Rabiou Mamoudou</v>
      </c>
      <c r="B2172" s="16"/>
      <c r="C2172" s="14"/>
      <c r="F2172" s="16" t="str">
        <f>IFERROR(__xludf.DUMMYFUNCTION("""COMPUTED_VALUE"""),"Maboyar Amaré")</f>
        <v>Maboyar Amaré</v>
      </c>
      <c r="G2172" s="16"/>
      <c r="H2172" s="14"/>
      <c r="K2172" s="16">
        <f>IFERROR(__xludf.DUMMYFUNCTION("""COMPUTED_VALUE"""),544.0)</f>
        <v>544</v>
      </c>
      <c r="L2172" s="16"/>
      <c r="M2172" s="14"/>
    </row>
    <row r="2173">
      <c r="A2173" s="16" t="str">
        <f>IFERROR(__xludf.DUMMYFUNCTION("""COMPUTED_VALUE"""),"Hachimou Rabiou Mamoudou")</f>
        <v>Hachimou Rabiou Mamoudou</v>
      </c>
      <c r="B2173" s="16"/>
      <c r="C2173" s="14"/>
      <c r="F2173" s="16" t="str">
        <f>IFERROR(__xludf.DUMMYFUNCTION("""COMPUTED_VALUE"""),"Maboyar Amaré")</f>
        <v>Maboyar Amaré</v>
      </c>
      <c r="G2173" s="16"/>
      <c r="H2173" s="14"/>
      <c r="K2173" s="16">
        <f>IFERROR(__xludf.DUMMYFUNCTION("""COMPUTED_VALUE"""),500.0)</f>
        <v>500</v>
      </c>
      <c r="L2173" s="16"/>
      <c r="M2173" s="14"/>
    </row>
    <row r="2174">
      <c r="A2174" s="16" t="str">
        <f>IFERROR(__xludf.DUMMYFUNCTION("""COMPUTED_VALUE"""),"Hachimou Rabiou Mamoudou")</f>
        <v>Hachimou Rabiou Mamoudou</v>
      </c>
      <c r="B2174" s="16"/>
      <c r="C2174" s="14"/>
      <c r="F2174" s="16" t="str">
        <f>IFERROR(__xludf.DUMMYFUNCTION("""COMPUTED_VALUE"""),"Tchaba Maiguizo")</f>
        <v>Tchaba Maiguizo</v>
      </c>
      <c r="G2174" s="16"/>
      <c r="H2174" s="14"/>
      <c r="K2174" s="16">
        <f>IFERROR(__xludf.DUMMYFUNCTION("""COMPUTED_VALUE"""),1267.0)</f>
        <v>1267</v>
      </c>
      <c r="L2174" s="16"/>
      <c r="M2174" s="14"/>
    </row>
    <row r="2175">
      <c r="A2175" s="16" t="str">
        <f>IFERROR(__xludf.DUMMYFUNCTION("""COMPUTED_VALUE"""),"Hachimou Rabiou Mamoudou")</f>
        <v>Hachimou Rabiou Mamoudou</v>
      </c>
      <c r="B2175" s="16"/>
      <c r="C2175" s="14"/>
      <c r="F2175" s="16" t="str">
        <f>IFERROR(__xludf.DUMMYFUNCTION("""COMPUTED_VALUE"""),"Kounkouzout")</f>
        <v>Kounkouzout</v>
      </c>
      <c r="G2175" s="16"/>
      <c r="H2175" s="14"/>
      <c r="K2175" s="16">
        <f>IFERROR(__xludf.DUMMYFUNCTION("""COMPUTED_VALUE"""),878.0)</f>
        <v>878</v>
      </c>
      <c r="L2175" s="16"/>
      <c r="M2175" s="14"/>
    </row>
    <row r="2176">
      <c r="A2176" s="16" t="str">
        <f>IFERROR(__xludf.DUMMYFUNCTION("""COMPUTED_VALUE"""),"Mathieu Alphonse Rachida Juliette")</f>
        <v>Mathieu Alphonse Rachida Juliette</v>
      </c>
      <c r="B2176" s="16"/>
      <c r="C2176" s="14"/>
      <c r="F2176" s="16" t="str">
        <f>IFERROR(__xludf.DUMMYFUNCTION("""COMPUTED_VALUE"""),"Kounkouzout")</f>
        <v>Kounkouzout</v>
      </c>
      <c r="G2176" s="16"/>
      <c r="H2176" s="14"/>
      <c r="K2176" s="16">
        <f>IFERROR(__xludf.DUMMYFUNCTION("""COMPUTED_VALUE"""),421.0)</f>
        <v>421</v>
      </c>
      <c r="L2176" s="16"/>
      <c r="M2176" s="14"/>
    </row>
    <row r="2177">
      <c r="A2177" s="16" t="str">
        <f>IFERROR(__xludf.DUMMYFUNCTION("""COMPUTED_VALUE"""),"Mathieu Alphonse Rachida Juliette")</f>
        <v>Mathieu Alphonse Rachida Juliette</v>
      </c>
      <c r="B2177" s="16"/>
      <c r="C2177" s="14"/>
      <c r="F2177" s="16" t="str">
        <f>IFERROR(__xludf.DUMMYFUNCTION("""COMPUTED_VALUE"""),"Kounkouzout")</f>
        <v>Kounkouzout</v>
      </c>
      <c r="G2177" s="16"/>
      <c r="H2177" s="14"/>
      <c r="K2177" s="16">
        <f>IFERROR(__xludf.DUMMYFUNCTION("""COMPUTED_VALUE"""),928.0)</f>
        <v>928</v>
      </c>
      <c r="L2177" s="16"/>
      <c r="M2177" s="14"/>
    </row>
    <row r="2178">
      <c r="A2178" s="16" t="str">
        <f>IFERROR(__xludf.DUMMYFUNCTION("""COMPUTED_VALUE"""),"Mathieu Alphonse Rachida Juliette")</f>
        <v>Mathieu Alphonse Rachida Juliette</v>
      </c>
      <c r="B2178" s="16"/>
      <c r="C2178" s="14"/>
      <c r="F2178" s="16" t="str">
        <f>IFERROR(__xludf.DUMMYFUNCTION("""COMPUTED_VALUE"""),"Kounkouzout")</f>
        <v>Kounkouzout</v>
      </c>
      <c r="G2178" s="16"/>
      <c r="H2178" s="14"/>
      <c r="K2178" s="16">
        <f>IFERROR(__xludf.DUMMYFUNCTION("""COMPUTED_VALUE"""),540.0)</f>
        <v>540</v>
      </c>
      <c r="L2178" s="16"/>
      <c r="M2178" s="14"/>
    </row>
    <row r="2179">
      <c r="A2179" s="16" t="str">
        <f>IFERROR(__xludf.DUMMYFUNCTION("""COMPUTED_VALUE"""),"Zakari Aboubacar")</f>
        <v>Zakari Aboubacar</v>
      </c>
      <c r="B2179" s="16"/>
      <c r="C2179" s="14"/>
      <c r="F2179" s="16" t="str">
        <f>IFERROR(__xludf.DUMMYFUNCTION("""COMPUTED_VALUE"""),"Kounkouzout")</f>
        <v>Kounkouzout</v>
      </c>
      <c r="G2179" s="16"/>
      <c r="H2179" s="14"/>
      <c r="K2179" s="16">
        <f>IFERROR(__xludf.DUMMYFUNCTION("""COMPUTED_VALUE"""),425.0)</f>
        <v>425</v>
      </c>
      <c r="L2179" s="16"/>
      <c r="M2179" s="14"/>
    </row>
    <row r="2180">
      <c r="A2180" s="16" t="str">
        <f>IFERROR(__xludf.DUMMYFUNCTION("""COMPUTED_VALUE"""),"Zakari Aboubacar")</f>
        <v>Zakari Aboubacar</v>
      </c>
      <c r="B2180" s="16"/>
      <c r="C2180" s="14"/>
      <c r="F2180" s="16" t="str">
        <f>IFERROR(__xludf.DUMMYFUNCTION("""COMPUTED_VALUE"""),"Kounkouzout")</f>
        <v>Kounkouzout</v>
      </c>
      <c r="G2180" s="16"/>
      <c r="H2180" s="14"/>
      <c r="K2180" s="16">
        <f>IFERROR(__xludf.DUMMYFUNCTION("""COMPUTED_VALUE"""),525.0)</f>
        <v>525</v>
      </c>
      <c r="L2180" s="16"/>
      <c r="M2180" s="14"/>
    </row>
    <row r="2181">
      <c r="A2181" s="16" t="str">
        <f>IFERROR(__xludf.DUMMYFUNCTION("""COMPUTED_VALUE"""),"Zakari Aboubacar")</f>
        <v>Zakari Aboubacar</v>
      </c>
      <c r="B2181" s="16"/>
      <c r="C2181" s="14"/>
      <c r="F2181" s="16" t="str">
        <f>IFERROR(__xludf.DUMMYFUNCTION("""COMPUTED_VALUE"""),"Kounkouzout")</f>
        <v>Kounkouzout</v>
      </c>
      <c r="G2181" s="16"/>
      <c r="H2181" s="14"/>
      <c r="K2181" s="16">
        <f>IFERROR(__xludf.DUMMYFUNCTION("""COMPUTED_VALUE"""),556.0)</f>
        <v>556</v>
      </c>
      <c r="L2181" s="16"/>
      <c r="M2181" s="14"/>
    </row>
    <row r="2182">
      <c r="A2182" s="16" t="str">
        <f>IFERROR(__xludf.DUMMYFUNCTION("""COMPUTED_VALUE"""),"Zakari Aboubacar")</f>
        <v>Zakari Aboubacar</v>
      </c>
      <c r="B2182" s="16"/>
      <c r="C2182" s="14"/>
      <c r="F2182" s="16" t="str">
        <f>IFERROR(__xludf.DUMMYFUNCTION("""COMPUTED_VALUE"""),"Sabongari")</f>
        <v>Sabongari</v>
      </c>
      <c r="G2182" s="16"/>
      <c r="H2182" s="14"/>
      <c r="K2182" s="16">
        <f>IFERROR(__xludf.DUMMYFUNCTION("""COMPUTED_VALUE"""),844.0)</f>
        <v>844</v>
      </c>
      <c r="L2182" s="16"/>
      <c r="M2182" s="14"/>
    </row>
    <row r="2183">
      <c r="A2183" s="16" t="str">
        <f>IFERROR(__xludf.DUMMYFUNCTION("""COMPUTED_VALUE"""),"Zakari Aboubacar")</f>
        <v>Zakari Aboubacar</v>
      </c>
      <c r="B2183" s="16"/>
      <c r="C2183" s="14"/>
      <c r="F2183" s="16" t="str">
        <f>IFERROR(__xludf.DUMMYFUNCTION("""COMPUTED_VALUE"""),"Sabongari")</f>
        <v>Sabongari</v>
      </c>
      <c r="G2183" s="16"/>
      <c r="H2183" s="14"/>
      <c r="K2183" s="16">
        <f>IFERROR(__xludf.DUMMYFUNCTION("""COMPUTED_VALUE"""),741.0)</f>
        <v>741</v>
      </c>
      <c r="L2183" s="16"/>
      <c r="M2183" s="14"/>
    </row>
    <row r="2184">
      <c r="A2184" s="16" t="str">
        <f>IFERROR(__xludf.DUMMYFUNCTION("""COMPUTED_VALUE"""),"Zakari Aboubacar")</f>
        <v>Zakari Aboubacar</v>
      </c>
      <c r="B2184" s="16"/>
      <c r="C2184" s="14"/>
      <c r="F2184" s="16" t="str">
        <f>IFERROR(__xludf.DUMMYFUNCTION("""COMPUTED_VALUE"""),"Sabongari")</f>
        <v>Sabongari</v>
      </c>
      <c r="G2184" s="16"/>
      <c r="H2184" s="14"/>
      <c r="K2184" s="16">
        <f>IFERROR(__xludf.DUMMYFUNCTION("""COMPUTED_VALUE"""),654.0)</f>
        <v>654</v>
      </c>
      <c r="L2184" s="16"/>
      <c r="M2184" s="14"/>
    </row>
    <row r="2185">
      <c r="A2185" s="16" t="str">
        <f>IFERROR(__xludf.DUMMYFUNCTION("""COMPUTED_VALUE"""),"Zakari Aboubacar")</f>
        <v>Zakari Aboubacar</v>
      </c>
      <c r="B2185" s="16"/>
      <c r="C2185" s="14"/>
      <c r="F2185" s="16" t="str">
        <f>IFERROR(__xludf.DUMMYFUNCTION("""COMPUTED_VALUE"""),"Sabongari")</f>
        <v>Sabongari</v>
      </c>
      <c r="G2185" s="16"/>
      <c r="H2185" s="14"/>
      <c r="K2185" s="16">
        <f>IFERROR(__xludf.DUMMYFUNCTION("""COMPUTED_VALUE"""),476.0)</f>
        <v>476</v>
      </c>
      <c r="L2185" s="16"/>
      <c r="M2185" s="14"/>
    </row>
    <row r="2186">
      <c r="A2186" s="16" t="str">
        <f>IFERROR(__xludf.DUMMYFUNCTION("""COMPUTED_VALUE"""),"Zakari Aboubacar")</f>
        <v>Zakari Aboubacar</v>
      </c>
      <c r="B2186" s="16"/>
      <c r="C2186" s="14"/>
      <c r="F2186" s="16" t="str">
        <f>IFERROR(__xludf.DUMMYFUNCTION("""COMPUTED_VALUE"""),"Sabongari")</f>
        <v>Sabongari</v>
      </c>
      <c r="G2186" s="16"/>
      <c r="H2186" s="14"/>
      <c r="K2186" s="16">
        <f>IFERROR(__xludf.DUMMYFUNCTION("""COMPUTED_VALUE"""),748.0)</f>
        <v>748</v>
      </c>
      <c r="L2186" s="16"/>
      <c r="M2186" s="14"/>
    </row>
    <row r="2187">
      <c r="A2187" s="16" t="str">
        <f>IFERROR(__xludf.DUMMYFUNCTION("""COMPUTED_VALUE"""),"Zakari Aboubacar")</f>
        <v>Zakari Aboubacar</v>
      </c>
      <c r="B2187" s="16"/>
      <c r="C2187" s="14"/>
      <c r="F2187" s="16" t="str">
        <f>IFERROR(__xludf.DUMMYFUNCTION("""COMPUTED_VALUE"""),"Sabongari")</f>
        <v>Sabongari</v>
      </c>
      <c r="G2187" s="16"/>
      <c r="H2187" s="14"/>
      <c r="K2187" s="16">
        <f>IFERROR(__xludf.DUMMYFUNCTION("""COMPUTED_VALUE"""),863.0)</f>
        <v>863</v>
      </c>
      <c r="L2187" s="16"/>
      <c r="M2187" s="14"/>
    </row>
    <row r="2188">
      <c r="A2188" s="16" t="str">
        <f>IFERROR(__xludf.DUMMYFUNCTION("""COMPUTED_VALUE"""),"Zakari Aboubacar")</f>
        <v>Zakari Aboubacar</v>
      </c>
      <c r="B2188" s="16"/>
      <c r="C2188" s="14"/>
      <c r="F2188" s="16" t="str">
        <f>IFERROR(__xludf.DUMMYFUNCTION("""COMPUTED_VALUE"""),"Sabongari")</f>
        <v>Sabongari</v>
      </c>
      <c r="G2188" s="16"/>
      <c r="H2188" s="14"/>
      <c r="K2188" s="16">
        <f>IFERROR(__xludf.DUMMYFUNCTION("""COMPUTED_VALUE"""),614.0)</f>
        <v>614</v>
      </c>
      <c r="L2188" s="16"/>
      <c r="M2188" s="14"/>
    </row>
    <row r="2189">
      <c r="A2189" s="16" t="str">
        <f>IFERROR(__xludf.DUMMYFUNCTION("""COMPUTED_VALUE"""),"Zakari Aboubacar")</f>
        <v>Zakari Aboubacar</v>
      </c>
      <c r="B2189" s="16"/>
      <c r="C2189" s="14"/>
      <c r="F2189" s="16" t="str">
        <f>IFERROR(__xludf.DUMMYFUNCTION("""COMPUTED_VALUE"""),"Sabongari")</f>
        <v>Sabongari</v>
      </c>
      <c r="G2189" s="16"/>
      <c r="H2189" s="14"/>
      <c r="K2189" s="16">
        <f>IFERROR(__xludf.DUMMYFUNCTION("""COMPUTED_VALUE"""),620.0)</f>
        <v>620</v>
      </c>
      <c r="L2189" s="16"/>
      <c r="M2189" s="14"/>
    </row>
    <row r="2190">
      <c r="A2190" s="16" t="str">
        <f>IFERROR(__xludf.DUMMYFUNCTION("""COMPUTED_VALUE"""),"Abdoul Salami Ibrahim")</f>
        <v>Abdoul Salami Ibrahim</v>
      </c>
      <c r="B2190" s="16"/>
      <c r="C2190" s="14"/>
      <c r="F2190" s="16" t="str">
        <f>IFERROR(__xludf.DUMMYFUNCTION("""COMPUTED_VALUE"""),"Tchaba Maiguizo")</f>
        <v>Tchaba Maiguizo</v>
      </c>
      <c r="G2190" s="16"/>
      <c r="H2190" s="14"/>
      <c r="K2190" s="16">
        <f>IFERROR(__xludf.DUMMYFUNCTION("""COMPUTED_VALUE"""),493.0)</f>
        <v>493</v>
      </c>
      <c r="L2190" s="16"/>
      <c r="M2190" s="14"/>
    </row>
    <row r="2191">
      <c r="A2191" s="16" t="str">
        <f>IFERROR(__xludf.DUMMYFUNCTION("""COMPUTED_VALUE"""),"Abdoul Salami Ibrahim")</f>
        <v>Abdoul Salami Ibrahim</v>
      </c>
      <c r="B2191" s="16"/>
      <c r="C2191" s="14"/>
      <c r="F2191" s="16" t="str">
        <f>IFERROR(__xludf.DUMMYFUNCTION("""COMPUTED_VALUE"""),"Tchaba Maiguizo")</f>
        <v>Tchaba Maiguizo</v>
      </c>
      <c r="G2191" s="16"/>
      <c r="H2191" s="14"/>
      <c r="K2191" s="16">
        <f>IFERROR(__xludf.DUMMYFUNCTION("""COMPUTED_VALUE"""),436.0)</f>
        <v>436</v>
      </c>
      <c r="L2191" s="16"/>
      <c r="M2191" s="14"/>
    </row>
    <row r="2192">
      <c r="A2192" s="16" t="str">
        <f>IFERROR(__xludf.DUMMYFUNCTION("""COMPUTED_VALUE"""),"Abdoul Salami Ibrahim")</f>
        <v>Abdoul Salami Ibrahim</v>
      </c>
      <c r="B2192" s="16"/>
      <c r="C2192" s="14"/>
      <c r="F2192" s="16" t="str">
        <f>IFERROR(__xludf.DUMMYFUNCTION("""COMPUTED_VALUE"""),"Tchaba Maiguizo")</f>
        <v>Tchaba Maiguizo</v>
      </c>
      <c r="G2192" s="16"/>
      <c r="H2192" s="14"/>
      <c r="K2192" s="16">
        <f>IFERROR(__xludf.DUMMYFUNCTION("""COMPUTED_VALUE"""),274.0)</f>
        <v>274</v>
      </c>
      <c r="L2192" s="16"/>
      <c r="M2192" s="14"/>
    </row>
    <row r="2193">
      <c r="A2193" s="16" t="str">
        <f>IFERROR(__xludf.DUMMYFUNCTION("""COMPUTED_VALUE"""),"Abdoul Salami Ibrahim")</f>
        <v>Abdoul Salami Ibrahim</v>
      </c>
      <c r="B2193" s="16"/>
      <c r="C2193" s="14"/>
      <c r="F2193" s="16" t="str">
        <f>IFERROR(__xludf.DUMMYFUNCTION("""COMPUTED_VALUE"""),"Tchaba Maiguizo")</f>
        <v>Tchaba Maiguizo</v>
      </c>
      <c r="G2193" s="16"/>
      <c r="H2193" s="14"/>
      <c r="K2193" s="16">
        <f>IFERROR(__xludf.DUMMYFUNCTION("""COMPUTED_VALUE"""),1234.0)</f>
        <v>1234</v>
      </c>
      <c r="L2193" s="16"/>
      <c r="M2193" s="14"/>
    </row>
    <row r="2194">
      <c r="A2194" s="16" t="str">
        <f>IFERROR(__xludf.DUMMYFUNCTION("""COMPUTED_VALUE"""),"Abdoul Salami Ibrahim")</f>
        <v>Abdoul Salami Ibrahim</v>
      </c>
      <c r="B2194" s="16"/>
      <c r="C2194" s="14"/>
      <c r="F2194" s="16" t="str">
        <f>IFERROR(__xludf.DUMMYFUNCTION("""COMPUTED_VALUE"""),"Tchaba Maiguizo")</f>
        <v>Tchaba Maiguizo</v>
      </c>
      <c r="G2194" s="16"/>
      <c r="H2194" s="14"/>
      <c r="K2194" s="16">
        <f>IFERROR(__xludf.DUMMYFUNCTION("""COMPUTED_VALUE"""),1075.0)</f>
        <v>1075</v>
      </c>
      <c r="L2194" s="16"/>
      <c r="M2194" s="14"/>
    </row>
    <row r="2195">
      <c r="A2195" s="16" t="str">
        <f>IFERROR(__xludf.DUMMYFUNCTION("""COMPUTED_VALUE"""),"Binta Maikano Mahamane")</f>
        <v>Binta Maikano Mahamane</v>
      </c>
      <c r="B2195" s="16"/>
      <c r="C2195" s="14"/>
      <c r="F2195" s="16" t="str">
        <f>IFERROR(__xludf.DUMMYFUNCTION("""COMPUTED_VALUE"""),"Badaou (Zangon Boubacar)")</f>
        <v>Badaou (Zangon Boubacar)</v>
      </c>
      <c r="G2195" s="16"/>
      <c r="H2195" s="14"/>
      <c r="K2195" s="16">
        <f>IFERROR(__xludf.DUMMYFUNCTION("""COMPUTED_VALUE"""),318.0)</f>
        <v>318</v>
      </c>
      <c r="L2195" s="16"/>
      <c r="M2195" s="14"/>
    </row>
    <row r="2196">
      <c r="A2196" s="16" t="str">
        <f>IFERROR(__xludf.DUMMYFUNCTION("""COMPUTED_VALUE"""),"Binta Maikano Mahamane")</f>
        <v>Binta Maikano Mahamane</v>
      </c>
      <c r="B2196" s="16"/>
      <c r="C2196" s="14"/>
      <c r="F2196" s="16" t="str">
        <f>IFERROR(__xludf.DUMMYFUNCTION("""COMPUTED_VALUE"""),"Badaou (Zangon Boubacar)")</f>
        <v>Badaou (Zangon Boubacar)</v>
      </c>
      <c r="G2196" s="16"/>
      <c r="H2196" s="14"/>
      <c r="K2196" s="16">
        <f>IFERROR(__xludf.DUMMYFUNCTION("""COMPUTED_VALUE"""),921.0)</f>
        <v>921</v>
      </c>
      <c r="L2196" s="16"/>
      <c r="M2196" s="14"/>
    </row>
    <row r="2197">
      <c r="A2197" s="16" t="str">
        <f>IFERROR(__xludf.DUMMYFUNCTION("""COMPUTED_VALUE"""),"Inoussa Balkissou")</f>
        <v>Inoussa Balkissou</v>
      </c>
      <c r="B2197" s="16"/>
      <c r="C2197" s="14"/>
      <c r="F2197" s="16" t="str">
        <f>IFERROR(__xludf.DUMMYFUNCTION("""COMPUTED_VALUE"""),"Badaou (Zangon Boubacar)")</f>
        <v>Badaou (Zangon Boubacar)</v>
      </c>
      <c r="G2197" s="16"/>
      <c r="H2197" s="14"/>
      <c r="K2197" s="16">
        <f>IFERROR(__xludf.DUMMYFUNCTION("""COMPUTED_VALUE"""),1246.0)</f>
        <v>1246</v>
      </c>
      <c r="L2197" s="16"/>
      <c r="M2197" s="14"/>
    </row>
    <row r="2198">
      <c r="A2198" s="16" t="str">
        <f>IFERROR(__xludf.DUMMYFUNCTION("""COMPUTED_VALUE"""),"Inoussa Balkissou")</f>
        <v>Inoussa Balkissou</v>
      </c>
      <c r="B2198" s="16"/>
      <c r="C2198" s="14"/>
      <c r="F2198" s="16" t="str">
        <f>IFERROR(__xludf.DUMMYFUNCTION("""COMPUTED_VALUE"""),"Badaou (Zangon Boubacar)")</f>
        <v>Badaou (Zangon Boubacar)</v>
      </c>
      <c r="G2198" s="16"/>
      <c r="H2198" s="14"/>
      <c r="K2198" s="16">
        <f>IFERROR(__xludf.DUMMYFUNCTION("""COMPUTED_VALUE"""),256.0)</f>
        <v>256</v>
      </c>
      <c r="L2198" s="16"/>
      <c r="M2198" s="14"/>
    </row>
    <row r="2199">
      <c r="A2199" s="16" t="str">
        <f>IFERROR(__xludf.DUMMYFUNCTION("""COMPUTED_VALUE"""),"Saddy Youssouf")</f>
        <v>Saddy Youssouf</v>
      </c>
      <c r="B2199" s="16"/>
      <c r="C2199" s="14"/>
      <c r="F2199" s="16" t="str">
        <f>IFERROR(__xludf.DUMMYFUNCTION("""COMPUTED_VALUE"""),"Badaou (Zangon Boubacar)")</f>
        <v>Badaou (Zangon Boubacar)</v>
      </c>
      <c r="G2199" s="16"/>
      <c r="H2199" s="14"/>
      <c r="K2199" s="16">
        <f>IFERROR(__xludf.DUMMYFUNCTION("""COMPUTED_VALUE"""),209.0)</f>
        <v>209</v>
      </c>
      <c r="L2199" s="16"/>
      <c r="M2199" s="14"/>
    </row>
    <row r="2200">
      <c r="A2200" s="16" t="str">
        <f>IFERROR(__xludf.DUMMYFUNCTION("""COMPUTED_VALUE"""),"Saddy Youssouf")</f>
        <v>Saddy Youssouf</v>
      </c>
      <c r="B2200" s="16"/>
      <c r="C2200" s="14"/>
      <c r="F2200" s="16" t="str">
        <f>IFERROR(__xludf.DUMMYFUNCTION("""COMPUTED_VALUE"""),"Falalia Guidan Saidi (Ibrahim)")</f>
        <v>Falalia Guidan Saidi (Ibrahim)</v>
      </c>
      <c r="G2200" s="16"/>
      <c r="H2200" s="14"/>
      <c r="K2200" s="16">
        <f>IFERROR(__xludf.DUMMYFUNCTION("""COMPUTED_VALUE"""),1319.0)</f>
        <v>1319</v>
      </c>
      <c r="L2200" s="16"/>
      <c r="M2200" s="14"/>
    </row>
    <row r="2201">
      <c r="A2201" s="16" t="str">
        <f>IFERROR(__xludf.DUMMYFUNCTION("""COMPUTED_VALUE"""),"Saddy Youssouf")</f>
        <v>Saddy Youssouf</v>
      </c>
      <c r="B2201" s="16"/>
      <c r="C2201" s="14"/>
      <c r="F2201" s="16" t="str">
        <f>IFERROR(__xludf.DUMMYFUNCTION("""COMPUTED_VALUE"""),"Falalia Daoudawa")</f>
        <v>Falalia Daoudawa</v>
      </c>
      <c r="G2201" s="16"/>
      <c r="H2201" s="14"/>
      <c r="K2201" s="16">
        <f>IFERROR(__xludf.DUMMYFUNCTION("""COMPUTED_VALUE"""),2719.0)</f>
        <v>2719</v>
      </c>
      <c r="L2201" s="16"/>
      <c r="M2201" s="14"/>
    </row>
    <row r="2202">
      <c r="A2202" s="16" t="str">
        <f>IFERROR(__xludf.DUMMYFUNCTION("""COMPUTED_VALUE"""),"Saddy Youssouf")</f>
        <v>Saddy Youssouf</v>
      </c>
      <c r="B2202" s="16"/>
      <c r="C2202" s="14"/>
      <c r="F2202" s="16" t="str">
        <f>IFERROR(__xludf.DUMMYFUNCTION("""COMPUTED_VALUE"""),"Falalia Guidan Saidi (Ibrahim)")</f>
        <v>Falalia Guidan Saidi (Ibrahim)</v>
      </c>
      <c r="G2202" s="16"/>
      <c r="H2202" s="14"/>
      <c r="K2202" s="16">
        <f>IFERROR(__xludf.DUMMYFUNCTION("""COMPUTED_VALUE"""),407.0)</f>
        <v>407</v>
      </c>
      <c r="L2202" s="16"/>
      <c r="M2202" s="14"/>
    </row>
    <row r="2203">
      <c r="A2203" s="16" t="str">
        <f>IFERROR(__xludf.DUMMYFUNCTION("""COMPUTED_VALUE"""),"Saddy Youssouf")</f>
        <v>Saddy Youssouf</v>
      </c>
      <c r="B2203" s="16"/>
      <c r="C2203" s="14"/>
      <c r="F2203" s="16" t="str">
        <f>IFERROR(__xludf.DUMMYFUNCTION("""COMPUTED_VALUE"""),"Falalia Guidan Saidi (Ibrahim)")</f>
        <v>Falalia Guidan Saidi (Ibrahim)</v>
      </c>
      <c r="G2203" s="16"/>
      <c r="H2203" s="14"/>
      <c r="K2203" s="16">
        <f>IFERROR(__xludf.DUMMYFUNCTION("""COMPUTED_VALUE"""),333.0)</f>
        <v>333</v>
      </c>
      <c r="L2203" s="16"/>
      <c r="M2203" s="14"/>
    </row>
    <row r="2204">
      <c r="A2204" s="16" t="str">
        <f>IFERROR(__xludf.DUMMYFUNCTION("""COMPUTED_VALUE"""),"Yacouba Idé dit Lumana")</f>
        <v>Yacouba Idé dit Lumana</v>
      </c>
      <c r="B2204" s="16"/>
      <c r="C2204" s="14"/>
      <c r="F2204" s="16" t="str">
        <f>IFERROR(__xludf.DUMMYFUNCTION("""COMPUTED_VALUE"""),"Sabongari")</f>
        <v>Sabongari</v>
      </c>
      <c r="G2204" s="16"/>
      <c r="H2204" s="14"/>
      <c r="K2204" s="16">
        <f>IFERROR(__xludf.DUMMYFUNCTION("""COMPUTED_VALUE"""),396.0)</f>
        <v>396</v>
      </c>
      <c r="L2204" s="16"/>
      <c r="M2204" s="14"/>
    </row>
    <row r="2205">
      <c r="A2205" s="16" t="str">
        <f>IFERROR(__xludf.DUMMYFUNCTION("""COMPUTED_VALUE"""),"Yacouba Idé dit Lumana")</f>
        <v>Yacouba Idé dit Lumana</v>
      </c>
      <c r="B2205" s="16"/>
      <c r="C2205" s="14"/>
      <c r="F2205" s="16" t="str">
        <f>IFERROR(__xludf.DUMMYFUNCTION("""COMPUTED_VALUE"""),"Sabongari")</f>
        <v>Sabongari</v>
      </c>
      <c r="G2205" s="16"/>
      <c r="H2205" s="14"/>
      <c r="K2205" s="16">
        <f>IFERROR(__xludf.DUMMYFUNCTION("""COMPUTED_VALUE"""),418.0)</f>
        <v>418</v>
      </c>
      <c r="L2205" s="16"/>
      <c r="M2205" s="14"/>
    </row>
    <row r="2206">
      <c r="A2206" s="16" t="str">
        <f>IFERROR(__xludf.DUMMYFUNCTION("""COMPUTED_VALUE"""),"Yacouba Idé dit Lumana")</f>
        <v>Yacouba Idé dit Lumana</v>
      </c>
      <c r="B2206" s="16"/>
      <c r="C2206" s="14"/>
      <c r="F2206" s="16" t="str">
        <f>IFERROR(__xludf.DUMMYFUNCTION("""COMPUTED_VALUE"""),"Sabongari")</f>
        <v>Sabongari</v>
      </c>
      <c r="G2206" s="16"/>
      <c r="H2206" s="14"/>
      <c r="K2206" s="16">
        <f>IFERROR(__xludf.DUMMYFUNCTION("""COMPUTED_VALUE"""),429.0)</f>
        <v>429</v>
      </c>
      <c r="L2206" s="16"/>
      <c r="M2206" s="14"/>
    </row>
    <row r="2207">
      <c r="A2207" s="16" t="str">
        <f>IFERROR(__xludf.DUMMYFUNCTION("""COMPUTED_VALUE"""),"Asmaou Tanko Issa")</f>
        <v>Asmaou Tanko Issa</v>
      </c>
      <c r="B2207" s="16"/>
      <c r="C2207" s="14"/>
      <c r="F2207" s="16" t="str">
        <f>IFERROR(__xludf.DUMMYFUNCTION("""COMPUTED_VALUE"""),"Sabongari")</f>
        <v>Sabongari</v>
      </c>
      <c r="G2207" s="16"/>
      <c r="H2207" s="14"/>
      <c r="K2207" s="16">
        <f>IFERROR(__xludf.DUMMYFUNCTION("""COMPUTED_VALUE"""),1735.0)</f>
        <v>1735</v>
      </c>
      <c r="L2207" s="16"/>
      <c r="M2207" s="14"/>
    </row>
    <row r="2208">
      <c r="A2208" s="16" t="str">
        <f>IFERROR(__xludf.DUMMYFUNCTION("""COMPUTED_VALUE"""),"Asmaou Tanko Issa")</f>
        <v>Asmaou Tanko Issa</v>
      </c>
      <c r="B2208" s="16"/>
      <c r="C2208" s="14"/>
      <c r="F2208" s="16" t="str">
        <f>IFERROR(__xludf.DUMMYFUNCTION("""COMPUTED_VALUE"""),"Sabongari")</f>
        <v>Sabongari</v>
      </c>
      <c r="G2208" s="16"/>
      <c r="H2208" s="14"/>
      <c r="K2208" s="16">
        <f>IFERROR(__xludf.DUMMYFUNCTION("""COMPUTED_VALUE"""),638.0)</f>
        <v>638</v>
      </c>
      <c r="L2208" s="16"/>
      <c r="M2208" s="14"/>
    </row>
    <row r="2209">
      <c r="A2209" s="16" t="str">
        <f>IFERROR(__xludf.DUMMYFUNCTION("""COMPUTED_VALUE"""),"Asmaou Tanko Issa")</f>
        <v>Asmaou Tanko Issa</v>
      </c>
      <c r="B2209" s="16"/>
      <c r="C2209" s="14"/>
      <c r="F2209" s="16" t="str">
        <f>IFERROR(__xludf.DUMMYFUNCTION("""COMPUTED_VALUE"""),"Sabongari")</f>
        <v>Sabongari</v>
      </c>
      <c r="G2209" s="16"/>
      <c r="H2209" s="14"/>
      <c r="K2209" s="16">
        <f>IFERROR(__xludf.DUMMYFUNCTION("""COMPUTED_VALUE"""),465.0)</f>
        <v>465</v>
      </c>
      <c r="L2209" s="16"/>
      <c r="M2209" s="14"/>
    </row>
    <row r="2210">
      <c r="A2210" s="16" t="str">
        <f>IFERROR(__xludf.DUMMYFUNCTION("""COMPUTED_VALUE"""),"Razinatou Salissou")</f>
        <v>Razinatou Salissou</v>
      </c>
      <c r="B2210" s="16"/>
      <c r="C2210" s="14"/>
      <c r="F2210" s="16" t="str">
        <f>IFERROR(__xludf.DUMMYFUNCTION("""COMPUTED_VALUE"""),"Sabongari")</f>
        <v>Sabongari</v>
      </c>
      <c r="G2210" s="16"/>
      <c r="H2210" s="14"/>
      <c r="K2210" s="16">
        <f>IFERROR(__xludf.DUMMYFUNCTION("""COMPUTED_VALUE"""),793.0)</f>
        <v>793</v>
      </c>
      <c r="L2210" s="16"/>
      <c r="M2210" s="14"/>
    </row>
    <row r="2211">
      <c r="A2211" s="16" t="str">
        <f>IFERROR(__xludf.DUMMYFUNCTION("""COMPUTED_VALUE"""),"Razinatou Salissou")</f>
        <v>Razinatou Salissou</v>
      </c>
      <c r="B2211" s="16"/>
      <c r="C2211" s="14"/>
      <c r="F2211" s="16" t="str">
        <f>IFERROR(__xludf.DUMMYFUNCTION("""COMPUTED_VALUE"""),"Karaji Sud")</f>
        <v>Karaji Sud</v>
      </c>
      <c r="G2211" s="16"/>
      <c r="H2211" s="14"/>
      <c r="K2211" s="16">
        <f>IFERROR(__xludf.DUMMYFUNCTION("""COMPUTED_VALUE"""),1141.0)</f>
        <v>1141</v>
      </c>
      <c r="L2211" s="16"/>
      <c r="M2211" s="14"/>
    </row>
    <row r="2212">
      <c r="A2212" s="16" t="str">
        <f>IFERROR(__xludf.DUMMYFUNCTION("""COMPUTED_VALUE"""),"Gaoh Maazou")</f>
        <v>Gaoh Maazou</v>
      </c>
      <c r="B2212" s="16"/>
      <c r="C2212" s="14"/>
      <c r="F2212" s="16" t="str">
        <f>IFERROR(__xludf.DUMMYFUNCTION("""COMPUTED_VALUE"""),"Karaji Sud")</f>
        <v>Karaji Sud</v>
      </c>
      <c r="G2212" s="16"/>
      <c r="H2212" s="14"/>
      <c r="K2212" s="16">
        <f>IFERROR(__xludf.DUMMYFUNCTION("""COMPUTED_VALUE"""),1080.0)</f>
        <v>1080</v>
      </c>
      <c r="L2212" s="16"/>
      <c r="M2212" s="14"/>
    </row>
    <row r="2213">
      <c r="A2213" s="16" t="str">
        <f>IFERROR(__xludf.DUMMYFUNCTION("""COMPUTED_VALUE"""),"Gaoh Maazou")</f>
        <v>Gaoh Maazou</v>
      </c>
      <c r="B2213" s="16"/>
      <c r="C2213" s="14"/>
      <c r="F2213" s="16" t="str">
        <f>IFERROR(__xludf.DUMMYFUNCTION("""COMPUTED_VALUE"""),"Karaji Sud")</f>
        <v>Karaji Sud</v>
      </c>
      <c r="G2213" s="16"/>
      <c r="H2213" s="14"/>
      <c r="K2213" s="16">
        <f>IFERROR(__xludf.DUMMYFUNCTION("""COMPUTED_VALUE"""),1887.0)</f>
        <v>1887</v>
      </c>
      <c r="L2213" s="16"/>
      <c r="M2213" s="14"/>
    </row>
    <row r="2214">
      <c r="A2214" s="16" t="str">
        <f>IFERROR(__xludf.DUMMYFUNCTION("""COMPUTED_VALUE"""),"Gaoh Maazou")</f>
        <v>Gaoh Maazou</v>
      </c>
      <c r="B2214" s="16"/>
      <c r="C2214" s="14"/>
      <c r="F2214" s="16" t="str">
        <f>IFERROR(__xludf.DUMMYFUNCTION("""COMPUTED_VALUE"""),"Karaji Sud")</f>
        <v>Karaji Sud</v>
      </c>
      <c r="G2214" s="16"/>
      <c r="H2214" s="14"/>
      <c r="K2214" s="16">
        <f>IFERROR(__xludf.DUMMYFUNCTION("""COMPUTED_VALUE"""),1216.0)</f>
        <v>1216</v>
      </c>
      <c r="L2214" s="16"/>
      <c r="M2214" s="14"/>
    </row>
    <row r="2215">
      <c r="A2215" s="16" t="str">
        <f>IFERROR(__xludf.DUMMYFUNCTION("""COMPUTED_VALUE"""),"Gaoh Maazou")</f>
        <v>Gaoh Maazou</v>
      </c>
      <c r="B2215" s="16"/>
      <c r="C2215" s="14"/>
      <c r="F2215" s="16" t="str">
        <f>IFERROR(__xludf.DUMMYFUNCTION("""COMPUTED_VALUE"""),"Karaji Sud")</f>
        <v>Karaji Sud</v>
      </c>
      <c r="G2215" s="16"/>
      <c r="H2215" s="14"/>
      <c r="K2215" s="16">
        <f>IFERROR(__xludf.DUMMYFUNCTION("""COMPUTED_VALUE"""),423.0)</f>
        <v>423</v>
      </c>
      <c r="L2215" s="16"/>
      <c r="M2215" s="14"/>
    </row>
    <row r="2216">
      <c r="A2216" s="16" t="str">
        <f>IFERROR(__xludf.DUMMYFUNCTION("""COMPUTED_VALUE"""),"Achirou Malam Dan Maradi Nassirou")</f>
        <v>Achirou Malam Dan Maradi Nassirou</v>
      </c>
      <c r="B2216" s="16"/>
      <c r="C2216" s="14"/>
      <c r="F2216" s="16" t="str">
        <f>IFERROR(__xludf.DUMMYFUNCTION("""COMPUTED_VALUE"""),"Karaji Sud")</f>
        <v>Karaji Sud</v>
      </c>
      <c r="G2216" s="16"/>
      <c r="H2216" s="14"/>
      <c r="K2216" s="16">
        <f>IFERROR(__xludf.DUMMYFUNCTION("""COMPUTED_VALUE"""),1160.0)</f>
        <v>1160</v>
      </c>
      <c r="L2216" s="16"/>
      <c r="M2216" s="14"/>
    </row>
    <row r="2217">
      <c r="A2217" s="16" t="str">
        <f>IFERROR(__xludf.DUMMYFUNCTION("""COMPUTED_VALUE"""),"Achirou Malam Dan Maradi Nassirou")</f>
        <v>Achirou Malam Dan Maradi Nassirou</v>
      </c>
      <c r="B2217" s="16"/>
      <c r="C2217" s="14"/>
      <c r="F2217" s="16" t="str">
        <f>IFERROR(__xludf.DUMMYFUNCTION("""COMPUTED_VALUE"""),"Karaji Sud")</f>
        <v>Karaji Sud</v>
      </c>
      <c r="G2217" s="16"/>
      <c r="H2217" s="14"/>
      <c r="K2217" s="16">
        <f>IFERROR(__xludf.DUMMYFUNCTION("""COMPUTED_VALUE"""),1836.0)</f>
        <v>1836</v>
      </c>
      <c r="L2217" s="16"/>
      <c r="M2217" s="14"/>
    </row>
    <row r="2218">
      <c r="A2218" s="16" t="str">
        <f>IFERROR(__xludf.DUMMYFUNCTION("""COMPUTED_VALUE"""),"Achirou Malam Dan Maradi Nassirou")</f>
        <v>Achirou Malam Dan Maradi Nassirou</v>
      </c>
      <c r="B2218" s="16"/>
      <c r="C2218" s="14"/>
      <c r="F2218" s="16" t="str">
        <f>IFERROR(__xludf.DUMMYFUNCTION("""COMPUTED_VALUE"""),"Karaji Sud")</f>
        <v>Karaji Sud</v>
      </c>
      <c r="G2218" s="16"/>
      <c r="H2218" s="14"/>
      <c r="K2218" s="16">
        <f>IFERROR(__xludf.DUMMYFUNCTION("""COMPUTED_VALUE"""),394.0)</f>
        <v>394</v>
      </c>
      <c r="L2218" s="16"/>
      <c r="M2218" s="14"/>
    </row>
    <row r="2219">
      <c r="A2219" s="16" t="str">
        <f>IFERROR(__xludf.DUMMYFUNCTION("""COMPUTED_VALUE"""),"Achirou Malam Dan Maradi Nassirou")</f>
        <v>Achirou Malam Dan Maradi Nassirou</v>
      </c>
      <c r="B2219" s="16"/>
      <c r="C2219" s="14"/>
      <c r="F2219" s="16" t="str">
        <f>IFERROR(__xludf.DUMMYFUNCTION("""COMPUTED_VALUE"""),"Sabon Guidan Ba Tamaské-Kelgress (village de la commune de Garhanga)")</f>
        <v>Sabon Guidan Ba Tamaské-Kelgress (village de la commune de Garhanga)</v>
      </c>
      <c r="G2219" s="16"/>
      <c r="H2219" s="14"/>
      <c r="K2219" s="16">
        <f>IFERROR(__xludf.DUMMYFUNCTION("""COMPUTED_VALUE"""),621.0)</f>
        <v>621</v>
      </c>
      <c r="L2219" s="16"/>
      <c r="M2219" s="14"/>
    </row>
    <row r="2220">
      <c r="A2220" s="16" t="str">
        <f>IFERROR(__xludf.DUMMYFUNCTION("""COMPUTED_VALUE"""),"Achirou Malam Dan Maradi Nassirou")</f>
        <v>Achirou Malam Dan Maradi Nassirou</v>
      </c>
      <c r="B2220" s="16"/>
      <c r="C2220" s="14"/>
      <c r="F2220" s="16" t="str">
        <f>IFERROR(__xludf.DUMMYFUNCTION("""COMPUTED_VALUE"""),"Sabon Guidan Ba Tamaské-Kelgress (village de la commune de Garhanga)")</f>
        <v>Sabon Guidan Ba Tamaské-Kelgress (village de la commune de Garhanga)</v>
      </c>
      <c r="G2220" s="16"/>
      <c r="H2220" s="14"/>
      <c r="K2220" s="16">
        <f>IFERROR(__xludf.DUMMYFUNCTION("""COMPUTED_VALUE"""),406.0)</f>
        <v>406</v>
      </c>
      <c r="L2220" s="16"/>
      <c r="M2220" s="14"/>
    </row>
    <row r="2221">
      <c r="A2221" s="16" t="str">
        <f>IFERROR(__xludf.DUMMYFUNCTION("""COMPUTED_VALUE"""),"Mohamed Cherif")</f>
        <v>Mohamed Cherif</v>
      </c>
      <c r="B2221" s="16"/>
      <c r="C2221" s="14"/>
      <c r="F2221" s="16" t="str">
        <f>IFERROR(__xludf.DUMMYFUNCTION("""COMPUTED_VALUE"""),"AgouloumKarama")</f>
        <v>AgouloumKarama</v>
      </c>
      <c r="G2221" s="16"/>
      <c r="H2221" s="14"/>
      <c r="K2221" s="16">
        <f>IFERROR(__xludf.DUMMYFUNCTION("""COMPUTED_VALUE"""),377.0)</f>
        <v>377</v>
      </c>
      <c r="L2221" s="16"/>
      <c r="M2221" s="14"/>
    </row>
    <row r="2222">
      <c r="A2222" s="16" t="str">
        <f>IFERROR(__xludf.DUMMYFUNCTION("""COMPUTED_VALUE"""),"Mohamed Cherif")</f>
        <v>Mohamed Cherif</v>
      </c>
      <c r="B2222" s="16"/>
      <c r="C2222" s="14"/>
      <c r="F2222" s="16" t="str">
        <f>IFERROR(__xludf.DUMMYFUNCTION("""COMPUTED_VALUE"""),"Kabima-Al Baraka")</f>
        <v>Kabima-Al Baraka</v>
      </c>
      <c r="G2222" s="16"/>
      <c r="H2222" s="14"/>
      <c r="K2222" s="16">
        <f>IFERROR(__xludf.DUMMYFUNCTION("""COMPUTED_VALUE"""),673.0)</f>
        <v>673</v>
      </c>
      <c r="L2222" s="16"/>
      <c r="M2222" s="14"/>
    </row>
    <row r="2223">
      <c r="A2223" s="16" t="str">
        <f>IFERROR(__xludf.DUMMYFUNCTION("""COMPUTED_VALUE"""),"Mohamed Cherif")</f>
        <v>Mohamed Cherif</v>
      </c>
      <c r="B2223" s="16"/>
      <c r="C2223" s="14"/>
      <c r="F2223" s="16" t="str">
        <f>IFERROR(__xludf.DUMMYFUNCTION("""COMPUTED_VALUE"""),"Kabima-Al Baraka")</f>
        <v>Kabima-Al Baraka</v>
      </c>
      <c r="G2223" s="16"/>
      <c r="H2223" s="14"/>
      <c r="K2223" s="16">
        <f>IFERROR(__xludf.DUMMYFUNCTION("""COMPUTED_VALUE"""),412.0)</f>
        <v>412</v>
      </c>
      <c r="L2223" s="16"/>
      <c r="M2223" s="14"/>
    </row>
    <row r="2224">
      <c r="A2224" s="16" t="str">
        <f>IFERROR(__xludf.DUMMYFUNCTION("""COMPUTED_VALUE"""),"Mohamed Cherif")</f>
        <v>Mohamed Cherif</v>
      </c>
      <c r="B2224" s="16"/>
      <c r="C2224" s="14"/>
      <c r="F2224" s="16" t="str">
        <f>IFERROR(__xludf.DUMMYFUNCTION("""COMPUTED_VALUE"""),"Kabima-Al Baraka")</f>
        <v>Kabima-Al Baraka</v>
      </c>
      <c r="G2224" s="16"/>
      <c r="H2224" s="14"/>
      <c r="K2224" s="16">
        <f>IFERROR(__xludf.DUMMYFUNCTION("""COMPUTED_VALUE"""),912.0)</f>
        <v>912</v>
      </c>
      <c r="L2224" s="16"/>
      <c r="M2224" s="14"/>
    </row>
    <row r="2225">
      <c r="A2225" s="16" t="str">
        <f>IFERROR(__xludf.DUMMYFUNCTION("""COMPUTED_VALUE"""),"Mohamed Cherif")</f>
        <v>Mohamed Cherif</v>
      </c>
      <c r="B2225" s="16"/>
      <c r="C2225" s="14"/>
      <c r="F2225" s="16" t="str">
        <f>IFERROR(__xludf.DUMMYFUNCTION("""COMPUTED_VALUE"""),"Sabon Guidan Ba Tamaské-Kelgress (village de la commune de Garhanga)")</f>
        <v>Sabon Guidan Ba Tamaské-Kelgress (village de la commune de Garhanga)</v>
      </c>
      <c r="G2225" s="16"/>
      <c r="H2225" s="14"/>
      <c r="K2225" s="16">
        <f>IFERROR(__xludf.DUMMYFUNCTION("""COMPUTED_VALUE"""),475.0)</f>
        <v>475</v>
      </c>
      <c r="L2225" s="16"/>
      <c r="M2225" s="14"/>
    </row>
    <row r="2226">
      <c r="A2226" s="16" t="str">
        <f>IFERROR(__xludf.DUMMYFUNCTION("""COMPUTED_VALUE"""),"Kailou Hamidou Rainatou")</f>
        <v>Kailou Hamidou Rainatou</v>
      </c>
      <c r="B2226" s="16"/>
      <c r="C2226" s="14"/>
      <c r="F2226" s="16" t="str">
        <f>IFERROR(__xludf.DUMMYFUNCTION("""COMPUTED_VALUE"""),"Sabon Guidan Ba Tamaské-Kelgress (village de la commune de Garhanga)")</f>
        <v>Sabon Guidan Ba Tamaské-Kelgress (village de la commune de Garhanga)</v>
      </c>
      <c r="G2226" s="16"/>
      <c r="H2226" s="14"/>
      <c r="K2226" s="16">
        <f>IFERROR(__xludf.DUMMYFUNCTION("""COMPUTED_VALUE"""),347.0)</f>
        <v>347</v>
      </c>
      <c r="L2226" s="16"/>
      <c r="M2226" s="14"/>
    </row>
    <row r="2227">
      <c r="A2227" s="16" t="str">
        <f>IFERROR(__xludf.DUMMYFUNCTION("""COMPUTED_VALUE"""),"Kadidja Issaka Hamidou")</f>
        <v>Kadidja Issaka Hamidou</v>
      </c>
      <c r="B2227" s="16"/>
      <c r="C2227" s="14"/>
      <c r="F2227" s="16" t="str">
        <f>IFERROR(__xludf.DUMMYFUNCTION("""COMPUTED_VALUE"""),"Sabon Guidan Ba Tamaské-Kelgress (village de la commune de Garhanga)")</f>
        <v>Sabon Guidan Ba Tamaské-Kelgress (village de la commune de Garhanga)</v>
      </c>
      <c r="G2227" s="16"/>
      <c r="H2227" s="14"/>
      <c r="K2227" s="16">
        <f>IFERROR(__xludf.DUMMYFUNCTION("""COMPUTED_VALUE"""),256.0)</f>
        <v>256</v>
      </c>
      <c r="L2227" s="16"/>
      <c r="M2227" s="14"/>
    </row>
    <row r="2228">
      <c r="A2228" s="16" t="str">
        <f>IFERROR(__xludf.DUMMYFUNCTION("""COMPUTED_VALUE"""),"Amadou Hamidou Abdoul Karim")</f>
        <v>Amadou Hamidou Abdoul Karim</v>
      </c>
      <c r="B2228" s="16"/>
      <c r="C2228" s="14"/>
      <c r="F2228" s="16" t="str">
        <f>IFERROR(__xludf.DUMMYFUNCTION("""COMPUTED_VALUE"""),"Sabon Guidan Ba Tamaské-Kelgress (village de la commune de Garhanga)")</f>
        <v>Sabon Guidan Ba Tamaské-Kelgress (village de la commune de Garhanga)</v>
      </c>
      <c r="G2228" s="16"/>
      <c r="H2228" s="14"/>
      <c r="K2228" s="16">
        <f>IFERROR(__xludf.DUMMYFUNCTION("""COMPUTED_VALUE"""),219.0)</f>
        <v>219</v>
      </c>
      <c r="L2228" s="16"/>
      <c r="M2228" s="14"/>
    </row>
    <row r="2229">
      <c r="A2229" s="16" t="str">
        <f>IFERROR(__xludf.DUMMYFUNCTION("""COMPUTED_VALUE"""),"Amadou Hamidou Abdoul Karim")</f>
        <v>Amadou Hamidou Abdoul Karim</v>
      </c>
      <c r="B2229" s="16"/>
      <c r="C2229" s="14"/>
      <c r="F2229" s="16" t="str">
        <f>IFERROR(__xludf.DUMMYFUNCTION("""COMPUTED_VALUE"""),"Kabima-Al Baraka")</f>
        <v>Kabima-Al Baraka</v>
      </c>
      <c r="G2229" s="16"/>
      <c r="H2229" s="14"/>
      <c r="K2229" s="16">
        <f>IFERROR(__xludf.DUMMYFUNCTION("""COMPUTED_VALUE"""),248.0)</f>
        <v>248</v>
      </c>
      <c r="L2229" s="16"/>
      <c r="M2229" s="14"/>
    </row>
    <row r="2230">
      <c r="A2230" s="16" t="str">
        <f>IFERROR(__xludf.DUMMYFUNCTION("""COMPUTED_VALUE"""),"Amadou Hamidou Abdoul Karim")</f>
        <v>Amadou Hamidou Abdoul Karim</v>
      </c>
      <c r="B2230" s="16"/>
      <c r="C2230" s="14"/>
      <c r="F2230" s="16" t="str">
        <f>IFERROR(__xludf.DUMMYFUNCTION("""COMPUTED_VALUE"""),"Kalalé")</f>
        <v>Kalalé</v>
      </c>
      <c r="G2230" s="16"/>
      <c r="H2230" s="14"/>
      <c r="K2230" s="16">
        <f>IFERROR(__xludf.DUMMYFUNCTION("""COMPUTED_VALUE"""),757.0)</f>
        <v>757</v>
      </c>
      <c r="L2230" s="16"/>
      <c r="M2230" s="14"/>
    </row>
    <row r="2231">
      <c r="A2231" s="16" t="str">
        <f>IFERROR(__xludf.DUMMYFUNCTION("""COMPUTED_VALUE"""),"Maman Ado Abdourahamane")</f>
        <v>Maman Ado Abdourahamane</v>
      </c>
      <c r="B2231" s="16"/>
      <c r="C2231" s="14"/>
      <c r="F2231" s="16" t="str">
        <f>IFERROR(__xludf.DUMMYFUNCTION("""COMPUTED_VALUE"""),"Nassaraoua")</f>
        <v>Nassaraoua</v>
      </c>
      <c r="G2231" s="16"/>
      <c r="H2231" s="14"/>
      <c r="K2231" s="16">
        <f>IFERROR(__xludf.DUMMYFUNCTION("""COMPUTED_VALUE"""),238.0)</f>
        <v>238</v>
      </c>
      <c r="L2231" s="16"/>
      <c r="M2231" s="14"/>
    </row>
    <row r="2232">
      <c r="A2232" s="16" t="str">
        <f>IFERROR(__xludf.DUMMYFUNCTION("""COMPUTED_VALUE"""),"Maman Ado Abdourahamane")</f>
        <v>Maman Ado Abdourahamane</v>
      </c>
      <c r="B2232" s="16"/>
      <c r="C2232" s="14"/>
      <c r="F2232" s="16" t="str">
        <f>IFERROR(__xludf.DUMMYFUNCTION("""COMPUTED_VALUE"""),"Nassaraoua")</f>
        <v>Nassaraoua</v>
      </c>
      <c r="G2232" s="16"/>
      <c r="H2232" s="14"/>
      <c r="K2232" s="16">
        <f>IFERROR(__xludf.DUMMYFUNCTION("""COMPUTED_VALUE"""),371.0)</f>
        <v>371</v>
      </c>
      <c r="L2232" s="16"/>
      <c r="M2232" s="14"/>
    </row>
    <row r="2233">
      <c r="A2233" s="16" t="str">
        <f>IFERROR(__xludf.DUMMYFUNCTION("""COMPUTED_VALUE"""),"Maman Ado Abdourahamane")</f>
        <v>Maman Ado Abdourahamane</v>
      </c>
      <c r="B2233" s="16"/>
      <c r="C2233" s="14"/>
      <c r="F2233" s="16" t="str">
        <f>IFERROR(__xludf.DUMMYFUNCTION("""COMPUTED_VALUE"""),"Nassaraoua")</f>
        <v>Nassaraoua</v>
      </c>
      <c r="G2233" s="16"/>
      <c r="H2233" s="14"/>
      <c r="K2233" s="16">
        <f>IFERROR(__xludf.DUMMYFUNCTION("""COMPUTED_VALUE"""),334.0)</f>
        <v>334</v>
      </c>
      <c r="L2233" s="16"/>
      <c r="M2233" s="14"/>
    </row>
    <row r="2234">
      <c r="A2234" s="16" t="str">
        <f>IFERROR(__xludf.DUMMYFUNCTION("""COMPUTED_VALUE"""),"Maman Ado Abdourahamane")</f>
        <v>Maman Ado Abdourahamane</v>
      </c>
      <c r="B2234" s="16"/>
      <c r="C2234" s="14"/>
      <c r="F2234" s="16" t="str">
        <f>IFERROR(__xludf.DUMMYFUNCTION("""COMPUTED_VALUE"""),"Nassaraoua")</f>
        <v>Nassaraoua</v>
      </c>
      <c r="G2234" s="16"/>
      <c r="H2234" s="14"/>
      <c r="K2234" s="16">
        <f>IFERROR(__xludf.DUMMYFUNCTION("""COMPUTED_VALUE"""),249.0)</f>
        <v>249</v>
      </c>
      <c r="L2234" s="16"/>
      <c r="M2234" s="14"/>
    </row>
    <row r="2235">
      <c r="A2235" s="16" t="str">
        <f>IFERROR(__xludf.DUMMYFUNCTION("""COMPUTED_VALUE"""),"Maman Ado Abdourahamane")</f>
        <v>Maman Ado Abdourahamane</v>
      </c>
      <c r="B2235" s="16"/>
      <c r="C2235" s="14"/>
      <c r="F2235" s="16" t="str">
        <f>IFERROR(__xludf.DUMMYFUNCTION("""COMPUTED_VALUE"""),"Nassaraoua")</f>
        <v>Nassaraoua</v>
      </c>
      <c r="G2235" s="16"/>
      <c r="H2235" s="14"/>
      <c r="K2235" s="16">
        <f>IFERROR(__xludf.DUMMYFUNCTION("""COMPUTED_VALUE"""),500.0)</f>
        <v>500</v>
      </c>
      <c r="L2235" s="16"/>
      <c r="M2235" s="14"/>
    </row>
    <row r="2236">
      <c r="A2236" s="16" t="str">
        <f>IFERROR(__xludf.DUMMYFUNCTION("""COMPUTED_VALUE"""),"Maman Ado Abdourahamane")</f>
        <v>Maman Ado Abdourahamane</v>
      </c>
      <c r="B2236" s="16"/>
      <c r="C2236" s="14"/>
      <c r="F2236" s="16" t="str">
        <f>IFERROR(__xludf.DUMMYFUNCTION("""COMPUTED_VALUE"""),"Nassaraoua")</f>
        <v>Nassaraoua</v>
      </c>
      <c r="G2236" s="16"/>
      <c r="H2236" s="14"/>
      <c r="K2236" s="16">
        <f>IFERROR(__xludf.DUMMYFUNCTION("""COMPUTED_VALUE"""),317.0)</f>
        <v>317</v>
      </c>
      <c r="L2236" s="16"/>
      <c r="M2236" s="14"/>
    </row>
    <row r="2237">
      <c r="A2237" s="16" t="str">
        <f>IFERROR(__xludf.DUMMYFUNCTION("""COMPUTED_VALUE"""),"Elhaji Abdou Leilata")</f>
        <v>Elhaji Abdou Leilata</v>
      </c>
      <c r="B2237" s="16"/>
      <c r="C2237" s="14"/>
      <c r="F2237" s="16" t="str">
        <f>IFERROR(__xludf.DUMMYFUNCTION("""COMPUTED_VALUE"""),"Nassaraoua")</f>
        <v>Nassaraoua</v>
      </c>
      <c r="G2237" s="16"/>
      <c r="H2237" s="14"/>
      <c r="K2237" s="16">
        <f>IFERROR(__xludf.DUMMYFUNCTION("""COMPUTED_VALUE"""),319.0)</f>
        <v>319</v>
      </c>
      <c r="L2237" s="16"/>
      <c r="M2237" s="14"/>
    </row>
    <row r="2238">
      <c r="A2238" s="16" t="str">
        <f>IFERROR(__xludf.DUMMYFUNCTION("""COMPUTED_VALUE"""),"Elhaji Abdou Leilata")</f>
        <v>Elhaji Abdou Leilata</v>
      </c>
      <c r="B2238" s="16"/>
      <c r="C2238" s="14"/>
      <c r="F2238" s="16" t="str">
        <f>IFERROR(__xludf.DUMMYFUNCTION("""COMPUTED_VALUE"""),"Nassaraoua")</f>
        <v>Nassaraoua</v>
      </c>
      <c r="G2238" s="16"/>
      <c r="H2238" s="14"/>
      <c r="K2238" s="16">
        <f>IFERROR(__xludf.DUMMYFUNCTION("""COMPUTED_VALUE"""),445.0)</f>
        <v>445</v>
      </c>
      <c r="L2238" s="16"/>
      <c r="M2238" s="14"/>
    </row>
    <row r="2239">
      <c r="A2239" s="16" t="str">
        <f>IFERROR(__xludf.DUMMYFUNCTION("""COMPUTED_VALUE"""),"Elhaji Abdou Leilata")</f>
        <v>Elhaji Abdou Leilata</v>
      </c>
      <c r="B2239" s="16"/>
      <c r="C2239" s="14"/>
      <c r="F2239" s="16" t="str">
        <f>IFERROR(__xludf.DUMMYFUNCTION("""COMPUTED_VALUE"""),"Nassaraoua")</f>
        <v>Nassaraoua</v>
      </c>
      <c r="G2239" s="16"/>
      <c r="H2239" s="14"/>
      <c r="K2239" s="16">
        <f>IFERROR(__xludf.DUMMYFUNCTION("""COMPUTED_VALUE"""),417.0)</f>
        <v>417</v>
      </c>
      <c r="L2239" s="16"/>
      <c r="M2239" s="14"/>
    </row>
    <row r="2240">
      <c r="A2240" s="16" t="str">
        <f>IFERROR(__xludf.DUMMYFUNCTION("""COMPUTED_VALUE"""),"Elhaji Abdou Leilata")</f>
        <v>Elhaji Abdou Leilata</v>
      </c>
      <c r="B2240" s="16"/>
      <c r="C2240" s="14"/>
      <c r="F2240" s="16" t="str">
        <f>IFERROR(__xludf.DUMMYFUNCTION("""COMPUTED_VALUE"""),"Kolloma Baba")</f>
        <v>Kolloma Baba</v>
      </c>
      <c r="G2240" s="16"/>
      <c r="H2240" s="14"/>
      <c r="K2240" s="16">
        <f>IFERROR(__xludf.DUMMYFUNCTION("""COMPUTED_VALUE"""),553.0)</f>
        <v>553</v>
      </c>
      <c r="L2240" s="16"/>
      <c r="M2240" s="14"/>
    </row>
    <row r="2241">
      <c r="A2241" s="16" t="str">
        <f>IFERROR(__xludf.DUMMYFUNCTION("""COMPUTED_VALUE"""),"Elhaji Abdou Leilata")</f>
        <v>Elhaji Abdou Leilata</v>
      </c>
      <c r="B2241" s="16"/>
      <c r="C2241" s="14"/>
      <c r="F2241" s="16" t="str">
        <f>IFERROR(__xludf.DUMMYFUNCTION("""COMPUTED_VALUE"""),"Nassaraoua")</f>
        <v>Nassaraoua</v>
      </c>
      <c r="G2241" s="16"/>
      <c r="H2241" s="14"/>
      <c r="K2241" s="16">
        <f>IFERROR(__xludf.DUMMYFUNCTION("""COMPUTED_VALUE"""),415.0)</f>
        <v>415</v>
      </c>
      <c r="L2241" s="16"/>
      <c r="M2241" s="14"/>
    </row>
    <row r="2242">
      <c r="A2242" s="16" t="str">
        <f>IFERROR(__xludf.DUMMYFUNCTION("""COMPUTED_VALUE"""),"Elhaji Abdou Leilata")</f>
        <v>Elhaji Abdou Leilata</v>
      </c>
      <c r="B2242" s="16"/>
      <c r="C2242" s="14"/>
      <c r="F2242" s="16" t="str">
        <f>IFERROR(__xludf.DUMMYFUNCTION("""COMPUTED_VALUE"""),"Nassaraoua")</f>
        <v>Nassaraoua</v>
      </c>
      <c r="G2242" s="16"/>
      <c r="H2242" s="14"/>
      <c r="K2242" s="16">
        <f>IFERROR(__xludf.DUMMYFUNCTION("""COMPUTED_VALUE"""),547.0)</f>
        <v>547</v>
      </c>
      <c r="L2242" s="16"/>
      <c r="M2242" s="14"/>
    </row>
    <row r="2243">
      <c r="A2243" s="16" t="str">
        <f>IFERROR(__xludf.DUMMYFUNCTION("""COMPUTED_VALUE"""),"Elhaji Abdou Leilata")</f>
        <v>Elhaji Abdou Leilata</v>
      </c>
      <c r="B2243" s="16"/>
      <c r="C2243" s="14"/>
      <c r="F2243" s="16" t="str">
        <f>IFERROR(__xludf.DUMMYFUNCTION("""COMPUTED_VALUE"""),"Kabima-Al Baraka")</f>
        <v>Kabima-Al Baraka</v>
      </c>
      <c r="G2243" s="16"/>
      <c r="H2243" s="14"/>
      <c r="K2243" s="16">
        <f>IFERROR(__xludf.DUMMYFUNCTION("""COMPUTED_VALUE"""),1036.0)</f>
        <v>1036</v>
      </c>
      <c r="L2243" s="16"/>
      <c r="M2243" s="14"/>
    </row>
    <row r="2244">
      <c r="A2244" s="16" t="str">
        <f>IFERROR(__xludf.DUMMYFUNCTION("""COMPUTED_VALUE"""),"Elhaji Abdou Leilata")</f>
        <v>Elhaji Abdou Leilata</v>
      </c>
      <c r="B2244" s="16"/>
      <c r="C2244" s="14"/>
      <c r="F2244" s="16" t="str">
        <f>IFERROR(__xludf.DUMMYFUNCTION("""COMPUTED_VALUE"""),"Kabima-Al Baraka")</f>
        <v>Kabima-Al Baraka</v>
      </c>
      <c r="G2244" s="16"/>
      <c r="H2244" s="14"/>
      <c r="K2244" s="16">
        <f>IFERROR(__xludf.DUMMYFUNCTION("""COMPUTED_VALUE"""),839.0)</f>
        <v>839</v>
      </c>
      <c r="L2244" s="16"/>
      <c r="M2244" s="14"/>
    </row>
    <row r="2245">
      <c r="A2245" s="16" t="str">
        <f>IFERROR(__xludf.DUMMYFUNCTION("""COMPUTED_VALUE"""),"Elhaji Abdou Leilata")</f>
        <v>Elhaji Abdou Leilata</v>
      </c>
      <c r="B2245" s="16"/>
      <c r="C2245" s="14"/>
      <c r="F2245" s="16" t="str">
        <f>IFERROR(__xludf.DUMMYFUNCTION("""COMPUTED_VALUE"""),"Kabima-Al Baraka")</f>
        <v>Kabima-Al Baraka</v>
      </c>
      <c r="G2245" s="16"/>
      <c r="H2245" s="14"/>
      <c r="K2245" s="16">
        <f>IFERROR(__xludf.DUMMYFUNCTION("""COMPUTED_VALUE"""),847.0)</f>
        <v>847</v>
      </c>
      <c r="L2245" s="16"/>
      <c r="M2245" s="14"/>
    </row>
    <row r="2246">
      <c r="A2246" s="16" t="str">
        <f>IFERROR(__xludf.DUMMYFUNCTION("""COMPUTED_VALUE"""),"Mohamadou Amadou")</f>
        <v>Mohamadou Amadou</v>
      </c>
      <c r="B2246" s="16"/>
      <c r="C2246" s="14"/>
      <c r="F2246" s="16" t="str">
        <f>IFERROR(__xludf.DUMMYFUNCTION("""COMPUTED_VALUE"""),"Kabima-Al Baraka")</f>
        <v>Kabima-Al Baraka</v>
      </c>
      <c r="G2246" s="16"/>
      <c r="H2246" s="14"/>
      <c r="K2246" s="16">
        <f>IFERROR(__xludf.DUMMYFUNCTION("""COMPUTED_VALUE"""),1120.0)</f>
        <v>1120</v>
      </c>
      <c r="L2246" s="16"/>
      <c r="M2246" s="14"/>
    </row>
    <row r="2247">
      <c r="A2247" s="16" t="str">
        <f>IFERROR(__xludf.DUMMYFUNCTION("""COMPUTED_VALUE"""),"Mohamadou Amadou")</f>
        <v>Mohamadou Amadou</v>
      </c>
      <c r="B2247" s="16"/>
      <c r="C2247" s="14"/>
      <c r="F2247" s="16" t="str">
        <f>IFERROR(__xludf.DUMMYFUNCTION("""COMPUTED_VALUE"""),"Kabima-Al Baraka")</f>
        <v>Kabima-Al Baraka</v>
      </c>
      <c r="G2247" s="16"/>
      <c r="H2247" s="14"/>
      <c r="K2247" s="16">
        <f>IFERROR(__xludf.DUMMYFUNCTION("""COMPUTED_VALUE"""),658.0)</f>
        <v>658</v>
      </c>
      <c r="L2247" s="16"/>
      <c r="M2247" s="14"/>
    </row>
    <row r="2248">
      <c r="A2248" s="16" t="str">
        <f>IFERROR(__xludf.DUMMYFUNCTION("""COMPUTED_VALUE"""),"Mohamadou Amadou")</f>
        <v>Mohamadou Amadou</v>
      </c>
      <c r="B2248" s="16"/>
      <c r="C2248" s="14"/>
      <c r="F2248" s="16" t="str">
        <f>IFERROR(__xludf.DUMMYFUNCTION("""COMPUTED_VALUE"""),"Kabima-Al Baraka")</f>
        <v>Kabima-Al Baraka</v>
      </c>
      <c r="G2248" s="16"/>
      <c r="H2248" s="14"/>
      <c r="K2248" s="16">
        <f>IFERROR(__xludf.DUMMYFUNCTION("""COMPUTED_VALUE"""),574.0)</f>
        <v>574</v>
      </c>
      <c r="L2248" s="16"/>
      <c r="M2248" s="14"/>
    </row>
    <row r="2249">
      <c r="A2249" s="16" t="str">
        <f>IFERROR(__xludf.DUMMYFUNCTION("""COMPUTED_VALUE"""),"Mohamadou Amadou")</f>
        <v>Mohamadou Amadou</v>
      </c>
      <c r="B2249" s="16"/>
      <c r="C2249" s="14"/>
      <c r="F2249" s="16" t="str">
        <f>IFERROR(__xludf.DUMMYFUNCTION("""COMPUTED_VALUE"""),"Sabon Guida Damna")</f>
        <v>Sabon Guida Damna</v>
      </c>
      <c r="G2249" s="16"/>
      <c r="H2249" s="14"/>
      <c r="K2249" s="16">
        <f>IFERROR(__xludf.DUMMYFUNCTION("""COMPUTED_VALUE"""),373.0)</f>
        <v>373</v>
      </c>
      <c r="L2249" s="16"/>
      <c r="M2249" s="14"/>
    </row>
    <row r="2250">
      <c r="A2250" s="16" t="str">
        <f>IFERROR(__xludf.DUMMYFUNCTION("""COMPUTED_VALUE"""),"Mohamadou Amadou")</f>
        <v>Mohamadou Amadou</v>
      </c>
      <c r="B2250" s="16"/>
      <c r="C2250" s="14"/>
      <c r="F2250" s="16" t="str">
        <f>IFERROR(__xludf.DUMMYFUNCTION("""COMPUTED_VALUE"""),"Badaou (Zangon Boubacar)")</f>
        <v>Badaou (Zangon Boubacar)</v>
      </c>
      <c r="G2250" s="16"/>
      <c r="H2250" s="14"/>
      <c r="K2250" s="16">
        <f>IFERROR(__xludf.DUMMYFUNCTION("""COMPUTED_VALUE"""),1886.0)</f>
        <v>1886</v>
      </c>
      <c r="L2250" s="16"/>
      <c r="M2250" s="14"/>
    </row>
    <row r="2251">
      <c r="A2251" s="16" t="str">
        <f>IFERROR(__xludf.DUMMYFUNCTION("""COMPUTED_VALUE"""),"Moussa Ide Ibrahim")</f>
        <v>Moussa Ide Ibrahim</v>
      </c>
      <c r="B2251" s="16"/>
      <c r="C2251" s="14"/>
      <c r="F2251" s="16" t="str">
        <f>IFERROR(__xludf.DUMMYFUNCTION("""COMPUTED_VALUE"""),"Badaou (Zangon Boubacar)")</f>
        <v>Badaou (Zangon Boubacar)</v>
      </c>
      <c r="G2251" s="16"/>
      <c r="H2251" s="14"/>
      <c r="K2251" s="16">
        <f>IFERROR(__xludf.DUMMYFUNCTION("""COMPUTED_VALUE"""),1657.0)</f>
        <v>1657</v>
      </c>
      <c r="L2251" s="16"/>
      <c r="M2251" s="14"/>
    </row>
    <row r="2252">
      <c r="A2252" s="16" t="str">
        <f>IFERROR(__xludf.DUMMYFUNCTION("""COMPUTED_VALUE"""),"Moussa Ide Ibrahim")</f>
        <v>Moussa Ide Ibrahim</v>
      </c>
      <c r="B2252" s="16"/>
      <c r="C2252" s="14"/>
      <c r="F2252" s="16" t="str">
        <f>IFERROR(__xludf.DUMMYFUNCTION("""COMPUTED_VALUE"""),"Badaou (Zangon Boubacar)")</f>
        <v>Badaou (Zangon Boubacar)</v>
      </c>
      <c r="G2252" s="16"/>
      <c r="H2252" s="14"/>
      <c r="K2252" s="16">
        <f>IFERROR(__xludf.DUMMYFUNCTION("""COMPUTED_VALUE"""),766.0)</f>
        <v>766</v>
      </c>
      <c r="L2252" s="16"/>
      <c r="M2252" s="14"/>
    </row>
    <row r="2253">
      <c r="A2253" s="16" t="str">
        <f>IFERROR(__xludf.DUMMYFUNCTION("""COMPUTED_VALUE"""),"Moussa Ide Ibrahim")</f>
        <v>Moussa Ide Ibrahim</v>
      </c>
      <c r="B2253" s="16"/>
      <c r="C2253" s="14"/>
      <c r="F2253" s="16" t="str">
        <f>IFERROR(__xludf.DUMMYFUNCTION("""COMPUTED_VALUE"""),"Falalia Daoudawa")</f>
        <v>Falalia Daoudawa</v>
      </c>
      <c r="G2253" s="16"/>
      <c r="H2253" s="14"/>
      <c r="K2253" s="16">
        <f>IFERROR(__xludf.DUMMYFUNCTION("""COMPUTED_VALUE"""),582.0)</f>
        <v>582</v>
      </c>
      <c r="L2253" s="16"/>
      <c r="M2253" s="14"/>
    </row>
    <row r="2254">
      <c r="A2254" s="16" t="str">
        <f>IFERROR(__xludf.DUMMYFUNCTION("""COMPUTED_VALUE"""),"Moussa Ide Ibrahim")</f>
        <v>Moussa Ide Ibrahim</v>
      </c>
      <c r="B2254" s="16"/>
      <c r="C2254" s="14"/>
      <c r="F2254" s="16" t="str">
        <f>IFERROR(__xludf.DUMMYFUNCTION("""COMPUTED_VALUE"""),"Falalia Daoudawa")</f>
        <v>Falalia Daoudawa</v>
      </c>
      <c r="G2254" s="16"/>
      <c r="H2254" s="14"/>
      <c r="K2254" s="16">
        <f>IFERROR(__xludf.DUMMYFUNCTION("""COMPUTED_VALUE"""),421.0)</f>
        <v>421</v>
      </c>
      <c r="L2254" s="16"/>
      <c r="M2254" s="14"/>
    </row>
    <row r="2255">
      <c r="A2255" s="16" t="str">
        <f>IFERROR(__xludf.DUMMYFUNCTION("""COMPUTED_VALUE"""),"Moussa Ide Ibrahim")</f>
        <v>Moussa Ide Ibrahim</v>
      </c>
      <c r="B2255" s="16"/>
      <c r="C2255" s="14"/>
      <c r="F2255" s="16" t="str">
        <f>IFERROR(__xludf.DUMMYFUNCTION("""COMPUTED_VALUE"""),"Falalia Daoudawa")</f>
        <v>Falalia Daoudawa</v>
      </c>
      <c r="G2255" s="16"/>
      <c r="H2255" s="14"/>
      <c r="K2255" s="16">
        <f>IFERROR(__xludf.DUMMYFUNCTION("""COMPUTED_VALUE"""),2901.0)</f>
        <v>2901</v>
      </c>
      <c r="L2255" s="16"/>
      <c r="M2255" s="14"/>
    </row>
    <row r="2256">
      <c r="A2256" s="16" t="str">
        <f>IFERROR(__xludf.DUMMYFUNCTION("""COMPUTED_VALUE"""),"Moussa Ide Ibrahim")</f>
        <v>Moussa Ide Ibrahim</v>
      </c>
      <c r="B2256" s="16"/>
      <c r="C2256" s="14"/>
      <c r="F2256" s="16" t="str">
        <f>IFERROR(__xludf.DUMMYFUNCTION("""COMPUTED_VALUE"""),"Falalia Daoudawa")</f>
        <v>Falalia Daoudawa</v>
      </c>
      <c r="G2256" s="16"/>
      <c r="H2256" s="14"/>
      <c r="K2256" s="16">
        <f>IFERROR(__xludf.DUMMYFUNCTION("""COMPUTED_VALUE"""),2360.0)</f>
        <v>2360</v>
      </c>
      <c r="L2256" s="16"/>
      <c r="M2256" s="14"/>
    </row>
    <row r="2257">
      <c r="A2257" s="16" t="str">
        <f>IFERROR(__xludf.DUMMYFUNCTION("""COMPUTED_VALUE"""),"Moussa Ide Ibrahim")</f>
        <v>Moussa Ide Ibrahim</v>
      </c>
      <c r="B2257" s="16"/>
      <c r="C2257" s="14"/>
      <c r="F2257" s="16" t="str">
        <f>IFERROR(__xludf.DUMMYFUNCTION("""COMPUTED_VALUE"""),"Falalia Daoudawa")</f>
        <v>Falalia Daoudawa</v>
      </c>
      <c r="G2257" s="16"/>
      <c r="H2257" s="14"/>
      <c r="K2257" s="16">
        <f>IFERROR(__xludf.DUMMYFUNCTION("""COMPUTED_VALUE"""),499.0)</f>
        <v>499</v>
      </c>
      <c r="L2257" s="16"/>
      <c r="M2257" s="14"/>
    </row>
    <row r="2258">
      <c r="A2258" s="16" t="str">
        <f>IFERROR(__xludf.DUMMYFUNCTION("""COMPUTED_VALUE"""),"Kimba Issa Mamoudou")</f>
        <v>Kimba Issa Mamoudou</v>
      </c>
      <c r="B2258" s="16"/>
      <c r="C2258" s="14"/>
      <c r="F2258" s="16" t="str">
        <f>IFERROR(__xludf.DUMMYFUNCTION("""COMPUTED_VALUE"""),"Takakoumi")</f>
        <v>Takakoumi</v>
      </c>
      <c r="G2258" s="16"/>
      <c r="H2258" s="14"/>
      <c r="K2258" s="16">
        <f>IFERROR(__xludf.DUMMYFUNCTION("""COMPUTED_VALUE"""),1924.0)</f>
        <v>1924</v>
      </c>
      <c r="L2258" s="16"/>
      <c r="M2258" s="14"/>
    </row>
    <row r="2259">
      <c r="A2259" s="16" t="str">
        <f>IFERROR(__xludf.DUMMYFUNCTION("""COMPUTED_VALUE"""),"Kimba Issa Mamoudou")</f>
        <v>Kimba Issa Mamoudou</v>
      </c>
      <c r="B2259" s="16"/>
      <c r="C2259" s="14"/>
      <c r="F2259" s="16" t="str">
        <f>IFERROR(__xludf.DUMMYFUNCTION("""COMPUTED_VALUE"""),"Takakoumi")</f>
        <v>Takakoumi</v>
      </c>
      <c r="G2259" s="16"/>
      <c r="H2259" s="14"/>
      <c r="K2259" s="16">
        <f>IFERROR(__xludf.DUMMYFUNCTION("""COMPUTED_VALUE"""),2790.0)</f>
        <v>2790</v>
      </c>
      <c r="L2259" s="16"/>
      <c r="M2259" s="14"/>
    </row>
    <row r="2260">
      <c r="A2260" s="16" t="str">
        <f>IFERROR(__xludf.DUMMYFUNCTION("""COMPUTED_VALUE"""),"Kimba Issa Mamoudou")</f>
        <v>Kimba Issa Mamoudou</v>
      </c>
      <c r="B2260" s="16"/>
      <c r="C2260" s="14"/>
      <c r="F2260" s="16" t="str">
        <f>IFERROR(__xludf.DUMMYFUNCTION("""COMPUTED_VALUE"""),"Badaou (Zangon Boubacar)")</f>
        <v>Badaou (Zangon Boubacar)</v>
      </c>
      <c r="G2260" s="16"/>
      <c r="H2260" s="14"/>
      <c r="K2260" s="16">
        <f>IFERROR(__xludf.DUMMYFUNCTION("""COMPUTED_VALUE"""),517.0)</f>
        <v>517</v>
      </c>
      <c r="L2260" s="16"/>
      <c r="M2260" s="14"/>
    </row>
    <row r="2261">
      <c r="A2261" s="16" t="str">
        <f>IFERROR(__xludf.DUMMYFUNCTION("""COMPUTED_VALUE"""),"Kimba Issa Mamoudou")</f>
        <v>Kimba Issa Mamoudou</v>
      </c>
      <c r="B2261" s="16"/>
      <c r="C2261" s="14"/>
      <c r="F2261" s="16" t="str">
        <f>IFERROR(__xludf.DUMMYFUNCTION("""COMPUTED_VALUE"""),"Dougounna")</f>
        <v>Dougounna</v>
      </c>
      <c r="G2261" s="16"/>
      <c r="H2261" s="14"/>
      <c r="K2261" s="16">
        <f>IFERROR(__xludf.DUMMYFUNCTION("""COMPUTED_VALUE"""),734.0)</f>
        <v>734</v>
      </c>
      <c r="L2261" s="16"/>
      <c r="M2261" s="14"/>
    </row>
    <row r="2262">
      <c r="A2262" s="16" t="str">
        <f>IFERROR(__xludf.DUMMYFUNCTION("""COMPUTED_VALUE"""),"Kimba Issa Mamoudou")</f>
        <v>Kimba Issa Mamoudou</v>
      </c>
      <c r="B2262" s="16"/>
      <c r="C2262" s="14"/>
      <c r="F2262" s="16" t="str">
        <f>IFERROR(__xludf.DUMMYFUNCTION("""COMPUTED_VALUE"""),"Falalia Daoudawa")</f>
        <v>Falalia Daoudawa</v>
      </c>
      <c r="G2262" s="16"/>
      <c r="H2262" s="14"/>
      <c r="K2262" s="16">
        <f>IFERROR(__xludf.DUMMYFUNCTION("""COMPUTED_VALUE"""),1944.0)</f>
        <v>1944</v>
      </c>
      <c r="L2262" s="16"/>
      <c r="M2262" s="14"/>
    </row>
    <row r="2263">
      <c r="A2263" s="16" t="str">
        <f>IFERROR(__xludf.DUMMYFUNCTION("""COMPUTED_VALUE"""),"Kimba Issa Mamoudou")</f>
        <v>Kimba Issa Mamoudou</v>
      </c>
      <c r="B2263" s="16"/>
      <c r="C2263" s="14"/>
      <c r="F2263" s="16" t="str">
        <f>IFERROR(__xludf.DUMMYFUNCTION("""COMPUTED_VALUE"""),"Falalia Daoudawa")</f>
        <v>Falalia Daoudawa</v>
      </c>
      <c r="G2263" s="16"/>
      <c r="H2263" s="14"/>
      <c r="K2263" s="16">
        <f>IFERROR(__xludf.DUMMYFUNCTION("""COMPUTED_VALUE"""),1364.0)</f>
        <v>1364</v>
      </c>
      <c r="L2263" s="16"/>
      <c r="M2263" s="14"/>
    </row>
    <row r="2264">
      <c r="A2264" s="16" t="str">
        <f>IFERROR(__xludf.DUMMYFUNCTION("""COMPUTED_VALUE"""),"Kimba Issa Mamoudou")</f>
        <v>Kimba Issa Mamoudou</v>
      </c>
      <c r="B2264" s="16"/>
      <c r="C2264" s="14"/>
      <c r="F2264" s="16" t="str">
        <f>IFERROR(__xludf.DUMMYFUNCTION("""COMPUTED_VALUE"""),"Falalia Daoudawa")</f>
        <v>Falalia Daoudawa</v>
      </c>
      <c r="G2264" s="16"/>
      <c r="H2264" s="14"/>
      <c r="K2264" s="16">
        <f>IFERROR(__xludf.DUMMYFUNCTION("""COMPUTED_VALUE"""),299.0)</f>
        <v>299</v>
      </c>
      <c r="L2264" s="16"/>
      <c r="M2264" s="14"/>
    </row>
    <row r="2265">
      <c r="A2265" s="16" t="str">
        <f>IFERROR(__xludf.DUMMYFUNCTION("""COMPUTED_VALUE"""),"Kailou Hamidou Rainatou")</f>
        <v>Kailou Hamidou Rainatou</v>
      </c>
      <c r="B2265" s="16"/>
      <c r="C2265" s="14"/>
      <c r="F2265" s="16" t="str">
        <f>IFERROR(__xludf.DUMMYFUNCTION("""COMPUTED_VALUE"""),"Falalia Daoudawa")</f>
        <v>Falalia Daoudawa</v>
      </c>
      <c r="G2265" s="16"/>
      <c r="H2265" s="14"/>
      <c r="K2265" s="16">
        <f>IFERROR(__xludf.DUMMYFUNCTION("""COMPUTED_VALUE"""),1406.0)</f>
        <v>1406</v>
      </c>
      <c r="L2265" s="16"/>
      <c r="M2265" s="14"/>
    </row>
    <row r="2266">
      <c r="A2266" s="16" t="str">
        <f>IFERROR(__xludf.DUMMYFUNCTION("""COMPUTED_VALUE"""),"Mohamed Cherif")</f>
        <v>Mohamed Cherif</v>
      </c>
      <c r="B2266" s="16"/>
      <c r="C2266" s="14"/>
      <c r="F2266" s="16" t="str">
        <f>IFERROR(__xludf.DUMMYFUNCTION("""COMPUTED_VALUE"""),"Badaou (Zangon Boubacar)")</f>
        <v>Badaou (Zangon Boubacar)</v>
      </c>
      <c r="G2266" s="16"/>
      <c r="H2266" s="14"/>
      <c r="K2266" s="16">
        <f>IFERROR(__xludf.DUMMYFUNCTION("""COMPUTED_VALUE"""),774.0)</f>
        <v>774</v>
      </c>
      <c r="L2266" s="16"/>
      <c r="M2266" s="14"/>
    </row>
    <row r="2267">
      <c r="A2267" s="16" t="str">
        <f>IFERROR(__xludf.DUMMYFUNCTION("""COMPUTED_VALUE"""),"Mohamed Cherif")</f>
        <v>Mohamed Cherif</v>
      </c>
      <c r="B2267" s="16"/>
      <c r="C2267" s="14"/>
      <c r="F2267" s="16" t="str">
        <f>IFERROR(__xludf.DUMMYFUNCTION("""COMPUTED_VALUE"""),"Badaou (Zangon Boubacar)")</f>
        <v>Badaou (Zangon Boubacar)</v>
      </c>
      <c r="G2267" s="16"/>
      <c r="H2267" s="14"/>
      <c r="K2267" s="16">
        <f>IFERROR(__xludf.DUMMYFUNCTION("""COMPUTED_VALUE"""),383.0)</f>
        <v>383</v>
      </c>
      <c r="L2267" s="16"/>
      <c r="M2267" s="14"/>
    </row>
    <row r="2268">
      <c r="A2268" s="16" t="str">
        <f>IFERROR(__xludf.DUMMYFUNCTION("""COMPUTED_VALUE"""),"Mohamed Cherif")</f>
        <v>Mohamed Cherif</v>
      </c>
      <c r="B2268" s="16"/>
      <c r="C2268" s="14"/>
      <c r="F2268" s="16" t="str">
        <f>IFERROR(__xludf.DUMMYFUNCTION("""COMPUTED_VALUE"""),"Badaou (Zangon Boubacar)")</f>
        <v>Badaou (Zangon Boubacar)</v>
      </c>
      <c r="G2268" s="16"/>
      <c r="H2268" s="14"/>
      <c r="K2268" s="16">
        <f>IFERROR(__xludf.DUMMYFUNCTION("""COMPUTED_VALUE"""),483.0)</f>
        <v>483</v>
      </c>
      <c r="L2268" s="16"/>
      <c r="M2268" s="14"/>
    </row>
    <row r="2269">
      <c r="A2269" s="16" t="str">
        <f>IFERROR(__xludf.DUMMYFUNCTION("""COMPUTED_VALUE"""),"Mohamed Cherif")</f>
        <v>Mohamed Cherif</v>
      </c>
      <c r="B2269" s="16"/>
      <c r="C2269" s="14"/>
      <c r="F2269" s="16" t="str">
        <f>IFERROR(__xludf.DUMMYFUNCTION("""COMPUTED_VALUE"""),"Dougounna")</f>
        <v>Dougounna</v>
      </c>
      <c r="G2269" s="16"/>
      <c r="H2269" s="14"/>
      <c r="K2269" s="16">
        <f>IFERROR(__xludf.DUMMYFUNCTION("""COMPUTED_VALUE"""),873.0)</f>
        <v>873</v>
      </c>
      <c r="L2269" s="16"/>
      <c r="M2269" s="14"/>
    </row>
    <row r="2270">
      <c r="A2270" s="16" t="str">
        <f>IFERROR(__xludf.DUMMYFUNCTION("""COMPUTED_VALUE"""),"Mohamadou Amadou")</f>
        <v>Mohamadou Amadou</v>
      </c>
      <c r="B2270" s="16"/>
      <c r="C2270" s="14"/>
      <c r="F2270" s="16" t="str">
        <f>IFERROR(__xludf.DUMMYFUNCTION("""COMPUTED_VALUE"""),"Badaou (Zangon Boubacar)")</f>
        <v>Badaou (Zangon Boubacar)</v>
      </c>
      <c r="G2270" s="16"/>
      <c r="H2270" s="14"/>
      <c r="K2270" s="16">
        <f>IFERROR(__xludf.DUMMYFUNCTION("""COMPUTED_VALUE"""),412.0)</f>
        <v>412</v>
      </c>
      <c r="L2270" s="16"/>
      <c r="M2270" s="14"/>
    </row>
    <row r="2271">
      <c r="A2271" s="16" t="str">
        <f>IFERROR(__xludf.DUMMYFUNCTION("""COMPUTED_VALUE"""),"Mohamadou Amadou")</f>
        <v>Mohamadou Amadou</v>
      </c>
      <c r="B2271" s="16"/>
      <c r="C2271" s="14"/>
      <c r="F2271" s="16" t="str">
        <f>IFERROR(__xludf.DUMMYFUNCTION("""COMPUTED_VALUE"""),"Badaou (Zangon Boubacar)")</f>
        <v>Badaou (Zangon Boubacar)</v>
      </c>
      <c r="G2271" s="16"/>
      <c r="H2271" s="14"/>
      <c r="K2271" s="16">
        <f>IFERROR(__xludf.DUMMYFUNCTION("""COMPUTED_VALUE"""),199.0)</f>
        <v>199</v>
      </c>
      <c r="L2271" s="16"/>
      <c r="M2271" s="14"/>
    </row>
    <row r="2272">
      <c r="A2272" s="16" t="str">
        <f>IFERROR(__xludf.DUMMYFUNCTION("""COMPUTED_VALUE"""),"Mohamadou Amadou")</f>
        <v>Mohamadou Amadou</v>
      </c>
      <c r="B2272" s="16"/>
      <c r="C2272" s="14"/>
      <c r="F2272" s="16" t="str">
        <f>IFERROR(__xludf.DUMMYFUNCTION("""COMPUTED_VALUE"""),"Badaou (Zangon Boubacar)")</f>
        <v>Badaou (Zangon Boubacar)</v>
      </c>
      <c r="G2272" s="16"/>
      <c r="H2272" s="14"/>
      <c r="K2272" s="16">
        <f>IFERROR(__xludf.DUMMYFUNCTION("""COMPUTED_VALUE"""),1762.0)</f>
        <v>1762</v>
      </c>
      <c r="L2272" s="16"/>
      <c r="M2272" s="14"/>
    </row>
    <row r="2273">
      <c r="A2273" s="16" t="str">
        <f>IFERROR(__xludf.DUMMYFUNCTION("""COMPUTED_VALUE"""),"Mohamadou Amadou")</f>
        <v>Mohamadou Amadou</v>
      </c>
      <c r="B2273" s="16"/>
      <c r="C2273" s="14"/>
      <c r="F2273" s="16" t="str">
        <f>IFERROR(__xludf.DUMMYFUNCTION("""COMPUTED_VALUE"""),"Badaou (Zangon Boubacar)")</f>
        <v>Badaou (Zangon Boubacar)</v>
      </c>
      <c r="G2273" s="16"/>
      <c r="H2273" s="14"/>
      <c r="K2273" s="16">
        <f>IFERROR(__xludf.DUMMYFUNCTION("""COMPUTED_VALUE"""),238.0)</f>
        <v>238</v>
      </c>
      <c r="L2273" s="16"/>
      <c r="M2273" s="14"/>
    </row>
    <row r="2274">
      <c r="A2274" s="16" t="str">
        <f>IFERROR(__xludf.DUMMYFUNCTION("""COMPUTED_VALUE"""),"Mohamadou Amadou")</f>
        <v>Mohamadou Amadou</v>
      </c>
      <c r="B2274" s="16"/>
      <c r="C2274" s="14"/>
      <c r="F2274" s="16" t="str">
        <f>IFERROR(__xludf.DUMMYFUNCTION("""COMPUTED_VALUE"""),"Badaou (Zangon Boubacar)")</f>
        <v>Badaou (Zangon Boubacar)</v>
      </c>
      <c r="G2274" s="16"/>
      <c r="H2274" s="14"/>
      <c r="K2274" s="16">
        <f>IFERROR(__xludf.DUMMYFUNCTION("""COMPUTED_VALUE"""),1379.0)</f>
        <v>1379</v>
      </c>
      <c r="L2274" s="16"/>
      <c r="M2274" s="14"/>
    </row>
    <row r="2275">
      <c r="A2275" s="16" t="str">
        <f>IFERROR(__xludf.DUMMYFUNCTION("""COMPUTED_VALUE"""),"Mohamadou Amadou")</f>
        <v>Mohamadou Amadou</v>
      </c>
      <c r="B2275" s="16"/>
      <c r="C2275" s="14"/>
      <c r="F2275" s="16" t="str">
        <f>IFERROR(__xludf.DUMMYFUNCTION("""COMPUTED_VALUE"""),"Badaou (Zangon Boubacar)")</f>
        <v>Badaou (Zangon Boubacar)</v>
      </c>
      <c r="G2275" s="16"/>
      <c r="H2275" s="14"/>
      <c r="K2275" s="16">
        <f>IFERROR(__xludf.DUMMYFUNCTION("""COMPUTED_VALUE"""),322.0)</f>
        <v>322</v>
      </c>
      <c r="L2275" s="16"/>
      <c r="M2275" s="14"/>
    </row>
    <row r="2276">
      <c r="A2276" s="16" t="str">
        <f>IFERROR(__xludf.DUMMYFUNCTION("""COMPUTED_VALUE"""),"Mohamadou Amadou")</f>
        <v>Mohamadou Amadou</v>
      </c>
      <c r="B2276" s="16"/>
      <c r="C2276" s="14"/>
      <c r="F2276" s="16" t="str">
        <f>IFERROR(__xludf.DUMMYFUNCTION("""COMPUTED_VALUE"""),"Falalia Daoudawa")</f>
        <v>Falalia Daoudawa</v>
      </c>
      <c r="G2276" s="16"/>
      <c r="H2276" s="14"/>
      <c r="K2276" s="16">
        <f>IFERROR(__xludf.DUMMYFUNCTION("""COMPUTED_VALUE"""),1356.0)</f>
        <v>1356</v>
      </c>
      <c r="L2276" s="16"/>
      <c r="M2276" s="14"/>
    </row>
    <row r="2277">
      <c r="A2277" s="16" t="str">
        <f>IFERROR(__xludf.DUMMYFUNCTION("""COMPUTED_VALUE"""),"Abdoul Salami Ibrahim")</f>
        <v>Abdoul Salami Ibrahim</v>
      </c>
      <c r="B2277" s="16"/>
      <c r="C2277" s="14"/>
      <c r="F2277" s="16" t="str">
        <f>IFERROR(__xludf.DUMMYFUNCTION("""COMPUTED_VALUE"""),"Falalia Daoudawa")</f>
        <v>Falalia Daoudawa</v>
      </c>
      <c r="G2277" s="16"/>
      <c r="H2277" s="14"/>
      <c r="K2277" s="16">
        <f>IFERROR(__xludf.DUMMYFUNCTION("""COMPUTED_VALUE"""),1912.0)</f>
        <v>1912</v>
      </c>
      <c r="L2277" s="16"/>
      <c r="M2277" s="14"/>
    </row>
    <row r="2278">
      <c r="A2278" s="16" t="str">
        <f>IFERROR(__xludf.DUMMYFUNCTION("""COMPUTED_VALUE"""),"Abdoul Salami Ibrahim")</f>
        <v>Abdoul Salami Ibrahim</v>
      </c>
      <c r="B2278" s="16"/>
      <c r="C2278" s="14"/>
      <c r="F2278" s="16" t="str">
        <f>IFERROR(__xludf.DUMMYFUNCTION("""COMPUTED_VALUE"""),"Falalia Daoudawa")</f>
        <v>Falalia Daoudawa</v>
      </c>
      <c r="G2278" s="16"/>
      <c r="H2278" s="14"/>
      <c r="K2278" s="16">
        <f>IFERROR(__xludf.DUMMYFUNCTION("""COMPUTED_VALUE"""),1345.0)</f>
        <v>1345</v>
      </c>
      <c r="L2278" s="16"/>
      <c r="M2278" s="14"/>
    </row>
    <row r="2279">
      <c r="A2279" s="16" t="str">
        <f>IFERROR(__xludf.DUMMYFUNCTION("""COMPUTED_VALUE"""),"Abdoul Salami Ibrahim")</f>
        <v>Abdoul Salami Ibrahim</v>
      </c>
      <c r="B2279" s="16"/>
      <c r="C2279" s="14"/>
      <c r="F2279" s="16" t="str">
        <f>IFERROR(__xludf.DUMMYFUNCTION("""COMPUTED_VALUE"""),"Falalia Kiratawa")</f>
        <v>Falalia Kiratawa</v>
      </c>
      <c r="G2279" s="16"/>
      <c r="H2279" s="14"/>
      <c r="K2279" s="16">
        <f>IFERROR(__xludf.DUMMYFUNCTION("""COMPUTED_VALUE"""),2458.0)</f>
        <v>2458</v>
      </c>
      <c r="L2279" s="16"/>
      <c r="M2279" s="14"/>
    </row>
    <row r="2280">
      <c r="A2280" s="16" t="str">
        <f>IFERROR(__xludf.DUMMYFUNCTION("""COMPUTED_VALUE"""),"Abdoul Salami Ibrahim")</f>
        <v>Abdoul Salami Ibrahim</v>
      </c>
      <c r="B2280" s="16"/>
      <c r="C2280" s="14"/>
      <c r="F2280" s="16" t="str">
        <f>IFERROR(__xludf.DUMMYFUNCTION("""COMPUTED_VALUE"""),"Toundou Kou")</f>
        <v>Toundou Kou</v>
      </c>
      <c r="G2280" s="16"/>
      <c r="H2280" s="14"/>
      <c r="K2280" s="16">
        <f>IFERROR(__xludf.DUMMYFUNCTION("""COMPUTED_VALUE"""),435.0)</f>
        <v>435</v>
      </c>
      <c r="L2280" s="16"/>
      <c r="M2280" s="14"/>
    </row>
    <row r="2281">
      <c r="A2281" s="16" t="str">
        <f>IFERROR(__xludf.DUMMYFUNCTION("""COMPUTED_VALUE"""),"Abdoul Salami Ibrahim")</f>
        <v>Abdoul Salami Ibrahim</v>
      </c>
      <c r="B2281" s="16"/>
      <c r="C2281" s="14"/>
      <c r="F2281" s="16" t="str">
        <f>IFERROR(__xludf.DUMMYFUNCTION("""COMPUTED_VALUE"""),"Toundou Kou")</f>
        <v>Toundou Kou</v>
      </c>
      <c r="G2281" s="16"/>
      <c r="H2281" s="14"/>
      <c r="K2281" s="16">
        <f>IFERROR(__xludf.DUMMYFUNCTION("""COMPUTED_VALUE"""),270.0)</f>
        <v>270</v>
      </c>
      <c r="L2281" s="16"/>
      <c r="M2281" s="14"/>
    </row>
    <row r="2282">
      <c r="A2282" s="16" t="str">
        <f>IFERROR(__xludf.DUMMYFUNCTION("""COMPUTED_VALUE"""),"Ouhoumoudou Djannou Ibrahim")</f>
        <v>Ouhoumoudou Djannou Ibrahim</v>
      </c>
      <c r="B2282" s="16"/>
      <c r="C2282" s="14"/>
      <c r="F2282" s="16" t="str">
        <f>IFERROR(__xludf.DUMMYFUNCTION("""COMPUTED_VALUE"""),"Toundou Kou")</f>
        <v>Toundou Kou</v>
      </c>
      <c r="G2282" s="16"/>
      <c r="H2282" s="14"/>
      <c r="K2282" s="16">
        <f>IFERROR(__xludf.DUMMYFUNCTION("""COMPUTED_VALUE"""),1460.0)</f>
        <v>1460</v>
      </c>
      <c r="L2282" s="16"/>
      <c r="M2282" s="14"/>
    </row>
    <row r="2283">
      <c r="A2283" s="16" t="str">
        <f>IFERROR(__xludf.DUMMYFUNCTION("""COMPUTED_VALUE"""),"Ouhoumoudou Djannou Ibrahim")</f>
        <v>Ouhoumoudou Djannou Ibrahim</v>
      </c>
      <c r="B2283" s="16"/>
      <c r="C2283" s="14"/>
      <c r="F2283" s="16" t="str">
        <f>IFERROR(__xludf.DUMMYFUNCTION("""COMPUTED_VALUE"""),"Maboyar Amaré")</f>
        <v>Maboyar Amaré</v>
      </c>
      <c r="G2283" s="16"/>
      <c r="H2283" s="14"/>
      <c r="K2283" s="16">
        <f>IFERROR(__xludf.DUMMYFUNCTION("""COMPUTED_VALUE"""),797.0)</f>
        <v>797</v>
      </c>
      <c r="L2283" s="16"/>
      <c r="M2283" s="14"/>
    </row>
    <row r="2284">
      <c r="A2284" s="16" t="str">
        <f>IFERROR(__xludf.DUMMYFUNCTION("""COMPUTED_VALUE"""),"Ouhoumoudou Djannou Ibrahim")</f>
        <v>Ouhoumoudou Djannou Ibrahim</v>
      </c>
      <c r="B2284" s="16"/>
      <c r="C2284" s="14"/>
      <c r="F2284" s="16" t="str">
        <f>IFERROR(__xludf.DUMMYFUNCTION("""COMPUTED_VALUE"""),"Maboyar Amaré")</f>
        <v>Maboyar Amaré</v>
      </c>
      <c r="G2284" s="16"/>
      <c r="H2284" s="14"/>
      <c r="K2284" s="16">
        <f>IFERROR(__xludf.DUMMYFUNCTION("""COMPUTED_VALUE"""),1457.0)</f>
        <v>1457</v>
      </c>
      <c r="L2284" s="16"/>
      <c r="M2284" s="14"/>
    </row>
    <row r="2285">
      <c r="A2285" s="16" t="str">
        <f>IFERROR(__xludf.DUMMYFUNCTION("""COMPUTED_VALUE"""),"Ouhoumoudou Djannou Ibrahim")</f>
        <v>Ouhoumoudou Djannou Ibrahim</v>
      </c>
      <c r="B2285" s="16"/>
      <c r="C2285" s="14"/>
      <c r="F2285" s="16" t="str">
        <f>IFERROR(__xludf.DUMMYFUNCTION("""COMPUTED_VALUE"""),"Maboyar Amaré")</f>
        <v>Maboyar Amaré</v>
      </c>
      <c r="G2285" s="16"/>
      <c r="H2285" s="14"/>
      <c r="K2285" s="16">
        <f>IFERROR(__xludf.DUMMYFUNCTION("""COMPUTED_VALUE"""),454.0)</f>
        <v>454</v>
      </c>
      <c r="L2285" s="16"/>
      <c r="M2285" s="14"/>
    </row>
    <row r="2286">
      <c r="A2286" s="16" t="str">
        <f>IFERROR(__xludf.DUMMYFUNCTION("""COMPUTED_VALUE"""),"Ouhoumoudou Djannou Ibrahim")</f>
        <v>Ouhoumoudou Djannou Ibrahim</v>
      </c>
      <c r="B2286" s="16"/>
      <c r="C2286" s="14"/>
      <c r="F2286" s="16" t="str">
        <f>IFERROR(__xludf.DUMMYFUNCTION("""COMPUTED_VALUE"""),"Maboyar Amaré")</f>
        <v>Maboyar Amaré</v>
      </c>
      <c r="G2286" s="16"/>
      <c r="H2286" s="14"/>
      <c r="K2286" s="16">
        <f>IFERROR(__xludf.DUMMYFUNCTION("""COMPUTED_VALUE"""),531.0)</f>
        <v>531</v>
      </c>
      <c r="L2286" s="16"/>
      <c r="M2286" s="14"/>
    </row>
    <row r="2287">
      <c r="A2287" s="16" t="str">
        <f>IFERROR(__xludf.DUMMYFUNCTION("""COMPUTED_VALUE"""),"Ouhoumoudou Djannou Ibrahim")</f>
        <v>Ouhoumoudou Djannou Ibrahim</v>
      </c>
      <c r="B2287" s="16"/>
      <c r="C2287" s="14"/>
      <c r="F2287" s="16" t="str">
        <f>IFERROR(__xludf.DUMMYFUNCTION("""COMPUTED_VALUE"""),"Maboyar Amaré")</f>
        <v>Maboyar Amaré</v>
      </c>
      <c r="G2287" s="16"/>
      <c r="H2287" s="14"/>
      <c r="K2287" s="16">
        <f>IFERROR(__xludf.DUMMYFUNCTION("""COMPUTED_VALUE"""),248.0)</f>
        <v>248</v>
      </c>
      <c r="L2287" s="16"/>
      <c r="M2287" s="14"/>
    </row>
    <row r="2288">
      <c r="A2288" s="16" t="str">
        <f>IFERROR(__xludf.DUMMYFUNCTION("""COMPUTED_VALUE"""),"Hachimou Rabiou Mamoudou")</f>
        <v>Hachimou Rabiou Mamoudou</v>
      </c>
      <c r="B2288" s="16"/>
      <c r="C2288" s="14"/>
      <c r="F2288" s="16" t="str">
        <f>IFERROR(__xludf.DUMMYFUNCTION("""COMPUTED_VALUE"""),"Maboyar Amaré")</f>
        <v>Maboyar Amaré</v>
      </c>
      <c r="G2288" s="16"/>
      <c r="H2288" s="14"/>
      <c r="K2288" s="16">
        <f>IFERROR(__xludf.DUMMYFUNCTION("""COMPUTED_VALUE"""),1577.0)</f>
        <v>1577</v>
      </c>
      <c r="L2288" s="16"/>
      <c r="M2288" s="14"/>
    </row>
    <row r="2289">
      <c r="A2289" s="16" t="str">
        <f>IFERROR(__xludf.DUMMYFUNCTION("""COMPUTED_VALUE"""),"Hachimou Rabiou Mamoudou")</f>
        <v>Hachimou Rabiou Mamoudou</v>
      </c>
      <c r="B2289" s="16"/>
      <c r="C2289" s="14"/>
      <c r="F2289" s="16" t="str">
        <f>IFERROR(__xludf.DUMMYFUNCTION("""COMPUTED_VALUE"""),"Maboyar Amaré")</f>
        <v>Maboyar Amaré</v>
      </c>
      <c r="G2289" s="16"/>
      <c r="H2289" s="14"/>
      <c r="K2289" s="16">
        <f>IFERROR(__xludf.DUMMYFUNCTION("""COMPUTED_VALUE"""),1830.0)</f>
        <v>1830</v>
      </c>
      <c r="L2289" s="16"/>
      <c r="M2289" s="14"/>
    </row>
    <row r="2290">
      <c r="A2290" s="16" t="str">
        <f>IFERROR(__xludf.DUMMYFUNCTION("""COMPUTED_VALUE"""),"Hachimou Rabiou Mamoudou")</f>
        <v>Hachimou Rabiou Mamoudou</v>
      </c>
      <c r="B2290" s="16"/>
      <c r="C2290" s="14"/>
      <c r="F2290" s="16" t="str">
        <f>IFERROR(__xludf.DUMMYFUNCTION("""COMPUTED_VALUE"""),"Badaou (Zangon Boubacar)")</f>
        <v>Badaou (Zangon Boubacar)</v>
      </c>
      <c r="G2290" s="16"/>
      <c r="H2290" s="14"/>
      <c r="K2290" s="16">
        <f>IFERROR(__xludf.DUMMYFUNCTION("""COMPUTED_VALUE"""),1584.0)</f>
        <v>1584</v>
      </c>
      <c r="L2290" s="16"/>
      <c r="M2290" s="14"/>
    </row>
    <row r="2291">
      <c r="A2291" s="16" t="str">
        <f>IFERROR(__xludf.DUMMYFUNCTION("""COMPUTED_VALUE"""),"Hachimou Rabiou Mamoudou")</f>
        <v>Hachimou Rabiou Mamoudou</v>
      </c>
      <c r="B2291" s="16"/>
      <c r="C2291" s="14"/>
      <c r="F2291" s="16" t="str">
        <f>IFERROR(__xludf.DUMMYFUNCTION("""COMPUTED_VALUE"""),"Badaou (Zangon Boubacar)")</f>
        <v>Badaou (Zangon Boubacar)</v>
      </c>
      <c r="G2291" s="16"/>
      <c r="H2291" s="14"/>
      <c r="K2291" s="16">
        <f>IFERROR(__xludf.DUMMYFUNCTION("""COMPUTED_VALUE"""),1116.0)</f>
        <v>1116</v>
      </c>
      <c r="L2291" s="16"/>
      <c r="M2291" s="14"/>
    </row>
    <row r="2292">
      <c r="A2292" s="16" t="str">
        <f>IFERROR(__xludf.DUMMYFUNCTION("""COMPUTED_VALUE"""),"Hachimou Rabiou Mamoudou")</f>
        <v>Hachimou Rabiou Mamoudou</v>
      </c>
      <c r="B2292" s="16"/>
      <c r="C2292" s="14"/>
      <c r="F2292" s="16" t="str">
        <f>IFERROR(__xludf.DUMMYFUNCTION("""COMPUTED_VALUE"""),"Badaou (Zangon Boubacar)")</f>
        <v>Badaou (Zangon Boubacar)</v>
      </c>
      <c r="G2292" s="16"/>
      <c r="H2292" s="14"/>
      <c r="K2292" s="16">
        <f>IFERROR(__xludf.DUMMYFUNCTION("""COMPUTED_VALUE"""),858.0)</f>
        <v>858</v>
      </c>
      <c r="L2292" s="16"/>
      <c r="M2292" s="14"/>
    </row>
    <row r="2293">
      <c r="A2293" s="16" t="str">
        <f>IFERROR(__xludf.DUMMYFUNCTION("""COMPUTED_VALUE"""),"Hachimou Rabiou Mamoudou")</f>
        <v>Hachimou Rabiou Mamoudou</v>
      </c>
      <c r="B2293" s="16"/>
      <c r="C2293" s="14"/>
      <c r="F2293" s="16" t="str">
        <f>IFERROR(__xludf.DUMMYFUNCTION("""COMPUTED_VALUE"""),"Badaou (Zangon Boubacar)")</f>
        <v>Badaou (Zangon Boubacar)</v>
      </c>
      <c r="G2293" s="16"/>
      <c r="H2293" s="14"/>
      <c r="K2293" s="16">
        <f>IFERROR(__xludf.DUMMYFUNCTION("""COMPUTED_VALUE"""),313.0)</f>
        <v>313</v>
      </c>
      <c r="L2293" s="16"/>
      <c r="M2293" s="14"/>
    </row>
    <row r="2294">
      <c r="A2294" s="16" t="str">
        <f>IFERROR(__xludf.DUMMYFUNCTION("""COMPUTED_VALUE"""),"Issoufou Amadou Aichatou")</f>
        <v>Issoufou Amadou Aichatou</v>
      </c>
      <c r="B2294" s="16"/>
      <c r="C2294" s="14"/>
      <c r="F2294" s="16" t="str">
        <f>IFERROR(__xludf.DUMMYFUNCTION("""COMPUTED_VALUE"""),"Falalia Daoudawa")</f>
        <v>Falalia Daoudawa</v>
      </c>
      <c r="G2294" s="16"/>
      <c r="H2294" s="14"/>
      <c r="K2294" s="16">
        <f>IFERROR(__xludf.DUMMYFUNCTION("""COMPUTED_VALUE"""),525.0)</f>
        <v>525</v>
      </c>
      <c r="L2294" s="16"/>
      <c r="M2294" s="14"/>
    </row>
    <row r="2295">
      <c r="A2295" s="16" t="str">
        <f>IFERROR(__xludf.DUMMYFUNCTION("""COMPUTED_VALUE"""),"Issoufou Amadou Aichatou")</f>
        <v>Issoufou Amadou Aichatou</v>
      </c>
      <c r="B2295" s="16"/>
      <c r="C2295" s="14"/>
      <c r="F2295" s="16" t="str">
        <f>IFERROR(__xludf.DUMMYFUNCTION("""COMPUTED_VALUE"""),"Falalia Daoudawa")</f>
        <v>Falalia Daoudawa</v>
      </c>
      <c r="G2295" s="16"/>
      <c r="H2295" s="14"/>
      <c r="K2295" s="16">
        <f>IFERROR(__xludf.DUMMYFUNCTION("""COMPUTED_VALUE"""),197.0)</f>
        <v>197</v>
      </c>
      <c r="L2295" s="16"/>
      <c r="M2295" s="14"/>
    </row>
    <row r="2296">
      <c r="A2296" s="16" t="str">
        <f>IFERROR(__xludf.DUMMYFUNCTION("""COMPUTED_VALUE"""),"Issoufou Amadou Aichatou")</f>
        <v>Issoufou Amadou Aichatou</v>
      </c>
      <c r="B2296" s="16"/>
      <c r="C2296" s="14"/>
      <c r="F2296" s="16" t="str">
        <f>IFERROR(__xludf.DUMMYFUNCTION("""COMPUTED_VALUE"""),"Falalia Daoudawa")</f>
        <v>Falalia Daoudawa</v>
      </c>
      <c r="G2296" s="16"/>
      <c r="H2296" s="14"/>
      <c r="K2296" s="16">
        <f>IFERROR(__xludf.DUMMYFUNCTION("""COMPUTED_VALUE"""),579.0)</f>
        <v>579</v>
      </c>
      <c r="L2296" s="16"/>
      <c r="M2296" s="14"/>
    </row>
    <row r="2297">
      <c r="A2297" s="16" t="str">
        <f>IFERROR(__xludf.DUMMYFUNCTION("""COMPUTED_VALUE"""),"Issoufou Amadou Aichatou")</f>
        <v>Issoufou Amadou Aichatou</v>
      </c>
      <c r="B2297" s="16"/>
      <c r="C2297" s="14"/>
      <c r="F2297" s="16" t="str">
        <f>IFERROR(__xludf.DUMMYFUNCTION("""COMPUTED_VALUE"""),"Falalia Daoudawa")</f>
        <v>Falalia Daoudawa</v>
      </c>
      <c r="G2297" s="16"/>
      <c r="H2297" s="14"/>
      <c r="K2297" s="16">
        <f>IFERROR(__xludf.DUMMYFUNCTION("""COMPUTED_VALUE"""),825.0)</f>
        <v>825</v>
      </c>
      <c r="L2297" s="16"/>
      <c r="M2297" s="14"/>
    </row>
    <row r="2298">
      <c r="A2298" s="16" t="str">
        <f>IFERROR(__xludf.DUMMYFUNCTION("""COMPUTED_VALUE"""),"Issoufou Amadou Aichatou")</f>
        <v>Issoufou Amadou Aichatou</v>
      </c>
      <c r="B2298" s="16"/>
      <c r="C2298" s="14"/>
      <c r="F2298" s="16" t="str">
        <f>IFERROR(__xludf.DUMMYFUNCTION("""COMPUTED_VALUE"""),"Falalia Daoudawa")</f>
        <v>Falalia Daoudawa</v>
      </c>
      <c r="G2298" s="16"/>
      <c r="H2298" s="14"/>
      <c r="K2298" s="16">
        <f>IFERROR(__xludf.DUMMYFUNCTION("""COMPUTED_VALUE"""),565.0)</f>
        <v>565</v>
      </c>
      <c r="L2298" s="16"/>
      <c r="M2298" s="14"/>
    </row>
    <row r="2299">
      <c r="A2299" s="16" t="str">
        <f>IFERROR(__xludf.DUMMYFUNCTION("""COMPUTED_VALUE"""),"Sani Moussa Aboubacar")</f>
        <v>Sani Moussa Aboubacar</v>
      </c>
      <c r="B2299" s="16"/>
      <c r="C2299" s="14"/>
      <c r="F2299" s="16" t="str">
        <f>IFERROR(__xludf.DUMMYFUNCTION("""COMPUTED_VALUE"""),"Falalia Guidan Saidi (Ibrahim)")</f>
        <v>Falalia Guidan Saidi (Ibrahim)</v>
      </c>
      <c r="G2299" s="16"/>
      <c r="H2299" s="14"/>
      <c r="K2299" s="16">
        <f>IFERROR(__xludf.DUMMYFUNCTION("""COMPUTED_VALUE"""),580.0)</f>
        <v>580</v>
      </c>
      <c r="L2299" s="16"/>
      <c r="M2299" s="14"/>
    </row>
    <row r="2300">
      <c r="A2300" s="16" t="str">
        <f>IFERROR(__xludf.DUMMYFUNCTION("""COMPUTED_VALUE"""),"Sani Moussa Aboubacar")</f>
        <v>Sani Moussa Aboubacar</v>
      </c>
      <c r="B2300" s="16"/>
      <c r="C2300" s="14"/>
      <c r="F2300" s="16" t="str">
        <f>IFERROR(__xludf.DUMMYFUNCTION("""COMPUTED_VALUE"""),"Maboyar Amaré")</f>
        <v>Maboyar Amaré</v>
      </c>
      <c r="G2300" s="16"/>
      <c r="H2300" s="14"/>
      <c r="K2300" s="16">
        <f>IFERROR(__xludf.DUMMYFUNCTION("""COMPUTED_VALUE"""),637.0)</f>
        <v>637</v>
      </c>
      <c r="L2300" s="16"/>
      <c r="M2300" s="14"/>
    </row>
    <row r="2301">
      <c r="A2301" s="16" t="str">
        <f>IFERROR(__xludf.DUMMYFUNCTION("""COMPUTED_VALUE"""),"Abdoul Razak Mahamane Boukari")</f>
        <v>Abdoul Razak Mahamane Boukari</v>
      </c>
      <c r="B2301" s="16"/>
      <c r="C2301" s="14"/>
      <c r="F2301" s="16" t="str">
        <f>IFERROR(__xludf.DUMMYFUNCTION("""COMPUTED_VALUE"""),"Badaou (Zangon Boubacar)")</f>
        <v>Badaou (Zangon Boubacar)</v>
      </c>
      <c r="G2301" s="16"/>
      <c r="H2301" s="14"/>
      <c r="K2301" s="16">
        <f>IFERROR(__xludf.DUMMYFUNCTION("""COMPUTED_VALUE"""),247.0)</f>
        <v>247</v>
      </c>
      <c r="L2301" s="16"/>
      <c r="M2301" s="14"/>
    </row>
    <row r="2302">
      <c r="A2302" s="16" t="str">
        <f>IFERROR(__xludf.DUMMYFUNCTION("""COMPUTED_VALUE"""),"Abdoul Razak Mahamane Boukari")</f>
        <v>Abdoul Razak Mahamane Boukari</v>
      </c>
      <c r="B2302" s="16"/>
      <c r="C2302" s="14"/>
      <c r="F2302" s="16" t="str">
        <f>IFERROR(__xludf.DUMMYFUNCTION("""COMPUTED_VALUE"""),"Kabima-Al Baraka")</f>
        <v>Kabima-Al Baraka</v>
      </c>
      <c r="G2302" s="16"/>
      <c r="H2302" s="14"/>
      <c r="K2302" s="16">
        <f>IFERROR(__xludf.DUMMYFUNCTION("""COMPUTED_VALUE"""),259.0)</f>
        <v>259</v>
      </c>
      <c r="L2302" s="16"/>
      <c r="M2302" s="14"/>
    </row>
    <row r="2303">
      <c r="A2303" s="16" t="str">
        <f>IFERROR(__xludf.DUMMYFUNCTION("""COMPUTED_VALUE"""),"Abdoul Razak Mahamane Boukari")</f>
        <v>Abdoul Razak Mahamane Boukari</v>
      </c>
      <c r="B2303" s="16"/>
      <c r="C2303" s="14"/>
      <c r="F2303" s="16" t="str">
        <f>IFERROR(__xludf.DUMMYFUNCTION("""COMPUTED_VALUE"""),"Sabon Guida Damna")</f>
        <v>Sabon Guida Damna</v>
      </c>
      <c r="G2303" s="16"/>
      <c r="H2303" s="14"/>
      <c r="K2303" s="16">
        <f>IFERROR(__xludf.DUMMYFUNCTION("""COMPUTED_VALUE"""),869.0)</f>
        <v>869</v>
      </c>
      <c r="L2303" s="16"/>
      <c r="M2303" s="14"/>
    </row>
    <row r="2304">
      <c r="A2304" s="16" t="str">
        <f>IFERROR(__xludf.DUMMYFUNCTION("""COMPUTED_VALUE"""),"Abdoul Razak Mahamane Boukari")</f>
        <v>Abdoul Razak Mahamane Boukari</v>
      </c>
      <c r="B2304" s="16"/>
      <c r="C2304" s="14"/>
      <c r="F2304" s="16" t="str">
        <f>IFERROR(__xludf.DUMMYFUNCTION("""COMPUTED_VALUE"""),"Sabon Guida Damna")</f>
        <v>Sabon Guida Damna</v>
      </c>
      <c r="G2304" s="16"/>
      <c r="H2304" s="14"/>
      <c r="K2304" s="16">
        <f>IFERROR(__xludf.DUMMYFUNCTION("""COMPUTED_VALUE"""),286.0)</f>
        <v>286</v>
      </c>
      <c r="L2304" s="16"/>
      <c r="M2304" s="14"/>
    </row>
    <row r="2305">
      <c r="A2305" s="16" t="str">
        <f>IFERROR(__xludf.DUMMYFUNCTION("""COMPUTED_VALUE"""),"Abdoul Razak Mahamane Boukari")</f>
        <v>Abdoul Razak Mahamane Boukari</v>
      </c>
      <c r="B2305" s="16"/>
      <c r="C2305" s="14"/>
      <c r="F2305" s="16" t="str">
        <f>IFERROR(__xludf.DUMMYFUNCTION("""COMPUTED_VALUE"""),"Falalia Daoudawa")</f>
        <v>Falalia Daoudawa</v>
      </c>
      <c r="G2305" s="16"/>
      <c r="H2305" s="14"/>
      <c r="K2305" s="16">
        <f>IFERROR(__xludf.DUMMYFUNCTION("""COMPUTED_VALUE"""),675.0)</f>
        <v>675</v>
      </c>
      <c r="L2305" s="16"/>
      <c r="M2305" s="14"/>
    </row>
    <row r="2306">
      <c r="A2306" s="16" t="str">
        <f>IFERROR(__xludf.DUMMYFUNCTION("""COMPUTED_VALUE"""),"Abdoul Razak Mahamane Boukari")</f>
        <v>Abdoul Razak Mahamane Boukari</v>
      </c>
      <c r="B2306" s="16"/>
      <c r="C2306" s="14"/>
      <c r="F2306" s="16" t="str">
        <f>IFERROR(__xludf.DUMMYFUNCTION("""COMPUTED_VALUE"""),"Badaou (Zangon Boubacar)")</f>
        <v>Badaou (Zangon Boubacar)</v>
      </c>
      <c r="G2306" s="16"/>
      <c r="H2306" s="14"/>
      <c r="K2306" s="16">
        <f>IFERROR(__xludf.DUMMYFUNCTION("""COMPUTED_VALUE"""),1133.0)</f>
        <v>1133</v>
      </c>
      <c r="L2306" s="16"/>
      <c r="M2306" s="14"/>
    </row>
    <row r="2307">
      <c r="A2307" s="16" t="str">
        <f>IFERROR(__xludf.DUMMYFUNCTION("""COMPUTED_VALUE"""),"Abdoul Razak Mahamane Boukari")</f>
        <v>Abdoul Razak Mahamane Boukari</v>
      </c>
      <c r="B2307" s="16"/>
      <c r="C2307" s="14"/>
      <c r="F2307" s="16" t="str">
        <f>IFERROR(__xludf.DUMMYFUNCTION("""COMPUTED_VALUE"""),"Badaou (Zangon Boubacar)")</f>
        <v>Badaou (Zangon Boubacar)</v>
      </c>
      <c r="G2307" s="16"/>
      <c r="H2307" s="14"/>
      <c r="K2307" s="16">
        <f>IFERROR(__xludf.DUMMYFUNCTION("""COMPUTED_VALUE"""),922.0)</f>
        <v>922</v>
      </c>
      <c r="L2307" s="16"/>
      <c r="M2307" s="14"/>
    </row>
    <row r="2308">
      <c r="A2308" s="16" t="str">
        <f>IFERROR(__xludf.DUMMYFUNCTION("""COMPUTED_VALUE"""),"Sani Moussa Aboubacar")</f>
        <v>Sani Moussa Aboubacar</v>
      </c>
      <c r="B2308" s="16"/>
      <c r="C2308" s="14"/>
      <c r="F2308" s="16" t="str">
        <f>IFERROR(__xludf.DUMMYFUNCTION("""COMPUTED_VALUE"""),"Badaou (Zangon Boubacar)")</f>
        <v>Badaou (Zangon Boubacar)</v>
      </c>
      <c r="G2308" s="16"/>
      <c r="H2308" s="14"/>
      <c r="K2308" s="16">
        <f>IFERROR(__xludf.DUMMYFUNCTION("""COMPUTED_VALUE"""),536.0)</f>
        <v>536</v>
      </c>
      <c r="L2308" s="16"/>
      <c r="M2308" s="14"/>
    </row>
    <row r="2309">
      <c r="A2309" s="16" t="str">
        <f>IFERROR(__xludf.DUMMYFUNCTION("""COMPUTED_VALUE"""),"Sani Moussa Aboubacar")</f>
        <v>Sani Moussa Aboubacar</v>
      </c>
      <c r="B2309" s="16"/>
      <c r="C2309" s="14"/>
      <c r="F2309" s="16" t="str">
        <f>IFERROR(__xludf.DUMMYFUNCTION("""COMPUTED_VALUE"""),"Badaou (Zangon Boubacar)")</f>
        <v>Badaou (Zangon Boubacar)</v>
      </c>
      <c r="G2309" s="16"/>
      <c r="H2309" s="14"/>
      <c r="K2309" s="16">
        <f>IFERROR(__xludf.DUMMYFUNCTION("""COMPUTED_VALUE"""),347.0)</f>
        <v>347</v>
      </c>
      <c r="L2309" s="16"/>
      <c r="M2309" s="14"/>
    </row>
    <row r="2310">
      <c r="A2310" s="16" t="str">
        <f>IFERROR(__xludf.DUMMYFUNCTION("""COMPUTED_VALUE"""),"Sani Moussa Aboubacar")</f>
        <v>Sani Moussa Aboubacar</v>
      </c>
      <c r="B2310" s="16"/>
      <c r="C2310" s="14"/>
      <c r="F2310" s="16" t="str">
        <f>IFERROR(__xludf.DUMMYFUNCTION("""COMPUTED_VALUE"""),"Badaou (Zangon Boubacar)")</f>
        <v>Badaou (Zangon Boubacar)</v>
      </c>
      <c r="G2310" s="16"/>
      <c r="H2310" s="14"/>
      <c r="K2310" s="16">
        <f>IFERROR(__xludf.DUMMYFUNCTION("""COMPUTED_VALUE"""),564.0)</f>
        <v>564</v>
      </c>
      <c r="L2310" s="16"/>
      <c r="M2310" s="14"/>
    </row>
    <row r="2311">
      <c r="A2311" s="16" t="str">
        <f>IFERROR(__xludf.DUMMYFUNCTION("""COMPUTED_VALUE"""),"Sani Moussa Aboubacar")</f>
        <v>Sani Moussa Aboubacar</v>
      </c>
      <c r="B2311" s="16"/>
      <c r="C2311" s="14"/>
      <c r="F2311" s="16" t="str">
        <f>IFERROR(__xludf.DUMMYFUNCTION("""COMPUTED_VALUE"""),"Falalia Daoudawa")</f>
        <v>Falalia Daoudawa</v>
      </c>
      <c r="G2311" s="16"/>
      <c r="H2311" s="14"/>
      <c r="K2311" s="16">
        <f>IFERROR(__xludf.DUMMYFUNCTION("""COMPUTED_VALUE"""),439.0)</f>
        <v>439</v>
      </c>
      <c r="L2311" s="16"/>
      <c r="M2311" s="14"/>
    </row>
    <row r="2312">
      <c r="A2312" s="16" t="str">
        <f>IFERROR(__xludf.DUMMYFUNCTION("""COMPUTED_VALUE"""),"Sani Moussa Aboubacar")</f>
        <v>Sani Moussa Aboubacar</v>
      </c>
      <c r="B2312" s="16"/>
      <c r="C2312" s="14"/>
      <c r="F2312" s="16" t="str">
        <f>IFERROR(__xludf.DUMMYFUNCTION("""COMPUTED_VALUE"""),"Falalia Daoudawa")</f>
        <v>Falalia Daoudawa</v>
      </c>
      <c r="G2312" s="16"/>
      <c r="H2312" s="14"/>
      <c r="K2312" s="16">
        <f>IFERROR(__xludf.DUMMYFUNCTION("""COMPUTED_VALUE"""),782.0)</f>
        <v>782</v>
      </c>
      <c r="L2312" s="16"/>
      <c r="M2312" s="14"/>
    </row>
    <row r="2313">
      <c r="A2313" s="16" t="str">
        <f>IFERROR(__xludf.DUMMYFUNCTION("""COMPUTED_VALUE"""),"Sani Moussa Aboubacar")</f>
        <v>Sani Moussa Aboubacar</v>
      </c>
      <c r="B2313" s="16"/>
      <c r="C2313" s="14"/>
      <c r="F2313" s="16" t="str">
        <f>IFERROR(__xludf.DUMMYFUNCTION("""COMPUTED_VALUE"""),"Falalia Daoudawa")</f>
        <v>Falalia Daoudawa</v>
      </c>
      <c r="G2313" s="16"/>
      <c r="H2313" s="14"/>
      <c r="K2313" s="16">
        <f>IFERROR(__xludf.DUMMYFUNCTION("""COMPUTED_VALUE"""),1169.0)</f>
        <v>1169</v>
      </c>
      <c r="L2313" s="16"/>
      <c r="M2313" s="14"/>
    </row>
    <row r="2314">
      <c r="A2314" s="16" t="str">
        <f>IFERROR(__xludf.DUMMYFUNCTION("""COMPUTED_VALUE"""),"Sani Moussa Aboubacar")</f>
        <v>Sani Moussa Aboubacar</v>
      </c>
      <c r="B2314" s="16"/>
      <c r="C2314" s="14"/>
      <c r="F2314" s="16" t="str">
        <f>IFERROR(__xludf.DUMMYFUNCTION("""COMPUTED_VALUE"""),"Falalia Daoudawa")</f>
        <v>Falalia Daoudawa</v>
      </c>
      <c r="G2314" s="16"/>
      <c r="H2314" s="14"/>
      <c r="K2314" s="16">
        <f>IFERROR(__xludf.DUMMYFUNCTION("""COMPUTED_VALUE"""),1010.0)</f>
        <v>1010</v>
      </c>
      <c r="L2314" s="16"/>
      <c r="M2314" s="14"/>
    </row>
    <row r="2315">
      <c r="A2315" s="16" t="str">
        <f>IFERROR(__xludf.DUMMYFUNCTION("""COMPUTED_VALUE"""),"Sani Moussa Aboubacar")</f>
        <v>Sani Moussa Aboubacar</v>
      </c>
      <c r="B2315" s="16"/>
      <c r="C2315" s="14"/>
      <c r="F2315" s="16" t="str">
        <f>IFERROR(__xludf.DUMMYFUNCTION("""COMPUTED_VALUE"""),"Maboyar Amaré")</f>
        <v>Maboyar Amaré</v>
      </c>
      <c r="G2315" s="16"/>
      <c r="H2315" s="14"/>
      <c r="K2315" s="16">
        <f>IFERROR(__xludf.DUMMYFUNCTION("""COMPUTED_VALUE"""),477.0)</f>
        <v>477</v>
      </c>
      <c r="L2315" s="16"/>
      <c r="M2315" s="14"/>
    </row>
    <row r="2316">
      <c r="A2316" s="16" t="str">
        <f>IFERROR(__xludf.DUMMYFUNCTION("""COMPUTED_VALUE"""),"Sani Moussa Aboubacar")</f>
        <v>Sani Moussa Aboubacar</v>
      </c>
      <c r="B2316" s="16"/>
      <c r="C2316" s="14"/>
      <c r="F2316" s="16" t="str">
        <f>IFERROR(__xludf.DUMMYFUNCTION("""COMPUTED_VALUE"""),"Maboyar Amaré")</f>
        <v>Maboyar Amaré</v>
      </c>
      <c r="G2316" s="16"/>
      <c r="H2316" s="14"/>
      <c r="K2316" s="16">
        <f>IFERROR(__xludf.DUMMYFUNCTION("""COMPUTED_VALUE"""),317.0)</f>
        <v>317</v>
      </c>
      <c r="L2316" s="16"/>
      <c r="M2316" s="14"/>
    </row>
    <row r="2317">
      <c r="A2317" s="16" t="str">
        <f>IFERROR(__xludf.DUMMYFUNCTION("""COMPUTED_VALUE"""),"Sani Moussa Aboubacar")</f>
        <v>Sani Moussa Aboubacar</v>
      </c>
      <c r="B2317" s="16"/>
      <c r="C2317" s="14"/>
      <c r="F2317" s="16" t="str">
        <f>IFERROR(__xludf.DUMMYFUNCTION("""COMPUTED_VALUE"""),"Maboyar Amaré")</f>
        <v>Maboyar Amaré</v>
      </c>
      <c r="G2317" s="16"/>
      <c r="H2317" s="14"/>
      <c r="K2317" s="16">
        <f>IFERROR(__xludf.DUMMYFUNCTION("""COMPUTED_VALUE"""),429.0)</f>
        <v>429</v>
      </c>
      <c r="L2317" s="16"/>
      <c r="M2317" s="14"/>
    </row>
    <row r="2318">
      <c r="A2318" s="16" t="str">
        <f>IFERROR(__xludf.DUMMYFUNCTION("""COMPUTED_VALUE"""),"Amadou Tidjani Ousmane")</f>
        <v>Amadou Tidjani Ousmane</v>
      </c>
      <c r="B2318" s="16"/>
      <c r="C2318" s="14"/>
      <c r="F2318" s="16" t="str">
        <f>IFERROR(__xludf.DUMMYFUNCTION("""COMPUTED_VALUE"""),"Maboyar Amaré")</f>
        <v>Maboyar Amaré</v>
      </c>
      <c r="G2318" s="16"/>
      <c r="H2318" s="14"/>
      <c r="K2318" s="16">
        <f>IFERROR(__xludf.DUMMYFUNCTION("""COMPUTED_VALUE"""),364.0)</f>
        <v>364</v>
      </c>
      <c r="L2318" s="16"/>
      <c r="M2318" s="14"/>
    </row>
    <row r="2319">
      <c r="A2319" s="16" t="str">
        <f>IFERROR(__xludf.DUMMYFUNCTION("""COMPUTED_VALUE"""),"Amadou Tidjani Ousmane")</f>
        <v>Amadou Tidjani Ousmane</v>
      </c>
      <c r="B2319" s="16"/>
      <c r="C2319" s="14"/>
      <c r="F2319" s="16" t="str">
        <f>IFERROR(__xludf.DUMMYFUNCTION("""COMPUTED_VALUE"""),"Maboyar Amaré")</f>
        <v>Maboyar Amaré</v>
      </c>
      <c r="G2319" s="16"/>
      <c r="H2319" s="14"/>
      <c r="K2319" s="16">
        <f>IFERROR(__xludf.DUMMYFUNCTION("""COMPUTED_VALUE"""),858.0)</f>
        <v>858</v>
      </c>
      <c r="L2319" s="16"/>
      <c r="M2319" s="14"/>
    </row>
    <row r="2320">
      <c r="A2320" s="16" t="str">
        <f>IFERROR(__xludf.DUMMYFUNCTION("""COMPUTED_VALUE"""),"Amadou Tidjani Ousmane")</f>
        <v>Amadou Tidjani Ousmane</v>
      </c>
      <c r="B2320" s="16"/>
      <c r="C2320" s="14"/>
      <c r="F2320" s="16" t="str">
        <f>IFERROR(__xludf.DUMMYFUNCTION("""COMPUTED_VALUE"""),"Maboyar Amaré")</f>
        <v>Maboyar Amaré</v>
      </c>
      <c r="G2320" s="16"/>
      <c r="H2320" s="14"/>
      <c r="K2320" s="16">
        <f>IFERROR(__xludf.DUMMYFUNCTION("""COMPUTED_VALUE"""),322.0)</f>
        <v>322</v>
      </c>
      <c r="L2320" s="16"/>
      <c r="M2320" s="14"/>
    </row>
    <row r="2321">
      <c r="A2321" s="16" t="str">
        <f>IFERROR(__xludf.DUMMYFUNCTION("""COMPUTED_VALUE"""),"Amadou Tidjani Ousmane")</f>
        <v>Amadou Tidjani Ousmane</v>
      </c>
      <c r="B2321" s="16"/>
      <c r="C2321" s="14"/>
      <c r="F2321" s="16" t="str">
        <f>IFERROR(__xludf.DUMMYFUNCTION("""COMPUTED_VALUE"""),"Maboyar Amaré")</f>
        <v>Maboyar Amaré</v>
      </c>
      <c r="G2321" s="16"/>
      <c r="H2321" s="14"/>
      <c r="K2321" s="16">
        <f>IFERROR(__xludf.DUMMYFUNCTION("""COMPUTED_VALUE"""),738.0)</f>
        <v>738</v>
      </c>
      <c r="L2321" s="16"/>
      <c r="M2321" s="14"/>
    </row>
    <row r="2322">
      <c r="A2322" s="16" t="str">
        <f>IFERROR(__xludf.DUMMYFUNCTION("""COMPUTED_VALUE"""),"Amadou Tidjani Ousmane")</f>
        <v>Amadou Tidjani Ousmane</v>
      </c>
      <c r="B2322" s="16"/>
      <c r="C2322" s="14"/>
      <c r="F2322" s="16" t="str">
        <f>IFERROR(__xludf.DUMMYFUNCTION("""COMPUTED_VALUE"""),"Maboyar Amaré")</f>
        <v>Maboyar Amaré</v>
      </c>
      <c r="G2322" s="16"/>
      <c r="H2322" s="14"/>
      <c r="K2322" s="16">
        <f>IFERROR(__xludf.DUMMYFUNCTION("""COMPUTED_VALUE"""),244.0)</f>
        <v>244</v>
      </c>
      <c r="L2322" s="16"/>
      <c r="M2322" s="14"/>
    </row>
    <row r="2323">
      <c r="A2323" s="16" t="str">
        <f>IFERROR(__xludf.DUMMYFUNCTION("""COMPUTED_VALUE"""),"Amadou Tidjani Ousmane")</f>
        <v>Amadou Tidjani Ousmane</v>
      </c>
      <c r="B2323" s="16"/>
      <c r="C2323" s="14"/>
      <c r="F2323" s="16" t="str">
        <f>IFERROR(__xludf.DUMMYFUNCTION("""COMPUTED_VALUE"""),"Maboyar Amaré")</f>
        <v>Maboyar Amaré</v>
      </c>
      <c r="G2323" s="16"/>
      <c r="H2323" s="14"/>
      <c r="K2323" s="16">
        <f>IFERROR(__xludf.DUMMYFUNCTION("""COMPUTED_VALUE"""),865.0)</f>
        <v>865</v>
      </c>
      <c r="L2323" s="16"/>
      <c r="M2323" s="14"/>
    </row>
    <row r="2324">
      <c r="A2324" s="16" t="str">
        <f>IFERROR(__xludf.DUMMYFUNCTION("""COMPUTED_VALUE"""),"Amadou Tidjani Ousmane")</f>
        <v>Amadou Tidjani Ousmane</v>
      </c>
      <c r="B2324" s="16"/>
      <c r="C2324" s="14"/>
      <c r="F2324" s="16" t="str">
        <f>IFERROR(__xludf.DUMMYFUNCTION("""COMPUTED_VALUE"""),"Maboyar Amaré")</f>
        <v>Maboyar Amaré</v>
      </c>
      <c r="G2324" s="16"/>
      <c r="H2324" s="14"/>
      <c r="K2324" s="16">
        <f>IFERROR(__xludf.DUMMYFUNCTION("""COMPUTED_VALUE"""),596.0)</f>
        <v>596</v>
      </c>
      <c r="L2324" s="16"/>
      <c r="M2324" s="14"/>
    </row>
    <row r="2325">
      <c r="A2325" s="16" t="str">
        <f>IFERROR(__xludf.DUMMYFUNCTION("""COMPUTED_VALUE"""),"Amadou Tidjani Ousmane")</f>
        <v>Amadou Tidjani Ousmane</v>
      </c>
      <c r="B2325" s="16"/>
      <c r="C2325" s="14"/>
      <c r="F2325" s="16" t="str">
        <f>IFERROR(__xludf.DUMMYFUNCTION("""COMPUTED_VALUE"""),"Maboyar Amaré")</f>
        <v>Maboyar Amaré</v>
      </c>
      <c r="G2325" s="16"/>
      <c r="H2325" s="14"/>
      <c r="K2325" s="16">
        <f>IFERROR(__xludf.DUMMYFUNCTION("""COMPUTED_VALUE"""),1196.0)</f>
        <v>1196</v>
      </c>
      <c r="L2325" s="16"/>
      <c r="M2325" s="14"/>
    </row>
    <row r="2326">
      <c r="A2326" s="16" t="str">
        <f>IFERROR(__xludf.DUMMYFUNCTION("""COMPUTED_VALUE"""),"Amadou Tidjani Ousmane")</f>
        <v>Amadou Tidjani Ousmane</v>
      </c>
      <c r="B2326" s="16"/>
      <c r="C2326" s="14"/>
      <c r="F2326" s="16" t="str">
        <f>IFERROR(__xludf.DUMMYFUNCTION("""COMPUTED_VALUE"""),"Maboyar Amaré")</f>
        <v>Maboyar Amaré</v>
      </c>
      <c r="G2326" s="16"/>
      <c r="H2326" s="14"/>
      <c r="K2326" s="16">
        <f>IFERROR(__xludf.DUMMYFUNCTION("""COMPUTED_VALUE"""),1034.0)</f>
        <v>1034</v>
      </c>
      <c r="L2326" s="16"/>
      <c r="M2326" s="14"/>
    </row>
    <row r="2327">
      <c r="A2327" s="16" t="str">
        <f>IFERROR(__xludf.DUMMYFUNCTION("""COMPUTED_VALUE"""),"Amadou Tidjani Ousmane")</f>
        <v>Amadou Tidjani Ousmane</v>
      </c>
      <c r="B2327" s="16"/>
      <c r="C2327" s="14"/>
      <c r="F2327" s="16" t="str">
        <f>IFERROR(__xludf.DUMMYFUNCTION("""COMPUTED_VALUE"""),"Zoulinké")</f>
        <v>Zoulinké</v>
      </c>
      <c r="G2327" s="16"/>
      <c r="H2327" s="14"/>
      <c r="K2327" s="16">
        <f>IFERROR(__xludf.DUMMYFUNCTION("""COMPUTED_VALUE"""),524.0)</f>
        <v>524</v>
      </c>
      <c r="L2327" s="16"/>
      <c r="M2327" s="14"/>
    </row>
    <row r="2328">
      <c r="A2328" s="16" t="str">
        <f>IFERROR(__xludf.DUMMYFUNCTION("""COMPUTED_VALUE"""),"Amadou Tidjani Ousmane")</f>
        <v>Amadou Tidjani Ousmane</v>
      </c>
      <c r="B2328" s="16"/>
      <c r="C2328" s="14"/>
      <c r="F2328" s="16" t="str">
        <f>IFERROR(__xludf.DUMMYFUNCTION("""COMPUTED_VALUE"""),"Maboyar Amaré")</f>
        <v>Maboyar Amaré</v>
      </c>
      <c r="G2328" s="16"/>
      <c r="H2328" s="14"/>
      <c r="K2328" s="16">
        <f>IFERROR(__xludf.DUMMYFUNCTION("""COMPUTED_VALUE"""),1302.0)</f>
        <v>1302</v>
      </c>
      <c r="L2328" s="16"/>
      <c r="M2328" s="14"/>
    </row>
    <row r="2329">
      <c r="A2329" s="16" t="str">
        <f>IFERROR(__xludf.DUMMYFUNCTION("""COMPUTED_VALUE"""),"Amadou Tidjani Ousmane")</f>
        <v>Amadou Tidjani Ousmane</v>
      </c>
      <c r="B2329" s="16"/>
      <c r="C2329" s="14"/>
      <c r="F2329" s="16" t="str">
        <f>IFERROR(__xludf.DUMMYFUNCTION("""COMPUTED_VALUE"""),"AgouloumKarama")</f>
        <v>AgouloumKarama</v>
      </c>
      <c r="G2329" s="16"/>
      <c r="H2329" s="14"/>
      <c r="K2329" s="16">
        <f>IFERROR(__xludf.DUMMYFUNCTION("""COMPUTED_VALUE"""),1474.0)</f>
        <v>1474</v>
      </c>
      <c r="L2329" s="16"/>
      <c r="M2329" s="14"/>
    </row>
    <row r="2330">
      <c r="A2330" s="16" t="str">
        <f>IFERROR(__xludf.DUMMYFUNCTION("""COMPUTED_VALUE"""),"Amadou Tidjani Ousmane")</f>
        <v>Amadou Tidjani Ousmane</v>
      </c>
      <c r="B2330" s="16"/>
      <c r="C2330" s="14"/>
      <c r="F2330" s="16" t="str">
        <f>IFERROR(__xludf.DUMMYFUNCTION("""COMPUTED_VALUE"""),"Kabima-Al Baraka")</f>
        <v>Kabima-Al Baraka</v>
      </c>
      <c r="G2330" s="16"/>
      <c r="H2330" s="14"/>
      <c r="K2330" s="16">
        <f>IFERROR(__xludf.DUMMYFUNCTION("""COMPUTED_VALUE"""),1679.0)</f>
        <v>1679</v>
      </c>
      <c r="L2330" s="16"/>
      <c r="M2330" s="14"/>
    </row>
    <row r="2331">
      <c r="A2331" s="16" t="str">
        <f>IFERROR(__xludf.DUMMYFUNCTION("""COMPUTED_VALUE"""),"Binta Maman")</f>
        <v>Binta Maman</v>
      </c>
      <c r="B2331" s="16"/>
      <c r="C2331" s="14"/>
      <c r="F2331" s="16" t="str">
        <f>IFERROR(__xludf.DUMMYFUNCTION("""COMPUTED_VALUE"""),"Maboyar Amaré")</f>
        <v>Maboyar Amaré</v>
      </c>
      <c r="G2331" s="16"/>
      <c r="H2331" s="14"/>
      <c r="K2331" s="16">
        <f>IFERROR(__xludf.DUMMYFUNCTION("""COMPUTED_VALUE"""),405.0)</f>
        <v>405</v>
      </c>
      <c r="L2331" s="16"/>
      <c r="M2331" s="14"/>
    </row>
    <row r="2332">
      <c r="A2332" s="16" t="str">
        <f>IFERROR(__xludf.DUMMYFUNCTION("""COMPUTED_VALUE"""),"Binta Maman")</f>
        <v>Binta Maman</v>
      </c>
      <c r="B2332" s="16"/>
      <c r="C2332" s="14"/>
      <c r="F2332" s="16" t="str">
        <f>IFERROR(__xludf.DUMMYFUNCTION("""COMPUTED_VALUE"""),"Sabongari")</f>
        <v>Sabongari</v>
      </c>
      <c r="G2332" s="16"/>
      <c r="H2332" s="14"/>
      <c r="K2332" s="16">
        <f>IFERROR(__xludf.DUMMYFUNCTION("""COMPUTED_VALUE"""),239.0)</f>
        <v>239</v>
      </c>
      <c r="L2332" s="16"/>
      <c r="M2332" s="14"/>
    </row>
    <row r="2333">
      <c r="A2333" s="16" t="str">
        <f>IFERROR(__xludf.DUMMYFUNCTION("""COMPUTED_VALUE"""),"Binta Maman")</f>
        <v>Binta Maman</v>
      </c>
      <c r="B2333" s="16"/>
      <c r="C2333" s="14"/>
      <c r="F2333" s="16" t="str">
        <f>IFERROR(__xludf.DUMMYFUNCTION("""COMPUTED_VALUE"""),"Sabongari")</f>
        <v>Sabongari</v>
      </c>
      <c r="G2333" s="16"/>
      <c r="H2333" s="14"/>
      <c r="K2333" s="16">
        <f>IFERROR(__xludf.DUMMYFUNCTION("""COMPUTED_VALUE"""),228.0)</f>
        <v>228</v>
      </c>
      <c r="L2333" s="16"/>
      <c r="M2333" s="14"/>
    </row>
    <row r="2334">
      <c r="A2334" s="16" t="str">
        <f>IFERROR(__xludf.DUMMYFUNCTION("""COMPUTED_VALUE"""),"Binta Maman")</f>
        <v>Binta Maman</v>
      </c>
      <c r="B2334" s="16"/>
      <c r="C2334" s="14"/>
      <c r="F2334" s="16" t="str">
        <f>IFERROR(__xludf.DUMMYFUNCTION("""COMPUTED_VALUE"""),"Sabongari")</f>
        <v>Sabongari</v>
      </c>
      <c r="G2334" s="16"/>
      <c r="H2334" s="14"/>
      <c r="K2334" s="16">
        <f>IFERROR(__xludf.DUMMYFUNCTION("""COMPUTED_VALUE"""),1222.0)</f>
        <v>1222</v>
      </c>
      <c r="L2334" s="16"/>
      <c r="M2334" s="14"/>
    </row>
    <row r="2335">
      <c r="A2335" s="16" t="str">
        <f>IFERROR(__xludf.DUMMYFUNCTION("""COMPUTED_VALUE"""),"Larabou Chamsoudine")</f>
        <v>Larabou Chamsoudine</v>
      </c>
      <c r="B2335" s="16"/>
      <c r="C2335" s="14"/>
      <c r="F2335" s="16" t="str">
        <f>IFERROR(__xludf.DUMMYFUNCTION("""COMPUTED_VALUE"""),"Sabongari")</f>
        <v>Sabongari</v>
      </c>
      <c r="G2335" s="16"/>
      <c r="H2335" s="14"/>
      <c r="K2335" s="16">
        <f>IFERROR(__xludf.DUMMYFUNCTION("""COMPUTED_VALUE"""),275.0)</f>
        <v>275</v>
      </c>
      <c r="L2335" s="16"/>
      <c r="M2335" s="14"/>
    </row>
    <row r="2336">
      <c r="A2336" s="16" t="str">
        <f>IFERROR(__xludf.DUMMYFUNCTION("""COMPUTED_VALUE"""),"Larabou Chamsoudine")</f>
        <v>Larabou Chamsoudine</v>
      </c>
      <c r="B2336" s="16"/>
      <c r="C2336" s="14"/>
      <c r="F2336" s="16" t="str">
        <f>IFERROR(__xludf.DUMMYFUNCTION("""COMPUTED_VALUE"""),"Sabongari")</f>
        <v>Sabongari</v>
      </c>
      <c r="G2336" s="16"/>
      <c r="H2336" s="14"/>
      <c r="K2336" s="16">
        <f>IFERROR(__xludf.DUMMYFUNCTION("""COMPUTED_VALUE"""),562.0)</f>
        <v>562</v>
      </c>
      <c r="L2336" s="16"/>
      <c r="M2336" s="14"/>
    </row>
    <row r="2337">
      <c r="A2337" s="16" t="str">
        <f>IFERROR(__xludf.DUMMYFUNCTION("""COMPUTED_VALUE"""),"Larabou Chamsoudine")</f>
        <v>Larabou Chamsoudine</v>
      </c>
      <c r="B2337" s="16"/>
      <c r="C2337" s="14"/>
      <c r="F2337" s="16" t="str">
        <f>IFERROR(__xludf.DUMMYFUNCTION("""COMPUTED_VALUE"""),"Tchinkaki")</f>
        <v>Tchinkaki</v>
      </c>
      <c r="G2337" s="16"/>
      <c r="H2337" s="14"/>
      <c r="K2337" s="16">
        <f>IFERROR(__xludf.DUMMYFUNCTION("""COMPUTED_VALUE"""),352.0)</f>
        <v>352</v>
      </c>
      <c r="L2337" s="16"/>
      <c r="M2337" s="14"/>
    </row>
    <row r="2338">
      <c r="A2338" s="16" t="str">
        <f>IFERROR(__xludf.DUMMYFUNCTION("""COMPUTED_VALUE"""),"Larabou Chamsoudine")</f>
        <v>Larabou Chamsoudine</v>
      </c>
      <c r="B2338" s="16"/>
      <c r="C2338" s="14"/>
      <c r="F2338" s="16" t="str">
        <f>IFERROR(__xludf.DUMMYFUNCTION("""COMPUTED_VALUE"""),"Tchinkaki")</f>
        <v>Tchinkaki</v>
      </c>
      <c r="G2338" s="16"/>
      <c r="H2338" s="14"/>
      <c r="K2338" s="16">
        <f>IFERROR(__xludf.DUMMYFUNCTION("""COMPUTED_VALUE"""),272.0)</f>
        <v>272</v>
      </c>
      <c r="L2338" s="16"/>
      <c r="M2338" s="14"/>
    </row>
    <row r="2339">
      <c r="A2339" s="16" t="str">
        <f>IFERROR(__xludf.DUMMYFUNCTION("""COMPUTED_VALUE"""),"Amadou Hamidou Abdoul Karim")</f>
        <v>Amadou Hamidou Abdoul Karim</v>
      </c>
      <c r="B2339" s="16"/>
      <c r="C2339" s="14"/>
      <c r="F2339" s="16" t="str">
        <f>IFERROR(__xludf.DUMMYFUNCTION("""COMPUTED_VALUE"""),"Tchinkaki")</f>
        <v>Tchinkaki</v>
      </c>
      <c r="G2339" s="16"/>
      <c r="H2339" s="14"/>
      <c r="K2339" s="16">
        <f>IFERROR(__xludf.DUMMYFUNCTION("""COMPUTED_VALUE"""),347.0)</f>
        <v>347</v>
      </c>
      <c r="L2339" s="16"/>
      <c r="M2339" s="14"/>
    </row>
    <row r="2340">
      <c r="A2340" s="16" t="str">
        <f>IFERROR(__xludf.DUMMYFUNCTION("""COMPUTED_VALUE"""),"Amadou Hamidou Abdoul Karim")</f>
        <v>Amadou Hamidou Abdoul Karim</v>
      </c>
      <c r="B2340" s="16"/>
      <c r="C2340" s="14"/>
      <c r="F2340" s="16" t="str">
        <f>IFERROR(__xludf.DUMMYFUNCTION("""COMPUTED_VALUE"""),"Tchinkaki")</f>
        <v>Tchinkaki</v>
      </c>
      <c r="G2340" s="16"/>
      <c r="H2340" s="14"/>
      <c r="K2340" s="16">
        <f>IFERROR(__xludf.DUMMYFUNCTION("""COMPUTED_VALUE"""),1657.0)</f>
        <v>1657</v>
      </c>
      <c r="L2340" s="16"/>
      <c r="M2340" s="14"/>
    </row>
    <row r="2341">
      <c r="A2341" s="16" t="str">
        <f>IFERROR(__xludf.DUMMYFUNCTION("""COMPUTED_VALUE"""),"Amadou Hamidou Abdoul Karim")</f>
        <v>Amadou Hamidou Abdoul Karim</v>
      </c>
      <c r="B2341" s="16"/>
      <c r="C2341" s="14"/>
      <c r="F2341" s="16" t="str">
        <f>IFERROR(__xludf.DUMMYFUNCTION("""COMPUTED_VALUE"""),"Tchinkaki")</f>
        <v>Tchinkaki</v>
      </c>
      <c r="G2341" s="16"/>
      <c r="H2341" s="14"/>
      <c r="K2341" s="16">
        <f>IFERROR(__xludf.DUMMYFUNCTION("""COMPUTED_VALUE"""),326.0)</f>
        <v>326</v>
      </c>
      <c r="L2341" s="16"/>
      <c r="M2341" s="14"/>
    </row>
    <row r="2342">
      <c r="A2342" s="16" t="str">
        <f>IFERROR(__xludf.DUMMYFUNCTION("""COMPUTED_VALUE"""),"Amadou Hamidou Abdoul Karim")</f>
        <v>Amadou Hamidou Abdoul Karim</v>
      </c>
      <c r="B2342" s="16"/>
      <c r="C2342" s="14"/>
      <c r="F2342" s="16" t="str">
        <f>IFERROR(__xludf.DUMMYFUNCTION("""COMPUTED_VALUE"""),"Tchinkaki")</f>
        <v>Tchinkaki</v>
      </c>
      <c r="G2342" s="16"/>
      <c r="H2342" s="14"/>
      <c r="K2342" s="16">
        <f>IFERROR(__xludf.DUMMYFUNCTION("""COMPUTED_VALUE"""),282.0)</f>
        <v>282</v>
      </c>
      <c r="L2342" s="16"/>
      <c r="M2342" s="14"/>
    </row>
    <row r="2343">
      <c r="A2343" s="16" t="str">
        <f>IFERROR(__xludf.DUMMYFUNCTION("""COMPUTED_VALUE"""),"Kaltoume Kimba")</f>
        <v>Kaltoume Kimba</v>
      </c>
      <c r="B2343" s="16"/>
      <c r="C2343" s="14"/>
      <c r="F2343" s="16" t="str">
        <f>IFERROR(__xludf.DUMMYFUNCTION("""COMPUTED_VALUE"""),"Tchinkaki")</f>
        <v>Tchinkaki</v>
      </c>
      <c r="G2343" s="16"/>
      <c r="H2343" s="14"/>
      <c r="K2343" s="16">
        <f>IFERROR(__xludf.DUMMYFUNCTION("""COMPUTED_VALUE"""),330.0)</f>
        <v>330</v>
      </c>
      <c r="L2343" s="16"/>
      <c r="M2343" s="14"/>
    </row>
    <row r="2344">
      <c r="A2344" s="16" t="str">
        <f>IFERROR(__xludf.DUMMYFUNCTION("""COMPUTED_VALUE"""),"Fatimata Mohamed")</f>
        <v>Fatimata Mohamed</v>
      </c>
      <c r="B2344" s="16"/>
      <c r="C2344" s="14"/>
      <c r="F2344" s="16" t="str">
        <f>IFERROR(__xludf.DUMMYFUNCTION("""COMPUTED_VALUE"""),"Tchinkaki")</f>
        <v>Tchinkaki</v>
      </c>
      <c r="G2344" s="16"/>
      <c r="H2344" s="14"/>
      <c r="K2344" s="16">
        <f>IFERROR(__xludf.DUMMYFUNCTION("""COMPUTED_VALUE"""),405.0)</f>
        <v>405</v>
      </c>
      <c r="L2344" s="16"/>
      <c r="M2344" s="14"/>
    </row>
    <row r="2345">
      <c r="A2345" s="16" t="str">
        <f>IFERROR(__xludf.DUMMYFUNCTION("""COMPUTED_VALUE"""),"Kaltoume Kimba")</f>
        <v>Kaltoume Kimba</v>
      </c>
      <c r="B2345" s="16"/>
      <c r="C2345" s="14"/>
      <c r="F2345" s="16" t="str">
        <f>IFERROR(__xludf.DUMMYFUNCTION("""COMPUTED_VALUE"""),"Tchinkaki")</f>
        <v>Tchinkaki</v>
      </c>
      <c r="G2345" s="16"/>
      <c r="H2345" s="14"/>
      <c r="K2345" s="16">
        <f>IFERROR(__xludf.DUMMYFUNCTION("""COMPUTED_VALUE"""),478.0)</f>
        <v>478</v>
      </c>
      <c r="L2345" s="16"/>
      <c r="M2345" s="14"/>
    </row>
    <row r="2346">
      <c r="A2346" s="16" t="str">
        <f>IFERROR(__xludf.DUMMYFUNCTION("""COMPUTED_VALUE"""),"Kaltoume Kimba")</f>
        <v>Kaltoume Kimba</v>
      </c>
      <c r="B2346" s="16"/>
      <c r="C2346" s="14"/>
      <c r="F2346" s="16" t="str">
        <f>IFERROR(__xludf.DUMMYFUNCTION("""COMPUTED_VALUE"""),"Tchinkaki")</f>
        <v>Tchinkaki</v>
      </c>
      <c r="G2346" s="16"/>
      <c r="H2346" s="14"/>
      <c r="K2346" s="16">
        <f>IFERROR(__xludf.DUMMYFUNCTION("""COMPUTED_VALUE"""),403.0)</f>
        <v>403</v>
      </c>
      <c r="L2346" s="16"/>
      <c r="M2346" s="14"/>
    </row>
    <row r="2347">
      <c r="A2347" s="16" t="str">
        <f>IFERROR(__xludf.DUMMYFUNCTION("""COMPUTED_VALUE"""),"Fatimata Mohamed")</f>
        <v>Fatimata Mohamed</v>
      </c>
      <c r="B2347" s="16"/>
      <c r="C2347" s="14"/>
      <c r="F2347" s="16" t="str">
        <f>IFERROR(__xludf.DUMMYFUNCTION("""COMPUTED_VALUE"""),"Tchinkaki")</f>
        <v>Tchinkaki</v>
      </c>
      <c r="G2347" s="16"/>
      <c r="H2347" s="14"/>
      <c r="K2347" s="16">
        <f>IFERROR(__xludf.DUMMYFUNCTION("""COMPUTED_VALUE"""),856.0)</f>
        <v>856</v>
      </c>
      <c r="L2347" s="16"/>
      <c r="M2347" s="14"/>
    </row>
    <row r="2348">
      <c r="A2348" s="16" t="str">
        <f>IFERROR(__xludf.DUMMYFUNCTION("""COMPUTED_VALUE"""),"ALASSANE TAWEY AWALOU")</f>
        <v>ALASSANE TAWEY AWALOU</v>
      </c>
      <c r="B2348" s="16"/>
      <c r="C2348" s="14"/>
      <c r="F2348" s="16" t="str">
        <f>IFERROR(__xludf.DUMMYFUNCTION("""COMPUTED_VALUE"""),"Tchinkaki")</f>
        <v>Tchinkaki</v>
      </c>
      <c r="G2348" s="16"/>
      <c r="H2348" s="14"/>
      <c r="K2348" s="16">
        <f>IFERROR(__xludf.DUMMYFUNCTION("""COMPUTED_VALUE"""),389.0)</f>
        <v>389</v>
      </c>
      <c r="L2348" s="16"/>
      <c r="M2348" s="14"/>
    </row>
    <row r="2349">
      <c r="A2349" s="16" t="str">
        <f>IFERROR(__xludf.DUMMYFUNCTION("""COMPUTED_VALUE"""),"ALASSANE TAWEY AWALOU")</f>
        <v>ALASSANE TAWEY AWALOU</v>
      </c>
      <c r="B2349" s="16"/>
      <c r="C2349" s="14"/>
      <c r="F2349" s="16" t="str">
        <f>IFERROR(__xludf.DUMMYFUNCTION("""COMPUTED_VALUE"""),"Tchinkaki")</f>
        <v>Tchinkaki</v>
      </c>
      <c r="G2349" s="16"/>
      <c r="H2349" s="14"/>
      <c r="K2349" s="16">
        <f>IFERROR(__xludf.DUMMYFUNCTION("""COMPUTED_VALUE"""),438.0)</f>
        <v>438</v>
      </c>
      <c r="L2349" s="16"/>
      <c r="M2349" s="14"/>
    </row>
    <row r="2350">
      <c r="A2350" s="16" t="str">
        <f>IFERROR(__xludf.DUMMYFUNCTION("""COMPUTED_VALUE"""),"Gaoh Maazou")</f>
        <v>Gaoh Maazou</v>
      </c>
      <c r="B2350" s="16"/>
      <c r="C2350" s="14"/>
      <c r="F2350" s="16" t="str">
        <f>IFERROR(__xludf.DUMMYFUNCTION("""COMPUTED_VALUE"""),"Tchinkaki")</f>
        <v>Tchinkaki</v>
      </c>
      <c r="G2350" s="16"/>
      <c r="H2350" s="14"/>
      <c r="K2350" s="16">
        <f>IFERROR(__xludf.DUMMYFUNCTION("""COMPUTED_VALUE"""),740.0)</f>
        <v>740</v>
      </c>
      <c r="L2350" s="16"/>
      <c r="M2350" s="14"/>
    </row>
    <row r="2351">
      <c r="A2351" s="16" t="str">
        <f>IFERROR(__xludf.DUMMYFUNCTION("""COMPUTED_VALUE"""),"ALASSANE TAWEY AWALOU")</f>
        <v>ALASSANE TAWEY AWALOU</v>
      </c>
      <c r="B2351" s="16"/>
      <c r="C2351" s="14"/>
      <c r="F2351" s="16" t="str">
        <f>IFERROR(__xludf.DUMMYFUNCTION("""COMPUTED_VALUE"""),"Tchinkaki")</f>
        <v>Tchinkaki</v>
      </c>
      <c r="G2351" s="16"/>
      <c r="H2351" s="14"/>
      <c r="K2351" s="16">
        <f>IFERROR(__xludf.DUMMYFUNCTION("""COMPUTED_VALUE"""),1724.0)</f>
        <v>1724</v>
      </c>
      <c r="L2351" s="16"/>
      <c r="M2351" s="14"/>
    </row>
    <row r="2352">
      <c r="A2352" s="16" t="str">
        <f>IFERROR(__xludf.DUMMYFUNCTION("""COMPUTED_VALUE"""),"ALASSANE TAWEY AWALOU")</f>
        <v>ALASSANE TAWEY AWALOU</v>
      </c>
      <c r="B2352" s="16"/>
      <c r="C2352" s="14"/>
      <c r="F2352" s="16" t="str">
        <f>IFERROR(__xludf.DUMMYFUNCTION("""COMPUTED_VALUE"""),"Tchinkaki")</f>
        <v>Tchinkaki</v>
      </c>
      <c r="G2352" s="16"/>
      <c r="H2352" s="14"/>
      <c r="K2352" s="16">
        <f>IFERROR(__xludf.DUMMYFUNCTION("""COMPUTED_VALUE"""),1642.0)</f>
        <v>1642</v>
      </c>
      <c r="L2352" s="16"/>
      <c r="M2352" s="14"/>
    </row>
    <row r="2353">
      <c r="A2353" s="16" t="str">
        <f>IFERROR(__xludf.DUMMYFUNCTION("""COMPUTED_VALUE"""),"ALASSANE TAWEY AWALOU")</f>
        <v>ALASSANE TAWEY AWALOU</v>
      </c>
      <c r="B2353" s="16"/>
      <c r="C2353" s="14"/>
      <c r="F2353" s="16" t="str">
        <f>IFERROR(__xludf.DUMMYFUNCTION("""COMPUTED_VALUE"""),"Tchinkaki")</f>
        <v>Tchinkaki</v>
      </c>
      <c r="G2353" s="16"/>
      <c r="H2353" s="14"/>
      <c r="K2353" s="16">
        <f>IFERROR(__xludf.DUMMYFUNCTION("""COMPUTED_VALUE"""),1315.0)</f>
        <v>1315</v>
      </c>
      <c r="L2353" s="16"/>
      <c r="M2353" s="14"/>
    </row>
    <row r="2354">
      <c r="A2354" s="16" t="str">
        <f>IFERROR(__xludf.DUMMYFUNCTION("""COMPUTED_VALUE"""),"ALASSANE TAWEY AWALOU")</f>
        <v>ALASSANE TAWEY AWALOU</v>
      </c>
      <c r="B2354" s="16"/>
      <c r="C2354" s="14"/>
      <c r="F2354" s="16" t="str">
        <f>IFERROR(__xludf.DUMMYFUNCTION("""COMPUTED_VALUE"""),"Badaou (Zangon Boubacar)")</f>
        <v>Badaou (Zangon Boubacar)</v>
      </c>
      <c r="G2354" s="16"/>
      <c r="H2354" s="14"/>
      <c r="K2354" s="16">
        <f>IFERROR(__xludf.DUMMYFUNCTION("""COMPUTED_VALUE"""),458.0)</f>
        <v>458</v>
      </c>
      <c r="L2354" s="16"/>
      <c r="M2354" s="14"/>
    </row>
    <row r="2355">
      <c r="A2355" s="16" t="str">
        <f>IFERROR(__xludf.DUMMYFUNCTION("""COMPUTED_VALUE"""),"Gaoh Maazou")</f>
        <v>Gaoh Maazou</v>
      </c>
      <c r="B2355" s="16"/>
      <c r="C2355" s="14"/>
      <c r="F2355" s="16" t="str">
        <f>IFERROR(__xludf.DUMMYFUNCTION("""COMPUTED_VALUE"""),"Badaou (Zangon Boubacar)")</f>
        <v>Badaou (Zangon Boubacar)</v>
      </c>
      <c r="G2355" s="16"/>
      <c r="H2355" s="14"/>
      <c r="K2355" s="16">
        <f>IFERROR(__xludf.DUMMYFUNCTION("""COMPUTED_VALUE"""),602.0)</f>
        <v>602</v>
      </c>
      <c r="L2355" s="16"/>
      <c r="M2355" s="14"/>
    </row>
    <row r="2356">
      <c r="A2356" s="16" t="str">
        <f>IFERROR(__xludf.DUMMYFUNCTION("""COMPUTED_VALUE"""),"Gaoh Maazou")</f>
        <v>Gaoh Maazou</v>
      </c>
      <c r="B2356" s="16"/>
      <c r="C2356" s="14"/>
      <c r="F2356" s="16" t="str">
        <f>IFERROR(__xludf.DUMMYFUNCTION("""COMPUTED_VALUE"""),"Badaou (Zangon Boubacar)")</f>
        <v>Badaou (Zangon Boubacar)</v>
      </c>
      <c r="G2356" s="16"/>
      <c r="H2356" s="14"/>
      <c r="K2356" s="16">
        <f>IFERROR(__xludf.DUMMYFUNCTION("""COMPUTED_VALUE"""),538.0)</f>
        <v>538</v>
      </c>
      <c r="L2356" s="16"/>
      <c r="M2356" s="14"/>
    </row>
    <row r="2357">
      <c r="A2357" s="16" t="str">
        <f>IFERROR(__xludf.DUMMYFUNCTION("""COMPUTED_VALUE"""),"ALASSANE TAWEY AWALOU")</f>
        <v>ALASSANE TAWEY AWALOU</v>
      </c>
      <c r="B2357" s="16"/>
      <c r="C2357" s="14"/>
      <c r="F2357" s="16" t="str">
        <f>IFERROR(__xludf.DUMMYFUNCTION("""COMPUTED_VALUE"""),"Badaou (Zangon Boubacar)")</f>
        <v>Badaou (Zangon Boubacar)</v>
      </c>
      <c r="G2357" s="16"/>
      <c r="H2357" s="14"/>
      <c r="K2357" s="16">
        <f>IFERROR(__xludf.DUMMYFUNCTION("""COMPUTED_VALUE"""),560.0)</f>
        <v>560</v>
      </c>
      <c r="L2357" s="16"/>
      <c r="M2357" s="14"/>
    </row>
    <row r="2358">
      <c r="A2358" s="16" t="str">
        <f>IFERROR(__xludf.DUMMYFUNCTION("""COMPUTED_VALUE"""),"Gaoh Maazou")</f>
        <v>Gaoh Maazou</v>
      </c>
      <c r="B2358" s="16"/>
      <c r="C2358" s="14"/>
      <c r="F2358" s="16" t="str">
        <f>IFERROR(__xludf.DUMMYFUNCTION("""COMPUTED_VALUE"""),"Dougounna")</f>
        <v>Dougounna</v>
      </c>
      <c r="G2358" s="16"/>
      <c r="H2358" s="14"/>
      <c r="K2358" s="16">
        <f>IFERROR(__xludf.DUMMYFUNCTION("""COMPUTED_VALUE"""),508.0)</f>
        <v>508</v>
      </c>
      <c r="L2358" s="16"/>
      <c r="M2358" s="14"/>
    </row>
    <row r="2359">
      <c r="A2359" s="16" t="str">
        <f>IFERROR(__xludf.DUMMYFUNCTION("""COMPUTED_VALUE"""),"ALASSANE TAWEY AWALOU")</f>
        <v>ALASSANE TAWEY AWALOU</v>
      </c>
      <c r="B2359" s="16"/>
      <c r="C2359" s="14"/>
      <c r="F2359" s="16" t="str">
        <f>IFERROR(__xludf.DUMMYFUNCTION("""COMPUTED_VALUE"""),"Falalia Daoudawa")</f>
        <v>Falalia Daoudawa</v>
      </c>
      <c r="G2359" s="16"/>
      <c r="H2359" s="14"/>
      <c r="K2359" s="16">
        <f>IFERROR(__xludf.DUMMYFUNCTION("""COMPUTED_VALUE"""),845.0)</f>
        <v>845</v>
      </c>
      <c r="L2359" s="16"/>
      <c r="M2359" s="14"/>
    </row>
    <row r="2360">
      <c r="A2360" s="16" t="str">
        <f>IFERROR(__xludf.DUMMYFUNCTION("""COMPUTED_VALUE"""),"ALASSANE TAWEY AWALOU")</f>
        <v>ALASSANE TAWEY AWALOU</v>
      </c>
      <c r="B2360" s="16"/>
      <c r="C2360" s="14"/>
      <c r="F2360" s="16" t="str">
        <f>IFERROR(__xludf.DUMMYFUNCTION("""COMPUTED_VALUE"""),"Falalia Daoudawa")</f>
        <v>Falalia Daoudawa</v>
      </c>
      <c r="G2360" s="16"/>
      <c r="H2360" s="14"/>
      <c r="K2360" s="16">
        <f>IFERROR(__xludf.DUMMYFUNCTION("""COMPUTED_VALUE"""),505.0)</f>
        <v>505</v>
      </c>
      <c r="L2360" s="16"/>
      <c r="M2360" s="14"/>
    </row>
    <row r="2361">
      <c r="A2361" s="16" t="str">
        <f>IFERROR(__xludf.DUMMYFUNCTION("""COMPUTED_VALUE"""),"Gaoh Maazou")</f>
        <v>Gaoh Maazou</v>
      </c>
      <c r="B2361" s="16"/>
      <c r="C2361" s="14"/>
      <c r="F2361" s="16" t="str">
        <f>IFERROR(__xludf.DUMMYFUNCTION("""COMPUTED_VALUE"""),"Falalia Daoudawa")</f>
        <v>Falalia Daoudawa</v>
      </c>
      <c r="G2361" s="16"/>
      <c r="H2361" s="14"/>
      <c r="K2361" s="16">
        <f>IFERROR(__xludf.DUMMYFUNCTION("""COMPUTED_VALUE"""),1265.0)</f>
        <v>1265</v>
      </c>
      <c r="L2361" s="16"/>
      <c r="M2361" s="14"/>
    </row>
    <row r="2362">
      <c r="A2362" s="16" t="str">
        <f>IFERROR(__xludf.DUMMYFUNCTION("""COMPUTED_VALUE"""),"ALASSANE TAWEY AWALOU")</f>
        <v>ALASSANE TAWEY AWALOU</v>
      </c>
      <c r="B2362" s="16"/>
      <c r="C2362" s="14"/>
      <c r="F2362" s="16" t="str">
        <f>IFERROR(__xludf.DUMMYFUNCTION("""COMPUTED_VALUE"""),"Falalia Daoudawa")</f>
        <v>Falalia Daoudawa</v>
      </c>
      <c r="G2362" s="16"/>
      <c r="H2362" s="14"/>
      <c r="K2362" s="16">
        <f>IFERROR(__xludf.DUMMYFUNCTION("""COMPUTED_VALUE"""),1446.0)</f>
        <v>1446</v>
      </c>
      <c r="L2362" s="16"/>
      <c r="M2362" s="14"/>
    </row>
    <row r="2363">
      <c r="A2363" s="16" t="str">
        <f>IFERROR(__xludf.DUMMYFUNCTION("""COMPUTED_VALUE"""),"ALASSANE TAWEY AWALOU")</f>
        <v>ALASSANE TAWEY AWALOU</v>
      </c>
      <c r="B2363" s="16"/>
      <c r="C2363" s="14"/>
      <c r="F2363" s="16" t="str">
        <f>IFERROR(__xludf.DUMMYFUNCTION("""COMPUTED_VALUE"""),"Falalia Daoudawa")</f>
        <v>Falalia Daoudawa</v>
      </c>
      <c r="G2363" s="16"/>
      <c r="H2363" s="14"/>
      <c r="K2363" s="16">
        <f>IFERROR(__xludf.DUMMYFUNCTION("""COMPUTED_VALUE"""),710.0)</f>
        <v>710</v>
      </c>
      <c r="L2363" s="16"/>
      <c r="M2363" s="14"/>
    </row>
    <row r="2364">
      <c r="A2364" s="16" t="str">
        <f>IFERROR(__xludf.DUMMYFUNCTION("""COMPUTED_VALUE"""),"ALASSANE TAWEY AWALOU")</f>
        <v>ALASSANE TAWEY AWALOU</v>
      </c>
      <c r="B2364" s="16"/>
      <c r="C2364" s="14"/>
      <c r="F2364" s="16" t="str">
        <f>IFERROR(__xludf.DUMMYFUNCTION("""COMPUTED_VALUE"""),"Bouza Koiré")</f>
        <v>Bouza Koiré</v>
      </c>
      <c r="G2364" s="16"/>
      <c r="H2364" s="14"/>
      <c r="K2364" s="16">
        <f>IFERROR(__xludf.DUMMYFUNCTION("""COMPUTED_VALUE"""),1542.0)</f>
        <v>1542</v>
      </c>
      <c r="L2364" s="16"/>
      <c r="M2364" s="14"/>
    </row>
    <row r="2365">
      <c r="A2365" s="16" t="str">
        <f>IFERROR(__xludf.DUMMYFUNCTION("""COMPUTED_VALUE"""),"ALASSANE TAWEY AWALOU")</f>
        <v>ALASSANE TAWEY AWALOU</v>
      </c>
      <c r="B2365" s="16"/>
      <c r="C2365" s="14"/>
      <c r="F2365" s="16" t="str">
        <f>IFERROR(__xludf.DUMMYFUNCTION("""COMPUTED_VALUE"""),"Bouza Koiré")</f>
        <v>Bouza Koiré</v>
      </c>
      <c r="G2365" s="16"/>
      <c r="H2365" s="14"/>
      <c r="K2365" s="16">
        <f>IFERROR(__xludf.DUMMYFUNCTION("""COMPUTED_VALUE"""),397.0)</f>
        <v>397</v>
      </c>
      <c r="L2365" s="16"/>
      <c r="M2365" s="14"/>
    </row>
    <row r="2366">
      <c r="A2366" s="16" t="str">
        <f>IFERROR(__xludf.DUMMYFUNCTION("""COMPUTED_VALUE"""),"ALASSANE TAWEY AWALOU")</f>
        <v>ALASSANE TAWEY AWALOU</v>
      </c>
      <c r="B2366" s="16"/>
      <c r="C2366" s="14"/>
      <c r="F2366" s="16" t="str">
        <f>IFERROR(__xludf.DUMMYFUNCTION("""COMPUTED_VALUE"""),"Bouza Koiré")</f>
        <v>Bouza Koiré</v>
      </c>
      <c r="G2366" s="16"/>
      <c r="H2366" s="14"/>
      <c r="K2366" s="16">
        <f>IFERROR(__xludf.DUMMYFUNCTION("""COMPUTED_VALUE"""),1353.0)</f>
        <v>1353</v>
      </c>
      <c r="L2366" s="16"/>
      <c r="M2366" s="14"/>
    </row>
    <row r="2367">
      <c r="A2367" s="16" t="str">
        <f>IFERROR(__xludf.DUMMYFUNCTION("""COMPUTED_VALUE"""),"ALASSANE TAWEY AWALOU")</f>
        <v>ALASSANE TAWEY AWALOU</v>
      </c>
      <c r="B2367" s="16"/>
      <c r="C2367" s="14"/>
      <c r="F2367" s="16" t="str">
        <f>IFERROR(__xludf.DUMMYFUNCTION("""COMPUTED_VALUE"""),"Bouza Koiré")</f>
        <v>Bouza Koiré</v>
      </c>
      <c r="G2367" s="16"/>
      <c r="H2367" s="14"/>
      <c r="K2367" s="16">
        <f>IFERROR(__xludf.DUMMYFUNCTION("""COMPUTED_VALUE"""),1106.0)</f>
        <v>1106</v>
      </c>
      <c r="L2367" s="16"/>
      <c r="M2367" s="14"/>
    </row>
    <row r="2368">
      <c r="A2368" s="16" t="str">
        <f>IFERROR(__xludf.DUMMYFUNCTION("""COMPUTED_VALUE"""),"Kaltoume Kimba")</f>
        <v>Kaltoume Kimba</v>
      </c>
      <c r="B2368" s="16"/>
      <c r="C2368" s="14"/>
      <c r="F2368" s="16" t="str">
        <f>IFERROR(__xludf.DUMMYFUNCTION("""COMPUTED_VALUE"""),"Bouza Koiré")</f>
        <v>Bouza Koiré</v>
      </c>
      <c r="G2368" s="16"/>
      <c r="H2368" s="14"/>
      <c r="K2368" s="16">
        <f>IFERROR(__xludf.DUMMYFUNCTION("""COMPUTED_VALUE"""),613.0)</f>
        <v>613</v>
      </c>
      <c r="L2368" s="16"/>
      <c r="M2368" s="14"/>
    </row>
    <row r="2369">
      <c r="A2369" s="16" t="str">
        <f>IFERROR(__xludf.DUMMYFUNCTION("""COMPUTED_VALUE"""),"Kaltoume Kimba")</f>
        <v>Kaltoume Kimba</v>
      </c>
      <c r="B2369" s="16"/>
      <c r="C2369" s="14"/>
      <c r="F2369" s="16" t="str">
        <f>IFERROR(__xludf.DUMMYFUNCTION("""COMPUTED_VALUE"""),"Bouza Koiré")</f>
        <v>Bouza Koiré</v>
      </c>
      <c r="G2369" s="16"/>
      <c r="H2369" s="14"/>
      <c r="K2369" s="16">
        <f>IFERROR(__xludf.DUMMYFUNCTION("""COMPUTED_VALUE"""),870.0)</f>
        <v>870</v>
      </c>
      <c r="L2369" s="16"/>
      <c r="M2369" s="14"/>
    </row>
    <row r="2370">
      <c r="A2370" s="16" t="str">
        <f>IFERROR(__xludf.DUMMYFUNCTION("""COMPUTED_VALUE"""),"Kaltoume Kimba")</f>
        <v>Kaltoume Kimba</v>
      </c>
      <c r="B2370" s="16"/>
      <c r="C2370" s="14"/>
      <c r="F2370" s="16" t="str">
        <f>IFERROR(__xludf.DUMMYFUNCTION("""COMPUTED_VALUE"""),"Bouza Gabass")</f>
        <v>Bouza Gabass</v>
      </c>
      <c r="G2370" s="16"/>
      <c r="H2370" s="14"/>
      <c r="K2370" s="16">
        <f>IFERROR(__xludf.DUMMYFUNCTION("""COMPUTED_VALUE"""),809.0)</f>
        <v>809</v>
      </c>
      <c r="L2370" s="16"/>
      <c r="M2370" s="14"/>
    </row>
    <row r="2371">
      <c r="A2371" s="16" t="str">
        <f>IFERROR(__xludf.DUMMYFUNCTION("""COMPUTED_VALUE"""),"Ibrahim Dan Habou Larwana")</f>
        <v>Ibrahim Dan Habou Larwana</v>
      </c>
      <c r="B2371" s="16"/>
      <c r="C2371" s="14"/>
      <c r="F2371" s="16" t="str">
        <f>IFERROR(__xludf.DUMMYFUNCTION("""COMPUTED_VALUE"""),"Bouza Koiré")</f>
        <v>Bouza Koiré</v>
      </c>
      <c r="G2371" s="16"/>
      <c r="H2371" s="14"/>
      <c r="K2371" s="16">
        <f>IFERROR(__xludf.DUMMYFUNCTION("""COMPUTED_VALUE"""),1251.0)</f>
        <v>1251</v>
      </c>
      <c r="L2371" s="16"/>
      <c r="M2371" s="14"/>
    </row>
    <row r="2372">
      <c r="A2372" s="16" t="str">
        <f>IFERROR(__xludf.DUMMYFUNCTION("""COMPUTED_VALUE"""),"Ibrahim Dan Habou Larwana")</f>
        <v>Ibrahim Dan Habou Larwana</v>
      </c>
      <c r="B2372" s="16"/>
      <c r="C2372" s="14"/>
      <c r="F2372" s="16" t="str">
        <f>IFERROR(__xludf.DUMMYFUNCTION("""COMPUTED_VALUE"""),"Dougounna")</f>
        <v>Dougounna</v>
      </c>
      <c r="G2372" s="16"/>
      <c r="H2372" s="14"/>
      <c r="K2372" s="16">
        <f>IFERROR(__xludf.DUMMYFUNCTION("""COMPUTED_VALUE"""),1233.0)</f>
        <v>1233</v>
      </c>
      <c r="L2372" s="16"/>
      <c r="M2372" s="14"/>
    </row>
    <row r="2373">
      <c r="A2373" s="16" t="str">
        <f>IFERROR(__xludf.DUMMYFUNCTION("""COMPUTED_VALUE"""),"Ibrahim Dan Habou Larwana")</f>
        <v>Ibrahim Dan Habou Larwana</v>
      </c>
      <c r="B2373" s="16"/>
      <c r="C2373" s="14"/>
      <c r="F2373" s="16" t="str">
        <f>IFERROR(__xludf.DUMMYFUNCTION("""COMPUTED_VALUE"""),"Dougounna")</f>
        <v>Dougounna</v>
      </c>
      <c r="G2373" s="16"/>
      <c r="H2373" s="14"/>
      <c r="K2373" s="16">
        <f>IFERROR(__xludf.DUMMYFUNCTION("""COMPUTED_VALUE"""),477.0)</f>
        <v>477</v>
      </c>
      <c r="L2373" s="16"/>
      <c r="M2373" s="14"/>
    </row>
    <row r="2374">
      <c r="A2374" s="16" t="str">
        <f>IFERROR(__xludf.DUMMYFUNCTION("""COMPUTED_VALUE"""),"Ibrahim Dan Habou Larwana")</f>
        <v>Ibrahim Dan Habou Larwana</v>
      </c>
      <c r="B2374" s="16"/>
      <c r="C2374" s="14"/>
      <c r="F2374" s="16" t="str">
        <f>IFERROR(__xludf.DUMMYFUNCTION("""COMPUTED_VALUE"""),"Dougounna")</f>
        <v>Dougounna</v>
      </c>
      <c r="G2374" s="16"/>
      <c r="H2374" s="14"/>
      <c r="K2374" s="16">
        <f>IFERROR(__xludf.DUMMYFUNCTION("""COMPUTED_VALUE"""),1419.0)</f>
        <v>1419</v>
      </c>
      <c r="L2374" s="16"/>
      <c r="M2374" s="14"/>
    </row>
    <row r="2375">
      <c r="A2375" s="16" t="str">
        <f>IFERROR(__xludf.DUMMYFUNCTION("""COMPUTED_VALUE"""),"Ibrahim Dan Habou Larwana")</f>
        <v>Ibrahim Dan Habou Larwana</v>
      </c>
      <c r="B2375" s="16"/>
      <c r="C2375" s="14"/>
      <c r="F2375" s="16" t="str">
        <f>IFERROR(__xludf.DUMMYFUNCTION("""COMPUTED_VALUE"""),"Dougounna")</f>
        <v>Dougounna</v>
      </c>
      <c r="G2375" s="16"/>
      <c r="H2375" s="14"/>
      <c r="K2375" s="16">
        <f>IFERROR(__xludf.DUMMYFUNCTION("""COMPUTED_VALUE"""),1233.0)</f>
        <v>1233</v>
      </c>
      <c r="L2375" s="16"/>
      <c r="M2375" s="14"/>
    </row>
    <row r="2376">
      <c r="A2376" s="16" t="str">
        <f>IFERROR(__xludf.DUMMYFUNCTION("""COMPUTED_VALUE"""),"Ibrahim Dan Habou Larwana")</f>
        <v>Ibrahim Dan Habou Larwana</v>
      </c>
      <c r="B2376" s="16"/>
      <c r="C2376" s="14"/>
      <c r="F2376" s="16" t="str">
        <f>IFERROR(__xludf.DUMMYFUNCTION("""COMPUTED_VALUE"""),"Bouza Koiré")</f>
        <v>Bouza Koiré</v>
      </c>
      <c r="G2376" s="16"/>
      <c r="H2376" s="14"/>
      <c r="K2376" s="16">
        <f>IFERROR(__xludf.DUMMYFUNCTION("""COMPUTED_VALUE"""),642.0)</f>
        <v>642</v>
      </c>
      <c r="L2376" s="16"/>
      <c r="M2376" s="14"/>
    </row>
    <row r="2377">
      <c r="A2377" s="16" t="str">
        <f>IFERROR(__xludf.DUMMYFUNCTION("""COMPUTED_VALUE"""),"Ibrahim Dan Habou Larwana")</f>
        <v>Ibrahim Dan Habou Larwana</v>
      </c>
      <c r="B2377" s="16"/>
      <c r="C2377" s="14"/>
      <c r="F2377" s="16" t="str">
        <f>IFERROR(__xludf.DUMMYFUNCTION("""COMPUTED_VALUE"""),"Bouza Koiré")</f>
        <v>Bouza Koiré</v>
      </c>
      <c r="G2377" s="16"/>
      <c r="H2377" s="14"/>
      <c r="K2377" s="16">
        <f>IFERROR(__xludf.DUMMYFUNCTION("""COMPUTED_VALUE"""),595.0)</f>
        <v>595</v>
      </c>
      <c r="L2377" s="16"/>
      <c r="M2377" s="14"/>
    </row>
    <row r="2378">
      <c r="A2378" s="16" t="str">
        <f>IFERROR(__xludf.DUMMYFUNCTION("""COMPUTED_VALUE"""),"Ibrahim Dan Habou Larwana")</f>
        <v>Ibrahim Dan Habou Larwana</v>
      </c>
      <c r="B2378" s="16"/>
      <c r="C2378" s="14"/>
      <c r="F2378" s="16" t="str">
        <f>IFERROR(__xludf.DUMMYFUNCTION("""COMPUTED_VALUE"""),"Bouza Koiré")</f>
        <v>Bouza Koiré</v>
      </c>
      <c r="G2378" s="16"/>
      <c r="H2378" s="14"/>
      <c r="K2378" s="16">
        <f>IFERROR(__xludf.DUMMYFUNCTION("""COMPUTED_VALUE"""),808.0)</f>
        <v>808</v>
      </c>
      <c r="L2378" s="16"/>
      <c r="M2378" s="14"/>
    </row>
    <row r="2379">
      <c r="A2379" s="16" t="str">
        <f>IFERROR(__xludf.DUMMYFUNCTION("""COMPUTED_VALUE"""),"Ibrahim Dan Habou Larwana")</f>
        <v>Ibrahim Dan Habou Larwana</v>
      </c>
      <c r="B2379" s="16"/>
      <c r="C2379" s="14"/>
      <c r="F2379" s="16" t="str">
        <f>IFERROR(__xludf.DUMMYFUNCTION("""COMPUTED_VALUE"""),"Bouza Koiré")</f>
        <v>Bouza Koiré</v>
      </c>
      <c r="G2379" s="16"/>
      <c r="H2379" s="14"/>
      <c r="K2379" s="16">
        <f>IFERROR(__xludf.DUMMYFUNCTION("""COMPUTED_VALUE"""),436.0)</f>
        <v>436</v>
      </c>
      <c r="L2379" s="16"/>
      <c r="M2379" s="14"/>
    </row>
    <row r="2380">
      <c r="A2380" s="16" t="str">
        <f>IFERROR(__xludf.DUMMYFUNCTION("""COMPUTED_VALUE"""),"Ibrahim Dan Habou Larwana")</f>
        <v>Ibrahim Dan Habou Larwana</v>
      </c>
      <c r="B2380" s="16"/>
      <c r="C2380" s="14"/>
      <c r="F2380" s="16" t="str">
        <f>IFERROR(__xludf.DUMMYFUNCTION("""COMPUTED_VALUE"""),"Bouza Koiré")</f>
        <v>Bouza Koiré</v>
      </c>
      <c r="G2380" s="16"/>
      <c r="H2380" s="14"/>
      <c r="K2380" s="16">
        <f>IFERROR(__xludf.DUMMYFUNCTION("""COMPUTED_VALUE"""),764.0)</f>
        <v>764</v>
      </c>
      <c r="L2380" s="16"/>
      <c r="M2380" s="14"/>
    </row>
    <row r="2381">
      <c r="A2381" s="16" t="str">
        <f>IFERROR(__xludf.DUMMYFUNCTION("""COMPUTED_VALUE"""),"Ibrahim Dan Habou Larwana")</f>
        <v>Ibrahim Dan Habou Larwana</v>
      </c>
      <c r="B2381" s="16"/>
      <c r="C2381" s="14"/>
      <c r="F2381" s="16" t="str">
        <f>IFERROR(__xludf.DUMMYFUNCTION("""COMPUTED_VALUE"""),"Agouloum Toudou")</f>
        <v>Agouloum Toudou</v>
      </c>
      <c r="G2381" s="16"/>
      <c r="H2381" s="14"/>
      <c r="K2381" s="16">
        <f>IFERROR(__xludf.DUMMYFUNCTION("""COMPUTED_VALUE"""),1196.0)</f>
        <v>1196</v>
      </c>
      <c r="L2381" s="16"/>
      <c r="M2381" s="14"/>
    </row>
    <row r="2382">
      <c r="A2382" s="16" t="str">
        <f>IFERROR(__xludf.DUMMYFUNCTION("""COMPUTED_VALUE"""),"Ibrahim Dan Habou Larwana")</f>
        <v>Ibrahim Dan Habou Larwana</v>
      </c>
      <c r="B2382" s="16"/>
      <c r="C2382" s="14"/>
      <c r="F2382" s="16" t="str">
        <f>IFERROR(__xludf.DUMMYFUNCTION("""COMPUTED_VALUE"""),"Agouloum Toudou")</f>
        <v>Agouloum Toudou</v>
      </c>
      <c r="G2382" s="16"/>
      <c r="H2382" s="14"/>
      <c r="K2382" s="16">
        <f>IFERROR(__xludf.DUMMYFUNCTION("""COMPUTED_VALUE"""),587.0)</f>
        <v>587</v>
      </c>
      <c r="L2382" s="16"/>
      <c r="M2382" s="14"/>
    </row>
    <row r="2383">
      <c r="A2383" s="16" t="str">
        <f>IFERROR(__xludf.DUMMYFUNCTION("""COMPUTED_VALUE"""),"Ibrahim Dan Habou Larwana")</f>
        <v>Ibrahim Dan Habou Larwana</v>
      </c>
      <c r="B2383" s="16"/>
      <c r="C2383" s="14"/>
      <c r="F2383" s="16" t="str">
        <f>IFERROR(__xludf.DUMMYFUNCTION("""COMPUTED_VALUE"""),"Agouloum Toudou")</f>
        <v>Agouloum Toudou</v>
      </c>
      <c r="G2383" s="16"/>
      <c r="H2383" s="14"/>
      <c r="K2383" s="16">
        <f>IFERROR(__xludf.DUMMYFUNCTION("""COMPUTED_VALUE"""),991.0)</f>
        <v>991</v>
      </c>
      <c r="L2383" s="16"/>
      <c r="M2383" s="14"/>
    </row>
    <row r="2384">
      <c r="A2384" s="16" t="str">
        <f>IFERROR(__xludf.DUMMYFUNCTION("""COMPUTED_VALUE"""),"Ibrahim Dan Habou Larwana")</f>
        <v>Ibrahim Dan Habou Larwana</v>
      </c>
      <c r="B2384" s="16"/>
      <c r="C2384" s="14"/>
      <c r="F2384" s="16" t="str">
        <f>IFERROR(__xludf.DUMMYFUNCTION("""COMPUTED_VALUE"""),"Agouloum Toudou")</f>
        <v>Agouloum Toudou</v>
      </c>
      <c r="G2384" s="16"/>
      <c r="H2384" s="14"/>
      <c r="K2384" s="16">
        <f>IFERROR(__xludf.DUMMYFUNCTION("""COMPUTED_VALUE"""),567.0)</f>
        <v>567</v>
      </c>
      <c r="L2384" s="16"/>
      <c r="M2384" s="14"/>
    </row>
    <row r="2385">
      <c r="A2385" s="16" t="str">
        <f>IFERROR(__xludf.DUMMYFUNCTION("""COMPUTED_VALUE"""),"Ibrahim Dan Habou Larwana")</f>
        <v>Ibrahim Dan Habou Larwana</v>
      </c>
      <c r="B2385" s="16"/>
      <c r="C2385" s="14"/>
      <c r="F2385" s="16" t="str">
        <f>IFERROR(__xludf.DUMMYFUNCTION("""COMPUTED_VALUE"""),"Sokolé Guidan Gaba Mahalba")</f>
        <v>Sokolé Guidan Gaba Mahalba</v>
      </c>
      <c r="G2385" s="16"/>
      <c r="H2385" s="14"/>
      <c r="K2385" s="16">
        <f>IFERROR(__xludf.DUMMYFUNCTION("""COMPUTED_VALUE"""),1722.0)</f>
        <v>1722</v>
      </c>
      <c r="L2385" s="16"/>
      <c r="M2385" s="14"/>
    </row>
    <row r="2386">
      <c r="A2386" s="16" t="str">
        <f>IFERROR(__xludf.DUMMYFUNCTION("""COMPUTED_VALUE"""),"Ibrahim Dan Habou Larwana")</f>
        <v>Ibrahim Dan Habou Larwana</v>
      </c>
      <c r="B2386" s="16"/>
      <c r="C2386" s="14"/>
      <c r="F2386" s="16" t="str">
        <f>IFERROR(__xludf.DUMMYFUNCTION("""COMPUTED_VALUE"""),"Sokolé Guidan Gaba Mahalba")</f>
        <v>Sokolé Guidan Gaba Mahalba</v>
      </c>
      <c r="G2386" s="16"/>
      <c r="H2386" s="14"/>
      <c r="K2386" s="16">
        <f>IFERROR(__xludf.DUMMYFUNCTION("""COMPUTED_VALUE"""),522.0)</f>
        <v>522</v>
      </c>
      <c r="L2386" s="16"/>
      <c r="M2386" s="14"/>
    </row>
    <row r="2387">
      <c r="A2387" s="16" t="str">
        <f>IFERROR(__xludf.DUMMYFUNCTION("""COMPUTED_VALUE"""),"Ibrahim Dan Habou Larwana")</f>
        <v>Ibrahim Dan Habou Larwana</v>
      </c>
      <c r="B2387" s="16"/>
      <c r="C2387" s="14"/>
      <c r="F2387" s="16" t="str">
        <f>IFERROR(__xludf.DUMMYFUNCTION("""COMPUTED_VALUE"""),"Agouloum Toudou")</f>
        <v>Agouloum Toudou</v>
      </c>
      <c r="G2387" s="16"/>
      <c r="H2387" s="14"/>
      <c r="K2387" s="16">
        <f>IFERROR(__xludf.DUMMYFUNCTION("""COMPUTED_VALUE"""),729.0)</f>
        <v>729</v>
      </c>
      <c r="L2387" s="16"/>
      <c r="M2387" s="14"/>
    </row>
    <row r="2388">
      <c r="A2388" s="16" t="str">
        <f>IFERROR(__xludf.DUMMYFUNCTION("""COMPUTED_VALUE"""),"Asmaou Tanko Issa")</f>
        <v>Asmaou Tanko Issa</v>
      </c>
      <c r="B2388" s="16"/>
      <c r="C2388" s="14"/>
      <c r="F2388" s="16" t="str">
        <f>IFERROR(__xludf.DUMMYFUNCTION("""COMPUTED_VALUE"""),"Sokolé Guidan Gaba Mahalba")</f>
        <v>Sokolé Guidan Gaba Mahalba</v>
      </c>
      <c r="G2388" s="16"/>
      <c r="H2388" s="14"/>
      <c r="K2388" s="16">
        <f>IFERROR(__xludf.DUMMYFUNCTION("""COMPUTED_VALUE"""),1110.0)</f>
        <v>1110</v>
      </c>
      <c r="L2388" s="16"/>
      <c r="M2388" s="14"/>
    </row>
    <row r="2389">
      <c r="A2389" s="16" t="str">
        <f>IFERROR(__xludf.DUMMYFUNCTION("""COMPUTED_VALUE"""),"Razinatou Salissou")</f>
        <v>Razinatou Salissou</v>
      </c>
      <c r="B2389" s="16"/>
      <c r="C2389" s="14"/>
      <c r="F2389" s="16" t="str">
        <f>IFERROR(__xludf.DUMMYFUNCTION("""COMPUTED_VALUE"""),"Sokolé Guidan Gaba Mahalba")</f>
        <v>Sokolé Guidan Gaba Mahalba</v>
      </c>
      <c r="G2389" s="16"/>
      <c r="H2389" s="14"/>
      <c r="K2389" s="16">
        <f>IFERROR(__xludf.DUMMYFUNCTION("""COMPUTED_VALUE"""),154.0)</f>
        <v>154</v>
      </c>
      <c r="L2389" s="16"/>
      <c r="M2389" s="14"/>
    </row>
    <row r="2390">
      <c r="A2390" s="16" t="str">
        <f>IFERROR(__xludf.DUMMYFUNCTION("""COMPUTED_VALUE"""),"Razinatou Salissou")</f>
        <v>Razinatou Salissou</v>
      </c>
      <c r="B2390" s="16"/>
      <c r="C2390" s="14"/>
      <c r="F2390" s="16" t="str">
        <f>IFERROR(__xludf.DUMMYFUNCTION("""COMPUTED_VALUE"""),"Agouloum Toudou")</f>
        <v>Agouloum Toudou</v>
      </c>
      <c r="G2390" s="16"/>
      <c r="H2390" s="14"/>
      <c r="K2390" s="16">
        <f>IFERROR(__xludf.DUMMYFUNCTION("""COMPUTED_VALUE"""),178.0)</f>
        <v>178</v>
      </c>
      <c r="L2390" s="16"/>
      <c r="M2390" s="14"/>
    </row>
    <row r="2391">
      <c r="A2391" s="16" t="str">
        <f>IFERROR(__xludf.DUMMYFUNCTION("""COMPUTED_VALUE"""),"Yacouba Idé dit Lumana")</f>
        <v>Yacouba Idé dit Lumana</v>
      </c>
      <c r="B2391" s="16"/>
      <c r="C2391" s="14"/>
      <c r="F2391" s="16" t="str">
        <f>IFERROR(__xludf.DUMMYFUNCTION("""COMPUTED_VALUE"""),"Agouloum Toudou")</f>
        <v>Agouloum Toudou</v>
      </c>
      <c r="G2391" s="16"/>
      <c r="H2391" s="14"/>
      <c r="K2391" s="16">
        <f>IFERROR(__xludf.DUMMYFUNCTION("""COMPUTED_VALUE"""),521.0)</f>
        <v>521</v>
      </c>
      <c r="L2391" s="16"/>
      <c r="M2391" s="14"/>
    </row>
    <row r="2392">
      <c r="A2392" s="16" t="str">
        <f>IFERROR(__xludf.DUMMYFUNCTION("""COMPUTED_VALUE"""),"Yacouba Idé dit Lumana")</f>
        <v>Yacouba Idé dit Lumana</v>
      </c>
      <c r="B2392" s="16"/>
      <c r="C2392" s="14"/>
      <c r="F2392" s="16" t="str">
        <f>IFERROR(__xludf.DUMMYFUNCTION("""COMPUTED_VALUE"""),"Agouloum Toudou")</f>
        <v>Agouloum Toudou</v>
      </c>
      <c r="G2392" s="16"/>
      <c r="H2392" s="14"/>
      <c r="K2392" s="16">
        <f>IFERROR(__xludf.DUMMYFUNCTION("""COMPUTED_VALUE"""),2165.0)</f>
        <v>2165</v>
      </c>
      <c r="L2392" s="16"/>
      <c r="M2392" s="14"/>
    </row>
    <row r="2393">
      <c r="A2393" s="16" t="str">
        <f>IFERROR(__xludf.DUMMYFUNCTION("""COMPUTED_VALUE"""),"Yacouba Idé dit Lumana")</f>
        <v>Yacouba Idé dit Lumana</v>
      </c>
      <c r="B2393" s="16"/>
      <c r="C2393" s="14"/>
      <c r="F2393" s="16" t="str">
        <f>IFERROR(__xludf.DUMMYFUNCTION("""COMPUTED_VALUE"""),"Agouloum Toudou")</f>
        <v>Agouloum Toudou</v>
      </c>
      <c r="G2393" s="16"/>
      <c r="H2393" s="14"/>
      <c r="K2393" s="16">
        <f>IFERROR(__xludf.DUMMYFUNCTION("""COMPUTED_VALUE"""),394.0)</f>
        <v>394</v>
      </c>
      <c r="L2393" s="16"/>
      <c r="M2393" s="14"/>
    </row>
    <row r="2394">
      <c r="A2394" s="16" t="str">
        <f>IFERROR(__xludf.DUMMYFUNCTION("""COMPUTED_VALUE"""),"Yacouba Idé dit Lumana")</f>
        <v>Yacouba Idé dit Lumana</v>
      </c>
      <c r="B2394" s="16"/>
      <c r="C2394" s="14"/>
      <c r="F2394" s="16" t="str">
        <f>IFERROR(__xludf.DUMMYFUNCTION("""COMPUTED_VALUE"""),"Agouloum Toudou")</f>
        <v>Agouloum Toudou</v>
      </c>
      <c r="G2394" s="16"/>
      <c r="H2394" s="14"/>
      <c r="K2394" s="16">
        <f>IFERROR(__xludf.DUMMYFUNCTION("""COMPUTED_VALUE"""),862.0)</f>
        <v>862</v>
      </c>
      <c r="L2394" s="16"/>
      <c r="M2394" s="14"/>
    </row>
    <row r="2395">
      <c r="A2395" s="16" t="str">
        <f>IFERROR(__xludf.DUMMYFUNCTION("""COMPUTED_VALUE"""),"Inoussa Balkissou")</f>
        <v>Inoussa Balkissou</v>
      </c>
      <c r="B2395" s="16"/>
      <c r="C2395" s="14"/>
      <c r="F2395" s="16" t="str">
        <f>IFERROR(__xludf.DUMMYFUNCTION("""COMPUTED_VALUE"""),"Agouloum Toudou")</f>
        <v>Agouloum Toudou</v>
      </c>
      <c r="G2395" s="16"/>
      <c r="H2395" s="14"/>
      <c r="K2395" s="16">
        <f>IFERROR(__xludf.DUMMYFUNCTION("""COMPUTED_VALUE"""),961.0)</f>
        <v>961</v>
      </c>
      <c r="L2395" s="16"/>
      <c r="M2395" s="14"/>
    </row>
    <row r="2396">
      <c r="A2396" s="16" t="str">
        <f>IFERROR(__xludf.DUMMYFUNCTION("""COMPUTED_VALUE"""),"Hamissou Moussa Nana Mariama")</f>
        <v>Hamissou Moussa Nana Mariama</v>
      </c>
      <c r="B2396" s="16"/>
      <c r="C2396" s="14"/>
      <c r="F2396" s="16" t="str">
        <f>IFERROR(__xludf.DUMMYFUNCTION("""COMPUTED_VALUE"""),"Agouloum Toudou")</f>
        <v>Agouloum Toudou</v>
      </c>
      <c r="G2396" s="16"/>
      <c r="H2396" s="14"/>
      <c r="K2396" s="16">
        <f>IFERROR(__xludf.DUMMYFUNCTION("""COMPUTED_VALUE"""),1147.0)</f>
        <v>1147</v>
      </c>
      <c r="L2396" s="16"/>
      <c r="M2396" s="14"/>
    </row>
    <row r="2397">
      <c r="A2397" s="16" t="str">
        <f>IFERROR(__xludf.DUMMYFUNCTION("""COMPUTED_VALUE"""),"Maman Ado Abdourahamane")</f>
        <v>Maman Ado Abdourahamane</v>
      </c>
      <c r="B2397" s="16"/>
      <c r="C2397" s="14"/>
      <c r="F2397" s="16" t="str">
        <f>IFERROR(__xludf.DUMMYFUNCTION("""COMPUTED_VALUE"""),"Agouloum Toudou")</f>
        <v>Agouloum Toudou</v>
      </c>
      <c r="G2397" s="16"/>
      <c r="H2397" s="14"/>
      <c r="K2397" s="16">
        <f>IFERROR(__xludf.DUMMYFUNCTION("""COMPUTED_VALUE"""),342.0)</f>
        <v>342</v>
      </c>
      <c r="L2397" s="16"/>
      <c r="M2397" s="14"/>
    </row>
    <row r="2398">
      <c r="A2398" s="16" t="str">
        <f>IFERROR(__xludf.DUMMYFUNCTION("""COMPUTED_VALUE"""),"Maman Ado Abdourahamane")</f>
        <v>Maman Ado Abdourahamane</v>
      </c>
      <c r="B2398" s="16"/>
      <c r="C2398" s="14"/>
      <c r="F2398" s="16" t="str">
        <f>IFERROR(__xludf.DUMMYFUNCTION("""COMPUTED_VALUE"""),"Agouloum Toudou")</f>
        <v>Agouloum Toudou</v>
      </c>
      <c r="G2398" s="16"/>
      <c r="H2398" s="14"/>
      <c r="K2398" s="16">
        <f>IFERROR(__xludf.DUMMYFUNCTION("""COMPUTED_VALUE"""),1059.0)</f>
        <v>1059</v>
      </c>
      <c r="L2398" s="16"/>
      <c r="M2398" s="14"/>
    </row>
    <row r="2399">
      <c r="A2399" s="16" t="str">
        <f>IFERROR(__xludf.DUMMYFUNCTION("""COMPUTED_VALUE"""),"Maman Ado Abdourahamane")</f>
        <v>Maman Ado Abdourahamane</v>
      </c>
      <c r="B2399" s="16"/>
      <c r="C2399" s="14"/>
      <c r="F2399" s="16" t="str">
        <f>IFERROR(__xludf.DUMMYFUNCTION("""COMPUTED_VALUE"""),"AgouloumKarama")</f>
        <v>AgouloumKarama</v>
      </c>
      <c r="G2399" s="16"/>
      <c r="H2399" s="14"/>
      <c r="K2399" s="16">
        <f>IFERROR(__xludf.DUMMYFUNCTION("""COMPUTED_VALUE"""),679.0)</f>
        <v>679</v>
      </c>
      <c r="L2399" s="16"/>
      <c r="M2399" s="14"/>
    </row>
    <row r="2400">
      <c r="A2400" s="16" t="str">
        <f>IFERROR(__xludf.DUMMYFUNCTION("""COMPUTED_VALUE"""),"Maman Ado Abdourahamane")</f>
        <v>Maman Ado Abdourahamane</v>
      </c>
      <c r="B2400" s="16"/>
      <c r="C2400" s="14"/>
      <c r="F2400" s="16" t="str">
        <f>IFERROR(__xludf.DUMMYFUNCTION("""COMPUTED_VALUE"""),"Kabima-Al Baraka")</f>
        <v>Kabima-Al Baraka</v>
      </c>
      <c r="G2400" s="16"/>
      <c r="H2400" s="14"/>
      <c r="K2400" s="16">
        <f>IFERROR(__xludf.DUMMYFUNCTION("""COMPUTED_VALUE"""),670.0)</f>
        <v>670</v>
      </c>
      <c r="L2400" s="16"/>
      <c r="M2400" s="14"/>
    </row>
    <row r="2401">
      <c r="A2401" s="16" t="str">
        <f>IFERROR(__xludf.DUMMYFUNCTION("""COMPUTED_VALUE"""),"Aboubacar Hamadou Manga")</f>
        <v>Aboubacar Hamadou Manga</v>
      </c>
      <c r="B2401" s="16"/>
      <c r="C2401" s="14"/>
      <c r="F2401" s="16" t="str">
        <f>IFERROR(__xludf.DUMMYFUNCTION("""COMPUTED_VALUE"""),"Kabima-Al Baraka")</f>
        <v>Kabima-Al Baraka</v>
      </c>
      <c r="G2401" s="16"/>
      <c r="H2401" s="14"/>
      <c r="K2401" s="16">
        <f>IFERROR(__xludf.DUMMYFUNCTION("""COMPUTED_VALUE"""),314.0)</f>
        <v>314</v>
      </c>
      <c r="L2401" s="16"/>
      <c r="M2401" s="14"/>
    </row>
    <row r="2402">
      <c r="A2402" s="16" t="str">
        <f>IFERROR(__xludf.DUMMYFUNCTION("""COMPUTED_VALUE"""),"Aboubacar Hamadou Manga")</f>
        <v>Aboubacar Hamadou Manga</v>
      </c>
      <c r="B2402" s="16"/>
      <c r="C2402" s="14"/>
      <c r="F2402" s="16" t="str">
        <f>IFERROR(__xludf.DUMMYFUNCTION("""COMPUTED_VALUE"""),"Kabima-Al Baraka")</f>
        <v>Kabima-Al Baraka</v>
      </c>
      <c r="G2402" s="16"/>
      <c r="H2402" s="14"/>
      <c r="K2402" s="16">
        <f>IFERROR(__xludf.DUMMYFUNCTION("""COMPUTED_VALUE"""),543.0)</f>
        <v>543</v>
      </c>
      <c r="L2402" s="16"/>
      <c r="M2402" s="14"/>
    </row>
    <row r="2403">
      <c r="A2403" s="16" t="str">
        <f>IFERROR(__xludf.DUMMYFUNCTION("""COMPUTED_VALUE"""),"Kadidja Issaka Hamidou")</f>
        <v>Kadidja Issaka Hamidou</v>
      </c>
      <c r="B2403" s="16"/>
      <c r="C2403" s="14"/>
      <c r="F2403" s="16" t="str">
        <f>IFERROR(__xludf.DUMMYFUNCTION("""COMPUTED_VALUE"""),"Kalalé")</f>
        <v>Kalalé</v>
      </c>
      <c r="G2403" s="16"/>
      <c r="H2403" s="14"/>
      <c r="K2403" s="16">
        <f>IFERROR(__xludf.DUMMYFUNCTION("""COMPUTED_VALUE"""),592.0)</f>
        <v>592</v>
      </c>
      <c r="L2403" s="16"/>
      <c r="M2403" s="14"/>
    </row>
    <row r="2404">
      <c r="A2404" s="16" t="str">
        <f>IFERROR(__xludf.DUMMYFUNCTION("""COMPUTED_VALUE"""),"Kadidja Issaka Hamidou")</f>
        <v>Kadidja Issaka Hamidou</v>
      </c>
      <c r="B2404" s="16"/>
      <c r="C2404" s="14"/>
      <c r="F2404" s="16" t="str">
        <f>IFERROR(__xludf.DUMMYFUNCTION("""COMPUTED_VALUE"""),"Kalalé")</f>
        <v>Kalalé</v>
      </c>
      <c r="G2404" s="16"/>
      <c r="H2404" s="14"/>
      <c r="K2404" s="16">
        <f>IFERROR(__xludf.DUMMYFUNCTION("""COMPUTED_VALUE"""),1387.0)</f>
        <v>1387</v>
      </c>
      <c r="L2404" s="16"/>
      <c r="M2404" s="14"/>
    </row>
    <row r="2405">
      <c r="A2405" s="16" t="str">
        <f>IFERROR(__xludf.DUMMYFUNCTION("""COMPUTED_VALUE"""),"Saddy Youssouf")</f>
        <v>Saddy Youssouf</v>
      </c>
      <c r="B2405" s="16"/>
      <c r="C2405" s="14"/>
      <c r="F2405" s="16" t="str">
        <f>IFERROR(__xludf.DUMMYFUNCTION("""COMPUTED_VALUE"""),"Kalalé")</f>
        <v>Kalalé</v>
      </c>
      <c r="G2405" s="16"/>
      <c r="H2405" s="14"/>
      <c r="K2405" s="16">
        <f>IFERROR(__xludf.DUMMYFUNCTION("""COMPUTED_VALUE"""),391.0)</f>
        <v>391</v>
      </c>
      <c r="L2405" s="16"/>
      <c r="M2405" s="14"/>
    </row>
    <row r="2406">
      <c r="A2406" s="16" t="str">
        <f>IFERROR(__xludf.DUMMYFUNCTION("""COMPUTED_VALUE"""),"Saddy Youssouf")</f>
        <v>Saddy Youssouf</v>
      </c>
      <c r="B2406" s="16"/>
      <c r="C2406" s="14"/>
      <c r="F2406" s="16" t="str">
        <f>IFERROR(__xludf.DUMMYFUNCTION("""COMPUTED_VALUE"""),"Kalalé")</f>
        <v>Kalalé</v>
      </c>
      <c r="G2406" s="16"/>
      <c r="H2406" s="14"/>
      <c r="K2406" s="16">
        <f>IFERROR(__xludf.DUMMYFUNCTION("""COMPUTED_VALUE"""),267.0)</f>
        <v>267</v>
      </c>
      <c r="L2406" s="16"/>
      <c r="M2406" s="14"/>
    </row>
    <row r="2407">
      <c r="A2407" s="16" t="str">
        <f>IFERROR(__xludf.DUMMYFUNCTION("""COMPUTED_VALUE"""),"Saddy Youssouf")</f>
        <v>Saddy Youssouf</v>
      </c>
      <c r="B2407" s="16"/>
      <c r="C2407" s="14"/>
      <c r="F2407" s="16" t="str">
        <f>IFERROR(__xludf.DUMMYFUNCTION("""COMPUTED_VALUE"""),"Takakoumi")</f>
        <v>Takakoumi</v>
      </c>
      <c r="G2407" s="16"/>
      <c r="H2407" s="14"/>
      <c r="K2407" s="16">
        <f>IFERROR(__xludf.DUMMYFUNCTION("""COMPUTED_VALUE"""),230.0)</f>
        <v>230</v>
      </c>
      <c r="L2407" s="16"/>
      <c r="M2407" s="14"/>
    </row>
    <row r="2408">
      <c r="A2408" s="16" t="str">
        <f>IFERROR(__xludf.DUMMYFUNCTION("""COMPUTED_VALUE"""),"Kadidja Issaka Hamidou")</f>
        <v>Kadidja Issaka Hamidou</v>
      </c>
      <c r="B2408" s="16"/>
      <c r="C2408" s="14"/>
      <c r="F2408" s="16" t="str">
        <f>IFERROR(__xludf.DUMMYFUNCTION("""COMPUTED_VALUE"""),"Takakoumi")</f>
        <v>Takakoumi</v>
      </c>
      <c r="G2408" s="16"/>
      <c r="H2408" s="14"/>
      <c r="K2408" s="16">
        <f>IFERROR(__xludf.DUMMYFUNCTION("""COMPUTED_VALUE"""),338.0)</f>
        <v>338</v>
      </c>
      <c r="L2408" s="16"/>
      <c r="M2408" s="14"/>
    </row>
    <row r="2409">
      <c r="A2409" s="16" t="str">
        <f>IFERROR(__xludf.DUMMYFUNCTION("""COMPUTED_VALUE"""),"Elhaji Abdou Leilata")</f>
        <v>Elhaji Abdou Leilata</v>
      </c>
      <c r="B2409" s="16"/>
      <c r="C2409" s="14"/>
      <c r="F2409" s="16" t="str">
        <f>IFERROR(__xludf.DUMMYFUNCTION("""COMPUTED_VALUE"""),"Takakoumi")</f>
        <v>Takakoumi</v>
      </c>
      <c r="G2409" s="16"/>
      <c r="H2409" s="14"/>
      <c r="K2409" s="16">
        <f>IFERROR(__xludf.DUMMYFUNCTION("""COMPUTED_VALUE"""),731.0)</f>
        <v>731</v>
      </c>
      <c r="L2409" s="16"/>
      <c r="M2409" s="14"/>
    </row>
    <row r="2410">
      <c r="A2410" s="16" t="str">
        <f>IFERROR(__xludf.DUMMYFUNCTION("""COMPUTED_VALUE"""),"Achirou Malam Dan Maradi Nassirou")</f>
        <v>Achirou Malam Dan Maradi Nassirou</v>
      </c>
      <c r="B2410" s="16"/>
      <c r="C2410" s="14"/>
      <c r="F2410" s="16" t="str">
        <f>IFERROR(__xludf.DUMMYFUNCTION("""COMPUTED_VALUE"""),"Sokolé I")</f>
        <v>Sokolé I</v>
      </c>
      <c r="G2410" s="16"/>
      <c r="H2410" s="14"/>
      <c r="K2410" s="16">
        <f>IFERROR(__xludf.DUMMYFUNCTION("""COMPUTED_VALUE"""),656.0)</f>
        <v>656</v>
      </c>
      <c r="L2410" s="16"/>
      <c r="M2410" s="14"/>
    </row>
    <row r="2411">
      <c r="A2411" s="16" t="str">
        <f>IFERROR(__xludf.DUMMYFUNCTION("""COMPUTED_VALUE"""),"Achirou Malam Dan Maradi Nassirou")</f>
        <v>Achirou Malam Dan Maradi Nassirou</v>
      </c>
      <c r="B2411" s="16"/>
      <c r="C2411" s="14"/>
      <c r="F2411" s="16" t="str">
        <f>IFERROR(__xludf.DUMMYFUNCTION("""COMPUTED_VALUE"""),"Sabon Guida Damna")</f>
        <v>Sabon Guida Damna</v>
      </c>
      <c r="G2411" s="16"/>
      <c r="H2411" s="14"/>
      <c r="K2411" s="16">
        <f>IFERROR(__xludf.DUMMYFUNCTION("""COMPUTED_VALUE"""),487.0)</f>
        <v>487</v>
      </c>
      <c r="L2411" s="16"/>
      <c r="M2411" s="14"/>
    </row>
    <row r="2412">
      <c r="A2412" s="16" t="str">
        <f>IFERROR(__xludf.DUMMYFUNCTION("""COMPUTED_VALUE"""),"Achirou Malam Dan Maradi Nassirou")</f>
        <v>Achirou Malam Dan Maradi Nassirou</v>
      </c>
      <c r="B2412" s="16"/>
      <c r="C2412" s="14"/>
      <c r="F2412" s="16" t="str">
        <f>IFERROR(__xludf.DUMMYFUNCTION("""COMPUTED_VALUE"""),"Sabon Guida Damna")</f>
        <v>Sabon Guida Damna</v>
      </c>
      <c r="G2412" s="16"/>
      <c r="H2412" s="14"/>
      <c r="K2412" s="16">
        <f>IFERROR(__xludf.DUMMYFUNCTION("""COMPUTED_VALUE"""),202.0)</f>
        <v>202</v>
      </c>
      <c r="L2412" s="16"/>
      <c r="M2412" s="14"/>
    </row>
    <row r="2413">
      <c r="A2413" s="16" t="str">
        <f>IFERROR(__xludf.DUMMYFUNCTION("""COMPUTED_VALUE"""),"Achirou Malam Dan Maradi Nassirou")</f>
        <v>Achirou Malam Dan Maradi Nassirou</v>
      </c>
      <c r="B2413" s="16"/>
      <c r="C2413" s="14"/>
      <c r="F2413" s="16" t="str">
        <f>IFERROR(__xludf.DUMMYFUNCTION("""COMPUTED_VALUE"""),"Toundou Kou")</f>
        <v>Toundou Kou</v>
      </c>
      <c r="G2413" s="16"/>
      <c r="H2413" s="14"/>
      <c r="K2413" s="16">
        <f>IFERROR(__xludf.DUMMYFUNCTION("""COMPUTED_VALUE"""),883.0)</f>
        <v>883</v>
      </c>
      <c r="L2413" s="16"/>
      <c r="M2413" s="14"/>
    </row>
    <row r="2414">
      <c r="A2414" s="16" t="str">
        <f>IFERROR(__xludf.DUMMYFUNCTION("""COMPUTED_VALUE"""),"Achirou Malam Dan Maradi Nassirou")</f>
        <v>Achirou Malam Dan Maradi Nassirou</v>
      </c>
      <c r="B2414" s="16"/>
      <c r="C2414" s="14"/>
      <c r="F2414" s="16" t="str">
        <f>IFERROR(__xludf.DUMMYFUNCTION("""COMPUTED_VALUE"""),"Toundou Kou")</f>
        <v>Toundou Kou</v>
      </c>
      <c r="G2414" s="16"/>
      <c r="H2414" s="14"/>
      <c r="K2414" s="16">
        <f>IFERROR(__xludf.DUMMYFUNCTION("""COMPUTED_VALUE"""),339.0)</f>
        <v>339</v>
      </c>
      <c r="L2414" s="16"/>
      <c r="M2414" s="14"/>
    </row>
    <row r="2415">
      <c r="A2415" s="16" t="str">
        <f>IFERROR(__xludf.DUMMYFUNCTION("""COMPUTED_VALUE"""),"Achirou Malam Dan Maradi Nassirou")</f>
        <v>Achirou Malam Dan Maradi Nassirou</v>
      </c>
      <c r="B2415" s="16"/>
      <c r="C2415" s="14"/>
      <c r="F2415" s="16" t="str">
        <f>IFERROR(__xludf.DUMMYFUNCTION("""COMPUTED_VALUE"""),"Toundou Kou")</f>
        <v>Toundou Kou</v>
      </c>
      <c r="G2415" s="16"/>
      <c r="H2415" s="14"/>
      <c r="K2415" s="16">
        <f>IFERROR(__xludf.DUMMYFUNCTION("""COMPUTED_VALUE"""),1024.0)</f>
        <v>1024</v>
      </c>
      <c r="L2415" s="16"/>
      <c r="M2415" s="14"/>
    </row>
    <row r="2416">
      <c r="A2416" s="16" t="str">
        <f>IFERROR(__xludf.DUMMYFUNCTION("""COMPUTED_VALUE"""),"Moussa Ide Ibrahim")</f>
        <v>Moussa Ide Ibrahim</v>
      </c>
      <c r="B2416" s="16"/>
      <c r="C2416" s="14"/>
      <c r="F2416" s="16" t="str">
        <f>IFERROR(__xludf.DUMMYFUNCTION("""COMPUTED_VALUE"""),"Sabon Guida Damna")</f>
        <v>Sabon Guida Damna</v>
      </c>
      <c r="G2416" s="16"/>
      <c r="H2416" s="14"/>
      <c r="K2416" s="16">
        <f>IFERROR(__xludf.DUMMYFUNCTION("""COMPUTED_VALUE"""),1169.0)</f>
        <v>1169</v>
      </c>
      <c r="L2416" s="16"/>
      <c r="M2416" s="14"/>
    </row>
    <row r="2417">
      <c r="A2417" s="16" t="str">
        <f>IFERROR(__xludf.DUMMYFUNCTION("""COMPUTED_VALUE"""),"Moussa Ide Ibrahim")</f>
        <v>Moussa Ide Ibrahim</v>
      </c>
      <c r="B2417" s="16"/>
      <c r="C2417" s="14"/>
      <c r="F2417" s="16" t="str">
        <f>IFERROR(__xludf.DUMMYFUNCTION("""COMPUTED_VALUE"""),"Kalalé")</f>
        <v>Kalalé</v>
      </c>
      <c r="G2417" s="16"/>
      <c r="H2417" s="14"/>
      <c r="K2417" s="16">
        <f>IFERROR(__xludf.DUMMYFUNCTION("""COMPUTED_VALUE"""),257.0)</f>
        <v>257</v>
      </c>
      <c r="L2417" s="16"/>
      <c r="M2417" s="14"/>
    </row>
    <row r="2418">
      <c r="A2418" s="16" t="str">
        <f>IFERROR(__xludf.DUMMYFUNCTION("""COMPUTED_VALUE"""),"Moussa Ide Ibrahim")</f>
        <v>Moussa Ide Ibrahim</v>
      </c>
      <c r="B2418" s="16"/>
      <c r="C2418" s="14"/>
      <c r="F2418" s="16" t="str">
        <f>IFERROR(__xludf.DUMMYFUNCTION("""COMPUTED_VALUE"""),"Kalalé")</f>
        <v>Kalalé</v>
      </c>
      <c r="G2418" s="16"/>
      <c r="H2418" s="14"/>
      <c r="K2418" s="16">
        <f>IFERROR(__xludf.DUMMYFUNCTION("""COMPUTED_VALUE"""),1371.0)</f>
        <v>1371</v>
      </c>
      <c r="L2418" s="16"/>
      <c r="M2418" s="14"/>
    </row>
    <row r="2419">
      <c r="A2419" s="16" t="str">
        <f>IFERROR(__xludf.DUMMYFUNCTION("""COMPUTED_VALUE"""),"Moussa Ide Ibrahim")</f>
        <v>Moussa Ide Ibrahim</v>
      </c>
      <c r="B2419" s="16"/>
      <c r="C2419" s="14"/>
      <c r="F2419" s="16" t="str">
        <f>IFERROR(__xludf.DUMMYFUNCTION("""COMPUTED_VALUE"""),"Kalalé")</f>
        <v>Kalalé</v>
      </c>
      <c r="G2419" s="16"/>
      <c r="H2419" s="14"/>
      <c r="K2419" s="16">
        <f>IFERROR(__xludf.DUMMYFUNCTION("""COMPUTED_VALUE"""),326.0)</f>
        <v>326</v>
      </c>
      <c r="L2419" s="16"/>
      <c r="M2419" s="14"/>
    </row>
    <row r="2420">
      <c r="A2420" s="16" t="str">
        <f>IFERROR(__xludf.DUMMYFUNCTION("""COMPUTED_VALUE"""),"Moussa Ide Ibrahim")</f>
        <v>Moussa Ide Ibrahim</v>
      </c>
      <c r="B2420" s="16"/>
      <c r="C2420" s="14"/>
      <c r="F2420" s="16" t="str">
        <f>IFERROR(__xludf.DUMMYFUNCTION("""COMPUTED_VALUE"""),"Kalalé")</f>
        <v>Kalalé</v>
      </c>
      <c r="G2420" s="16"/>
      <c r="H2420" s="14"/>
      <c r="K2420" s="16">
        <f>IFERROR(__xludf.DUMMYFUNCTION("""COMPUTED_VALUE"""),1305.0)</f>
        <v>1305</v>
      </c>
      <c r="L2420" s="16"/>
      <c r="M2420" s="14"/>
    </row>
    <row r="2421">
      <c r="A2421" s="16" t="str">
        <f>IFERROR(__xludf.DUMMYFUNCTION("""COMPUTED_VALUE"""),"Kimba Issa Mamoudou")</f>
        <v>Kimba Issa Mamoudou</v>
      </c>
      <c r="B2421" s="16"/>
      <c r="C2421" s="14"/>
      <c r="F2421" s="16" t="str">
        <f>IFERROR(__xludf.DUMMYFUNCTION("""COMPUTED_VALUE"""),"Kalalé")</f>
        <v>Kalalé</v>
      </c>
      <c r="G2421" s="16"/>
      <c r="H2421" s="14"/>
      <c r="K2421" s="16">
        <f>IFERROR(__xludf.DUMMYFUNCTION("""COMPUTED_VALUE"""),1005.0)</f>
        <v>1005</v>
      </c>
      <c r="L2421" s="16"/>
      <c r="M2421" s="14"/>
    </row>
    <row r="2422">
      <c r="A2422" s="16" t="str">
        <f>IFERROR(__xludf.DUMMYFUNCTION("""COMPUTED_VALUE"""),"Kimba Issa Mamoudou")</f>
        <v>Kimba Issa Mamoudou</v>
      </c>
      <c r="B2422" s="16"/>
      <c r="C2422" s="14"/>
      <c r="F2422" s="16" t="str">
        <f>IFERROR(__xludf.DUMMYFUNCTION("""COMPUTED_VALUE"""),"Kalalé")</f>
        <v>Kalalé</v>
      </c>
      <c r="G2422" s="16"/>
      <c r="H2422" s="14"/>
      <c r="K2422" s="16">
        <f>IFERROR(__xludf.DUMMYFUNCTION("""COMPUTED_VALUE"""),1306.0)</f>
        <v>1306</v>
      </c>
      <c r="L2422" s="16"/>
      <c r="M2422" s="14"/>
    </row>
    <row r="2423">
      <c r="A2423" s="16" t="str">
        <f>IFERROR(__xludf.DUMMYFUNCTION("""COMPUTED_VALUE"""),"Kimba Issa Mamoudou")</f>
        <v>Kimba Issa Mamoudou</v>
      </c>
      <c r="B2423" s="16"/>
      <c r="C2423" s="14"/>
      <c r="F2423" s="16" t="str">
        <f>IFERROR(__xludf.DUMMYFUNCTION("""COMPUTED_VALUE"""),"Kabima-Al Baraka")</f>
        <v>Kabima-Al Baraka</v>
      </c>
      <c r="G2423" s="16"/>
      <c r="H2423" s="14"/>
      <c r="K2423" s="16">
        <f>IFERROR(__xludf.DUMMYFUNCTION("""COMPUTED_VALUE"""),547.0)</f>
        <v>547</v>
      </c>
      <c r="L2423" s="16"/>
      <c r="M2423" s="14"/>
    </row>
    <row r="2424">
      <c r="A2424" s="16" t="str">
        <f>IFERROR(__xludf.DUMMYFUNCTION("""COMPUTED_VALUE"""),"Kimba Issa Mamoudou")</f>
        <v>Kimba Issa Mamoudou</v>
      </c>
      <c r="B2424" s="16"/>
      <c r="C2424" s="14"/>
      <c r="F2424" s="16" t="str">
        <f>IFERROR(__xludf.DUMMYFUNCTION("""COMPUTED_VALUE"""),"Kabima-Al Baraka")</f>
        <v>Kabima-Al Baraka</v>
      </c>
      <c r="G2424" s="16"/>
      <c r="H2424" s="14"/>
      <c r="K2424" s="16">
        <f>IFERROR(__xludf.DUMMYFUNCTION("""COMPUTED_VALUE"""),463.0)</f>
        <v>463</v>
      </c>
      <c r="L2424" s="16"/>
      <c r="M2424" s="14"/>
    </row>
    <row r="2425">
      <c r="A2425" s="16" t="str">
        <f>IFERROR(__xludf.DUMMYFUNCTION("""COMPUTED_VALUE"""),"Kimba Issa Mamoudou")</f>
        <v>Kimba Issa Mamoudou</v>
      </c>
      <c r="B2425" s="16"/>
      <c r="C2425" s="14"/>
      <c r="F2425" s="16" t="str">
        <f>IFERROR(__xludf.DUMMYFUNCTION("""COMPUTED_VALUE"""),"Kabima-Al Baraka")</f>
        <v>Kabima-Al Baraka</v>
      </c>
      <c r="G2425" s="16"/>
      <c r="H2425" s="14"/>
      <c r="K2425" s="16">
        <f>IFERROR(__xludf.DUMMYFUNCTION("""COMPUTED_VALUE"""),586.0)</f>
        <v>586</v>
      </c>
      <c r="L2425" s="16"/>
      <c r="M2425" s="14"/>
    </row>
    <row r="2426">
      <c r="A2426" s="16" t="str">
        <f>IFERROR(__xludf.DUMMYFUNCTION("""COMPUTED_VALUE"""),"Kimba Issa Mamoudou")</f>
        <v>Kimba Issa Mamoudou</v>
      </c>
      <c r="B2426" s="16"/>
      <c r="C2426" s="14"/>
      <c r="F2426" s="16" t="str">
        <f>IFERROR(__xludf.DUMMYFUNCTION("""COMPUTED_VALUE"""),"Kabima-Al Baraka")</f>
        <v>Kabima-Al Baraka</v>
      </c>
      <c r="G2426" s="16"/>
      <c r="H2426" s="14"/>
      <c r="K2426" s="16">
        <f>IFERROR(__xludf.DUMMYFUNCTION("""COMPUTED_VALUE"""),223.0)</f>
        <v>223</v>
      </c>
      <c r="L2426" s="16"/>
      <c r="M2426" s="14"/>
    </row>
    <row r="2427">
      <c r="A2427" s="16" t="str">
        <f>IFERROR(__xludf.DUMMYFUNCTION("""COMPUTED_VALUE"""),"Kimba Issa Mamoudou")</f>
        <v>Kimba Issa Mamoudou</v>
      </c>
      <c r="B2427" s="16"/>
      <c r="C2427" s="14"/>
      <c r="F2427" s="16" t="str">
        <f>IFERROR(__xludf.DUMMYFUNCTION("""COMPUTED_VALUE"""),"Agouloum Toudou")</f>
        <v>Agouloum Toudou</v>
      </c>
      <c r="G2427" s="16"/>
      <c r="H2427" s="14"/>
      <c r="K2427" s="16">
        <f>IFERROR(__xludf.DUMMYFUNCTION("""COMPUTED_VALUE"""),424.0)</f>
        <v>424</v>
      </c>
      <c r="L2427" s="16"/>
      <c r="M2427" s="14"/>
    </row>
    <row r="2428">
      <c r="A2428" s="16" t="str">
        <f>IFERROR(__xludf.DUMMYFUNCTION("""COMPUTED_VALUE"""),"Adamou Halidou Daouda")</f>
        <v>Adamou Halidou Daouda</v>
      </c>
      <c r="B2428" s="16"/>
      <c r="C2428" s="14"/>
      <c r="F2428" s="16" t="str">
        <f>IFERROR(__xludf.DUMMYFUNCTION("""COMPUTED_VALUE"""),"Agouloum Toudou")</f>
        <v>Agouloum Toudou</v>
      </c>
      <c r="G2428" s="16"/>
      <c r="H2428" s="14"/>
      <c r="K2428" s="16">
        <f>IFERROR(__xludf.DUMMYFUNCTION("""COMPUTED_VALUE"""),826.0)</f>
        <v>826</v>
      </c>
      <c r="L2428" s="16"/>
      <c r="M2428" s="14"/>
    </row>
    <row r="2429">
      <c r="A2429" s="16" t="str">
        <f>IFERROR(__xludf.DUMMYFUNCTION("""COMPUTED_VALUE"""),"Adamou Halidou Daouda")</f>
        <v>Adamou Halidou Daouda</v>
      </c>
      <c r="B2429" s="16"/>
      <c r="C2429" s="14"/>
      <c r="F2429" s="16" t="str">
        <f>IFERROR(__xludf.DUMMYFUNCTION("""COMPUTED_VALUE"""),"Agouloum Toudou")</f>
        <v>Agouloum Toudou</v>
      </c>
      <c r="G2429" s="16"/>
      <c r="H2429" s="14"/>
      <c r="K2429" s="16">
        <f>IFERROR(__xludf.DUMMYFUNCTION("""COMPUTED_VALUE"""),986.0)</f>
        <v>986</v>
      </c>
      <c r="L2429" s="16"/>
      <c r="M2429" s="14"/>
    </row>
    <row r="2430">
      <c r="A2430" s="16" t="str">
        <f>IFERROR(__xludf.DUMMYFUNCTION("""COMPUTED_VALUE"""),"Adamou Halidou Daouda")</f>
        <v>Adamou Halidou Daouda</v>
      </c>
      <c r="B2430" s="16"/>
      <c r="C2430" s="14"/>
      <c r="F2430" s="16" t="str">
        <f>IFERROR(__xludf.DUMMYFUNCTION("""COMPUTED_VALUE"""),"Agouloum Toudou")</f>
        <v>Agouloum Toudou</v>
      </c>
      <c r="G2430" s="16"/>
      <c r="H2430" s="14"/>
      <c r="K2430" s="16">
        <f>IFERROR(__xludf.DUMMYFUNCTION("""COMPUTED_VALUE"""),285.0)</f>
        <v>285</v>
      </c>
      <c r="L2430" s="16"/>
      <c r="M2430" s="14"/>
    </row>
    <row r="2431">
      <c r="A2431" s="16" t="str">
        <f>IFERROR(__xludf.DUMMYFUNCTION("""COMPUTED_VALUE"""),"Adamou Halidou Daouda")</f>
        <v>Adamou Halidou Daouda</v>
      </c>
      <c r="B2431" s="16"/>
      <c r="C2431" s="14"/>
      <c r="F2431" s="16" t="str">
        <f>IFERROR(__xludf.DUMMYFUNCTION("""COMPUTED_VALUE"""),"Agouloum Toudou")</f>
        <v>Agouloum Toudou</v>
      </c>
      <c r="G2431" s="16"/>
      <c r="H2431" s="14"/>
      <c r="K2431" s="16">
        <f>IFERROR(__xludf.DUMMYFUNCTION("""COMPUTED_VALUE"""),1626.0)</f>
        <v>1626</v>
      </c>
      <c r="L2431" s="16"/>
      <c r="M2431" s="14"/>
    </row>
    <row r="2432">
      <c r="A2432" s="16" t="str">
        <f>IFERROR(__xludf.DUMMYFUNCTION("""COMPUTED_VALUE"""),"Adamou Halidou Daouda")</f>
        <v>Adamou Halidou Daouda</v>
      </c>
      <c r="B2432" s="16"/>
      <c r="C2432" s="14"/>
      <c r="F2432" s="16" t="str">
        <f>IFERROR(__xludf.DUMMYFUNCTION("""COMPUTED_VALUE"""),"Nassaraoua")</f>
        <v>Nassaraoua</v>
      </c>
      <c r="G2432" s="16"/>
      <c r="H2432" s="14"/>
      <c r="K2432" s="16">
        <f>IFERROR(__xludf.DUMMYFUNCTION("""COMPUTED_VALUE"""),788.0)</f>
        <v>788</v>
      </c>
      <c r="L2432" s="16"/>
      <c r="M2432" s="14"/>
    </row>
    <row r="2433">
      <c r="A2433" s="16" t="str">
        <f>IFERROR(__xludf.DUMMYFUNCTION("""COMPUTED_VALUE"""),"Adamou Halidou Daouda")</f>
        <v>Adamou Halidou Daouda</v>
      </c>
      <c r="B2433" s="16"/>
      <c r="C2433" s="14"/>
      <c r="F2433" s="16" t="str">
        <f>IFERROR(__xludf.DUMMYFUNCTION("""COMPUTED_VALUE"""),"Nassaraoua")</f>
        <v>Nassaraoua</v>
      </c>
      <c r="G2433" s="16"/>
      <c r="H2433" s="14"/>
      <c r="K2433" s="16">
        <f>IFERROR(__xludf.DUMMYFUNCTION("""COMPUTED_VALUE"""),2190.0)</f>
        <v>2190</v>
      </c>
      <c r="L2433" s="16"/>
      <c r="M2433" s="14"/>
    </row>
    <row r="2434">
      <c r="A2434" s="16" t="str">
        <f>IFERROR(__xludf.DUMMYFUNCTION("""COMPUTED_VALUE"""),"Adamou Halidou Daouda")</f>
        <v>Adamou Halidou Daouda</v>
      </c>
      <c r="B2434" s="16"/>
      <c r="C2434" s="14"/>
      <c r="F2434" s="16" t="str">
        <f>IFERROR(__xludf.DUMMYFUNCTION("""COMPUTED_VALUE"""),"Nassaraoua")</f>
        <v>Nassaraoua</v>
      </c>
      <c r="G2434" s="16"/>
      <c r="H2434" s="14"/>
      <c r="K2434" s="16">
        <f>IFERROR(__xludf.DUMMYFUNCTION("""COMPUTED_VALUE"""),2494.0)</f>
        <v>2494</v>
      </c>
      <c r="L2434" s="16"/>
      <c r="M2434" s="14"/>
    </row>
    <row r="2435">
      <c r="A2435" s="16" t="str">
        <f>IFERROR(__xludf.DUMMYFUNCTION("""COMPUTED_VALUE"""),"Adamou Halidou Daouda")</f>
        <v>Adamou Halidou Daouda</v>
      </c>
      <c r="B2435" s="16"/>
      <c r="C2435" s="14"/>
      <c r="F2435" s="16" t="str">
        <f>IFERROR(__xludf.DUMMYFUNCTION("""COMPUTED_VALUE"""),"Nassaraoua")</f>
        <v>Nassaraoua</v>
      </c>
      <c r="G2435" s="16"/>
      <c r="H2435" s="14"/>
      <c r="K2435" s="16">
        <f>IFERROR(__xludf.DUMMYFUNCTION("""COMPUTED_VALUE"""),1903.0)</f>
        <v>1903</v>
      </c>
      <c r="L2435" s="16"/>
      <c r="M2435" s="14"/>
    </row>
    <row r="2436">
      <c r="A2436" s="16" t="str">
        <f>IFERROR(__xludf.DUMMYFUNCTION("""COMPUTED_VALUE"""),"Adamou Halidou Daouda")</f>
        <v>Adamou Halidou Daouda</v>
      </c>
      <c r="B2436" s="16"/>
      <c r="C2436" s="14"/>
      <c r="F2436" s="16" t="str">
        <f>IFERROR(__xludf.DUMMYFUNCTION("""COMPUTED_VALUE"""),"Nassaraoua")</f>
        <v>Nassaraoua</v>
      </c>
      <c r="G2436" s="16"/>
      <c r="H2436" s="14"/>
      <c r="K2436" s="16">
        <f>IFERROR(__xludf.DUMMYFUNCTION("""COMPUTED_VALUE"""),376.0)</f>
        <v>376</v>
      </c>
      <c r="L2436" s="16"/>
      <c r="M2436" s="14"/>
    </row>
    <row r="2437">
      <c r="A2437" s="16" t="str">
        <f>IFERROR(__xludf.DUMMYFUNCTION("""COMPUTED_VALUE"""),"Adamou Halidou Daouda")</f>
        <v>Adamou Halidou Daouda</v>
      </c>
      <c r="B2437" s="16"/>
      <c r="C2437" s="14"/>
      <c r="F2437" s="16" t="str">
        <f>IFERROR(__xludf.DUMMYFUNCTION("""COMPUTED_VALUE"""),"Nassaraoua")</f>
        <v>Nassaraoua</v>
      </c>
      <c r="G2437" s="16"/>
      <c r="H2437" s="14"/>
      <c r="K2437" s="16">
        <f>IFERROR(__xludf.DUMMYFUNCTION("""COMPUTED_VALUE"""),587.0)</f>
        <v>587</v>
      </c>
      <c r="L2437" s="16"/>
      <c r="M2437" s="14"/>
    </row>
    <row r="2438">
      <c r="A2438" s="16" t="str">
        <f>IFERROR(__xludf.DUMMYFUNCTION("""COMPUTED_VALUE"""),"Adamou Halidou Daouda")</f>
        <v>Adamou Halidou Daouda</v>
      </c>
      <c r="B2438" s="16"/>
      <c r="C2438" s="14"/>
      <c r="F2438" s="16" t="str">
        <f>IFERROR(__xludf.DUMMYFUNCTION("""COMPUTED_VALUE"""),"Nassaraoua")</f>
        <v>Nassaraoua</v>
      </c>
      <c r="G2438" s="16"/>
      <c r="H2438" s="14"/>
      <c r="K2438" s="16">
        <f>IFERROR(__xludf.DUMMYFUNCTION("""COMPUTED_VALUE"""),605.0)</f>
        <v>605</v>
      </c>
      <c r="L2438" s="16"/>
      <c r="M2438" s="14"/>
    </row>
    <row r="2439">
      <c r="A2439" s="16" t="str">
        <f>IFERROR(__xludf.DUMMYFUNCTION("""COMPUTED_VALUE"""),"Adamou Halidou Daouda")</f>
        <v>Adamou Halidou Daouda</v>
      </c>
      <c r="B2439" s="16"/>
      <c r="C2439" s="14"/>
      <c r="F2439" s="16" t="str">
        <f>IFERROR(__xludf.DUMMYFUNCTION("""COMPUTED_VALUE"""),"Nassaraoua")</f>
        <v>Nassaraoua</v>
      </c>
      <c r="G2439" s="16"/>
      <c r="H2439" s="14"/>
      <c r="K2439" s="16">
        <f>IFERROR(__xludf.DUMMYFUNCTION("""COMPUTED_VALUE"""),2092.0)</f>
        <v>2092</v>
      </c>
      <c r="L2439" s="16"/>
      <c r="M2439" s="14"/>
    </row>
    <row r="2440">
      <c r="A2440" s="16" t="str">
        <f>IFERROR(__xludf.DUMMYFUNCTION("""COMPUTED_VALUE"""),"Adamou Halidou Daouda")</f>
        <v>Adamou Halidou Daouda</v>
      </c>
      <c r="B2440" s="16"/>
      <c r="C2440" s="14"/>
      <c r="F2440" s="16" t="str">
        <f>IFERROR(__xludf.DUMMYFUNCTION("""COMPUTED_VALUE"""),"Nassaraoua")</f>
        <v>Nassaraoua</v>
      </c>
      <c r="G2440" s="16"/>
      <c r="H2440" s="14"/>
      <c r="K2440" s="16">
        <f>IFERROR(__xludf.DUMMYFUNCTION("""COMPUTED_VALUE"""),543.0)</f>
        <v>543</v>
      </c>
      <c r="L2440" s="16"/>
      <c r="M2440" s="14"/>
    </row>
    <row r="2441">
      <c r="A2441" s="16" t="str">
        <f>IFERROR(__xludf.DUMMYFUNCTION("""COMPUTED_VALUE"""),"Adamou Halidou Daouda")</f>
        <v>Adamou Halidou Daouda</v>
      </c>
      <c r="B2441" s="16"/>
      <c r="C2441" s="14"/>
      <c r="F2441" s="16" t="str">
        <f>IFERROR(__xludf.DUMMYFUNCTION("""COMPUTED_VALUE"""),"Nassaraoua")</f>
        <v>Nassaraoua</v>
      </c>
      <c r="G2441" s="16"/>
      <c r="H2441" s="14"/>
      <c r="K2441" s="16">
        <f>IFERROR(__xludf.DUMMYFUNCTION("""COMPUTED_VALUE"""),588.0)</f>
        <v>588</v>
      </c>
      <c r="L2441" s="16"/>
      <c r="M2441" s="14"/>
    </row>
    <row r="2442">
      <c r="A2442" s="16" t="str">
        <f>IFERROR(__xludf.DUMMYFUNCTION("""COMPUTED_VALUE"""),"Abdoul Razak Mahamane Boukari")</f>
        <v>Abdoul Razak Mahamane Boukari</v>
      </c>
      <c r="B2442" s="16"/>
      <c r="C2442" s="14"/>
      <c r="F2442" s="16" t="str">
        <f>IFERROR(__xludf.DUMMYFUNCTION("""COMPUTED_VALUE"""),"Nassaraoua")</f>
        <v>Nassaraoua</v>
      </c>
      <c r="G2442" s="16"/>
      <c r="H2442" s="14"/>
      <c r="K2442" s="16">
        <f>IFERROR(__xludf.DUMMYFUNCTION("""COMPUTED_VALUE"""),1812.0)</f>
        <v>1812</v>
      </c>
      <c r="L2442" s="16"/>
      <c r="M2442" s="14"/>
    </row>
    <row r="2443">
      <c r="A2443" s="16" t="str">
        <f>IFERROR(__xludf.DUMMYFUNCTION("""COMPUTED_VALUE"""),"Abdoul Razak Mahamane Boukari")</f>
        <v>Abdoul Razak Mahamane Boukari</v>
      </c>
      <c r="B2443" s="16"/>
      <c r="C2443" s="14"/>
      <c r="F2443" s="16" t="str">
        <f>IFERROR(__xludf.DUMMYFUNCTION("""COMPUTED_VALUE"""),"Nassaraoua")</f>
        <v>Nassaraoua</v>
      </c>
      <c r="G2443" s="16"/>
      <c r="H2443" s="14"/>
      <c r="K2443" s="16">
        <f>IFERROR(__xludf.DUMMYFUNCTION("""COMPUTED_VALUE"""),926.0)</f>
        <v>926</v>
      </c>
      <c r="L2443" s="16"/>
      <c r="M2443" s="14"/>
    </row>
    <row r="2444">
      <c r="A2444" s="16" t="str">
        <f>IFERROR(__xludf.DUMMYFUNCTION("""COMPUTED_VALUE"""),"Abdoul Razak Mahamane Boukari")</f>
        <v>Abdoul Razak Mahamane Boukari</v>
      </c>
      <c r="B2444" s="16"/>
      <c r="C2444" s="14"/>
      <c r="F2444" s="16" t="str">
        <f>IFERROR(__xludf.DUMMYFUNCTION("""COMPUTED_VALUE"""),"Nassaraoua")</f>
        <v>Nassaraoua</v>
      </c>
      <c r="G2444" s="16"/>
      <c r="H2444" s="14"/>
      <c r="K2444" s="16">
        <f>IFERROR(__xludf.DUMMYFUNCTION("""COMPUTED_VALUE"""),735.0)</f>
        <v>735</v>
      </c>
      <c r="L2444" s="16"/>
      <c r="M2444" s="14"/>
    </row>
    <row r="2445">
      <c r="A2445" s="16" t="str">
        <f>IFERROR(__xludf.DUMMYFUNCTION("""COMPUTED_VALUE"""),"Abdoul Razak Mahamane Boukari")</f>
        <v>Abdoul Razak Mahamane Boukari</v>
      </c>
      <c r="B2445" s="16"/>
      <c r="C2445" s="14"/>
      <c r="F2445" s="16" t="str">
        <f>IFERROR(__xludf.DUMMYFUNCTION("""COMPUTED_VALUE"""),"Bouza Koiré")</f>
        <v>Bouza Koiré</v>
      </c>
      <c r="G2445" s="16"/>
      <c r="H2445" s="14"/>
      <c r="K2445" s="16">
        <f>IFERROR(__xludf.DUMMYFUNCTION("""COMPUTED_VALUE"""),625.0)</f>
        <v>625</v>
      </c>
      <c r="L2445" s="16"/>
      <c r="M2445" s="14"/>
    </row>
    <row r="2446">
      <c r="A2446" s="16" t="str">
        <f>IFERROR(__xludf.DUMMYFUNCTION("""COMPUTED_VALUE"""),"Abdoul Razak Mahamane Boukari")</f>
        <v>Abdoul Razak Mahamane Boukari</v>
      </c>
      <c r="B2446" s="16"/>
      <c r="C2446" s="14"/>
      <c r="F2446" s="16" t="str">
        <f>IFERROR(__xludf.DUMMYFUNCTION("""COMPUTED_VALUE"""),"Bouza Koiré")</f>
        <v>Bouza Koiré</v>
      </c>
      <c r="G2446" s="16"/>
      <c r="H2446" s="14"/>
      <c r="K2446" s="16">
        <f>IFERROR(__xludf.DUMMYFUNCTION("""COMPUTED_VALUE"""),1111.0)</f>
        <v>1111</v>
      </c>
      <c r="L2446" s="16"/>
      <c r="M2446" s="14"/>
    </row>
    <row r="2447">
      <c r="A2447" s="16" t="str">
        <f>IFERROR(__xludf.DUMMYFUNCTION("""COMPUTED_VALUE"""),"Abdoul Razak Mahamane Boukari")</f>
        <v>Abdoul Razak Mahamane Boukari</v>
      </c>
      <c r="B2447" s="16"/>
      <c r="C2447" s="14"/>
      <c r="F2447" s="16" t="str">
        <f>IFERROR(__xludf.DUMMYFUNCTION("""COMPUTED_VALUE"""),"Bouza Koiré")</f>
        <v>Bouza Koiré</v>
      </c>
      <c r="G2447" s="16"/>
      <c r="H2447" s="14"/>
      <c r="K2447" s="16">
        <f>IFERROR(__xludf.DUMMYFUNCTION("""COMPUTED_VALUE"""),474.0)</f>
        <v>474</v>
      </c>
      <c r="L2447" s="16"/>
      <c r="M2447" s="14"/>
    </row>
    <row r="2448">
      <c r="A2448" s="16" t="str">
        <f>IFERROR(__xludf.DUMMYFUNCTION("""COMPUTED_VALUE"""),"Abdoul Razak Mahamane Boukari")</f>
        <v>Abdoul Razak Mahamane Boukari</v>
      </c>
      <c r="B2448" s="16"/>
      <c r="C2448" s="14"/>
      <c r="F2448" s="16" t="str">
        <f>IFERROR(__xludf.DUMMYFUNCTION("""COMPUTED_VALUE"""),"Bouza Koiré")</f>
        <v>Bouza Koiré</v>
      </c>
      <c r="G2448" s="16"/>
      <c r="H2448" s="14"/>
      <c r="K2448" s="16">
        <f>IFERROR(__xludf.DUMMYFUNCTION("""COMPUTED_VALUE"""),228.0)</f>
        <v>228</v>
      </c>
      <c r="L2448" s="16"/>
      <c r="M2448" s="14"/>
    </row>
    <row r="2449">
      <c r="A2449" s="16" t="str">
        <f>IFERROR(__xludf.DUMMYFUNCTION("""COMPUTED_VALUE"""),"Abdoul Razak Mahamane Boukari")</f>
        <v>Abdoul Razak Mahamane Boukari</v>
      </c>
      <c r="B2449" s="16"/>
      <c r="C2449" s="14"/>
      <c r="F2449" s="16" t="str">
        <f>IFERROR(__xludf.DUMMYFUNCTION("""COMPUTED_VALUE"""),"Bouza Koiré")</f>
        <v>Bouza Koiré</v>
      </c>
      <c r="G2449" s="16"/>
      <c r="H2449" s="14"/>
      <c r="K2449" s="16">
        <f>IFERROR(__xludf.DUMMYFUNCTION("""COMPUTED_VALUE"""),481.0)</f>
        <v>481</v>
      </c>
      <c r="L2449" s="16"/>
      <c r="M2449" s="14"/>
    </row>
    <row r="2450">
      <c r="A2450" s="16" t="str">
        <f>IFERROR(__xludf.DUMMYFUNCTION("""COMPUTED_VALUE"""),"Mohamadou Amadou")</f>
        <v>Mohamadou Amadou</v>
      </c>
      <c r="B2450" s="16"/>
      <c r="C2450" s="14"/>
      <c r="F2450" s="16" t="str">
        <f>IFERROR(__xludf.DUMMYFUNCTION("""COMPUTED_VALUE"""),"Bouza Koiré")</f>
        <v>Bouza Koiré</v>
      </c>
      <c r="G2450" s="16"/>
      <c r="H2450" s="14"/>
      <c r="K2450" s="16">
        <f>IFERROR(__xludf.DUMMYFUNCTION("""COMPUTED_VALUE"""),633.0)</f>
        <v>633</v>
      </c>
      <c r="L2450" s="16"/>
      <c r="M2450" s="14"/>
    </row>
    <row r="2451">
      <c r="A2451" s="16" t="str">
        <f>IFERROR(__xludf.DUMMYFUNCTION("""COMPUTED_VALUE"""),"Mohamadou Amadou")</f>
        <v>Mohamadou Amadou</v>
      </c>
      <c r="B2451" s="16"/>
      <c r="C2451" s="14"/>
      <c r="F2451" s="16" t="str">
        <f>IFERROR(__xludf.DUMMYFUNCTION("""COMPUTED_VALUE"""),"Sabon Gari")</f>
        <v>Sabon Gari</v>
      </c>
      <c r="G2451" s="16"/>
      <c r="H2451" s="14"/>
      <c r="K2451" s="16">
        <f>IFERROR(__xludf.DUMMYFUNCTION("""COMPUTED_VALUE"""),425.0)</f>
        <v>425</v>
      </c>
      <c r="L2451" s="16"/>
      <c r="M2451" s="14"/>
    </row>
    <row r="2452">
      <c r="A2452" s="16" t="str">
        <f>IFERROR(__xludf.DUMMYFUNCTION("""COMPUTED_VALUE"""),"Mohamadou Amadou")</f>
        <v>Mohamadou Amadou</v>
      </c>
      <c r="B2452" s="16"/>
      <c r="C2452" s="14"/>
      <c r="F2452" s="16" t="str">
        <f>IFERROR(__xludf.DUMMYFUNCTION("""COMPUTED_VALUE"""),"Sabon Gari")</f>
        <v>Sabon Gari</v>
      </c>
      <c r="G2452" s="16"/>
      <c r="H2452" s="14"/>
      <c r="K2452" s="16">
        <f>IFERROR(__xludf.DUMMYFUNCTION("""COMPUTED_VALUE"""),365.0)</f>
        <v>365</v>
      </c>
      <c r="L2452" s="16"/>
      <c r="M2452" s="14"/>
    </row>
    <row r="2453">
      <c r="A2453" s="16" t="str">
        <f>IFERROR(__xludf.DUMMYFUNCTION("""COMPUTED_VALUE"""),"Mohamadou Amadou")</f>
        <v>Mohamadou Amadou</v>
      </c>
      <c r="B2453" s="16"/>
      <c r="C2453" s="14"/>
      <c r="F2453" s="16" t="str">
        <f>IFERROR(__xludf.DUMMYFUNCTION("""COMPUTED_VALUE"""),"Sabon Gari")</f>
        <v>Sabon Gari</v>
      </c>
      <c r="G2453" s="16"/>
      <c r="H2453" s="14"/>
      <c r="K2453" s="16">
        <f>IFERROR(__xludf.DUMMYFUNCTION("""COMPUTED_VALUE"""),839.0)</f>
        <v>839</v>
      </c>
      <c r="L2453" s="16"/>
      <c r="M2453" s="14"/>
    </row>
    <row r="2454">
      <c r="A2454" s="16" t="str">
        <f>IFERROR(__xludf.DUMMYFUNCTION("""COMPUTED_VALUE"""),"Hachimou Rabiou Mamoudou")</f>
        <v>Hachimou Rabiou Mamoudou</v>
      </c>
      <c r="B2454" s="16"/>
      <c r="C2454" s="14"/>
      <c r="F2454" s="16" t="str">
        <f>IFERROR(__xludf.DUMMYFUNCTION("""COMPUTED_VALUE"""),"Sabon Gari")</f>
        <v>Sabon Gari</v>
      </c>
      <c r="G2454" s="16"/>
      <c r="H2454" s="14"/>
      <c r="K2454" s="16">
        <f>IFERROR(__xludf.DUMMYFUNCTION("""COMPUTED_VALUE"""),569.0)</f>
        <v>569</v>
      </c>
      <c r="L2454" s="16"/>
      <c r="M2454" s="14"/>
    </row>
    <row r="2455">
      <c r="A2455" s="16" t="str">
        <f>IFERROR(__xludf.DUMMYFUNCTION("""COMPUTED_VALUE"""),"Hachimou Rabiou Mamoudou")</f>
        <v>Hachimou Rabiou Mamoudou</v>
      </c>
      <c r="B2455" s="16"/>
      <c r="C2455" s="14"/>
      <c r="F2455" s="16" t="str">
        <f>IFERROR(__xludf.DUMMYFUNCTION("""COMPUTED_VALUE"""),"Bouza Koiré")</f>
        <v>Bouza Koiré</v>
      </c>
      <c r="G2455" s="16"/>
      <c r="H2455" s="14"/>
      <c r="K2455" s="16">
        <f>IFERROR(__xludf.DUMMYFUNCTION("""COMPUTED_VALUE"""),295.0)</f>
        <v>295</v>
      </c>
      <c r="L2455" s="16"/>
      <c r="M2455" s="14"/>
    </row>
    <row r="2456">
      <c r="A2456" s="16" t="str">
        <f>IFERROR(__xludf.DUMMYFUNCTION("""COMPUTED_VALUE"""),"Hachimou Rabiou Mamoudou")</f>
        <v>Hachimou Rabiou Mamoudou</v>
      </c>
      <c r="B2456" s="16"/>
      <c r="C2456" s="14"/>
      <c r="F2456" s="16" t="str">
        <f>IFERROR(__xludf.DUMMYFUNCTION("""COMPUTED_VALUE"""),"Bouza Koiré")</f>
        <v>Bouza Koiré</v>
      </c>
      <c r="G2456" s="16"/>
      <c r="H2456" s="14"/>
      <c r="K2456" s="16">
        <f>IFERROR(__xludf.DUMMYFUNCTION("""COMPUTED_VALUE"""),291.0)</f>
        <v>291</v>
      </c>
      <c r="L2456" s="16"/>
      <c r="M2456" s="14"/>
    </row>
    <row r="2457">
      <c r="A2457" s="16" t="str">
        <f>IFERROR(__xludf.DUMMYFUNCTION("""COMPUTED_VALUE"""),"Hachimou Rabiou Mamoudou")</f>
        <v>Hachimou Rabiou Mamoudou</v>
      </c>
      <c r="B2457" s="16"/>
      <c r="C2457" s="14"/>
      <c r="F2457" s="16" t="str">
        <f>IFERROR(__xludf.DUMMYFUNCTION("""COMPUTED_VALUE"""),"Bouza Koiré")</f>
        <v>Bouza Koiré</v>
      </c>
      <c r="G2457" s="16"/>
      <c r="H2457" s="14"/>
      <c r="K2457" s="16">
        <f>IFERROR(__xludf.DUMMYFUNCTION("""COMPUTED_VALUE"""),266.0)</f>
        <v>266</v>
      </c>
      <c r="L2457" s="16"/>
      <c r="M2457" s="14"/>
    </row>
    <row r="2458">
      <c r="A2458" s="16" t="str">
        <f>IFERROR(__xludf.DUMMYFUNCTION("""COMPUTED_VALUE"""),"Hachimou Rabiou Mamoudou")</f>
        <v>Hachimou Rabiou Mamoudou</v>
      </c>
      <c r="B2458" s="16"/>
      <c r="C2458" s="14"/>
      <c r="F2458" s="16" t="str">
        <f>IFERROR(__xludf.DUMMYFUNCTION("""COMPUTED_VALUE"""),"Bouza Koiré")</f>
        <v>Bouza Koiré</v>
      </c>
      <c r="G2458" s="16"/>
      <c r="H2458" s="14"/>
      <c r="K2458" s="16">
        <f>IFERROR(__xludf.DUMMYFUNCTION("""COMPUTED_VALUE"""),414.0)</f>
        <v>414</v>
      </c>
      <c r="L2458" s="16"/>
      <c r="M2458" s="14"/>
    </row>
    <row r="2459">
      <c r="A2459" s="16" t="str">
        <f>IFERROR(__xludf.DUMMYFUNCTION("""COMPUTED_VALUE"""),"Ouhoumoudou Djannou Ibrahim")</f>
        <v>Ouhoumoudou Djannou Ibrahim</v>
      </c>
      <c r="B2459" s="16"/>
      <c r="C2459" s="14"/>
      <c r="F2459" s="16" t="str">
        <f>IFERROR(__xludf.DUMMYFUNCTION("""COMPUTED_VALUE"""),"Bouza Koiré")</f>
        <v>Bouza Koiré</v>
      </c>
      <c r="G2459" s="16"/>
      <c r="H2459" s="14"/>
      <c r="K2459" s="16">
        <f>IFERROR(__xludf.DUMMYFUNCTION("""COMPUTED_VALUE"""),244.0)</f>
        <v>244</v>
      </c>
      <c r="L2459" s="16"/>
      <c r="M2459" s="14"/>
    </row>
    <row r="2460">
      <c r="A2460" s="16" t="str">
        <f>IFERROR(__xludf.DUMMYFUNCTION("""COMPUTED_VALUE"""),"Ouhoumoudou Djannou Ibrahim")</f>
        <v>Ouhoumoudou Djannou Ibrahim</v>
      </c>
      <c r="B2460" s="16"/>
      <c r="C2460" s="14"/>
      <c r="F2460" s="16" t="str">
        <f>IFERROR(__xludf.DUMMYFUNCTION("""COMPUTED_VALUE"""),"Bouza Koiré")</f>
        <v>Bouza Koiré</v>
      </c>
      <c r="G2460" s="16"/>
      <c r="H2460" s="14"/>
      <c r="K2460" s="16">
        <f>IFERROR(__xludf.DUMMYFUNCTION("""COMPUTED_VALUE"""),239.0)</f>
        <v>239</v>
      </c>
      <c r="L2460" s="16"/>
      <c r="M2460" s="14"/>
    </row>
    <row r="2461">
      <c r="A2461" s="16" t="str">
        <f>IFERROR(__xludf.DUMMYFUNCTION("""COMPUTED_VALUE"""),"Ouhoumoudou Djannou Ibrahim")</f>
        <v>Ouhoumoudou Djannou Ibrahim</v>
      </c>
      <c r="B2461" s="16"/>
      <c r="C2461" s="14"/>
      <c r="F2461" s="16" t="str">
        <f>IFERROR(__xludf.DUMMYFUNCTION("""COMPUTED_VALUE"""),"Bouza Koiré")</f>
        <v>Bouza Koiré</v>
      </c>
      <c r="G2461" s="16"/>
      <c r="H2461" s="14"/>
      <c r="K2461" s="16">
        <f>IFERROR(__xludf.DUMMYFUNCTION("""COMPUTED_VALUE"""),367.0)</f>
        <v>367</v>
      </c>
      <c r="L2461" s="16"/>
      <c r="M2461" s="14"/>
    </row>
    <row r="2462">
      <c r="A2462" s="16" t="str">
        <f>IFERROR(__xludf.DUMMYFUNCTION("""COMPUTED_VALUE"""),"Ouhoumoudou Djannou Ibrahim")</f>
        <v>Ouhoumoudou Djannou Ibrahim</v>
      </c>
      <c r="B2462" s="16"/>
      <c r="C2462" s="14"/>
      <c r="F2462" s="16" t="str">
        <f>IFERROR(__xludf.DUMMYFUNCTION("""COMPUTED_VALUE"""),"Sabon Gari")</f>
        <v>Sabon Gari</v>
      </c>
      <c r="G2462" s="16"/>
      <c r="H2462" s="14"/>
      <c r="K2462" s="16">
        <f>IFERROR(__xludf.DUMMYFUNCTION("""COMPUTED_VALUE"""),379.0)</f>
        <v>379</v>
      </c>
      <c r="L2462" s="16"/>
      <c r="M2462" s="14"/>
    </row>
    <row r="2463">
      <c r="A2463" s="16" t="str">
        <f>IFERROR(__xludf.DUMMYFUNCTION("""COMPUTED_VALUE"""),"Ouhoumoudou Djannou Ibrahim")</f>
        <v>Ouhoumoudou Djannou Ibrahim</v>
      </c>
      <c r="B2463" s="16"/>
      <c r="C2463" s="14"/>
      <c r="F2463" s="16" t="str">
        <f>IFERROR(__xludf.DUMMYFUNCTION("""COMPUTED_VALUE"""),"Sabon Gari")</f>
        <v>Sabon Gari</v>
      </c>
      <c r="G2463" s="16"/>
      <c r="H2463" s="14"/>
      <c r="K2463" s="16">
        <f>IFERROR(__xludf.DUMMYFUNCTION("""COMPUTED_VALUE"""),311.0)</f>
        <v>311</v>
      </c>
      <c r="L2463" s="16"/>
      <c r="M2463" s="14"/>
    </row>
    <row r="2464">
      <c r="A2464" s="16" t="str">
        <f>IFERROR(__xludf.DUMMYFUNCTION("""COMPUTED_VALUE"""),"Ouhoumoudou Djannou Ibrahim")</f>
        <v>Ouhoumoudou Djannou Ibrahim</v>
      </c>
      <c r="B2464" s="16"/>
      <c r="C2464" s="14"/>
      <c r="F2464" s="16" t="str">
        <f>IFERROR(__xludf.DUMMYFUNCTION("""COMPUTED_VALUE"""),"Sabon Gari")</f>
        <v>Sabon Gari</v>
      </c>
      <c r="G2464" s="16"/>
      <c r="H2464" s="14"/>
      <c r="K2464" s="16">
        <f>IFERROR(__xludf.DUMMYFUNCTION("""COMPUTED_VALUE"""),228.0)</f>
        <v>228</v>
      </c>
      <c r="L2464" s="16"/>
      <c r="M2464" s="14"/>
    </row>
    <row r="2465">
      <c r="A2465" s="16" t="str">
        <f>IFERROR(__xludf.DUMMYFUNCTION("""COMPUTED_VALUE"""),"Ouhoumoudou Djannou Ibrahim")</f>
        <v>Ouhoumoudou Djannou Ibrahim</v>
      </c>
      <c r="B2465" s="16"/>
      <c r="C2465" s="14"/>
      <c r="F2465" s="16" t="str">
        <f>IFERROR(__xludf.DUMMYFUNCTION("""COMPUTED_VALUE"""),"Sabon Gari")</f>
        <v>Sabon Gari</v>
      </c>
      <c r="G2465" s="16"/>
      <c r="H2465" s="14"/>
      <c r="K2465" s="16">
        <f>IFERROR(__xludf.DUMMYFUNCTION("""COMPUTED_VALUE"""),341.0)</f>
        <v>341</v>
      </c>
      <c r="L2465" s="16"/>
      <c r="M2465" s="14"/>
    </row>
    <row r="2466">
      <c r="A2466" s="16" t="str">
        <f>IFERROR(__xludf.DUMMYFUNCTION("""COMPUTED_VALUE"""),"Maman Zayanou Harouna")</f>
        <v>Maman Zayanou Harouna</v>
      </c>
      <c r="B2466" s="16"/>
      <c r="C2466" s="14"/>
      <c r="F2466" s="16" t="str">
        <f>IFERROR(__xludf.DUMMYFUNCTION("""COMPUTED_VALUE"""),"Sabon Gari")</f>
        <v>Sabon Gari</v>
      </c>
      <c r="G2466" s="16"/>
      <c r="H2466" s="14"/>
      <c r="K2466" s="16">
        <f>IFERROR(__xludf.DUMMYFUNCTION("""COMPUTED_VALUE"""),696.0)</f>
        <v>696</v>
      </c>
      <c r="L2466" s="16"/>
      <c r="M2466" s="14"/>
    </row>
    <row r="2467">
      <c r="A2467" s="16" t="str">
        <f>IFERROR(__xludf.DUMMYFUNCTION("""COMPUTED_VALUE"""),"Maman Zayanou Harouna")</f>
        <v>Maman Zayanou Harouna</v>
      </c>
      <c r="B2467" s="16"/>
      <c r="C2467" s="14"/>
      <c r="F2467" s="16" t="str">
        <f>IFERROR(__xludf.DUMMYFUNCTION("""COMPUTED_VALUE"""),"Sabon Gari")</f>
        <v>Sabon Gari</v>
      </c>
      <c r="G2467" s="16"/>
      <c r="H2467" s="14"/>
      <c r="K2467" s="16">
        <f>IFERROR(__xludf.DUMMYFUNCTION("""COMPUTED_VALUE"""),336.0)</f>
        <v>336</v>
      </c>
      <c r="L2467" s="16"/>
      <c r="M2467" s="14"/>
    </row>
    <row r="2468">
      <c r="A2468" s="16" t="str">
        <f>IFERROR(__xludf.DUMMYFUNCTION("""COMPUTED_VALUE"""),"Maman Zayanou Harouna")</f>
        <v>Maman Zayanou Harouna</v>
      </c>
      <c r="B2468" s="16"/>
      <c r="C2468" s="14"/>
      <c r="F2468" s="16" t="str">
        <f>IFERROR(__xludf.DUMMYFUNCTION("""COMPUTED_VALUE"""),"Sabon Gari")</f>
        <v>Sabon Gari</v>
      </c>
      <c r="G2468" s="16"/>
      <c r="H2468" s="14"/>
      <c r="K2468" s="16">
        <f>IFERROR(__xludf.DUMMYFUNCTION("""COMPUTED_VALUE"""),683.0)</f>
        <v>683</v>
      </c>
      <c r="L2468" s="16"/>
      <c r="M2468" s="14"/>
    </row>
    <row r="2469">
      <c r="A2469" s="16" t="str">
        <f>IFERROR(__xludf.DUMMYFUNCTION("""COMPUTED_VALUE"""),"Maman Zayanou Harouna")</f>
        <v>Maman Zayanou Harouna</v>
      </c>
      <c r="B2469" s="16"/>
      <c r="C2469" s="14"/>
      <c r="F2469" s="16" t="str">
        <f>IFERROR(__xludf.DUMMYFUNCTION("""COMPUTED_VALUE"""),"Sabon Gari")</f>
        <v>Sabon Gari</v>
      </c>
      <c r="G2469" s="16"/>
      <c r="H2469" s="14"/>
      <c r="K2469" s="16">
        <f>IFERROR(__xludf.DUMMYFUNCTION("""COMPUTED_VALUE"""),897.0)</f>
        <v>897</v>
      </c>
      <c r="L2469" s="16"/>
      <c r="M2469" s="14"/>
    </row>
    <row r="2470">
      <c r="A2470" s="16" t="str">
        <f>IFERROR(__xludf.DUMMYFUNCTION("""COMPUTED_VALUE"""),"Maman Zayanou Harouna")</f>
        <v>Maman Zayanou Harouna</v>
      </c>
      <c r="B2470" s="16"/>
      <c r="C2470" s="14"/>
      <c r="F2470" s="16" t="str">
        <f>IFERROR(__xludf.DUMMYFUNCTION("""COMPUTED_VALUE"""),"Sabon Gari")</f>
        <v>Sabon Gari</v>
      </c>
      <c r="G2470" s="16"/>
      <c r="H2470" s="14"/>
      <c r="K2470" s="16">
        <f>IFERROR(__xludf.DUMMYFUNCTION("""COMPUTED_VALUE"""),1166.0)</f>
        <v>1166</v>
      </c>
      <c r="L2470" s="16"/>
      <c r="M2470" s="14"/>
    </row>
    <row r="2471">
      <c r="A2471" s="16" t="str">
        <f>IFERROR(__xludf.DUMMYFUNCTION("""COMPUTED_VALUE"""),"Maman Zayanou Harouna")</f>
        <v>Maman Zayanou Harouna</v>
      </c>
      <c r="B2471" s="16"/>
      <c r="C2471" s="14"/>
      <c r="F2471" s="16" t="str">
        <f>IFERROR(__xludf.DUMMYFUNCTION("""COMPUTED_VALUE"""),"Sabon Gari")</f>
        <v>Sabon Gari</v>
      </c>
      <c r="G2471" s="16"/>
      <c r="H2471" s="14"/>
      <c r="K2471" s="16">
        <f>IFERROR(__xludf.DUMMYFUNCTION("""COMPUTED_VALUE"""),244.0)</f>
        <v>244</v>
      </c>
      <c r="L2471" s="16"/>
      <c r="M2471" s="14"/>
    </row>
    <row r="2472">
      <c r="A2472" s="16" t="str">
        <f>IFERROR(__xludf.DUMMYFUNCTION("""COMPUTED_VALUE"""),"Maman Zayanou Harouna")</f>
        <v>Maman Zayanou Harouna</v>
      </c>
      <c r="B2472" s="16"/>
      <c r="C2472" s="14"/>
      <c r="F2472" s="16" t="str">
        <f>IFERROR(__xludf.DUMMYFUNCTION("""COMPUTED_VALUE"""),"Sabon Gari")</f>
        <v>Sabon Gari</v>
      </c>
      <c r="G2472" s="16"/>
      <c r="H2472" s="14"/>
      <c r="K2472" s="16">
        <f>IFERROR(__xludf.DUMMYFUNCTION("""COMPUTED_VALUE"""),427.0)</f>
        <v>427</v>
      </c>
      <c r="L2472" s="16"/>
      <c r="M2472" s="14"/>
    </row>
    <row r="2473">
      <c r="A2473" s="16" t="str">
        <f>IFERROR(__xludf.DUMMYFUNCTION("""COMPUTED_VALUE"""),"Maman Zayanou Harouna")</f>
        <v>Maman Zayanou Harouna</v>
      </c>
      <c r="B2473" s="16"/>
      <c r="C2473" s="14"/>
      <c r="F2473" s="16" t="str">
        <f>IFERROR(__xludf.DUMMYFUNCTION("""COMPUTED_VALUE"""),"Sabon Gari")</f>
        <v>Sabon Gari</v>
      </c>
      <c r="G2473" s="16"/>
      <c r="H2473" s="14"/>
      <c r="K2473" s="16">
        <f>IFERROR(__xludf.DUMMYFUNCTION("""COMPUTED_VALUE"""),372.0)</f>
        <v>372</v>
      </c>
      <c r="L2473" s="16"/>
      <c r="M2473" s="14"/>
    </row>
    <row r="2474">
      <c r="A2474" s="16" t="str">
        <f>IFERROR(__xludf.DUMMYFUNCTION("""COMPUTED_VALUE"""),"Younoussi Bilan Djamila")</f>
        <v>Younoussi Bilan Djamila</v>
      </c>
      <c r="B2474" s="16"/>
      <c r="C2474" s="14"/>
      <c r="F2474" s="16" t="str">
        <f>IFERROR(__xludf.DUMMYFUNCTION("""COMPUTED_VALUE"""),"Sabon Gari")</f>
        <v>Sabon Gari</v>
      </c>
      <c r="G2474" s="16"/>
      <c r="H2474" s="14"/>
      <c r="K2474" s="16">
        <f>IFERROR(__xludf.DUMMYFUNCTION("""COMPUTED_VALUE"""),335.0)</f>
        <v>335</v>
      </c>
      <c r="L2474" s="16"/>
      <c r="M2474" s="14"/>
    </row>
    <row r="2475">
      <c r="A2475" s="16" t="str">
        <f>IFERROR(__xludf.DUMMYFUNCTION("""COMPUTED_VALUE"""),"Larabou Chamsoudine")</f>
        <v>Larabou Chamsoudine</v>
      </c>
      <c r="B2475" s="16"/>
      <c r="C2475" s="14"/>
      <c r="F2475" s="16" t="str">
        <f>IFERROR(__xludf.DUMMYFUNCTION("""COMPUTED_VALUE"""),"Sabon Gari")</f>
        <v>Sabon Gari</v>
      </c>
      <c r="G2475" s="16"/>
      <c r="H2475" s="14"/>
      <c r="K2475" s="16">
        <f>IFERROR(__xludf.DUMMYFUNCTION("""COMPUTED_VALUE"""),1133.0)</f>
        <v>1133</v>
      </c>
      <c r="L2475" s="16"/>
      <c r="M2475" s="14"/>
    </row>
    <row r="2476">
      <c r="A2476" s="16" t="str">
        <f>IFERROR(__xludf.DUMMYFUNCTION("""COMPUTED_VALUE"""),"Larabou Chamsoudine")</f>
        <v>Larabou Chamsoudine</v>
      </c>
      <c r="B2476" s="16"/>
      <c r="C2476" s="14"/>
      <c r="F2476" s="16" t="str">
        <f>IFERROR(__xludf.DUMMYFUNCTION("""COMPUTED_VALUE"""),"Sabon Gari")</f>
        <v>Sabon Gari</v>
      </c>
      <c r="G2476" s="16"/>
      <c r="H2476" s="14"/>
      <c r="K2476" s="16">
        <f>IFERROR(__xludf.DUMMYFUNCTION("""COMPUTED_VALUE"""),359.0)</f>
        <v>359</v>
      </c>
      <c r="L2476" s="16"/>
      <c r="M2476" s="14"/>
    </row>
    <row r="2477">
      <c r="A2477" s="16" t="str">
        <f>IFERROR(__xludf.DUMMYFUNCTION("""COMPUTED_VALUE"""),"Binta Maman")</f>
        <v>Binta Maman</v>
      </c>
      <c r="B2477" s="16"/>
      <c r="C2477" s="14"/>
      <c r="F2477" s="16" t="str">
        <f>IFERROR(__xludf.DUMMYFUNCTION("""COMPUTED_VALUE"""),"Sabon Gari")</f>
        <v>Sabon Gari</v>
      </c>
      <c r="G2477" s="16"/>
      <c r="H2477" s="14"/>
      <c r="K2477" s="16">
        <f>IFERROR(__xludf.DUMMYFUNCTION("""COMPUTED_VALUE"""),323.0)</f>
        <v>323</v>
      </c>
      <c r="L2477" s="16"/>
      <c r="M2477" s="14"/>
    </row>
    <row r="2478">
      <c r="A2478" s="16" t="str">
        <f>IFERROR(__xludf.DUMMYFUNCTION("""COMPUTED_VALUE"""),"Binta Maman")</f>
        <v>Binta Maman</v>
      </c>
      <c r="B2478" s="16"/>
      <c r="C2478" s="14"/>
      <c r="F2478" s="16" t="str">
        <f>IFERROR(__xludf.DUMMYFUNCTION("""COMPUTED_VALUE"""),"Sabon Gari")</f>
        <v>Sabon Gari</v>
      </c>
      <c r="G2478" s="16"/>
      <c r="H2478" s="14"/>
      <c r="K2478" s="16">
        <f>IFERROR(__xludf.DUMMYFUNCTION("""COMPUTED_VALUE"""),488.0)</f>
        <v>488</v>
      </c>
      <c r="L2478" s="16"/>
      <c r="M2478" s="14"/>
    </row>
    <row r="2479">
      <c r="A2479" s="16" t="str">
        <f>IFERROR(__xludf.DUMMYFUNCTION("""COMPUTED_VALUE"""),"Binta Maman")</f>
        <v>Binta Maman</v>
      </c>
      <c r="B2479" s="16"/>
      <c r="C2479" s="14"/>
      <c r="F2479" s="16" t="str">
        <f>IFERROR(__xludf.DUMMYFUNCTION("""COMPUTED_VALUE"""),"Bouza Gabass")</f>
        <v>Bouza Gabass</v>
      </c>
      <c r="G2479" s="16"/>
      <c r="H2479" s="14"/>
      <c r="K2479" s="16">
        <f>IFERROR(__xludf.DUMMYFUNCTION("""COMPUTED_VALUE"""),769.0)</f>
        <v>769</v>
      </c>
      <c r="L2479" s="16"/>
      <c r="M2479" s="14"/>
    </row>
    <row r="2480">
      <c r="A2480" s="16" t="str">
        <f>IFERROR(__xludf.DUMMYFUNCTION("""COMPUTED_VALUE"""),"Abdoul Salami Ibrahim")</f>
        <v>Abdoul Salami Ibrahim</v>
      </c>
      <c r="B2480" s="16"/>
      <c r="C2480" s="14"/>
      <c r="F2480" s="16" t="str">
        <f>IFERROR(__xludf.DUMMYFUNCTION("""COMPUTED_VALUE"""),"Bouza Gabass")</f>
        <v>Bouza Gabass</v>
      </c>
      <c r="G2480" s="16"/>
      <c r="H2480" s="14"/>
      <c r="K2480" s="16">
        <f>IFERROR(__xludf.DUMMYFUNCTION("""COMPUTED_VALUE"""),315.0)</f>
        <v>315</v>
      </c>
      <c r="L2480" s="16"/>
      <c r="M2480" s="14"/>
    </row>
    <row r="2481">
      <c r="A2481" s="16" t="str">
        <f>IFERROR(__xludf.DUMMYFUNCTION("""COMPUTED_VALUE"""),"Abdoul Salami Ibrahim")</f>
        <v>Abdoul Salami Ibrahim</v>
      </c>
      <c r="B2481" s="16"/>
      <c r="C2481" s="14"/>
      <c r="F2481" s="16" t="str">
        <f>IFERROR(__xludf.DUMMYFUNCTION("""COMPUTED_VALUE"""),"Bouza Gabass")</f>
        <v>Bouza Gabass</v>
      </c>
      <c r="G2481" s="16"/>
      <c r="H2481" s="14"/>
      <c r="K2481" s="16">
        <f>IFERROR(__xludf.DUMMYFUNCTION("""COMPUTED_VALUE"""),744.0)</f>
        <v>744</v>
      </c>
      <c r="L2481" s="16"/>
      <c r="M2481" s="14"/>
    </row>
    <row r="2482">
      <c r="A2482" s="16" t="str">
        <f>IFERROR(__xludf.DUMMYFUNCTION("""COMPUTED_VALUE"""),"Abdoul Salami Ibrahim")</f>
        <v>Abdoul Salami Ibrahim</v>
      </c>
      <c r="B2482" s="16"/>
      <c r="C2482" s="14"/>
      <c r="F2482" s="16" t="str">
        <f>IFERROR(__xludf.DUMMYFUNCTION("""COMPUTED_VALUE"""),"Bouza Gabass")</f>
        <v>Bouza Gabass</v>
      </c>
      <c r="G2482" s="16"/>
      <c r="H2482" s="14"/>
      <c r="K2482" s="16">
        <f>IFERROR(__xludf.DUMMYFUNCTION("""COMPUTED_VALUE"""),1655.0)</f>
        <v>1655</v>
      </c>
      <c r="L2482" s="16"/>
      <c r="M2482" s="14"/>
    </row>
    <row r="2483">
      <c r="A2483" s="16" t="str">
        <f>IFERROR(__xludf.DUMMYFUNCTION("""COMPUTED_VALUE"""),"Abdoul Salami Ibrahim")</f>
        <v>Abdoul Salami Ibrahim</v>
      </c>
      <c r="B2483" s="16"/>
      <c r="C2483" s="14"/>
      <c r="F2483" s="16" t="str">
        <f>IFERROR(__xludf.DUMMYFUNCTION("""COMPUTED_VALUE"""),"Bouza Gabass")</f>
        <v>Bouza Gabass</v>
      </c>
      <c r="G2483" s="16"/>
      <c r="H2483" s="14"/>
      <c r="K2483" s="16">
        <f>IFERROR(__xludf.DUMMYFUNCTION("""COMPUTED_VALUE"""),482.0)</f>
        <v>482</v>
      </c>
      <c r="L2483" s="16"/>
      <c r="M2483" s="14"/>
    </row>
    <row r="2484">
      <c r="A2484" s="16" t="str">
        <f>IFERROR(__xludf.DUMMYFUNCTION("""COMPUTED_VALUE"""),"Abdoul Salami Ibrahim")</f>
        <v>Abdoul Salami Ibrahim</v>
      </c>
      <c r="B2484" s="16"/>
      <c r="C2484" s="14"/>
      <c r="F2484" s="16" t="str">
        <f>IFERROR(__xludf.DUMMYFUNCTION("""COMPUTED_VALUE"""),"Bouza Gabass")</f>
        <v>Bouza Gabass</v>
      </c>
      <c r="G2484" s="16"/>
      <c r="H2484" s="14"/>
      <c r="K2484" s="16">
        <f>IFERROR(__xludf.DUMMYFUNCTION("""COMPUTED_VALUE"""),1121.0)</f>
        <v>1121</v>
      </c>
      <c r="L2484" s="16"/>
      <c r="M2484" s="14"/>
    </row>
    <row r="2485">
      <c r="A2485" s="16" t="str">
        <f>IFERROR(__xludf.DUMMYFUNCTION("""COMPUTED_VALUE"""),"Abdoul Salami Ibrahim")</f>
        <v>Abdoul Salami Ibrahim</v>
      </c>
      <c r="B2485" s="16"/>
      <c r="C2485" s="14"/>
      <c r="F2485" s="16" t="str">
        <f>IFERROR(__xludf.DUMMYFUNCTION("""COMPUTED_VALUE"""),"Sabongari")</f>
        <v>Sabongari</v>
      </c>
      <c r="G2485" s="16"/>
      <c r="H2485" s="14"/>
      <c r="K2485" s="16">
        <f>IFERROR(__xludf.DUMMYFUNCTION("""COMPUTED_VALUE"""),471.0)</f>
        <v>471</v>
      </c>
      <c r="L2485" s="16"/>
      <c r="M2485" s="14"/>
    </row>
    <row r="2486">
      <c r="A2486" s="16" t="str">
        <f>IFERROR(__xludf.DUMMYFUNCTION("""COMPUTED_VALUE"""),"Haladou Boukar")</f>
        <v>Haladou Boukar</v>
      </c>
      <c r="B2486" s="16"/>
      <c r="C2486" s="14"/>
      <c r="F2486" s="16" t="str">
        <f>IFERROR(__xludf.DUMMYFUNCTION("""COMPUTED_VALUE"""),"Sabongari")</f>
        <v>Sabongari</v>
      </c>
      <c r="G2486" s="16"/>
      <c r="H2486" s="14"/>
      <c r="K2486" s="16">
        <f>IFERROR(__xludf.DUMMYFUNCTION("""COMPUTED_VALUE"""),761.0)</f>
        <v>761</v>
      </c>
      <c r="L2486" s="16"/>
      <c r="M2486" s="14"/>
    </row>
    <row r="2487">
      <c r="A2487" s="16" t="str">
        <f>IFERROR(__xludf.DUMMYFUNCTION("""COMPUTED_VALUE"""),"Haladou Boukar")</f>
        <v>Haladou Boukar</v>
      </c>
      <c r="B2487" s="16"/>
      <c r="C2487" s="14"/>
      <c r="F2487" s="16" t="str">
        <f>IFERROR(__xludf.DUMMYFUNCTION("""COMPUTED_VALUE"""),"Sabongari")</f>
        <v>Sabongari</v>
      </c>
      <c r="G2487" s="16"/>
      <c r="H2487" s="14"/>
      <c r="K2487" s="16">
        <f>IFERROR(__xludf.DUMMYFUNCTION("""COMPUTED_VALUE"""),452.0)</f>
        <v>452</v>
      </c>
      <c r="L2487" s="16"/>
      <c r="M2487" s="14"/>
    </row>
    <row r="2488">
      <c r="A2488" s="16" t="str">
        <f>IFERROR(__xludf.DUMMYFUNCTION("""COMPUTED_VALUE"""),"Kadidja Issaka Hamidou")</f>
        <v>Kadidja Issaka Hamidou</v>
      </c>
      <c r="B2488" s="16"/>
      <c r="C2488" s="14"/>
      <c r="F2488" s="16" t="str">
        <f>IFERROR(__xludf.DUMMYFUNCTION("""COMPUTED_VALUE"""),"Kirari")</f>
        <v>Kirari</v>
      </c>
      <c r="G2488" s="16"/>
      <c r="H2488" s="14"/>
      <c r="K2488" s="16">
        <f>IFERROR(__xludf.DUMMYFUNCTION("""COMPUTED_VALUE"""),1388.0)</f>
        <v>1388</v>
      </c>
      <c r="L2488" s="16"/>
      <c r="M2488" s="14"/>
    </row>
    <row r="2489">
      <c r="A2489" s="16" t="str">
        <f>IFERROR(__xludf.DUMMYFUNCTION("""COMPUTED_VALUE"""),"Kadidja Issaka Hamidou")</f>
        <v>Kadidja Issaka Hamidou</v>
      </c>
      <c r="B2489" s="16"/>
      <c r="C2489" s="14"/>
      <c r="F2489" s="16" t="str">
        <f>IFERROR(__xludf.DUMMYFUNCTION("""COMPUTED_VALUE"""),"Kirari")</f>
        <v>Kirari</v>
      </c>
      <c r="G2489" s="16"/>
      <c r="H2489" s="14"/>
      <c r="K2489" s="16">
        <f>IFERROR(__xludf.DUMMYFUNCTION("""COMPUTED_VALUE"""),506.0)</f>
        <v>506</v>
      </c>
      <c r="L2489" s="16"/>
      <c r="M2489" s="14"/>
    </row>
    <row r="2490">
      <c r="A2490" s="16" t="str">
        <f>IFERROR(__xludf.DUMMYFUNCTION("""COMPUTED_VALUE"""),"Kadidja Issaka Hamidou")</f>
        <v>Kadidja Issaka Hamidou</v>
      </c>
      <c r="B2490" s="16"/>
      <c r="C2490" s="14"/>
      <c r="F2490" s="16" t="str">
        <f>IFERROR(__xludf.DUMMYFUNCTION("""COMPUTED_VALUE"""),"Kirari")</f>
        <v>Kirari</v>
      </c>
      <c r="G2490" s="16"/>
      <c r="H2490" s="14"/>
      <c r="K2490" s="16">
        <f>IFERROR(__xludf.DUMMYFUNCTION("""COMPUTED_VALUE"""),1409.0)</f>
        <v>1409</v>
      </c>
      <c r="L2490" s="16"/>
      <c r="M2490" s="14"/>
    </row>
    <row r="2491">
      <c r="A2491" s="16" t="str">
        <f>IFERROR(__xludf.DUMMYFUNCTION("""COMPUTED_VALUE"""),"Hamissou Moussa Nana Mariama")</f>
        <v>Hamissou Moussa Nana Mariama</v>
      </c>
      <c r="B2491" s="16"/>
      <c r="C2491" s="14"/>
      <c r="F2491" s="16" t="str">
        <f>IFERROR(__xludf.DUMMYFUNCTION("""COMPUTED_VALUE"""),"Kirari")</f>
        <v>Kirari</v>
      </c>
      <c r="G2491" s="16"/>
      <c r="H2491" s="14"/>
      <c r="K2491" s="16">
        <f>IFERROR(__xludf.DUMMYFUNCTION("""COMPUTED_VALUE"""),447.0)</f>
        <v>447</v>
      </c>
      <c r="L2491" s="16"/>
      <c r="M2491" s="14"/>
    </row>
    <row r="2492">
      <c r="A2492" s="16" t="str">
        <f>IFERROR(__xludf.DUMMYFUNCTION("""COMPUTED_VALUE"""),"Hamissou Moussa Nana Mariama")</f>
        <v>Hamissou Moussa Nana Mariama</v>
      </c>
      <c r="B2492" s="16"/>
      <c r="C2492" s="14"/>
      <c r="F2492" s="16" t="str">
        <f>IFERROR(__xludf.DUMMYFUNCTION("""COMPUTED_VALUE"""),"Kirari")</f>
        <v>Kirari</v>
      </c>
      <c r="G2492" s="16"/>
      <c r="H2492" s="14"/>
      <c r="K2492" s="16">
        <f>IFERROR(__xludf.DUMMYFUNCTION("""COMPUTED_VALUE"""),1026.0)</f>
        <v>1026</v>
      </c>
      <c r="L2492" s="16"/>
      <c r="M2492" s="14"/>
    </row>
    <row r="2493">
      <c r="A2493" s="16" t="str">
        <f>IFERROR(__xludf.DUMMYFUNCTION("""COMPUTED_VALUE"""),"Aboubacar Hamadou Manga")</f>
        <v>Aboubacar Hamadou Manga</v>
      </c>
      <c r="B2493" s="16"/>
      <c r="C2493" s="14"/>
      <c r="F2493" s="16" t="str">
        <f>IFERROR(__xludf.DUMMYFUNCTION("""COMPUTED_VALUE"""),"Kirari")</f>
        <v>Kirari</v>
      </c>
      <c r="G2493" s="16"/>
      <c r="H2493" s="14"/>
      <c r="K2493" s="16">
        <f>IFERROR(__xludf.DUMMYFUNCTION("""COMPUTED_VALUE"""),732.0)</f>
        <v>732</v>
      </c>
      <c r="L2493" s="16"/>
      <c r="M2493" s="14"/>
    </row>
    <row r="2494">
      <c r="A2494" s="16" t="str">
        <f>IFERROR(__xludf.DUMMYFUNCTION("""COMPUTED_VALUE"""),"Aboubacar Hamadou Manga")</f>
        <v>Aboubacar Hamadou Manga</v>
      </c>
      <c r="B2494" s="16"/>
      <c r="C2494" s="14"/>
      <c r="F2494" s="16" t="str">
        <f>IFERROR(__xludf.DUMMYFUNCTION("""COMPUTED_VALUE"""),"Kirari")</f>
        <v>Kirari</v>
      </c>
      <c r="G2494" s="16"/>
      <c r="H2494" s="14"/>
      <c r="K2494" s="16">
        <f>IFERROR(__xludf.DUMMYFUNCTION("""COMPUTED_VALUE"""),394.0)</f>
        <v>394</v>
      </c>
      <c r="L2494" s="16"/>
      <c r="M2494" s="14"/>
    </row>
    <row r="2495">
      <c r="A2495" s="16" t="str">
        <f>IFERROR(__xludf.DUMMYFUNCTION("""COMPUTED_VALUE"""),"Elhaji Abdou Leilata")</f>
        <v>Elhaji Abdou Leilata</v>
      </c>
      <c r="B2495" s="16"/>
      <c r="C2495" s="14"/>
      <c r="F2495" s="16" t="str">
        <f>IFERROR(__xludf.DUMMYFUNCTION("""COMPUTED_VALUE"""),"Kirari")</f>
        <v>Kirari</v>
      </c>
      <c r="G2495" s="16"/>
      <c r="H2495" s="14"/>
      <c r="K2495" s="16">
        <f>IFERROR(__xludf.DUMMYFUNCTION("""COMPUTED_VALUE"""),1024.0)</f>
        <v>1024</v>
      </c>
      <c r="L2495" s="16"/>
      <c r="M2495" s="14"/>
    </row>
    <row r="2496">
      <c r="A2496" s="16" t="str">
        <f>IFERROR(__xludf.DUMMYFUNCTION("""COMPUTED_VALUE"""),"Elhaji Abdou Leilata")</f>
        <v>Elhaji Abdou Leilata</v>
      </c>
      <c r="B2496" s="16"/>
      <c r="C2496" s="14"/>
      <c r="F2496" s="16" t="str">
        <f>IFERROR(__xludf.DUMMYFUNCTION("""COMPUTED_VALUE"""),"Kirari")</f>
        <v>Kirari</v>
      </c>
      <c r="G2496" s="16"/>
      <c r="H2496" s="14"/>
      <c r="K2496" s="16">
        <f>IFERROR(__xludf.DUMMYFUNCTION("""COMPUTED_VALUE"""),930.0)</f>
        <v>930</v>
      </c>
      <c r="L2496" s="16"/>
      <c r="M2496" s="14"/>
    </row>
    <row r="2497">
      <c r="A2497" s="16" t="str">
        <f>IFERROR(__xludf.DUMMYFUNCTION("""COMPUTED_VALUE"""),"Elhaji Abdou Leilata")</f>
        <v>Elhaji Abdou Leilata</v>
      </c>
      <c r="B2497" s="16"/>
      <c r="C2497" s="14"/>
      <c r="F2497" s="16" t="str">
        <f>IFERROR(__xludf.DUMMYFUNCTION("""COMPUTED_VALUE"""),"Kirari")</f>
        <v>Kirari</v>
      </c>
      <c r="G2497" s="16"/>
      <c r="H2497" s="14"/>
      <c r="K2497" s="16">
        <f>IFERROR(__xludf.DUMMYFUNCTION("""COMPUTED_VALUE"""),730.0)</f>
        <v>730</v>
      </c>
      <c r="L2497" s="16"/>
      <c r="M2497" s="14"/>
    </row>
    <row r="2498">
      <c r="A2498" s="16" t="str">
        <f>IFERROR(__xludf.DUMMYFUNCTION("""COMPUTED_VALUE"""),"Elhaji Abdou Leilata")</f>
        <v>Elhaji Abdou Leilata</v>
      </c>
      <c r="B2498" s="16"/>
      <c r="C2498" s="14"/>
      <c r="F2498" s="16" t="str">
        <f>IFERROR(__xludf.DUMMYFUNCTION("""COMPUTED_VALUE"""),"Kirari")</f>
        <v>Kirari</v>
      </c>
      <c r="G2498" s="16"/>
      <c r="H2498" s="14"/>
      <c r="K2498" s="16">
        <f>IFERROR(__xludf.DUMMYFUNCTION("""COMPUTED_VALUE"""),862.0)</f>
        <v>862</v>
      </c>
      <c r="L2498" s="16"/>
      <c r="M2498" s="14"/>
    </row>
    <row r="2499">
      <c r="A2499" s="16" t="str">
        <f>IFERROR(__xludf.DUMMYFUNCTION("""COMPUTED_VALUE"""),"Maman Ado Abdourahamane")</f>
        <v>Maman Ado Abdourahamane</v>
      </c>
      <c r="B2499" s="16"/>
      <c r="C2499" s="14"/>
      <c r="F2499" s="16" t="str">
        <f>IFERROR(__xludf.DUMMYFUNCTION("""COMPUTED_VALUE"""),"Koutki")</f>
        <v>Koutki</v>
      </c>
      <c r="G2499" s="16"/>
      <c r="H2499" s="14"/>
      <c r="K2499" s="16">
        <f>IFERROR(__xludf.DUMMYFUNCTION("""COMPUTED_VALUE"""),295.0)</f>
        <v>295</v>
      </c>
      <c r="L2499" s="16"/>
      <c r="M2499" s="14"/>
    </row>
    <row r="2500">
      <c r="A2500" s="16" t="str">
        <f>IFERROR(__xludf.DUMMYFUNCTION("""COMPUTED_VALUE"""),"Maman Ado Abdourahamane")</f>
        <v>Maman Ado Abdourahamane</v>
      </c>
      <c r="B2500" s="16"/>
      <c r="C2500" s="14"/>
      <c r="F2500" s="16" t="str">
        <f>IFERROR(__xludf.DUMMYFUNCTION("""COMPUTED_VALUE"""),"Kirari")</f>
        <v>Kirari</v>
      </c>
      <c r="G2500" s="16"/>
      <c r="H2500" s="14"/>
      <c r="K2500" s="16">
        <f>IFERROR(__xludf.DUMMYFUNCTION("""COMPUTED_VALUE"""),582.0)</f>
        <v>582</v>
      </c>
      <c r="L2500" s="16"/>
      <c r="M2500" s="14"/>
    </row>
    <row r="2501">
      <c r="A2501" s="16" t="str">
        <f>IFERROR(__xludf.DUMMYFUNCTION("""COMPUTED_VALUE"""),"Maman Ado Abdourahamane")</f>
        <v>Maman Ado Abdourahamane</v>
      </c>
      <c r="B2501" s="16"/>
      <c r="C2501" s="14"/>
      <c r="F2501" s="16" t="str">
        <f>IFERROR(__xludf.DUMMYFUNCTION("""COMPUTED_VALUE"""),"Kirari")</f>
        <v>Kirari</v>
      </c>
      <c r="G2501" s="16"/>
      <c r="H2501" s="14"/>
      <c r="K2501" s="16">
        <f>IFERROR(__xludf.DUMMYFUNCTION("""COMPUTED_VALUE"""),324.0)</f>
        <v>324</v>
      </c>
      <c r="L2501" s="16"/>
      <c r="M2501" s="14"/>
    </row>
    <row r="2502">
      <c r="A2502" s="16" t="str">
        <f>IFERROR(__xludf.DUMMYFUNCTION("""COMPUTED_VALUE"""),"Maman Ado Abdourahamane")</f>
        <v>Maman Ado Abdourahamane</v>
      </c>
      <c r="B2502" s="16"/>
      <c r="C2502" s="14"/>
      <c r="F2502" s="16" t="str">
        <f>IFERROR(__xludf.DUMMYFUNCTION("""COMPUTED_VALUE"""),"Kirari")</f>
        <v>Kirari</v>
      </c>
      <c r="G2502" s="16"/>
      <c r="H2502" s="14"/>
      <c r="K2502" s="16">
        <f>IFERROR(__xludf.DUMMYFUNCTION("""COMPUTED_VALUE"""),1567.0)</f>
        <v>1567</v>
      </c>
      <c r="L2502" s="16"/>
      <c r="M2502" s="14"/>
    </row>
    <row r="2503">
      <c r="A2503" s="16" t="str">
        <f>IFERROR(__xludf.DUMMYFUNCTION("""COMPUTED_VALUE"""),"Maman Ado Abdourahamane")</f>
        <v>Maman Ado Abdourahamane</v>
      </c>
      <c r="B2503" s="16"/>
      <c r="C2503" s="14"/>
      <c r="F2503" s="16" t="str">
        <f>IFERROR(__xludf.DUMMYFUNCTION("""COMPUTED_VALUE"""),"Kirari")</f>
        <v>Kirari</v>
      </c>
      <c r="G2503" s="16"/>
      <c r="H2503" s="14"/>
      <c r="K2503" s="16">
        <f>IFERROR(__xludf.DUMMYFUNCTION("""COMPUTED_VALUE"""),1055.0)</f>
        <v>1055</v>
      </c>
      <c r="L2503" s="16"/>
      <c r="M2503" s="14"/>
    </row>
    <row r="2504">
      <c r="A2504" s="16" t="str">
        <f>IFERROR(__xludf.DUMMYFUNCTION("""COMPUTED_VALUE"""),"Gaoh Maazou")</f>
        <v>Gaoh Maazou</v>
      </c>
      <c r="B2504" s="16"/>
      <c r="C2504" s="14"/>
      <c r="F2504" s="16" t="str">
        <f>IFERROR(__xludf.DUMMYFUNCTION("""COMPUTED_VALUE"""),"Kirari")</f>
        <v>Kirari</v>
      </c>
      <c r="G2504" s="16"/>
      <c r="H2504" s="14"/>
      <c r="K2504" s="16">
        <f>IFERROR(__xludf.DUMMYFUNCTION("""COMPUTED_VALUE"""),821.0)</f>
        <v>821</v>
      </c>
      <c r="L2504" s="16"/>
      <c r="M2504" s="14"/>
    </row>
    <row r="2505">
      <c r="A2505" s="16" t="str">
        <f>IFERROR(__xludf.DUMMYFUNCTION("""COMPUTED_VALUE"""),"Gaoh Maazou")</f>
        <v>Gaoh Maazou</v>
      </c>
      <c r="B2505" s="16"/>
      <c r="C2505" s="14"/>
      <c r="F2505" s="16" t="str">
        <f>IFERROR(__xludf.DUMMYFUNCTION("""COMPUTED_VALUE"""),"Kirari")</f>
        <v>Kirari</v>
      </c>
      <c r="G2505" s="16"/>
      <c r="H2505" s="14"/>
      <c r="K2505" s="16">
        <f>IFERROR(__xludf.DUMMYFUNCTION("""COMPUTED_VALUE"""),1126.0)</f>
        <v>1126</v>
      </c>
      <c r="L2505" s="16"/>
      <c r="M2505" s="14"/>
    </row>
    <row r="2506">
      <c r="A2506" s="16" t="str">
        <f>IFERROR(__xludf.DUMMYFUNCTION("""COMPUTED_VALUE"""),"Gaoh Maazou")</f>
        <v>Gaoh Maazou</v>
      </c>
      <c r="B2506" s="16"/>
      <c r="C2506" s="14"/>
      <c r="F2506" s="16" t="str">
        <f>IFERROR(__xludf.DUMMYFUNCTION("""COMPUTED_VALUE"""),"Kirari")</f>
        <v>Kirari</v>
      </c>
      <c r="G2506" s="16"/>
      <c r="H2506" s="14"/>
      <c r="K2506" s="16">
        <f>IFERROR(__xludf.DUMMYFUNCTION("""COMPUTED_VALUE"""),798.0)</f>
        <v>798</v>
      </c>
      <c r="L2506" s="16"/>
      <c r="M2506" s="14"/>
    </row>
    <row r="2507">
      <c r="A2507" s="16" t="str">
        <f>IFERROR(__xludf.DUMMYFUNCTION("""COMPUTED_VALUE"""),"Gaoh Maazou")</f>
        <v>Gaoh Maazou</v>
      </c>
      <c r="B2507" s="16"/>
      <c r="C2507" s="14"/>
      <c r="F2507" s="16" t="str">
        <f>IFERROR(__xludf.DUMMYFUNCTION("""COMPUTED_VALUE"""),"Sabongari")</f>
        <v>Sabongari</v>
      </c>
      <c r="G2507" s="16"/>
      <c r="H2507" s="14"/>
      <c r="K2507" s="16">
        <f>IFERROR(__xludf.DUMMYFUNCTION("""COMPUTED_VALUE"""),635.0)</f>
        <v>635</v>
      </c>
      <c r="L2507" s="16"/>
      <c r="M2507" s="14"/>
    </row>
    <row r="2508">
      <c r="A2508" s="16" t="str">
        <f>IFERROR(__xludf.DUMMYFUNCTION("""COMPUTED_VALUE"""),"Mohamadou Amadou")</f>
        <v>Mohamadou Amadou</v>
      </c>
      <c r="B2508" s="16"/>
      <c r="C2508" s="14"/>
      <c r="F2508" s="16" t="str">
        <f>IFERROR(__xludf.DUMMYFUNCTION("""COMPUTED_VALUE"""),"Sabongari")</f>
        <v>Sabongari</v>
      </c>
      <c r="G2508" s="16"/>
      <c r="H2508" s="14"/>
      <c r="K2508" s="16">
        <f>IFERROR(__xludf.DUMMYFUNCTION("""COMPUTED_VALUE"""),679.0)</f>
        <v>679</v>
      </c>
      <c r="L2508" s="16"/>
      <c r="M2508" s="14"/>
    </row>
    <row r="2509">
      <c r="A2509" s="16" t="str">
        <f>IFERROR(__xludf.DUMMYFUNCTION("""COMPUTED_VALUE"""),"Asmaou Tanko Issa")</f>
        <v>Asmaou Tanko Issa</v>
      </c>
      <c r="B2509" s="16"/>
      <c r="C2509" s="14"/>
      <c r="F2509" s="16" t="str">
        <f>IFERROR(__xludf.DUMMYFUNCTION("""COMPUTED_VALUE"""),"Sabongari")</f>
        <v>Sabongari</v>
      </c>
      <c r="G2509" s="16"/>
      <c r="H2509" s="14"/>
      <c r="K2509" s="16">
        <f>IFERROR(__xludf.DUMMYFUNCTION("""COMPUTED_VALUE"""),398.0)</f>
        <v>398</v>
      </c>
      <c r="L2509" s="16"/>
      <c r="M2509" s="14"/>
    </row>
    <row r="2510">
      <c r="A2510" s="16" t="str">
        <f>IFERROR(__xludf.DUMMYFUNCTION("""COMPUTED_VALUE"""),"Razinatou Salissou")</f>
        <v>Razinatou Salissou</v>
      </c>
      <c r="B2510" s="16"/>
      <c r="C2510" s="14"/>
      <c r="F2510" s="16" t="str">
        <f>IFERROR(__xludf.DUMMYFUNCTION("""COMPUTED_VALUE"""),"Sabongari")</f>
        <v>Sabongari</v>
      </c>
      <c r="G2510" s="16"/>
      <c r="H2510" s="14"/>
      <c r="K2510" s="16">
        <f>IFERROR(__xludf.DUMMYFUNCTION("""COMPUTED_VALUE"""),1390.0)</f>
        <v>1390</v>
      </c>
      <c r="L2510" s="16"/>
      <c r="M2510" s="14"/>
    </row>
    <row r="2511">
      <c r="A2511" s="16" t="str">
        <f>IFERROR(__xludf.DUMMYFUNCTION("""COMPUTED_VALUE"""),"Razinatou Salissou")</f>
        <v>Razinatou Salissou</v>
      </c>
      <c r="B2511" s="16"/>
      <c r="C2511" s="14"/>
      <c r="F2511" s="16" t="str">
        <f>IFERROR(__xludf.DUMMYFUNCTION("""COMPUTED_VALUE"""),"Kirari")</f>
        <v>Kirari</v>
      </c>
      <c r="G2511" s="16"/>
      <c r="H2511" s="14"/>
      <c r="K2511" s="16">
        <f>IFERROR(__xludf.DUMMYFUNCTION("""COMPUTED_VALUE"""),699.0)</f>
        <v>699</v>
      </c>
      <c r="L2511" s="16"/>
      <c r="M2511" s="14"/>
    </row>
    <row r="2512">
      <c r="A2512" s="16" t="str">
        <f>IFERROR(__xludf.DUMMYFUNCTION("""COMPUTED_VALUE"""),"Saddy Youssouf")</f>
        <v>Saddy Youssouf</v>
      </c>
      <c r="B2512" s="16"/>
      <c r="C2512" s="14"/>
      <c r="F2512" s="16" t="str">
        <f>IFERROR(__xludf.DUMMYFUNCTION("""COMPUTED_VALUE"""),"Kirari")</f>
        <v>Kirari</v>
      </c>
      <c r="G2512" s="16"/>
      <c r="H2512" s="14"/>
      <c r="K2512" s="16">
        <f>IFERROR(__xludf.DUMMYFUNCTION("""COMPUTED_VALUE"""),447.0)</f>
        <v>447</v>
      </c>
      <c r="L2512" s="16"/>
      <c r="M2512" s="14"/>
    </row>
    <row r="2513">
      <c r="A2513" s="16" t="str">
        <f>IFERROR(__xludf.DUMMYFUNCTION("""COMPUTED_VALUE"""),"Saddy Youssouf")</f>
        <v>Saddy Youssouf</v>
      </c>
      <c r="B2513" s="16"/>
      <c r="C2513" s="14"/>
      <c r="F2513" s="16" t="str">
        <f>IFERROR(__xludf.DUMMYFUNCTION("""COMPUTED_VALUE"""),"Kirari")</f>
        <v>Kirari</v>
      </c>
      <c r="G2513" s="16"/>
      <c r="H2513" s="14"/>
      <c r="K2513" s="16">
        <f>IFERROR(__xludf.DUMMYFUNCTION("""COMPUTED_VALUE"""),320.0)</f>
        <v>320</v>
      </c>
      <c r="L2513" s="16"/>
      <c r="M2513" s="14"/>
    </row>
    <row r="2514">
      <c r="A2514" s="16" t="str">
        <f>IFERROR(__xludf.DUMMYFUNCTION("""COMPUTED_VALUE"""),"Saddy Youssouf")</f>
        <v>Saddy Youssouf</v>
      </c>
      <c r="B2514" s="16"/>
      <c r="C2514" s="14"/>
      <c r="F2514" s="16" t="str">
        <f>IFERROR(__xludf.DUMMYFUNCTION("""COMPUTED_VALUE"""),"Koutki")</f>
        <v>Koutki</v>
      </c>
      <c r="G2514" s="16"/>
      <c r="H2514" s="14"/>
      <c r="K2514" s="16">
        <f>IFERROR(__xludf.DUMMYFUNCTION("""COMPUTED_VALUE"""),364.0)</f>
        <v>364</v>
      </c>
      <c r="L2514" s="16"/>
      <c r="M2514" s="14"/>
    </row>
    <row r="2515">
      <c r="A2515" s="16" t="str">
        <f>IFERROR(__xludf.DUMMYFUNCTION("""COMPUTED_VALUE"""),"Yacouba Idé dit Lumana")</f>
        <v>Yacouba Idé dit Lumana</v>
      </c>
      <c r="B2515" s="16"/>
      <c r="C2515" s="14"/>
      <c r="F2515" s="16" t="str">
        <f>IFERROR(__xludf.DUMMYFUNCTION("""COMPUTED_VALUE"""),"Koutki")</f>
        <v>Koutki</v>
      </c>
      <c r="G2515" s="16"/>
      <c r="H2515" s="14"/>
      <c r="K2515" s="16">
        <f>IFERROR(__xludf.DUMMYFUNCTION("""COMPUTED_VALUE"""),253.0)</f>
        <v>253</v>
      </c>
      <c r="L2515" s="16"/>
      <c r="M2515" s="14"/>
    </row>
    <row r="2516">
      <c r="A2516" s="16" t="str">
        <f>IFERROR(__xludf.DUMMYFUNCTION("""COMPUTED_VALUE"""),"Yacouba Idé dit Lumana")</f>
        <v>Yacouba Idé dit Lumana</v>
      </c>
      <c r="B2516" s="16"/>
      <c r="C2516" s="14"/>
      <c r="F2516" s="16" t="str">
        <f>IFERROR(__xludf.DUMMYFUNCTION("""COMPUTED_VALUE"""),"Koutki")</f>
        <v>Koutki</v>
      </c>
      <c r="G2516" s="16"/>
      <c r="H2516" s="14"/>
      <c r="K2516" s="16">
        <f>IFERROR(__xludf.DUMMYFUNCTION("""COMPUTED_VALUE"""),1323.0)</f>
        <v>1323</v>
      </c>
      <c r="L2516" s="16"/>
      <c r="M2516" s="14"/>
    </row>
    <row r="2517">
      <c r="A2517" s="16" t="str">
        <f>IFERROR(__xludf.DUMMYFUNCTION("""COMPUTED_VALUE"""),"Yacouba Idé dit Lumana")</f>
        <v>Yacouba Idé dit Lumana</v>
      </c>
      <c r="B2517" s="16"/>
      <c r="C2517" s="14"/>
      <c r="F2517" s="16" t="str">
        <f>IFERROR(__xludf.DUMMYFUNCTION("""COMPUTED_VALUE"""),"Koutki")</f>
        <v>Koutki</v>
      </c>
      <c r="G2517" s="16"/>
      <c r="H2517" s="14"/>
      <c r="K2517" s="16">
        <f>IFERROR(__xludf.DUMMYFUNCTION("""COMPUTED_VALUE"""),513.0)</f>
        <v>513</v>
      </c>
      <c r="L2517" s="16"/>
      <c r="M2517" s="14"/>
    </row>
    <row r="2518">
      <c r="A2518" s="16" t="str">
        <f>IFERROR(__xludf.DUMMYFUNCTION("""COMPUTED_VALUE"""),"Saddy Youssouf")</f>
        <v>Saddy Youssouf</v>
      </c>
      <c r="B2518" s="16"/>
      <c r="C2518" s="14"/>
      <c r="F2518" s="16" t="str">
        <f>IFERROR(__xludf.DUMMYFUNCTION("""COMPUTED_VALUE"""),"Koutki")</f>
        <v>Koutki</v>
      </c>
      <c r="G2518" s="16"/>
      <c r="H2518" s="14"/>
      <c r="K2518" s="16">
        <f>IFERROR(__xludf.DUMMYFUNCTION("""COMPUTED_VALUE"""),527.0)</f>
        <v>527</v>
      </c>
      <c r="L2518" s="16"/>
      <c r="M2518" s="14"/>
    </row>
    <row r="2519">
      <c r="A2519" s="16" t="str">
        <f>IFERROR(__xludf.DUMMYFUNCTION("""COMPUTED_VALUE"""),"Amadou Hamidou Abdoul Karim")</f>
        <v>Amadou Hamidou Abdoul Karim</v>
      </c>
      <c r="B2519" s="16"/>
      <c r="C2519" s="14"/>
      <c r="F2519" s="16" t="str">
        <f>IFERROR(__xludf.DUMMYFUNCTION("""COMPUTED_VALUE"""),"Koutki")</f>
        <v>Koutki</v>
      </c>
      <c r="G2519" s="16"/>
      <c r="H2519" s="14"/>
      <c r="K2519" s="16">
        <f>IFERROR(__xludf.DUMMYFUNCTION("""COMPUTED_VALUE"""),1860.0)</f>
        <v>1860</v>
      </c>
      <c r="L2519" s="16"/>
      <c r="M2519" s="14"/>
    </row>
    <row r="2520">
      <c r="A2520" s="16" t="str">
        <f>IFERROR(__xludf.DUMMYFUNCTION("""COMPUTED_VALUE"""),"Amadou Hamidou Abdoul Karim")</f>
        <v>Amadou Hamidou Abdoul Karim</v>
      </c>
      <c r="B2520" s="16"/>
      <c r="C2520" s="14"/>
      <c r="F2520" s="16" t="str">
        <f>IFERROR(__xludf.DUMMYFUNCTION("""COMPUTED_VALUE"""),"Koutki")</f>
        <v>Koutki</v>
      </c>
      <c r="G2520" s="16"/>
      <c r="H2520" s="14"/>
      <c r="K2520" s="16">
        <f>IFERROR(__xludf.DUMMYFUNCTION("""COMPUTED_VALUE"""),1325.0)</f>
        <v>1325</v>
      </c>
      <c r="L2520" s="16"/>
      <c r="M2520" s="14"/>
    </row>
    <row r="2521">
      <c r="A2521" s="16" t="str">
        <f>IFERROR(__xludf.DUMMYFUNCTION("""COMPUTED_VALUE"""),"Achirou Malam Dan Maradi Nassirou")</f>
        <v>Achirou Malam Dan Maradi Nassirou</v>
      </c>
      <c r="B2521" s="16"/>
      <c r="C2521" s="14"/>
      <c r="F2521" s="16" t="str">
        <f>IFERROR(__xludf.DUMMYFUNCTION("""COMPUTED_VALUE"""),"Koutki")</f>
        <v>Koutki</v>
      </c>
      <c r="G2521" s="16"/>
      <c r="H2521" s="14"/>
      <c r="K2521" s="16">
        <f>IFERROR(__xludf.DUMMYFUNCTION("""COMPUTED_VALUE"""),1193.0)</f>
        <v>1193</v>
      </c>
      <c r="L2521" s="16"/>
      <c r="M2521" s="14"/>
    </row>
    <row r="2522">
      <c r="A2522" s="16" t="str">
        <f>IFERROR(__xludf.DUMMYFUNCTION("""COMPUTED_VALUE"""),"Achirou Malam Dan Maradi Nassirou")</f>
        <v>Achirou Malam Dan Maradi Nassirou</v>
      </c>
      <c r="B2522" s="16"/>
      <c r="C2522" s="14"/>
      <c r="F2522" s="16" t="str">
        <f>IFERROR(__xludf.DUMMYFUNCTION("""COMPUTED_VALUE"""),"Koutki")</f>
        <v>Koutki</v>
      </c>
      <c r="G2522" s="16"/>
      <c r="H2522" s="14"/>
      <c r="K2522" s="16">
        <f>IFERROR(__xludf.DUMMYFUNCTION("""COMPUTED_VALUE"""),1074.0)</f>
        <v>1074</v>
      </c>
      <c r="L2522" s="16"/>
      <c r="M2522" s="14"/>
    </row>
    <row r="2523">
      <c r="A2523" s="16" t="str">
        <f>IFERROR(__xludf.DUMMYFUNCTION("""COMPUTED_VALUE"""),"Achirou Malam Dan Maradi Nassirou")</f>
        <v>Achirou Malam Dan Maradi Nassirou</v>
      </c>
      <c r="B2523" s="16"/>
      <c r="C2523" s="14"/>
      <c r="F2523" s="16" t="str">
        <f>IFERROR(__xludf.DUMMYFUNCTION("""COMPUTED_VALUE"""),"Koutki")</f>
        <v>Koutki</v>
      </c>
      <c r="G2523" s="16"/>
      <c r="H2523" s="14"/>
      <c r="K2523" s="16">
        <f>IFERROR(__xludf.DUMMYFUNCTION("""COMPUTED_VALUE"""),1077.0)</f>
        <v>1077</v>
      </c>
      <c r="L2523" s="16"/>
      <c r="M2523" s="14"/>
    </row>
    <row r="2524">
      <c r="A2524" s="16" t="str">
        <f>IFERROR(__xludf.DUMMYFUNCTION("""COMPUTED_VALUE"""),"Achirou Malam Dan Maradi Nassirou")</f>
        <v>Achirou Malam Dan Maradi Nassirou</v>
      </c>
      <c r="B2524" s="16"/>
      <c r="C2524" s="14"/>
      <c r="F2524" s="16" t="str">
        <f>IFERROR(__xludf.DUMMYFUNCTION("""COMPUTED_VALUE"""),"Koutki")</f>
        <v>Koutki</v>
      </c>
      <c r="G2524" s="16"/>
      <c r="H2524" s="14"/>
      <c r="K2524" s="16">
        <f>IFERROR(__xludf.DUMMYFUNCTION("""COMPUTED_VALUE"""),1014.0)</f>
        <v>1014</v>
      </c>
      <c r="L2524" s="16"/>
      <c r="M2524" s="14"/>
    </row>
    <row r="2525">
      <c r="A2525" s="16" t="str">
        <f>IFERROR(__xludf.DUMMYFUNCTION("""COMPUTED_VALUE"""),"Achirou Malam Dan Maradi Nassirou")</f>
        <v>Achirou Malam Dan Maradi Nassirou</v>
      </c>
      <c r="B2525" s="16"/>
      <c r="C2525" s="14"/>
      <c r="F2525" s="16" t="str">
        <f>IFERROR(__xludf.DUMMYFUNCTION("""COMPUTED_VALUE"""),"Koutki")</f>
        <v>Koutki</v>
      </c>
      <c r="G2525" s="16"/>
      <c r="H2525" s="14"/>
      <c r="K2525" s="16">
        <f>IFERROR(__xludf.DUMMYFUNCTION("""COMPUTED_VALUE"""),1452.0)</f>
        <v>1452</v>
      </c>
      <c r="L2525" s="16"/>
      <c r="M2525" s="14"/>
    </row>
    <row r="2526">
      <c r="A2526" s="16" t="str">
        <f>IFERROR(__xludf.DUMMYFUNCTION("""COMPUTED_VALUE"""),"Achirou Malam Dan Maradi Nassirou")</f>
        <v>Achirou Malam Dan Maradi Nassirou</v>
      </c>
      <c r="B2526" s="16"/>
      <c r="C2526" s="14"/>
      <c r="F2526" s="16" t="str">
        <f>IFERROR(__xludf.DUMMYFUNCTION("""COMPUTED_VALUE"""),"Koutki")</f>
        <v>Koutki</v>
      </c>
      <c r="G2526" s="16"/>
      <c r="H2526" s="14"/>
      <c r="K2526" s="16">
        <f>IFERROR(__xludf.DUMMYFUNCTION("""COMPUTED_VALUE"""),1554.0)</f>
        <v>1554</v>
      </c>
      <c r="L2526" s="16"/>
      <c r="M2526" s="14"/>
    </row>
    <row r="2527">
      <c r="A2527" s="16" t="str">
        <f>IFERROR(__xludf.DUMMYFUNCTION("""COMPUTED_VALUE"""),"Fatimata Mohamed")</f>
        <v>Fatimata Mohamed</v>
      </c>
      <c r="B2527" s="16"/>
      <c r="C2527" s="14"/>
      <c r="F2527" s="16" t="str">
        <f>IFERROR(__xludf.DUMMYFUNCTION("""COMPUTED_VALUE"""),"Koutki")</f>
        <v>Koutki</v>
      </c>
      <c r="G2527" s="16"/>
      <c r="H2527" s="14"/>
      <c r="K2527" s="16">
        <f>IFERROR(__xludf.DUMMYFUNCTION("""COMPUTED_VALUE"""),491.0)</f>
        <v>491</v>
      </c>
      <c r="L2527" s="16"/>
      <c r="M2527" s="14"/>
    </row>
    <row r="2528">
      <c r="A2528" s="16" t="str">
        <f>IFERROR(__xludf.DUMMYFUNCTION("""COMPUTED_VALUE"""),"Halidou Tagaza Balkissa")</f>
        <v>Halidou Tagaza Balkissa</v>
      </c>
      <c r="B2528" s="16"/>
      <c r="C2528" s="14"/>
      <c r="F2528" s="16" t="str">
        <f>IFERROR(__xludf.DUMMYFUNCTION("""COMPUTED_VALUE"""),"Tadou")</f>
        <v>Tadou</v>
      </c>
      <c r="G2528" s="16"/>
      <c r="H2528" s="14"/>
      <c r="K2528" s="16">
        <f>IFERROR(__xludf.DUMMYFUNCTION("""COMPUTED_VALUE"""),553.0)</f>
        <v>553</v>
      </c>
      <c r="L2528" s="16"/>
      <c r="M2528" s="14"/>
    </row>
    <row r="2529">
      <c r="A2529" s="16" t="str">
        <f>IFERROR(__xludf.DUMMYFUNCTION("""COMPUTED_VALUE"""),"ALASSANE TAWEY AWALOU")</f>
        <v>ALASSANE TAWEY AWALOU</v>
      </c>
      <c r="B2529" s="16"/>
      <c r="C2529" s="14"/>
      <c r="F2529" s="16" t="str">
        <f>IFERROR(__xludf.DUMMYFUNCTION("""COMPUTED_VALUE"""),"Tadou")</f>
        <v>Tadou</v>
      </c>
      <c r="G2529" s="16"/>
      <c r="H2529" s="14"/>
      <c r="K2529" s="16">
        <f>IFERROR(__xludf.DUMMYFUNCTION("""COMPUTED_VALUE"""),324.0)</f>
        <v>324</v>
      </c>
      <c r="L2529" s="16"/>
      <c r="M2529" s="14"/>
    </row>
    <row r="2530">
      <c r="A2530" s="16" t="str">
        <f>IFERROR(__xludf.DUMMYFUNCTION("""COMPUTED_VALUE"""),"ALASSANE TAWEY AWALOU")</f>
        <v>ALASSANE TAWEY AWALOU</v>
      </c>
      <c r="B2530" s="16"/>
      <c r="C2530" s="14"/>
      <c r="F2530" s="16" t="str">
        <f>IFERROR(__xludf.DUMMYFUNCTION("""COMPUTED_VALUE"""),"Bouza Koiré")</f>
        <v>Bouza Koiré</v>
      </c>
      <c r="G2530" s="16"/>
      <c r="H2530" s="14"/>
      <c r="K2530" s="16">
        <f>IFERROR(__xludf.DUMMYFUNCTION("""COMPUTED_VALUE"""),564.0)</f>
        <v>564</v>
      </c>
      <c r="L2530" s="16"/>
      <c r="M2530" s="14"/>
    </row>
    <row r="2531">
      <c r="A2531" s="16" t="str">
        <f>IFERROR(__xludf.DUMMYFUNCTION("""COMPUTED_VALUE"""),"ALASSANE TAWEY AWALOU")</f>
        <v>ALASSANE TAWEY AWALOU</v>
      </c>
      <c r="B2531" s="16"/>
      <c r="C2531" s="14"/>
      <c r="F2531" s="16" t="str">
        <f>IFERROR(__xludf.DUMMYFUNCTION("""COMPUTED_VALUE"""),"Bouza Koiré")</f>
        <v>Bouza Koiré</v>
      </c>
      <c r="G2531" s="16"/>
      <c r="H2531" s="14"/>
      <c r="K2531" s="16">
        <f>IFERROR(__xludf.DUMMYFUNCTION("""COMPUTED_VALUE"""),536.0)</f>
        <v>536</v>
      </c>
      <c r="L2531" s="16"/>
      <c r="M2531" s="14"/>
    </row>
    <row r="2532">
      <c r="A2532" s="16" t="str">
        <f>IFERROR(__xludf.DUMMYFUNCTION("""COMPUTED_VALUE"""),"ALASSANE TAWEY AWALOU")</f>
        <v>ALASSANE TAWEY AWALOU</v>
      </c>
      <c r="B2532" s="16"/>
      <c r="C2532" s="14"/>
      <c r="F2532" s="16" t="str">
        <f>IFERROR(__xludf.DUMMYFUNCTION("""COMPUTED_VALUE"""),"Bouza Koiré")</f>
        <v>Bouza Koiré</v>
      </c>
      <c r="G2532" s="16"/>
      <c r="H2532" s="14"/>
      <c r="K2532" s="16">
        <f>IFERROR(__xludf.DUMMYFUNCTION("""COMPUTED_VALUE"""),152.0)</f>
        <v>152</v>
      </c>
      <c r="L2532" s="16"/>
      <c r="M2532" s="14"/>
    </row>
    <row r="2533">
      <c r="A2533" s="16" t="str">
        <f>IFERROR(__xludf.DUMMYFUNCTION("""COMPUTED_VALUE"""),"ALASSANE TAWEY AWALOU")</f>
        <v>ALASSANE TAWEY AWALOU</v>
      </c>
      <c r="B2533" s="16"/>
      <c r="C2533" s="14"/>
      <c r="F2533" s="16" t="str">
        <f>IFERROR(__xludf.DUMMYFUNCTION("""COMPUTED_VALUE"""),"Bouza Koiré")</f>
        <v>Bouza Koiré</v>
      </c>
      <c r="G2533" s="16"/>
      <c r="H2533" s="14"/>
      <c r="K2533" s="16">
        <f>IFERROR(__xludf.DUMMYFUNCTION("""COMPUTED_VALUE"""),418.0)</f>
        <v>418</v>
      </c>
      <c r="L2533" s="16"/>
      <c r="M2533" s="14"/>
    </row>
    <row r="2534">
      <c r="A2534" s="16" t="str">
        <f>IFERROR(__xludf.DUMMYFUNCTION("""COMPUTED_VALUE"""),"ALASSANE TAWEY AWALOU")</f>
        <v>ALASSANE TAWEY AWALOU</v>
      </c>
      <c r="B2534" s="16"/>
      <c r="C2534" s="14"/>
      <c r="F2534" s="16" t="str">
        <f>IFERROR(__xludf.DUMMYFUNCTION("""COMPUTED_VALUE"""),"Bouza Koiré")</f>
        <v>Bouza Koiré</v>
      </c>
      <c r="G2534" s="16"/>
      <c r="H2534" s="14"/>
      <c r="K2534" s="16">
        <f>IFERROR(__xludf.DUMMYFUNCTION("""COMPUTED_VALUE"""),348.0)</f>
        <v>348</v>
      </c>
      <c r="L2534" s="16"/>
      <c r="M2534" s="14"/>
    </row>
    <row r="2535">
      <c r="A2535" s="16" t="str">
        <f>IFERROR(__xludf.DUMMYFUNCTION("""COMPUTED_VALUE"""),"Mohamed Cherif")</f>
        <v>Mohamed Cherif</v>
      </c>
      <c r="B2535" s="16"/>
      <c r="C2535" s="14"/>
      <c r="F2535" s="16" t="str">
        <f>IFERROR(__xludf.DUMMYFUNCTION("""COMPUTED_VALUE"""),"Tsakarguida")</f>
        <v>Tsakarguida</v>
      </c>
      <c r="G2535" s="16"/>
      <c r="H2535" s="14"/>
      <c r="K2535" s="16">
        <f>IFERROR(__xludf.DUMMYFUNCTION("""COMPUTED_VALUE"""),1145.0)</f>
        <v>1145</v>
      </c>
      <c r="L2535" s="16"/>
      <c r="M2535" s="14"/>
    </row>
    <row r="2536">
      <c r="A2536" s="16" t="str">
        <f>IFERROR(__xludf.DUMMYFUNCTION("""COMPUTED_VALUE"""),"ALASSANE TAWEY AWALOU")</f>
        <v>ALASSANE TAWEY AWALOU</v>
      </c>
      <c r="B2536" s="16"/>
      <c r="C2536" s="14"/>
      <c r="F2536" s="16" t="str">
        <f>IFERROR(__xludf.DUMMYFUNCTION("""COMPUTED_VALUE"""),"Tsakarguida")</f>
        <v>Tsakarguida</v>
      </c>
      <c r="G2536" s="16"/>
      <c r="H2536" s="14"/>
      <c r="K2536" s="16">
        <f>IFERROR(__xludf.DUMMYFUNCTION("""COMPUTED_VALUE"""),388.0)</f>
        <v>388</v>
      </c>
      <c r="L2536" s="16"/>
      <c r="M2536" s="14"/>
    </row>
    <row r="2537">
      <c r="A2537" s="16" t="str">
        <f>IFERROR(__xludf.DUMMYFUNCTION("""COMPUTED_VALUE"""),"Mohamed Cherif")</f>
        <v>Mohamed Cherif</v>
      </c>
      <c r="B2537" s="16"/>
      <c r="C2537" s="14"/>
      <c r="F2537" s="16" t="str">
        <f>IFERROR(__xludf.DUMMYFUNCTION("""COMPUTED_VALUE"""),"Tsakarguida")</f>
        <v>Tsakarguida</v>
      </c>
      <c r="G2537" s="16"/>
      <c r="H2537" s="14"/>
      <c r="K2537" s="16">
        <f>IFERROR(__xludf.DUMMYFUNCTION("""COMPUTED_VALUE"""),1347.0)</f>
        <v>1347</v>
      </c>
      <c r="L2537" s="16"/>
      <c r="M2537" s="14"/>
    </row>
    <row r="2538">
      <c r="A2538" s="16" t="str">
        <f>IFERROR(__xludf.DUMMYFUNCTION("""COMPUTED_VALUE"""),"Mohamed Cherif")</f>
        <v>Mohamed Cherif</v>
      </c>
      <c r="B2538" s="16"/>
      <c r="C2538" s="14"/>
      <c r="F2538" s="16" t="str">
        <f>IFERROR(__xludf.DUMMYFUNCTION("""COMPUTED_VALUE"""),"Tsakarguida")</f>
        <v>Tsakarguida</v>
      </c>
      <c r="G2538" s="16"/>
      <c r="H2538" s="14"/>
      <c r="K2538" s="16">
        <f>IFERROR(__xludf.DUMMYFUNCTION("""COMPUTED_VALUE"""),804.0)</f>
        <v>804</v>
      </c>
      <c r="L2538" s="16"/>
      <c r="M2538" s="14"/>
    </row>
    <row r="2539">
      <c r="A2539" s="16" t="str">
        <f>IFERROR(__xludf.DUMMYFUNCTION("""COMPUTED_VALUE"""),"Mohamed Cherif")</f>
        <v>Mohamed Cherif</v>
      </c>
      <c r="B2539" s="16"/>
      <c r="C2539" s="14"/>
      <c r="F2539" s="16" t="str">
        <f>IFERROR(__xludf.DUMMYFUNCTION("""COMPUTED_VALUE"""),"AgouloumKarama")</f>
        <v>AgouloumKarama</v>
      </c>
      <c r="G2539" s="16"/>
      <c r="H2539" s="14"/>
      <c r="K2539" s="16">
        <f>IFERROR(__xludf.DUMMYFUNCTION("""COMPUTED_VALUE"""),503.0)</f>
        <v>503</v>
      </c>
      <c r="L2539" s="16"/>
      <c r="M2539" s="14"/>
    </row>
    <row r="2540">
      <c r="A2540" s="16" t="str">
        <f>IFERROR(__xludf.DUMMYFUNCTION("""COMPUTED_VALUE"""),"Kailou Hamidou Rainatou")</f>
        <v>Kailou Hamidou Rainatou</v>
      </c>
      <c r="B2540" s="16"/>
      <c r="C2540" s="14"/>
      <c r="F2540" s="16" t="str">
        <f>IFERROR(__xludf.DUMMYFUNCTION("""COMPUTED_VALUE"""),"AgouloumKarama")</f>
        <v>AgouloumKarama</v>
      </c>
      <c r="G2540" s="16"/>
      <c r="H2540" s="14"/>
      <c r="K2540" s="16">
        <f>IFERROR(__xludf.DUMMYFUNCTION("""COMPUTED_VALUE"""),277.0)</f>
        <v>277</v>
      </c>
      <c r="L2540" s="16"/>
      <c r="M2540" s="14"/>
    </row>
    <row r="2541">
      <c r="A2541" s="16" t="str">
        <f>IFERROR(__xludf.DUMMYFUNCTION("""COMPUTED_VALUE"""),"Kailou Hamidou Rainatou")</f>
        <v>Kailou Hamidou Rainatou</v>
      </c>
      <c r="B2541" s="16"/>
      <c r="C2541" s="14"/>
      <c r="F2541" s="16" t="str">
        <f>IFERROR(__xludf.DUMMYFUNCTION("""COMPUTED_VALUE"""),"Kabima-Al Baraka")</f>
        <v>Kabima-Al Baraka</v>
      </c>
      <c r="G2541" s="16"/>
      <c r="H2541" s="14"/>
      <c r="K2541" s="16">
        <f>IFERROR(__xludf.DUMMYFUNCTION("""COMPUTED_VALUE"""),450.0)</f>
        <v>450</v>
      </c>
      <c r="L2541" s="16"/>
      <c r="M2541" s="14"/>
    </row>
    <row r="2542">
      <c r="A2542" s="16" t="str">
        <f>IFERROR(__xludf.DUMMYFUNCTION("""COMPUTED_VALUE"""),"Kimba Issa Mamoudou")</f>
        <v>Kimba Issa Mamoudou</v>
      </c>
      <c r="B2542" s="16"/>
      <c r="C2542" s="14"/>
      <c r="F2542" s="16" t="str">
        <f>IFERROR(__xludf.DUMMYFUNCTION("""COMPUTED_VALUE"""),"Sabon Guidan Ba Tamaské-Kelgress (village de la commune de Garhanga)")</f>
        <v>Sabon Guidan Ba Tamaské-Kelgress (village de la commune de Garhanga)</v>
      </c>
      <c r="G2542" s="16"/>
      <c r="H2542" s="14"/>
      <c r="K2542" s="16">
        <f>IFERROR(__xludf.DUMMYFUNCTION("""COMPUTED_VALUE"""),1091.0)</f>
        <v>1091</v>
      </c>
      <c r="L2542" s="16"/>
      <c r="M2542" s="14"/>
    </row>
    <row r="2543">
      <c r="A2543" s="16" t="str">
        <f>IFERROR(__xludf.DUMMYFUNCTION("""COMPUTED_VALUE"""),"Kimba Issa Mamoudou")</f>
        <v>Kimba Issa Mamoudou</v>
      </c>
      <c r="B2543" s="16"/>
      <c r="C2543" s="14"/>
      <c r="F2543" s="16" t="str">
        <f>IFERROR(__xludf.DUMMYFUNCTION("""COMPUTED_VALUE"""),"Sabon Guidan Ba Tamaské-Kelgress (village de la commune de Garhanga)")</f>
        <v>Sabon Guidan Ba Tamaské-Kelgress (village de la commune de Garhanga)</v>
      </c>
      <c r="G2543" s="16"/>
      <c r="H2543" s="14"/>
      <c r="K2543" s="16">
        <f>IFERROR(__xludf.DUMMYFUNCTION("""COMPUTED_VALUE"""),389.0)</f>
        <v>389</v>
      </c>
      <c r="L2543" s="16"/>
      <c r="M2543" s="14"/>
    </row>
    <row r="2544">
      <c r="A2544" s="16" t="str">
        <f>IFERROR(__xludf.DUMMYFUNCTION("""COMPUTED_VALUE"""),"Kimba Issa Mamoudou")</f>
        <v>Kimba Issa Mamoudou</v>
      </c>
      <c r="B2544" s="16"/>
      <c r="C2544" s="14"/>
      <c r="F2544" s="16" t="str">
        <f>IFERROR(__xludf.DUMMYFUNCTION("""COMPUTED_VALUE"""),"Sokolé Guidan Gaba Mahalba")</f>
        <v>Sokolé Guidan Gaba Mahalba</v>
      </c>
      <c r="G2544" s="16"/>
      <c r="H2544" s="14"/>
      <c r="K2544" s="16">
        <f>IFERROR(__xludf.DUMMYFUNCTION("""COMPUTED_VALUE"""),1069.0)</f>
        <v>1069</v>
      </c>
      <c r="L2544" s="16"/>
      <c r="M2544" s="14"/>
    </row>
    <row r="2545">
      <c r="A2545" s="16" t="str">
        <f>IFERROR(__xludf.DUMMYFUNCTION("""COMPUTED_VALUE"""),"Kimba Issa Mamoudou")</f>
        <v>Kimba Issa Mamoudou</v>
      </c>
      <c r="B2545" s="16"/>
      <c r="C2545" s="14"/>
      <c r="F2545" s="16" t="str">
        <f>IFERROR(__xludf.DUMMYFUNCTION("""COMPUTED_VALUE"""),"Sokolé Guidan Gaba Mahalba")</f>
        <v>Sokolé Guidan Gaba Mahalba</v>
      </c>
      <c r="G2545" s="16"/>
      <c r="H2545" s="14"/>
      <c r="K2545" s="16">
        <f>IFERROR(__xludf.DUMMYFUNCTION("""COMPUTED_VALUE"""),1177.0)</f>
        <v>1177</v>
      </c>
      <c r="L2545" s="16"/>
      <c r="M2545" s="14"/>
    </row>
    <row r="2546">
      <c r="A2546" s="16" t="str">
        <f>IFERROR(__xludf.DUMMYFUNCTION("""COMPUTED_VALUE"""),"Kimba Issa Mamoudou")</f>
        <v>Kimba Issa Mamoudou</v>
      </c>
      <c r="B2546" s="16"/>
      <c r="C2546" s="14"/>
      <c r="F2546" s="16" t="str">
        <f>IFERROR(__xludf.DUMMYFUNCTION("""COMPUTED_VALUE"""),"Sokolé Guidan Gaba Mahalba")</f>
        <v>Sokolé Guidan Gaba Mahalba</v>
      </c>
      <c r="G2546" s="16"/>
      <c r="H2546" s="14"/>
      <c r="K2546" s="16">
        <f>IFERROR(__xludf.DUMMYFUNCTION("""COMPUTED_VALUE"""),494.0)</f>
        <v>494</v>
      </c>
      <c r="L2546" s="16"/>
      <c r="M2546" s="14"/>
    </row>
    <row r="2547">
      <c r="A2547" s="16" t="str">
        <f>IFERROR(__xludf.DUMMYFUNCTION("""COMPUTED_VALUE"""),"Kimba Issa Mamoudou")</f>
        <v>Kimba Issa Mamoudou</v>
      </c>
      <c r="B2547" s="16"/>
      <c r="C2547" s="14"/>
      <c r="F2547" s="16" t="str">
        <f>IFERROR(__xludf.DUMMYFUNCTION("""COMPUTED_VALUE"""),"Agouloum Toudou")</f>
        <v>Agouloum Toudou</v>
      </c>
      <c r="G2547" s="16"/>
      <c r="H2547" s="14"/>
      <c r="K2547" s="16">
        <f>IFERROR(__xludf.DUMMYFUNCTION("""COMPUTED_VALUE"""),1420.0)</f>
        <v>1420</v>
      </c>
      <c r="L2547" s="16"/>
      <c r="M2547" s="14"/>
    </row>
    <row r="2548">
      <c r="A2548" s="16" t="str">
        <f>IFERROR(__xludf.DUMMYFUNCTION("""COMPUTED_VALUE"""),"Kimba Issa Mamoudou")</f>
        <v>Kimba Issa Mamoudou</v>
      </c>
      <c r="B2548" s="16"/>
      <c r="C2548" s="14"/>
      <c r="F2548" s="16" t="str">
        <f>IFERROR(__xludf.DUMMYFUNCTION("""COMPUTED_VALUE"""),"Sokolé Guidan Gaba Mahalba")</f>
        <v>Sokolé Guidan Gaba Mahalba</v>
      </c>
      <c r="G2548" s="16"/>
      <c r="H2548" s="14"/>
      <c r="K2548" s="16">
        <f>IFERROR(__xludf.DUMMYFUNCTION("""COMPUTED_VALUE"""),423.0)</f>
        <v>423</v>
      </c>
      <c r="L2548" s="16"/>
      <c r="M2548" s="14"/>
    </row>
    <row r="2549">
      <c r="A2549" s="16" t="str">
        <f>IFERROR(__xludf.DUMMYFUNCTION("""COMPUTED_VALUE"""),"Moussa Ide Ibrahim")</f>
        <v>Moussa Ide Ibrahim</v>
      </c>
      <c r="B2549" s="16"/>
      <c r="C2549" s="14"/>
      <c r="F2549" s="16" t="str">
        <f>IFERROR(__xludf.DUMMYFUNCTION("""COMPUTED_VALUE"""),"Sokolé Guidan Gaba Mahalba")</f>
        <v>Sokolé Guidan Gaba Mahalba</v>
      </c>
      <c r="G2549" s="16"/>
      <c r="H2549" s="14"/>
      <c r="K2549" s="16">
        <f>IFERROR(__xludf.DUMMYFUNCTION("""COMPUTED_VALUE"""),843.0)</f>
        <v>843</v>
      </c>
      <c r="L2549" s="16"/>
      <c r="M2549" s="14"/>
    </row>
    <row r="2550">
      <c r="A2550" s="16" t="str">
        <f>IFERROR(__xludf.DUMMYFUNCTION("""COMPUTED_VALUE"""),"Moussa Ide Ibrahim")</f>
        <v>Moussa Ide Ibrahim</v>
      </c>
      <c r="B2550" s="16"/>
      <c r="C2550" s="14"/>
      <c r="F2550" s="16" t="str">
        <f>IFERROR(__xludf.DUMMYFUNCTION("""COMPUTED_VALUE"""),"Sokolé Guidan Gaba Mahalba")</f>
        <v>Sokolé Guidan Gaba Mahalba</v>
      </c>
      <c r="G2550" s="16"/>
      <c r="H2550" s="14"/>
      <c r="K2550" s="16">
        <f>IFERROR(__xludf.DUMMYFUNCTION("""COMPUTED_VALUE"""),1131.0)</f>
        <v>1131</v>
      </c>
      <c r="L2550" s="16"/>
      <c r="M2550" s="14"/>
    </row>
    <row r="2551">
      <c r="A2551" s="16" t="str">
        <f>IFERROR(__xludf.DUMMYFUNCTION("""COMPUTED_VALUE"""),"Moussa Ide Ibrahim")</f>
        <v>Moussa Ide Ibrahim</v>
      </c>
      <c r="B2551" s="16"/>
      <c r="C2551" s="14"/>
      <c r="F2551" s="16" t="str">
        <f>IFERROR(__xludf.DUMMYFUNCTION("""COMPUTED_VALUE"""),"Sokolé I")</f>
        <v>Sokolé I</v>
      </c>
      <c r="G2551" s="16"/>
      <c r="H2551" s="14"/>
      <c r="K2551" s="16">
        <f>IFERROR(__xludf.DUMMYFUNCTION("""COMPUTED_VALUE"""),472.0)</f>
        <v>472</v>
      </c>
      <c r="L2551" s="16"/>
      <c r="M2551" s="14"/>
    </row>
    <row r="2552">
      <c r="A2552" s="16" t="str">
        <f>IFERROR(__xludf.DUMMYFUNCTION("""COMPUTED_VALUE"""),"Moussa Ide Ibrahim")</f>
        <v>Moussa Ide Ibrahim</v>
      </c>
      <c r="B2552" s="16"/>
      <c r="C2552" s="14"/>
      <c r="F2552" s="16" t="str">
        <f>IFERROR(__xludf.DUMMYFUNCTION("""COMPUTED_VALUE"""),"Agouloum Toudou")</f>
        <v>Agouloum Toudou</v>
      </c>
      <c r="G2552" s="16"/>
      <c r="H2552" s="14"/>
      <c r="K2552" s="16">
        <f>IFERROR(__xludf.DUMMYFUNCTION("""COMPUTED_VALUE"""),1360.0)</f>
        <v>1360</v>
      </c>
      <c r="L2552" s="16"/>
      <c r="M2552" s="14"/>
    </row>
    <row r="2553">
      <c r="A2553" s="16" t="str">
        <f>IFERROR(__xludf.DUMMYFUNCTION("""COMPUTED_VALUE"""),"Moussa Ide Ibrahim")</f>
        <v>Moussa Ide Ibrahim</v>
      </c>
      <c r="B2553" s="16"/>
      <c r="C2553" s="14"/>
      <c r="F2553" s="16" t="str">
        <f>IFERROR(__xludf.DUMMYFUNCTION("""COMPUTED_VALUE"""),"Satourou")</f>
        <v>Satourou</v>
      </c>
      <c r="G2553" s="16"/>
      <c r="H2553" s="14"/>
      <c r="K2553" s="16">
        <f>IFERROR(__xludf.DUMMYFUNCTION("""COMPUTED_VALUE"""),1088.0)</f>
        <v>1088</v>
      </c>
      <c r="L2553" s="16"/>
      <c r="M2553" s="14"/>
    </row>
    <row r="2554">
      <c r="A2554" s="16" t="str">
        <f>IFERROR(__xludf.DUMMYFUNCTION("""COMPUTED_VALUE"""),"Moussa Ide Ibrahim")</f>
        <v>Moussa Ide Ibrahim</v>
      </c>
      <c r="B2554" s="16"/>
      <c r="C2554" s="14"/>
      <c r="F2554" s="16" t="str">
        <f>IFERROR(__xludf.DUMMYFUNCTION("""COMPUTED_VALUE"""),"Satourou")</f>
        <v>Satourou</v>
      </c>
      <c r="G2554" s="16"/>
      <c r="H2554" s="14"/>
      <c r="K2554" s="16">
        <f>IFERROR(__xludf.DUMMYFUNCTION("""COMPUTED_VALUE"""),281.0)</f>
        <v>281</v>
      </c>
      <c r="L2554" s="16"/>
      <c r="M2554" s="14"/>
    </row>
    <row r="2555">
      <c r="A2555" s="16" t="str">
        <f>IFERROR(__xludf.DUMMYFUNCTION("""COMPUTED_VALUE"""),"Moussa Ide Ibrahim")</f>
        <v>Moussa Ide Ibrahim</v>
      </c>
      <c r="B2555" s="16"/>
      <c r="C2555" s="14"/>
      <c r="F2555" s="16" t="str">
        <f>IFERROR(__xludf.DUMMYFUNCTION("""COMPUTED_VALUE"""),"Sokolé I")</f>
        <v>Sokolé I</v>
      </c>
      <c r="G2555" s="16"/>
      <c r="H2555" s="14"/>
      <c r="K2555" s="16">
        <f>IFERROR(__xludf.DUMMYFUNCTION("""COMPUTED_VALUE"""),356.0)</f>
        <v>356</v>
      </c>
      <c r="L2555" s="16"/>
      <c r="M2555" s="14"/>
    </row>
    <row r="2556">
      <c r="A2556" s="16" t="str">
        <f>IFERROR(__xludf.DUMMYFUNCTION("""COMPUTED_VALUE"""),"Moussa Ide Ibrahim")</f>
        <v>Moussa Ide Ibrahim</v>
      </c>
      <c r="B2556" s="16"/>
      <c r="C2556" s="14"/>
      <c r="F2556" s="16" t="str">
        <f>IFERROR(__xludf.DUMMYFUNCTION("""COMPUTED_VALUE"""),"Sokolé I")</f>
        <v>Sokolé I</v>
      </c>
      <c r="G2556" s="16"/>
      <c r="H2556" s="14"/>
      <c r="K2556" s="16">
        <f>IFERROR(__xludf.DUMMYFUNCTION("""COMPUTED_VALUE"""),658.0)</f>
        <v>658</v>
      </c>
      <c r="L2556" s="16"/>
      <c r="M2556" s="14"/>
    </row>
    <row r="2557">
      <c r="A2557" s="16" t="str">
        <f>IFERROR(__xludf.DUMMYFUNCTION("""COMPUTED_VALUE"""),"Halimatou Adamou Marafa")</f>
        <v>Halimatou Adamou Marafa</v>
      </c>
      <c r="B2557" s="16"/>
      <c r="C2557" s="14"/>
      <c r="F2557" s="16" t="str">
        <f>IFERROR(__xludf.DUMMYFUNCTION("""COMPUTED_VALUE"""),"Sokolé I")</f>
        <v>Sokolé I</v>
      </c>
      <c r="G2557" s="16"/>
      <c r="H2557" s="14"/>
      <c r="K2557" s="16">
        <f>IFERROR(__xludf.DUMMYFUNCTION("""COMPUTED_VALUE"""),633.0)</f>
        <v>633</v>
      </c>
      <c r="L2557" s="16"/>
      <c r="M2557" s="14"/>
    </row>
    <row r="2558">
      <c r="A2558" s="16" t="str">
        <f>IFERROR(__xludf.DUMMYFUNCTION("""COMPUTED_VALUE"""),"Adamou Halidou Daouda")</f>
        <v>Adamou Halidou Daouda</v>
      </c>
      <c r="B2558" s="16"/>
      <c r="C2558" s="14"/>
      <c r="F2558" s="16" t="str">
        <f>IFERROR(__xludf.DUMMYFUNCTION("""COMPUTED_VALUE"""),"Sokolé I")</f>
        <v>Sokolé I</v>
      </c>
      <c r="G2558" s="16"/>
      <c r="H2558" s="14"/>
      <c r="K2558" s="16">
        <f>IFERROR(__xludf.DUMMYFUNCTION("""COMPUTED_VALUE"""),420.0)</f>
        <v>420</v>
      </c>
      <c r="L2558" s="16"/>
      <c r="M2558" s="14"/>
    </row>
    <row r="2559">
      <c r="A2559" s="16" t="str">
        <f>IFERROR(__xludf.DUMMYFUNCTION("""COMPUTED_VALUE"""),"Adamou Halidou Daouda")</f>
        <v>Adamou Halidou Daouda</v>
      </c>
      <c r="B2559" s="16"/>
      <c r="C2559" s="14"/>
      <c r="F2559" s="16" t="str">
        <f>IFERROR(__xludf.DUMMYFUNCTION("""COMPUTED_VALUE"""),"Sokolé I")</f>
        <v>Sokolé I</v>
      </c>
      <c r="G2559" s="16"/>
      <c r="H2559" s="14"/>
      <c r="K2559" s="16">
        <f>IFERROR(__xludf.DUMMYFUNCTION("""COMPUTED_VALUE"""),680.0)</f>
        <v>680</v>
      </c>
      <c r="L2559" s="16"/>
      <c r="M2559" s="14"/>
    </row>
    <row r="2560">
      <c r="A2560" s="16" t="str">
        <f>IFERROR(__xludf.DUMMYFUNCTION("""COMPUTED_VALUE"""),"Adamou Halidou Daouda")</f>
        <v>Adamou Halidou Daouda</v>
      </c>
      <c r="B2560" s="16"/>
      <c r="C2560" s="14"/>
      <c r="F2560" s="16" t="str">
        <f>IFERROR(__xludf.DUMMYFUNCTION("""COMPUTED_VALUE"""),"Sokolé I")</f>
        <v>Sokolé I</v>
      </c>
      <c r="G2560" s="16"/>
      <c r="H2560" s="14"/>
      <c r="K2560" s="16">
        <f>IFERROR(__xludf.DUMMYFUNCTION("""COMPUTED_VALUE"""),320.0)</f>
        <v>320</v>
      </c>
      <c r="L2560" s="16"/>
      <c r="M2560" s="14"/>
    </row>
    <row r="2561">
      <c r="A2561" s="16" t="str">
        <f>IFERROR(__xludf.DUMMYFUNCTION("""COMPUTED_VALUE"""),"Adamou Halidou Daouda")</f>
        <v>Adamou Halidou Daouda</v>
      </c>
      <c r="B2561" s="16"/>
      <c r="C2561" s="14"/>
      <c r="F2561" s="16" t="str">
        <f>IFERROR(__xludf.DUMMYFUNCTION("""COMPUTED_VALUE"""),"Satourou")</f>
        <v>Satourou</v>
      </c>
      <c r="G2561" s="16"/>
      <c r="H2561" s="14"/>
      <c r="K2561" s="16">
        <f>IFERROR(__xludf.DUMMYFUNCTION("""COMPUTED_VALUE"""),580.0)</f>
        <v>580</v>
      </c>
      <c r="L2561" s="16"/>
      <c r="M2561" s="14"/>
    </row>
    <row r="2562">
      <c r="A2562" s="16" t="str">
        <f>IFERROR(__xludf.DUMMYFUNCTION("""COMPUTED_VALUE"""),"Adamou Halidou Daouda")</f>
        <v>Adamou Halidou Daouda</v>
      </c>
      <c r="B2562" s="16"/>
      <c r="C2562" s="14"/>
      <c r="F2562" s="16" t="str">
        <f>IFERROR(__xludf.DUMMYFUNCTION("""COMPUTED_VALUE"""),"Satourou")</f>
        <v>Satourou</v>
      </c>
      <c r="G2562" s="16"/>
      <c r="H2562" s="14"/>
      <c r="K2562" s="16">
        <f>IFERROR(__xludf.DUMMYFUNCTION("""COMPUTED_VALUE"""),814.0)</f>
        <v>814</v>
      </c>
      <c r="L2562" s="16"/>
      <c r="M2562" s="14"/>
    </row>
    <row r="2563">
      <c r="A2563" s="16" t="str">
        <f>IFERROR(__xludf.DUMMYFUNCTION("""COMPUTED_VALUE"""),"Adamou Halidou Daouda")</f>
        <v>Adamou Halidou Daouda</v>
      </c>
      <c r="B2563" s="16"/>
      <c r="C2563" s="14"/>
      <c r="F2563" s="16" t="str">
        <f>IFERROR(__xludf.DUMMYFUNCTION("""COMPUTED_VALUE"""),"Satourou")</f>
        <v>Satourou</v>
      </c>
      <c r="G2563" s="16"/>
      <c r="H2563" s="14"/>
      <c r="K2563" s="16">
        <f>IFERROR(__xludf.DUMMYFUNCTION("""COMPUTED_VALUE"""),788.0)</f>
        <v>788</v>
      </c>
      <c r="L2563" s="16"/>
      <c r="M2563" s="14"/>
    </row>
    <row r="2564">
      <c r="A2564" s="16" t="str">
        <f>IFERROR(__xludf.DUMMYFUNCTION("""COMPUTED_VALUE"""),"Adamou Halidou Daouda")</f>
        <v>Adamou Halidou Daouda</v>
      </c>
      <c r="B2564" s="16"/>
      <c r="C2564" s="14"/>
      <c r="F2564" s="16" t="str">
        <f>IFERROR(__xludf.DUMMYFUNCTION("""COMPUTED_VALUE"""),"Agouloum Toudou")</f>
        <v>Agouloum Toudou</v>
      </c>
      <c r="G2564" s="16"/>
      <c r="H2564" s="14"/>
      <c r="K2564" s="16">
        <f>IFERROR(__xludf.DUMMYFUNCTION("""COMPUTED_VALUE"""),1362.0)</f>
        <v>1362</v>
      </c>
      <c r="L2564" s="16"/>
      <c r="M2564" s="14"/>
    </row>
    <row r="2565">
      <c r="A2565" s="16" t="str">
        <f>IFERROR(__xludf.DUMMYFUNCTION("""COMPUTED_VALUE"""),"Haladou Boukar")</f>
        <v>Haladou Boukar</v>
      </c>
      <c r="B2565" s="16"/>
      <c r="C2565" s="14"/>
      <c r="F2565" s="16" t="str">
        <f>IFERROR(__xludf.DUMMYFUNCTION("""COMPUTED_VALUE"""),"Agouloum Toudou")</f>
        <v>Agouloum Toudou</v>
      </c>
      <c r="G2565" s="16"/>
      <c r="H2565" s="14"/>
      <c r="K2565" s="16">
        <f>IFERROR(__xludf.DUMMYFUNCTION("""COMPUTED_VALUE"""),302.0)</f>
        <v>302</v>
      </c>
      <c r="L2565" s="16"/>
      <c r="M2565" s="14"/>
    </row>
    <row r="2566">
      <c r="A2566" s="16" t="str">
        <f>IFERROR(__xludf.DUMMYFUNCTION("""COMPUTED_VALUE"""),"Haladou Boukar")</f>
        <v>Haladou Boukar</v>
      </c>
      <c r="B2566" s="16"/>
      <c r="C2566" s="14"/>
      <c r="F2566" s="16" t="str">
        <f>IFERROR(__xludf.DUMMYFUNCTION("""COMPUTED_VALUE"""),"Sokolé Guidan Gaba Mahalba")</f>
        <v>Sokolé Guidan Gaba Mahalba</v>
      </c>
      <c r="G2566" s="16"/>
      <c r="H2566" s="14"/>
      <c r="K2566" s="16">
        <f>IFERROR(__xludf.DUMMYFUNCTION("""COMPUTED_VALUE"""),316.0)</f>
        <v>316</v>
      </c>
      <c r="L2566" s="16"/>
      <c r="M2566" s="14"/>
    </row>
    <row r="2567">
      <c r="A2567" s="16" t="str">
        <f>IFERROR(__xludf.DUMMYFUNCTION("""COMPUTED_VALUE"""),"Haladou Boukar")</f>
        <v>Haladou Boukar</v>
      </c>
      <c r="B2567" s="16"/>
      <c r="C2567" s="14"/>
      <c r="F2567" s="16" t="str">
        <f>IFERROR(__xludf.DUMMYFUNCTION("""COMPUTED_VALUE"""),"Sokolé Guidan Gaba Mahalba")</f>
        <v>Sokolé Guidan Gaba Mahalba</v>
      </c>
      <c r="G2567" s="16"/>
      <c r="H2567" s="14"/>
      <c r="K2567" s="16">
        <f>IFERROR(__xludf.DUMMYFUNCTION("""COMPUTED_VALUE"""),223.0)</f>
        <v>223</v>
      </c>
      <c r="L2567" s="16"/>
      <c r="M2567" s="14"/>
    </row>
    <row r="2568">
      <c r="A2568" s="16" t="str">
        <f>IFERROR(__xludf.DUMMYFUNCTION("""COMPUTED_VALUE"""),"Haladou Boukar")</f>
        <v>Haladou Boukar</v>
      </c>
      <c r="B2568" s="16"/>
      <c r="C2568" s="14"/>
      <c r="F2568" s="16" t="str">
        <f>IFERROR(__xludf.DUMMYFUNCTION("""COMPUTED_VALUE"""),"Sokolé Guidan Gaba Mahalba")</f>
        <v>Sokolé Guidan Gaba Mahalba</v>
      </c>
      <c r="G2568" s="16"/>
      <c r="H2568" s="14"/>
      <c r="K2568" s="16">
        <f>IFERROR(__xludf.DUMMYFUNCTION("""COMPUTED_VALUE"""),272.0)</f>
        <v>272</v>
      </c>
      <c r="L2568" s="16"/>
      <c r="M2568" s="14"/>
    </row>
    <row r="2569">
      <c r="A2569" s="16" t="str">
        <f>IFERROR(__xludf.DUMMYFUNCTION("""COMPUTED_VALUE"""),"Haladou Boukar")</f>
        <v>Haladou Boukar</v>
      </c>
      <c r="B2569" s="16"/>
      <c r="C2569" s="14"/>
      <c r="F2569" s="16" t="str">
        <f>IFERROR(__xludf.DUMMYFUNCTION("""COMPUTED_VALUE"""),"Sokolé Guidan Gaba Mahalba")</f>
        <v>Sokolé Guidan Gaba Mahalba</v>
      </c>
      <c r="G2569" s="16"/>
      <c r="H2569" s="14"/>
      <c r="K2569" s="16">
        <f>IFERROR(__xludf.DUMMYFUNCTION("""COMPUTED_VALUE"""),174.0)</f>
        <v>174</v>
      </c>
      <c r="L2569" s="16"/>
      <c r="M2569" s="14"/>
    </row>
    <row r="2570">
      <c r="A2570" s="16" t="str">
        <f>IFERROR(__xludf.DUMMYFUNCTION("""COMPUTED_VALUE"""),"Haladou Boukar")</f>
        <v>Haladou Boukar</v>
      </c>
      <c r="B2570" s="16"/>
      <c r="C2570" s="14"/>
      <c r="F2570" s="16" t="str">
        <f>IFERROR(__xludf.DUMMYFUNCTION("""COMPUTED_VALUE"""),"Sokolé Guidan Gaba Mahalba")</f>
        <v>Sokolé Guidan Gaba Mahalba</v>
      </c>
      <c r="G2570" s="16"/>
      <c r="H2570" s="14"/>
      <c r="K2570" s="16">
        <f>IFERROR(__xludf.DUMMYFUNCTION("""COMPUTED_VALUE"""),996.0)</f>
        <v>996</v>
      </c>
      <c r="L2570" s="16"/>
      <c r="M2570" s="14"/>
    </row>
    <row r="2571">
      <c r="A2571" s="16" t="str">
        <f>IFERROR(__xludf.DUMMYFUNCTION("""COMPUTED_VALUE"""),"Haladou Boukar")</f>
        <v>Haladou Boukar</v>
      </c>
      <c r="B2571" s="16"/>
      <c r="C2571" s="14"/>
      <c r="F2571" s="16" t="str">
        <f>IFERROR(__xludf.DUMMYFUNCTION("""COMPUTED_VALUE"""),"Sokolé I")</f>
        <v>Sokolé I</v>
      </c>
      <c r="G2571" s="16"/>
      <c r="H2571" s="14"/>
      <c r="K2571" s="16">
        <f>IFERROR(__xludf.DUMMYFUNCTION("""COMPUTED_VALUE"""),514.0)</f>
        <v>514</v>
      </c>
      <c r="L2571" s="16"/>
      <c r="M2571" s="14"/>
    </row>
    <row r="2572">
      <c r="A2572" s="16" t="str">
        <f>IFERROR(__xludf.DUMMYFUNCTION("""COMPUTED_VALUE"""),"Haladou Boukar")</f>
        <v>Haladou Boukar</v>
      </c>
      <c r="B2572" s="16"/>
      <c r="C2572" s="14"/>
      <c r="F2572" s="16" t="str">
        <f>IFERROR(__xludf.DUMMYFUNCTION("""COMPUTED_VALUE"""),"Sokolé I")</f>
        <v>Sokolé I</v>
      </c>
      <c r="G2572" s="16"/>
      <c r="H2572" s="14"/>
      <c r="K2572" s="16">
        <f>IFERROR(__xludf.DUMMYFUNCTION("""COMPUTED_VALUE"""),519.0)</f>
        <v>519</v>
      </c>
      <c r="L2572" s="16"/>
      <c r="M2572" s="14"/>
    </row>
    <row r="2573">
      <c r="A2573" s="16" t="str">
        <f>IFERROR(__xludf.DUMMYFUNCTION("""COMPUTED_VALUE"""),"Haladou Boukar")</f>
        <v>Haladou Boukar</v>
      </c>
      <c r="B2573" s="16"/>
      <c r="C2573" s="14"/>
      <c r="F2573" s="16" t="str">
        <f>IFERROR(__xludf.DUMMYFUNCTION("""COMPUTED_VALUE"""),"Sokolé I")</f>
        <v>Sokolé I</v>
      </c>
      <c r="G2573" s="16"/>
      <c r="H2573" s="14"/>
      <c r="K2573" s="16">
        <f>IFERROR(__xludf.DUMMYFUNCTION("""COMPUTED_VALUE"""),894.0)</f>
        <v>894</v>
      </c>
      <c r="L2573" s="16"/>
      <c r="M2573" s="14"/>
    </row>
    <row r="2574">
      <c r="A2574" s="16" t="str">
        <f>IFERROR(__xludf.DUMMYFUNCTION("""COMPUTED_VALUE"""),"Haladou Boukar")</f>
        <v>Haladou Boukar</v>
      </c>
      <c r="B2574" s="16"/>
      <c r="C2574" s="14"/>
      <c r="F2574" s="16" t="str">
        <f>IFERROR(__xludf.DUMMYFUNCTION("""COMPUTED_VALUE"""),"Sokolé I")</f>
        <v>Sokolé I</v>
      </c>
      <c r="G2574" s="16"/>
      <c r="H2574" s="14"/>
      <c r="K2574" s="16">
        <f>IFERROR(__xludf.DUMMYFUNCTION("""COMPUTED_VALUE"""),887.0)</f>
        <v>887</v>
      </c>
      <c r="L2574" s="16"/>
      <c r="M2574" s="14"/>
    </row>
    <row r="2575">
      <c r="A2575" s="16" t="str">
        <f>IFERROR(__xludf.DUMMYFUNCTION("""COMPUTED_VALUE"""),"Haladou Boukar")</f>
        <v>Haladou Boukar</v>
      </c>
      <c r="B2575" s="16"/>
      <c r="C2575" s="14"/>
      <c r="F2575" s="16" t="str">
        <f>IFERROR(__xludf.DUMMYFUNCTION("""COMPUTED_VALUE"""),"Nassaraoua")</f>
        <v>Nassaraoua</v>
      </c>
      <c r="G2575" s="16"/>
      <c r="H2575" s="14"/>
      <c r="K2575" s="16">
        <f>IFERROR(__xludf.DUMMYFUNCTION("""COMPUTED_VALUE"""),363.0)</f>
        <v>363</v>
      </c>
      <c r="L2575" s="16"/>
      <c r="M2575" s="14"/>
    </row>
    <row r="2576">
      <c r="A2576" s="16" t="str">
        <f>IFERROR(__xludf.DUMMYFUNCTION("""COMPUTED_VALUE"""),"Haladou Boukar")</f>
        <v>Haladou Boukar</v>
      </c>
      <c r="B2576" s="16"/>
      <c r="C2576" s="14"/>
      <c r="F2576" s="16" t="str">
        <f>IFERROR(__xludf.DUMMYFUNCTION("""COMPUTED_VALUE"""),"Kolloma Baba")</f>
        <v>Kolloma Baba</v>
      </c>
      <c r="G2576" s="16"/>
      <c r="H2576" s="14"/>
      <c r="K2576" s="16">
        <f>IFERROR(__xludf.DUMMYFUNCTION("""COMPUTED_VALUE"""),295.0)</f>
        <v>295</v>
      </c>
      <c r="L2576" s="16"/>
      <c r="M2576" s="14"/>
    </row>
    <row r="2577">
      <c r="A2577" s="16" t="str">
        <f>IFERROR(__xludf.DUMMYFUNCTION("""COMPUTED_VALUE"""),"Zakari Aboubacar")</f>
        <v>Zakari Aboubacar</v>
      </c>
      <c r="B2577" s="16"/>
      <c r="C2577" s="14"/>
      <c r="F2577" s="16" t="str">
        <f>IFERROR(__xludf.DUMMYFUNCTION("""COMPUTED_VALUE"""),"Kolloma Baba")</f>
        <v>Kolloma Baba</v>
      </c>
      <c r="G2577" s="16"/>
      <c r="H2577" s="14"/>
      <c r="K2577" s="16">
        <f>IFERROR(__xludf.DUMMYFUNCTION("""COMPUTED_VALUE"""),479.0)</f>
        <v>479</v>
      </c>
      <c r="L2577" s="16"/>
      <c r="M2577" s="14"/>
    </row>
    <row r="2578">
      <c r="A2578" s="16" t="str">
        <f>IFERROR(__xludf.DUMMYFUNCTION("""COMPUTED_VALUE"""),"Zakari Aboubacar")</f>
        <v>Zakari Aboubacar</v>
      </c>
      <c r="B2578" s="16"/>
      <c r="C2578" s="14"/>
      <c r="F2578" s="16" t="str">
        <f>IFERROR(__xludf.DUMMYFUNCTION("""COMPUTED_VALUE"""),"Kolloma Baba")</f>
        <v>Kolloma Baba</v>
      </c>
      <c r="G2578" s="16"/>
      <c r="H2578" s="14"/>
      <c r="K2578" s="16">
        <f>IFERROR(__xludf.DUMMYFUNCTION("""COMPUTED_VALUE"""),464.0)</f>
        <v>464</v>
      </c>
      <c r="L2578" s="16"/>
      <c r="M2578" s="14"/>
    </row>
    <row r="2579">
      <c r="A2579" s="16" t="str">
        <f>IFERROR(__xludf.DUMMYFUNCTION("""COMPUTED_VALUE"""),"Zakari Aboubacar")</f>
        <v>Zakari Aboubacar</v>
      </c>
      <c r="B2579" s="16"/>
      <c r="C2579" s="14"/>
      <c r="F2579" s="16" t="str">
        <f>IFERROR(__xludf.DUMMYFUNCTION("""COMPUTED_VALUE"""),"Nassaraoua")</f>
        <v>Nassaraoua</v>
      </c>
      <c r="G2579" s="16"/>
      <c r="H2579" s="14"/>
      <c r="K2579" s="16">
        <f>IFERROR(__xludf.DUMMYFUNCTION("""COMPUTED_VALUE"""),882.0)</f>
        <v>882</v>
      </c>
      <c r="L2579" s="16"/>
      <c r="M2579" s="14"/>
    </row>
    <row r="2580">
      <c r="A2580" s="16" t="str">
        <f>IFERROR(__xludf.DUMMYFUNCTION("""COMPUTED_VALUE"""),"Zakari Aboubacar")</f>
        <v>Zakari Aboubacar</v>
      </c>
      <c r="B2580" s="16"/>
      <c r="C2580" s="14"/>
      <c r="F2580" s="16" t="str">
        <f>IFERROR(__xludf.DUMMYFUNCTION("""COMPUTED_VALUE"""),"Nassaraoua")</f>
        <v>Nassaraoua</v>
      </c>
      <c r="G2580" s="16"/>
      <c r="H2580" s="14"/>
      <c r="K2580" s="16">
        <f>IFERROR(__xludf.DUMMYFUNCTION("""COMPUTED_VALUE"""),223.0)</f>
        <v>223</v>
      </c>
      <c r="L2580" s="16"/>
      <c r="M2580" s="14"/>
    </row>
    <row r="2581">
      <c r="A2581" s="16" t="str">
        <f>IFERROR(__xludf.DUMMYFUNCTION("""COMPUTED_VALUE"""),"Zakari Aboubacar")</f>
        <v>Zakari Aboubacar</v>
      </c>
      <c r="B2581" s="16"/>
      <c r="C2581" s="14"/>
      <c r="F2581" s="16" t="str">
        <f>IFERROR(__xludf.DUMMYFUNCTION("""COMPUTED_VALUE"""),"Kolloma Baba")</f>
        <v>Kolloma Baba</v>
      </c>
      <c r="G2581" s="16"/>
      <c r="H2581" s="14"/>
      <c r="K2581" s="16">
        <f>IFERROR(__xludf.DUMMYFUNCTION("""COMPUTED_VALUE"""),784.0)</f>
        <v>784</v>
      </c>
      <c r="L2581" s="16"/>
      <c r="M2581" s="14"/>
    </row>
    <row r="2582">
      <c r="A2582" s="16" t="str">
        <f>IFERROR(__xludf.DUMMYFUNCTION("""COMPUTED_VALUE"""),"Zakari Aboubacar")</f>
        <v>Zakari Aboubacar</v>
      </c>
      <c r="B2582" s="16"/>
      <c r="C2582" s="14"/>
      <c r="F2582" s="16" t="str">
        <f>IFERROR(__xludf.DUMMYFUNCTION("""COMPUTED_VALUE"""),"Kolloma Baba")</f>
        <v>Kolloma Baba</v>
      </c>
      <c r="G2582" s="16"/>
      <c r="H2582" s="14"/>
      <c r="K2582" s="16">
        <f>IFERROR(__xludf.DUMMYFUNCTION("""COMPUTED_VALUE"""),690.0)</f>
        <v>690</v>
      </c>
      <c r="L2582" s="16"/>
      <c r="M2582" s="14"/>
    </row>
    <row r="2583">
      <c r="A2583" s="16" t="str">
        <f>IFERROR(__xludf.DUMMYFUNCTION("""COMPUTED_VALUE"""),"Zakari Aboubacar")</f>
        <v>Zakari Aboubacar</v>
      </c>
      <c r="B2583" s="16"/>
      <c r="C2583" s="14"/>
      <c r="F2583" s="16" t="str">
        <f>IFERROR(__xludf.DUMMYFUNCTION("""COMPUTED_VALUE"""),"Kolloma Baba")</f>
        <v>Kolloma Baba</v>
      </c>
      <c r="G2583" s="16"/>
      <c r="H2583" s="14"/>
      <c r="K2583" s="16">
        <f>IFERROR(__xludf.DUMMYFUNCTION("""COMPUTED_VALUE"""),309.0)</f>
        <v>309</v>
      </c>
      <c r="L2583" s="16"/>
      <c r="M2583" s="14"/>
    </row>
    <row r="2584">
      <c r="A2584" s="16" t="str">
        <f>IFERROR(__xludf.DUMMYFUNCTION("""COMPUTED_VALUE"""),"Zakari Aboubacar")</f>
        <v>Zakari Aboubacar</v>
      </c>
      <c r="B2584" s="16"/>
      <c r="C2584" s="14"/>
      <c r="F2584" s="16" t="str">
        <f>IFERROR(__xludf.DUMMYFUNCTION("""COMPUTED_VALUE"""),"Kolloma Baba")</f>
        <v>Kolloma Baba</v>
      </c>
      <c r="G2584" s="16"/>
      <c r="H2584" s="14"/>
      <c r="K2584" s="16">
        <f>IFERROR(__xludf.DUMMYFUNCTION("""COMPUTED_VALUE"""),216.0)</f>
        <v>216</v>
      </c>
      <c r="L2584" s="16"/>
      <c r="M2584" s="14"/>
    </row>
    <row r="2585">
      <c r="A2585" s="16" t="str">
        <f>IFERROR(__xludf.DUMMYFUNCTION("""COMPUTED_VALUE"""),"Zakari Aboubacar")</f>
        <v>Zakari Aboubacar</v>
      </c>
      <c r="B2585" s="16"/>
      <c r="C2585" s="14"/>
      <c r="F2585" s="16" t="str">
        <f>IFERROR(__xludf.DUMMYFUNCTION("""COMPUTED_VALUE"""),"Nassaraoua")</f>
        <v>Nassaraoua</v>
      </c>
      <c r="G2585" s="16"/>
      <c r="H2585" s="14"/>
      <c r="K2585" s="16">
        <f>IFERROR(__xludf.DUMMYFUNCTION("""COMPUTED_VALUE"""),270.0)</f>
        <v>270</v>
      </c>
      <c r="L2585" s="16"/>
      <c r="M2585" s="14"/>
    </row>
    <row r="2586">
      <c r="A2586" s="16" t="str">
        <f>IFERROR(__xludf.DUMMYFUNCTION("""COMPUTED_VALUE"""),"Zakari Aboubacar")</f>
        <v>Zakari Aboubacar</v>
      </c>
      <c r="B2586" s="16"/>
      <c r="C2586" s="14"/>
      <c r="F2586" s="16" t="str">
        <f>IFERROR(__xludf.DUMMYFUNCTION("""COMPUTED_VALUE"""),"Nassaraoua")</f>
        <v>Nassaraoua</v>
      </c>
      <c r="G2586" s="16"/>
      <c r="H2586" s="14"/>
      <c r="K2586" s="16">
        <f>IFERROR(__xludf.DUMMYFUNCTION("""COMPUTED_VALUE"""),1025.0)</f>
        <v>1025</v>
      </c>
      <c r="L2586" s="16"/>
      <c r="M2586" s="14"/>
    </row>
    <row r="2587">
      <c r="A2587" s="16" t="str">
        <f>IFERROR(__xludf.DUMMYFUNCTION("""COMPUTED_VALUE"""),"Zakari Aboubacar")</f>
        <v>Zakari Aboubacar</v>
      </c>
      <c r="B2587" s="16"/>
      <c r="C2587" s="14"/>
      <c r="F2587" s="16" t="str">
        <f>IFERROR(__xludf.DUMMYFUNCTION("""COMPUTED_VALUE"""),"Nassaraoua")</f>
        <v>Nassaraoua</v>
      </c>
      <c r="G2587" s="16"/>
      <c r="H2587" s="14"/>
      <c r="K2587" s="16">
        <f>IFERROR(__xludf.DUMMYFUNCTION("""COMPUTED_VALUE"""),803.0)</f>
        <v>803</v>
      </c>
      <c r="L2587" s="16"/>
      <c r="M2587" s="14"/>
    </row>
    <row r="2588">
      <c r="A2588" s="16" t="str">
        <f>IFERROR(__xludf.DUMMYFUNCTION("""COMPUTED_VALUE"""),"Achirou kane Abdoul Nasser")</f>
        <v>Achirou kane Abdoul Nasser</v>
      </c>
      <c r="B2588" s="16"/>
      <c r="C2588" s="14"/>
      <c r="F2588" s="16" t="str">
        <f>IFERROR(__xludf.DUMMYFUNCTION("""COMPUTED_VALUE"""),"Agouloum Toudou")</f>
        <v>Agouloum Toudou</v>
      </c>
      <c r="G2588" s="16"/>
      <c r="H2588" s="14"/>
      <c r="K2588" s="16">
        <f>IFERROR(__xludf.DUMMYFUNCTION("""COMPUTED_VALUE"""),945.0)</f>
        <v>945</v>
      </c>
      <c r="L2588" s="16"/>
      <c r="M2588" s="14"/>
    </row>
    <row r="2589">
      <c r="A2589" s="16" t="str">
        <f>IFERROR(__xludf.DUMMYFUNCTION("""COMPUTED_VALUE"""),"Achirou kane Abdoul Nasser")</f>
        <v>Achirou kane Abdoul Nasser</v>
      </c>
      <c r="B2589" s="16"/>
      <c r="C2589" s="14"/>
      <c r="F2589" s="16" t="str">
        <f>IFERROR(__xludf.DUMMYFUNCTION("""COMPUTED_VALUE"""),"Agouloum Toudou")</f>
        <v>Agouloum Toudou</v>
      </c>
      <c r="G2589" s="16"/>
      <c r="H2589" s="14"/>
      <c r="K2589" s="16">
        <f>IFERROR(__xludf.DUMMYFUNCTION("""COMPUTED_VALUE"""),747.0)</f>
        <v>747</v>
      </c>
      <c r="L2589" s="16"/>
      <c r="M2589" s="14"/>
    </row>
    <row r="2590">
      <c r="A2590" s="16" t="str">
        <f>IFERROR(__xludf.DUMMYFUNCTION("""COMPUTED_VALUE"""),"Rakia moussa")</f>
        <v>Rakia moussa</v>
      </c>
      <c r="B2590" s="16"/>
      <c r="C2590" s="14"/>
      <c r="F2590" s="16" t="str">
        <f>IFERROR(__xludf.DUMMYFUNCTION("""COMPUTED_VALUE"""),"Agouloum Toudou")</f>
        <v>Agouloum Toudou</v>
      </c>
      <c r="G2590" s="16"/>
      <c r="H2590" s="14"/>
      <c r="K2590" s="16">
        <f>IFERROR(__xludf.DUMMYFUNCTION("""COMPUTED_VALUE"""),788.0)</f>
        <v>788</v>
      </c>
      <c r="L2590" s="16"/>
      <c r="M2590" s="14"/>
    </row>
    <row r="2591">
      <c r="A2591" s="16" t="str">
        <f>IFERROR(__xludf.DUMMYFUNCTION("""COMPUTED_VALUE"""),"Achirou kane Abdoul Nasser")</f>
        <v>Achirou kane Abdoul Nasser</v>
      </c>
      <c r="B2591" s="16"/>
      <c r="C2591" s="14"/>
      <c r="F2591" s="16" t="str">
        <f>IFERROR(__xludf.DUMMYFUNCTION("""COMPUTED_VALUE"""),"Sokolé Guidan Gaba Mahalba")</f>
        <v>Sokolé Guidan Gaba Mahalba</v>
      </c>
      <c r="G2591" s="16"/>
      <c r="H2591" s="14"/>
      <c r="K2591" s="16">
        <f>IFERROR(__xludf.DUMMYFUNCTION("""COMPUTED_VALUE"""),1079.0)</f>
        <v>1079</v>
      </c>
      <c r="L2591" s="16"/>
      <c r="M2591" s="14"/>
    </row>
    <row r="2592">
      <c r="A2592" s="16" t="str">
        <f>IFERROR(__xludf.DUMMYFUNCTION("""COMPUTED_VALUE"""),"Achirou kane Abdoul Nasser")</f>
        <v>Achirou kane Abdoul Nasser</v>
      </c>
      <c r="B2592" s="16"/>
      <c r="C2592" s="14"/>
      <c r="F2592" s="16" t="str">
        <f>IFERROR(__xludf.DUMMYFUNCTION("""COMPUTED_VALUE"""),"Sokolé I")</f>
        <v>Sokolé I</v>
      </c>
      <c r="G2592" s="16"/>
      <c r="H2592" s="14"/>
      <c r="K2592" s="16">
        <f>IFERROR(__xludf.DUMMYFUNCTION("""COMPUTED_VALUE"""),250.0)</f>
        <v>250</v>
      </c>
      <c r="L2592" s="16"/>
      <c r="M2592" s="14"/>
    </row>
    <row r="2593">
      <c r="A2593" s="16" t="str">
        <f>IFERROR(__xludf.DUMMYFUNCTION("""COMPUTED_VALUE"""),"Achirou kane Abdoul Nasser")</f>
        <v>Achirou kane Abdoul Nasser</v>
      </c>
      <c r="B2593" s="16"/>
      <c r="C2593" s="14"/>
      <c r="F2593" s="16" t="str">
        <f>IFERROR(__xludf.DUMMYFUNCTION("""COMPUTED_VALUE"""),"Sokolé I")</f>
        <v>Sokolé I</v>
      </c>
      <c r="G2593" s="16"/>
      <c r="H2593" s="14"/>
      <c r="K2593" s="16">
        <f>IFERROR(__xludf.DUMMYFUNCTION("""COMPUTED_VALUE"""),454.0)</f>
        <v>454</v>
      </c>
      <c r="L2593" s="16"/>
      <c r="M2593" s="14"/>
    </row>
    <row r="2594">
      <c r="A2594" s="16" t="str">
        <f>IFERROR(__xludf.DUMMYFUNCTION("""COMPUTED_VALUE"""),"Achirou kane Abdoul Nasser")</f>
        <v>Achirou kane Abdoul Nasser</v>
      </c>
      <c r="B2594" s="16"/>
      <c r="C2594" s="14"/>
      <c r="F2594" s="16" t="str">
        <f>IFERROR(__xludf.DUMMYFUNCTION("""COMPUTED_VALUE"""),"Satourou")</f>
        <v>Satourou</v>
      </c>
      <c r="G2594" s="16"/>
      <c r="H2594" s="14"/>
      <c r="K2594" s="16">
        <f>IFERROR(__xludf.DUMMYFUNCTION("""COMPUTED_VALUE"""),230.0)</f>
        <v>230</v>
      </c>
      <c r="L2594" s="16"/>
      <c r="M2594" s="14"/>
    </row>
    <row r="2595">
      <c r="A2595" s="16" t="str">
        <f>IFERROR(__xludf.DUMMYFUNCTION("""COMPUTED_VALUE"""),"Achirou kane Abdoul Nasser")</f>
        <v>Achirou kane Abdoul Nasser</v>
      </c>
      <c r="B2595" s="16"/>
      <c r="C2595" s="14"/>
      <c r="F2595" s="16" t="str">
        <f>IFERROR(__xludf.DUMMYFUNCTION("""COMPUTED_VALUE"""),"Sokolé I")</f>
        <v>Sokolé I</v>
      </c>
      <c r="G2595" s="16"/>
      <c r="H2595" s="14"/>
      <c r="K2595" s="16">
        <f>IFERROR(__xludf.DUMMYFUNCTION("""COMPUTED_VALUE"""),732.0)</f>
        <v>732</v>
      </c>
      <c r="L2595" s="16"/>
      <c r="M2595" s="14"/>
    </row>
    <row r="2596">
      <c r="A2596" s="16" t="str">
        <f>IFERROR(__xludf.DUMMYFUNCTION("""COMPUTED_VALUE"""),"Rakia moussa")</f>
        <v>Rakia moussa</v>
      </c>
      <c r="B2596" s="16"/>
      <c r="C2596" s="14"/>
      <c r="F2596" s="16" t="str">
        <f>IFERROR(__xludf.DUMMYFUNCTION("""COMPUTED_VALUE"""),"Satourou")</f>
        <v>Satourou</v>
      </c>
      <c r="G2596" s="16"/>
      <c r="H2596" s="14"/>
      <c r="K2596" s="16">
        <f>IFERROR(__xludf.DUMMYFUNCTION("""COMPUTED_VALUE"""),532.0)</f>
        <v>532</v>
      </c>
      <c r="L2596" s="16"/>
      <c r="M2596" s="14"/>
    </row>
    <row r="2597">
      <c r="A2597" s="16" t="str">
        <f>IFERROR(__xludf.DUMMYFUNCTION("""COMPUTED_VALUE"""),"Rakia moussa")</f>
        <v>Rakia moussa</v>
      </c>
      <c r="B2597" s="16"/>
      <c r="C2597" s="14"/>
      <c r="F2597" s="16" t="str">
        <f>IFERROR(__xludf.DUMMYFUNCTION("""COMPUTED_VALUE"""),"Kolloma Dabagi")</f>
        <v>Kolloma Dabagi</v>
      </c>
      <c r="G2597" s="16"/>
      <c r="H2597" s="14"/>
      <c r="K2597" s="16">
        <f>IFERROR(__xludf.DUMMYFUNCTION("""COMPUTED_VALUE"""),244.0)</f>
        <v>244</v>
      </c>
      <c r="L2597" s="16"/>
      <c r="M2597" s="14"/>
    </row>
    <row r="2598">
      <c r="A2598" s="16" t="str">
        <f>IFERROR(__xludf.DUMMYFUNCTION("""COMPUTED_VALUE"""),"Rakia moussa")</f>
        <v>Rakia moussa</v>
      </c>
      <c r="B2598" s="16"/>
      <c r="C2598" s="14"/>
      <c r="F2598" s="16" t="str">
        <f>IFERROR(__xludf.DUMMYFUNCTION("""COMPUTED_VALUE"""),"Kolloma Dabagi")</f>
        <v>Kolloma Dabagi</v>
      </c>
      <c r="G2598" s="16"/>
      <c r="H2598" s="14"/>
      <c r="K2598" s="16">
        <f>IFERROR(__xludf.DUMMYFUNCTION("""COMPUTED_VALUE"""),267.0)</f>
        <v>267</v>
      </c>
      <c r="L2598" s="16"/>
      <c r="M2598" s="14"/>
    </row>
    <row r="2599">
      <c r="A2599" s="16" t="str">
        <f>IFERROR(__xludf.DUMMYFUNCTION("""COMPUTED_VALUE"""),"Rakia moussa")</f>
        <v>Rakia moussa</v>
      </c>
      <c r="B2599" s="16"/>
      <c r="C2599" s="14"/>
      <c r="F2599" s="16" t="str">
        <f>IFERROR(__xludf.DUMMYFUNCTION("""COMPUTED_VALUE"""),"Sabon Gari")</f>
        <v>Sabon Gari</v>
      </c>
      <c r="G2599" s="16"/>
      <c r="H2599" s="14"/>
      <c r="K2599" s="16">
        <f>IFERROR(__xludf.DUMMYFUNCTION("""COMPUTED_VALUE"""),281.0)</f>
        <v>281</v>
      </c>
      <c r="L2599" s="16"/>
      <c r="M2599" s="14"/>
    </row>
    <row r="2600">
      <c r="A2600" s="16" t="str">
        <f>IFERROR(__xludf.DUMMYFUNCTION("""COMPUTED_VALUE"""),"Rakia moussa")</f>
        <v>Rakia moussa</v>
      </c>
      <c r="B2600" s="16"/>
      <c r="C2600" s="14"/>
      <c r="F2600" s="16" t="str">
        <f>IFERROR(__xludf.DUMMYFUNCTION("""COMPUTED_VALUE"""),"Kolloma Dabagi")</f>
        <v>Kolloma Dabagi</v>
      </c>
      <c r="G2600" s="16"/>
      <c r="H2600" s="14"/>
      <c r="K2600" s="16">
        <f>IFERROR(__xludf.DUMMYFUNCTION("""COMPUTED_VALUE"""),1004.0)</f>
        <v>1004</v>
      </c>
      <c r="L2600" s="16"/>
      <c r="M2600" s="14"/>
    </row>
    <row r="2601">
      <c r="A2601" s="16" t="str">
        <f>IFERROR(__xludf.DUMMYFUNCTION("""COMPUTED_VALUE"""),"Rakia moussa")</f>
        <v>Rakia moussa</v>
      </c>
      <c r="B2601" s="16"/>
      <c r="C2601" s="14"/>
      <c r="F2601" s="16" t="str">
        <f>IFERROR(__xludf.DUMMYFUNCTION("""COMPUTED_VALUE"""),"Kolloma Dabagi")</f>
        <v>Kolloma Dabagi</v>
      </c>
      <c r="G2601" s="16"/>
      <c r="H2601" s="14"/>
      <c r="K2601" s="16">
        <f>IFERROR(__xludf.DUMMYFUNCTION("""COMPUTED_VALUE"""),600.0)</f>
        <v>600</v>
      </c>
      <c r="L2601" s="16"/>
      <c r="M2601" s="14"/>
    </row>
    <row r="2602">
      <c r="A2602" s="16" t="str">
        <f>IFERROR(__xludf.DUMMYFUNCTION("""COMPUTED_VALUE"""),"Rakia moussa")</f>
        <v>Rakia moussa</v>
      </c>
      <c r="B2602" s="16"/>
      <c r="C2602" s="14"/>
      <c r="F2602" s="16" t="str">
        <f>IFERROR(__xludf.DUMMYFUNCTION("""COMPUTED_VALUE"""),"Kolloma Dabagi")</f>
        <v>Kolloma Dabagi</v>
      </c>
      <c r="G2602" s="16"/>
      <c r="H2602" s="14"/>
      <c r="K2602" s="16">
        <f>IFERROR(__xludf.DUMMYFUNCTION("""COMPUTED_VALUE"""),278.0)</f>
        <v>278</v>
      </c>
      <c r="L2602" s="16"/>
      <c r="M2602" s="14"/>
    </row>
    <row r="2603">
      <c r="A2603" s="16" t="str">
        <f>IFERROR(__xludf.DUMMYFUNCTION("""COMPUTED_VALUE"""),"Rakia moussa")</f>
        <v>Rakia moussa</v>
      </c>
      <c r="B2603" s="16"/>
      <c r="C2603" s="14"/>
      <c r="F2603" s="16" t="str">
        <f>IFERROR(__xludf.DUMMYFUNCTION("""COMPUTED_VALUE"""),"Sabon Gari")</f>
        <v>Sabon Gari</v>
      </c>
      <c r="G2603" s="16"/>
      <c r="H2603" s="14"/>
      <c r="K2603" s="16">
        <f>IFERROR(__xludf.DUMMYFUNCTION("""COMPUTED_VALUE"""),1068.0)</f>
        <v>1068</v>
      </c>
      <c r="L2603" s="16"/>
      <c r="M2603" s="14"/>
    </row>
    <row r="2604">
      <c r="A2604" s="16" t="str">
        <f>IFERROR(__xludf.DUMMYFUNCTION("""COMPUTED_VALUE"""),"Rakia moussa")</f>
        <v>Rakia moussa</v>
      </c>
      <c r="B2604" s="16"/>
      <c r="C2604" s="14"/>
      <c r="F2604" s="16" t="str">
        <f>IFERROR(__xludf.DUMMYFUNCTION("""COMPUTED_VALUE"""),"Sabon Gari")</f>
        <v>Sabon Gari</v>
      </c>
      <c r="G2604" s="16"/>
      <c r="H2604" s="14"/>
      <c r="K2604" s="16">
        <f>IFERROR(__xludf.DUMMYFUNCTION("""COMPUTED_VALUE"""),689.0)</f>
        <v>689</v>
      </c>
      <c r="L2604" s="16"/>
      <c r="M2604" s="14"/>
    </row>
    <row r="2605">
      <c r="A2605" s="16" t="str">
        <f>IFERROR(__xludf.DUMMYFUNCTION("""COMPUTED_VALUE"""),"Maman Zayanou Harouna")</f>
        <v>Maman Zayanou Harouna</v>
      </c>
      <c r="B2605" s="16"/>
      <c r="C2605" s="14"/>
      <c r="F2605" s="16" t="str">
        <f>IFERROR(__xludf.DUMMYFUNCTION("""COMPUTED_VALUE"""),"Kolloma Dabagi")</f>
        <v>Kolloma Dabagi</v>
      </c>
      <c r="G2605" s="16"/>
      <c r="H2605" s="14"/>
      <c r="K2605" s="16">
        <f>IFERROR(__xludf.DUMMYFUNCTION("""COMPUTED_VALUE"""),952.0)</f>
        <v>952</v>
      </c>
      <c r="L2605" s="16"/>
      <c r="M2605" s="14"/>
    </row>
    <row r="2606">
      <c r="A2606" s="16" t="str">
        <f>IFERROR(__xludf.DUMMYFUNCTION("""COMPUTED_VALUE"""),"Maman Zayanou Harouna")</f>
        <v>Maman Zayanou Harouna</v>
      </c>
      <c r="B2606" s="16"/>
      <c r="C2606" s="14"/>
      <c r="F2606" s="16" t="str">
        <f>IFERROR(__xludf.DUMMYFUNCTION("""COMPUTED_VALUE"""),"Sabon Gari")</f>
        <v>Sabon Gari</v>
      </c>
      <c r="G2606" s="16"/>
      <c r="H2606" s="14"/>
      <c r="K2606" s="16">
        <f>IFERROR(__xludf.DUMMYFUNCTION("""COMPUTED_VALUE"""),892.0)</f>
        <v>892</v>
      </c>
      <c r="L2606" s="16"/>
      <c r="M2606" s="14"/>
    </row>
    <row r="2607">
      <c r="A2607" s="16" t="str">
        <f>IFERROR(__xludf.DUMMYFUNCTION("""COMPUTED_VALUE"""),"Maman Zayanou Harouna")</f>
        <v>Maman Zayanou Harouna</v>
      </c>
      <c r="B2607" s="16"/>
      <c r="C2607" s="14"/>
      <c r="F2607" s="16" t="str">
        <f>IFERROR(__xludf.DUMMYFUNCTION("""COMPUTED_VALUE"""),"Sabon Gari")</f>
        <v>Sabon Gari</v>
      </c>
      <c r="G2607" s="16"/>
      <c r="H2607" s="14"/>
      <c r="K2607" s="16">
        <f>IFERROR(__xludf.DUMMYFUNCTION("""COMPUTED_VALUE"""),263.0)</f>
        <v>263</v>
      </c>
      <c r="L2607" s="16"/>
      <c r="M2607" s="14"/>
    </row>
    <row r="2608">
      <c r="A2608" s="16" t="str">
        <f>IFERROR(__xludf.DUMMYFUNCTION("""COMPUTED_VALUE"""),"Maman Zayanou Harouna")</f>
        <v>Maman Zayanou Harouna</v>
      </c>
      <c r="B2608" s="16"/>
      <c r="C2608" s="14"/>
      <c r="F2608" s="16" t="str">
        <f>IFERROR(__xludf.DUMMYFUNCTION("""COMPUTED_VALUE"""),"Kolloma Dabagi")</f>
        <v>Kolloma Dabagi</v>
      </c>
      <c r="G2608" s="16"/>
      <c r="H2608" s="14"/>
      <c r="K2608" s="16">
        <f>IFERROR(__xludf.DUMMYFUNCTION("""COMPUTED_VALUE"""),264.0)</f>
        <v>264</v>
      </c>
      <c r="L2608" s="16"/>
      <c r="M2608" s="14"/>
    </row>
    <row r="2609">
      <c r="A2609" s="16" t="str">
        <f>IFERROR(__xludf.DUMMYFUNCTION("""COMPUTED_VALUE"""),"Maman Zayanou Harouna")</f>
        <v>Maman Zayanou Harouna</v>
      </c>
      <c r="B2609" s="16"/>
      <c r="C2609" s="14"/>
      <c r="F2609" s="16" t="str">
        <f>IFERROR(__xludf.DUMMYFUNCTION("""COMPUTED_VALUE"""),"Kolloma Dabagi")</f>
        <v>Kolloma Dabagi</v>
      </c>
      <c r="G2609" s="16"/>
      <c r="H2609" s="14"/>
      <c r="K2609" s="16">
        <f>IFERROR(__xludf.DUMMYFUNCTION("""COMPUTED_VALUE"""),614.0)</f>
        <v>614</v>
      </c>
      <c r="L2609" s="16"/>
      <c r="M2609" s="14"/>
    </row>
    <row r="2610">
      <c r="A2610" s="16" t="str">
        <f>IFERROR(__xludf.DUMMYFUNCTION("""COMPUTED_VALUE"""),"Hachimou Rabiou Mamoudou")</f>
        <v>Hachimou Rabiou Mamoudou</v>
      </c>
      <c r="B2610" s="16"/>
      <c r="C2610" s="14"/>
      <c r="F2610" s="16" t="str">
        <f>IFERROR(__xludf.DUMMYFUNCTION("""COMPUTED_VALUE"""),"Kolloma Dabagi")</f>
        <v>Kolloma Dabagi</v>
      </c>
      <c r="G2610" s="16"/>
      <c r="H2610" s="14"/>
      <c r="K2610" s="16">
        <f>IFERROR(__xludf.DUMMYFUNCTION("""COMPUTED_VALUE"""),900.0)</f>
        <v>900</v>
      </c>
      <c r="L2610" s="16"/>
      <c r="M2610" s="14"/>
    </row>
    <row r="2611">
      <c r="A2611" s="16" t="str">
        <f>IFERROR(__xludf.DUMMYFUNCTION("""COMPUTED_VALUE"""),"Hachimou Rabiou Mamoudou")</f>
        <v>Hachimou Rabiou Mamoudou</v>
      </c>
      <c r="B2611" s="16"/>
      <c r="C2611" s="14"/>
      <c r="F2611" s="16" t="str">
        <f>IFERROR(__xludf.DUMMYFUNCTION("""COMPUTED_VALUE"""),"Kolloma Dabagi")</f>
        <v>Kolloma Dabagi</v>
      </c>
      <c r="G2611" s="16"/>
      <c r="H2611" s="14"/>
      <c r="K2611" s="16">
        <f>IFERROR(__xludf.DUMMYFUNCTION("""COMPUTED_VALUE"""),1133.0)</f>
        <v>1133</v>
      </c>
      <c r="L2611" s="16"/>
      <c r="M2611" s="14"/>
    </row>
    <row r="2612">
      <c r="A2612" s="16" t="str">
        <f>IFERROR(__xludf.DUMMYFUNCTION("""COMPUTED_VALUE"""),"Hachimou Rabiou Mamoudou")</f>
        <v>Hachimou Rabiou Mamoudou</v>
      </c>
      <c r="B2612" s="16"/>
      <c r="C2612" s="14"/>
      <c r="F2612" s="16" t="str">
        <f>IFERROR(__xludf.DUMMYFUNCTION("""COMPUTED_VALUE"""),"Kolloma Dabagi")</f>
        <v>Kolloma Dabagi</v>
      </c>
      <c r="G2612" s="16"/>
      <c r="H2612" s="14"/>
      <c r="K2612" s="16">
        <f>IFERROR(__xludf.DUMMYFUNCTION("""COMPUTED_VALUE"""),967.0)</f>
        <v>967</v>
      </c>
      <c r="L2612" s="16"/>
      <c r="M2612" s="14"/>
    </row>
    <row r="2613">
      <c r="A2613" s="16" t="str">
        <f>IFERROR(__xludf.DUMMYFUNCTION("""COMPUTED_VALUE"""),"Hachimou Rabiou Mamoudou")</f>
        <v>Hachimou Rabiou Mamoudou</v>
      </c>
      <c r="B2613" s="16"/>
      <c r="C2613" s="14"/>
      <c r="F2613" s="16" t="str">
        <f>IFERROR(__xludf.DUMMYFUNCTION("""COMPUTED_VALUE"""),"Kolloma Dabagi")</f>
        <v>Kolloma Dabagi</v>
      </c>
      <c r="G2613" s="16"/>
      <c r="H2613" s="14"/>
      <c r="K2613" s="16">
        <f>IFERROR(__xludf.DUMMYFUNCTION("""COMPUTED_VALUE"""),399.0)</f>
        <v>399</v>
      </c>
      <c r="L2613" s="16"/>
      <c r="M2613" s="14"/>
    </row>
    <row r="2614">
      <c r="A2614" s="16" t="str">
        <f>IFERROR(__xludf.DUMMYFUNCTION("""COMPUTED_VALUE"""),"Hachimou Rabiou Mamoudou")</f>
        <v>Hachimou Rabiou Mamoudou</v>
      </c>
      <c r="B2614" s="16"/>
      <c r="C2614" s="14"/>
      <c r="F2614" s="16" t="str">
        <f>IFERROR(__xludf.DUMMYFUNCTION("""COMPUTED_VALUE"""),"Kolloma Dabagi")</f>
        <v>Kolloma Dabagi</v>
      </c>
      <c r="G2614" s="16"/>
      <c r="H2614" s="14"/>
      <c r="K2614" s="16">
        <f>IFERROR(__xludf.DUMMYFUNCTION("""COMPUTED_VALUE"""),171.0)</f>
        <v>171</v>
      </c>
      <c r="L2614" s="16"/>
      <c r="M2614" s="14"/>
    </row>
    <row r="2615">
      <c r="A2615" s="16" t="str">
        <f>IFERROR(__xludf.DUMMYFUNCTION("""COMPUTED_VALUE"""),"Ouhoumoudou Djannou Ibrahim")</f>
        <v>Ouhoumoudou Djannou Ibrahim</v>
      </c>
      <c r="B2615" s="16"/>
      <c r="C2615" s="14"/>
      <c r="F2615" s="16" t="str">
        <f>IFERROR(__xludf.DUMMYFUNCTION("""COMPUTED_VALUE"""),"Sabon Gari")</f>
        <v>Sabon Gari</v>
      </c>
      <c r="G2615" s="16"/>
      <c r="H2615" s="14"/>
      <c r="K2615" s="16">
        <f>IFERROR(__xludf.DUMMYFUNCTION("""COMPUTED_VALUE"""),1189.0)</f>
        <v>1189</v>
      </c>
      <c r="L2615" s="16"/>
      <c r="M2615" s="14"/>
    </row>
    <row r="2616">
      <c r="A2616" s="16" t="str">
        <f>IFERROR(__xludf.DUMMYFUNCTION("""COMPUTED_VALUE"""),"Ouhoumoudou Djannou Ibrahim")</f>
        <v>Ouhoumoudou Djannou Ibrahim</v>
      </c>
      <c r="B2616" s="16"/>
      <c r="C2616" s="14"/>
      <c r="F2616" s="16" t="str">
        <f>IFERROR(__xludf.DUMMYFUNCTION("""COMPUTED_VALUE"""),"Kolloma Dabagi")</f>
        <v>Kolloma Dabagi</v>
      </c>
      <c r="G2616" s="16"/>
      <c r="H2616" s="14"/>
      <c r="K2616" s="16">
        <f>IFERROR(__xludf.DUMMYFUNCTION("""COMPUTED_VALUE"""),1521.0)</f>
        <v>1521</v>
      </c>
      <c r="L2616" s="16"/>
      <c r="M2616" s="14"/>
    </row>
    <row r="2617">
      <c r="A2617" s="16" t="str">
        <f>IFERROR(__xludf.DUMMYFUNCTION("""COMPUTED_VALUE"""),"Ouhoumoudou Djannou Ibrahim")</f>
        <v>Ouhoumoudou Djannou Ibrahim</v>
      </c>
      <c r="B2617" s="16"/>
      <c r="C2617" s="14"/>
      <c r="F2617" s="16" t="str">
        <f>IFERROR(__xludf.DUMMYFUNCTION("""COMPUTED_VALUE"""),"Kolloma Dabagi")</f>
        <v>Kolloma Dabagi</v>
      </c>
      <c r="G2617" s="16"/>
      <c r="H2617" s="14"/>
      <c r="K2617" s="16">
        <f>IFERROR(__xludf.DUMMYFUNCTION("""COMPUTED_VALUE"""),1524.0)</f>
        <v>1524</v>
      </c>
      <c r="L2617" s="16"/>
      <c r="M2617" s="14"/>
    </row>
    <row r="2618">
      <c r="A2618" s="16" t="str">
        <f>IFERROR(__xludf.DUMMYFUNCTION("""COMPUTED_VALUE"""),"Saddy Youssouf")</f>
        <v>Saddy Youssouf</v>
      </c>
      <c r="B2618" s="16"/>
      <c r="C2618" s="14"/>
      <c r="F2618" s="16" t="str">
        <f>IFERROR(__xludf.DUMMYFUNCTION("""COMPUTED_VALUE"""),"Kolloma Dabagi")</f>
        <v>Kolloma Dabagi</v>
      </c>
      <c r="G2618" s="16"/>
      <c r="H2618" s="14"/>
      <c r="K2618" s="16">
        <f>IFERROR(__xludf.DUMMYFUNCTION("""COMPUTED_VALUE"""),515.0)</f>
        <v>515</v>
      </c>
      <c r="L2618" s="16"/>
      <c r="M2618" s="14"/>
    </row>
    <row r="2619">
      <c r="A2619" s="16" t="str">
        <f>IFERROR(__xludf.DUMMYFUNCTION("""COMPUTED_VALUE"""),"Saddy Youssouf")</f>
        <v>Saddy Youssouf</v>
      </c>
      <c r="B2619" s="16"/>
      <c r="C2619" s="14"/>
      <c r="F2619" s="16" t="str">
        <f>IFERROR(__xludf.DUMMYFUNCTION("""COMPUTED_VALUE"""),"Sabon Gari")</f>
        <v>Sabon Gari</v>
      </c>
      <c r="G2619" s="16"/>
      <c r="H2619" s="14"/>
      <c r="K2619" s="16">
        <f>IFERROR(__xludf.DUMMYFUNCTION("""COMPUTED_VALUE"""),493.0)</f>
        <v>493</v>
      </c>
      <c r="L2619" s="16"/>
      <c r="M2619" s="14"/>
    </row>
    <row r="2620">
      <c r="A2620" s="16" t="str">
        <f>IFERROR(__xludf.DUMMYFUNCTION("""COMPUTED_VALUE"""),"Elhaji Abdou Leilata")</f>
        <v>Elhaji Abdou Leilata</v>
      </c>
      <c r="B2620" s="16"/>
      <c r="C2620" s="14"/>
      <c r="F2620" s="16" t="str">
        <f>IFERROR(__xludf.DUMMYFUNCTION("""COMPUTED_VALUE"""),"Sabongari")</f>
        <v>Sabongari</v>
      </c>
      <c r="G2620" s="16"/>
      <c r="H2620" s="14"/>
      <c r="K2620" s="16">
        <f>IFERROR(__xludf.DUMMYFUNCTION("""COMPUTED_VALUE"""),693.0)</f>
        <v>693</v>
      </c>
      <c r="L2620" s="16"/>
      <c r="M2620" s="14"/>
    </row>
    <row r="2621">
      <c r="A2621" s="16" t="str">
        <f>IFERROR(__xludf.DUMMYFUNCTION("""COMPUTED_VALUE"""),"Elhaji Abdou Leilata")</f>
        <v>Elhaji Abdou Leilata</v>
      </c>
      <c r="B2621" s="16"/>
      <c r="C2621" s="14"/>
      <c r="F2621" s="16" t="str">
        <f>IFERROR(__xludf.DUMMYFUNCTION("""COMPUTED_VALUE"""),"Tchinkaki")</f>
        <v>Tchinkaki</v>
      </c>
      <c r="G2621" s="16"/>
      <c r="H2621" s="14"/>
      <c r="K2621" s="16">
        <f>IFERROR(__xludf.DUMMYFUNCTION("""COMPUTED_VALUE"""),960.0)</f>
        <v>960</v>
      </c>
      <c r="L2621" s="16"/>
      <c r="M2621" s="14"/>
    </row>
    <row r="2622">
      <c r="A2622" s="16" t="str">
        <f>IFERROR(__xludf.DUMMYFUNCTION("""COMPUTED_VALUE"""),"Elhaji Abdou Leilata")</f>
        <v>Elhaji Abdou Leilata</v>
      </c>
      <c r="B2622" s="16"/>
      <c r="C2622" s="14"/>
      <c r="F2622" s="16" t="str">
        <f>IFERROR(__xludf.DUMMYFUNCTION("""COMPUTED_VALUE"""),"Tchinkaki")</f>
        <v>Tchinkaki</v>
      </c>
      <c r="G2622" s="16"/>
      <c r="H2622" s="14"/>
      <c r="K2622" s="16">
        <f>IFERROR(__xludf.DUMMYFUNCTION("""COMPUTED_VALUE"""),1072.0)</f>
        <v>1072</v>
      </c>
      <c r="L2622" s="16"/>
      <c r="M2622" s="14"/>
    </row>
    <row r="2623">
      <c r="A2623" s="16" t="str">
        <f>IFERROR(__xludf.DUMMYFUNCTION("""COMPUTED_VALUE"""),"Elhaji Abdou Leilata")</f>
        <v>Elhaji Abdou Leilata</v>
      </c>
      <c r="B2623" s="16"/>
      <c r="C2623" s="14"/>
      <c r="F2623" s="16" t="str">
        <f>IFERROR(__xludf.DUMMYFUNCTION("""COMPUTED_VALUE"""),"Tchinkaki")</f>
        <v>Tchinkaki</v>
      </c>
      <c r="G2623" s="16"/>
      <c r="H2623" s="14"/>
      <c r="K2623" s="16">
        <f>IFERROR(__xludf.DUMMYFUNCTION("""COMPUTED_VALUE"""),180.0)</f>
        <v>180</v>
      </c>
      <c r="L2623" s="16"/>
      <c r="M2623" s="14"/>
    </row>
    <row r="2624">
      <c r="A2624" s="16" t="str">
        <f>IFERROR(__xludf.DUMMYFUNCTION("""COMPUTED_VALUE"""),"Elhaji Abdou Leilata")</f>
        <v>Elhaji Abdou Leilata</v>
      </c>
      <c r="B2624" s="16"/>
      <c r="C2624" s="14"/>
      <c r="F2624" s="16" t="str">
        <f>IFERROR(__xludf.DUMMYFUNCTION("""COMPUTED_VALUE"""),"Koutki")</f>
        <v>Koutki</v>
      </c>
      <c r="G2624" s="16"/>
      <c r="H2624" s="14"/>
      <c r="K2624" s="16">
        <f>IFERROR(__xludf.DUMMYFUNCTION("""COMPUTED_VALUE"""),398.0)</f>
        <v>398</v>
      </c>
      <c r="L2624" s="16"/>
      <c r="M2624" s="14"/>
    </row>
    <row r="2625">
      <c r="A2625" s="16" t="str">
        <f>IFERROR(__xludf.DUMMYFUNCTION("""COMPUTED_VALUE"""),"Mathieu Alphonse Rachida Juliette")</f>
        <v>Mathieu Alphonse Rachida Juliette</v>
      </c>
      <c r="B2625" s="16"/>
      <c r="C2625" s="14"/>
      <c r="F2625" s="16" t="str">
        <f>IFERROR(__xludf.DUMMYFUNCTION("""COMPUTED_VALUE"""),"Koutki")</f>
        <v>Koutki</v>
      </c>
      <c r="G2625" s="16"/>
      <c r="H2625" s="14"/>
      <c r="K2625" s="16">
        <f>IFERROR(__xludf.DUMMYFUNCTION("""COMPUTED_VALUE"""),258.0)</f>
        <v>258</v>
      </c>
      <c r="L2625" s="16"/>
      <c r="M2625" s="14"/>
    </row>
    <row r="2626">
      <c r="A2626" s="16" t="str">
        <f>IFERROR(__xludf.DUMMYFUNCTION("""COMPUTED_VALUE"""),"Moumouni Adamou Yahaya")</f>
        <v>Moumouni Adamou Yahaya</v>
      </c>
      <c r="B2626" s="16"/>
      <c r="C2626" s="14"/>
      <c r="F2626" s="16" t="str">
        <f>IFERROR(__xludf.DUMMYFUNCTION("""COMPUTED_VALUE"""),"Koutki")</f>
        <v>Koutki</v>
      </c>
      <c r="G2626" s="16"/>
      <c r="H2626" s="14"/>
      <c r="K2626" s="16">
        <f>IFERROR(__xludf.DUMMYFUNCTION("""COMPUTED_VALUE"""),744.0)</f>
        <v>744</v>
      </c>
      <c r="L2626" s="16"/>
      <c r="M2626" s="14"/>
    </row>
    <row r="2627">
      <c r="A2627" s="16" t="str">
        <f>IFERROR(__xludf.DUMMYFUNCTION("""COMPUTED_VALUE"""),"Moumouni Adamou Yahaya")</f>
        <v>Moumouni Adamou Yahaya</v>
      </c>
      <c r="B2627" s="16"/>
      <c r="C2627" s="14"/>
      <c r="F2627" s="16" t="str">
        <f>IFERROR(__xludf.DUMMYFUNCTION("""COMPUTED_VALUE"""),"Koutki")</f>
        <v>Koutki</v>
      </c>
      <c r="G2627" s="16"/>
      <c r="H2627" s="14"/>
      <c r="K2627" s="16">
        <f>IFERROR(__xludf.DUMMYFUNCTION("""COMPUTED_VALUE"""),433.0)</f>
        <v>433</v>
      </c>
      <c r="L2627" s="16"/>
      <c r="M2627" s="14"/>
    </row>
    <row r="2628">
      <c r="A2628" s="16" t="str">
        <f>IFERROR(__xludf.DUMMYFUNCTION("""COMPUTED_VALUE"""),"Maman Ado Abdourahamane")</f>
        <v>Maman Ado Abdourahamane</v>
      </c>
      <c r="B2628" s="16"/>
      <c r="C2628" s="14"/>
      <c r="F2628" s="16" t="str">
        <f>IFERROR(__xludf.DUMMYFUNCTION("""COMPUTED_VALUE"""),"Koutki")</f>
        <v>Koutki</v>
      </c>
      <c r="G2628" s="16"/>
      <c r="H2628" s="14"/>
      <c r="K2628" s="16">
        <f>IFERROR(__xludf.DUMMYFUNCTION("""COMPUTED_VALUE"""),285.0)</f>
        <v>285</v>
      </c>
      <c r="L2628" s="16"/>
      <c r="M2628" s="14"/>
    </row>
    <row r="2629">
      <c r="A2629" s="16" t="str">
        <f>IFERROR(__xludf.DUMMYFUNCTION("""COMPUTED_VALUE"""),"Maman Ado Abdourahamane")</f>
        <v>Maman Ado Abdourahamane</v>
      </c>
      <c r="B2629" s="16"/>
      <c r="C2629" s="14"/>
      <c r="F2629" s="16" t="str">
        <f>IFERROR(__xludf.DUMMYFUNCTION("""COMPUTED_VALUE"""),"Koutki")</f>
        <v>Koutki</v>
      </c>
      <c r="G2629" s="16"/>
      <c r="H2629" s="14"/>
      <c r="K2629" s="16">
        <f>IFERROR(__xludf.DUMMYFUNCTION("""COMPUTED_VALUE"""),225.0)</f>
        <v>225</v>
      </c>
      <c r="L2629" s="16"/>
      <c r="M2629" s="14"/>
    </row>
    <row r="2630">
      <c r="A2630" s="16" t="str">
        <f>IFERROR(__xludf.DUMMYFUNCTION("""COMPUTED_VALUE"""),"Maman Ado Abdourahamane")</f>
        <v>Maman Ado Abdourahamane</v>
      </c>
      <c r="B2630" s="16"/>
      <c r="C2630" s="14"/>
      <c r="F2630" s="16" t="str">
        <f>IFERROR(__xludf.DUMMYFUNCTION("""COMPUTED_VALUE"""),"Sabon Gari")</f>
        <v>Sabon Gari</v>
      </c>
      <c r="G2630" s="16"/>
      <c r="H2630" s="14"/>
      <c r="K2630" s="16">
        <f>IFERROR(__xludf.DUMMYFUNCTION("""COMPUTED_VALUE"""),626.0)</f>
        <v>626</v>
      </c>
      <c r="L2630" s="16"/>
      <c r="M2630" s="14"/>
    </row>
    <row r="2631">
      <c r="A2631" s="16" t="str">
        <f>IFERROR(__xludf.DUMMYFUNCTION("""COMPUTED_VALUE"""),"Moumouni Adamou Yahaya")</f>
        <v>Moumouni Adamou Yahaya</v>
      </c>
      <c r="B2631" s="16"/>
      <c r="C2631" s="14"/>
      <c r="F2631" s="16" t="str">
        <f>IFERROR(__xludf.DUMMYFUNCTION("""COMPUTED_VALUE"""),"Sabon Gari")</f>
        <v>Sabon Gari</v>
      </c>
      <c r="G2631" s="16"/>
      <c r="H2631" s="14"/>
      <c r="K2631" s="16">
        <f>IFERROR(__xludf.DUMMYFUNCTION("""COMPUTED_VALUE"""),241.0)</f>
        <v>241</v>
      </c>
      <c r="L2631" s="16"/>
      <c r="M2631" s="14"/>
    </row>
    <row r="2632">
      <c r="A2632" s="16" t="str">
        <f>IFERROR(__xludf.DUMMYFUNCTION("""COMPUTED_VALUE"""),"Maman Ado Abdourahamane")</f>
        <v>Maman Ado Abdourahamane</v>
      </c>
      <c r="B2632" s="16"/>
      <c r="C2632" s="14"/>
      <c r="F2632" s="16" t="str">
        <f>IFERROR(__xludf.DUMMYFUNCTION("""COMPUTED_VALUE"""),"Sabon Gari")</f>
        <v>Sabon Gari</v>
      </c>
      <c r="G2632" s="16"/>
      <c r="H2632" s="14"/>
      <c r="K2632" s="16">
        <f>IFERROR(__xludf.DUMMYFUNCTION("""COMPUTED_VALUE"""),271.0)</f>
        <v>271</v>
      </c>
      <c r="L2632" s="16"/>
      <c r="M2632" s="14"/>
    </row>
    <row r="2633">
      <c r="A2633" s="16" t="str">
        <f>IFERROR(__xludf.DUMMYFUNCTION("""COMPUTED_VALUE"""),"Moumouni Adamou Yahaya")</f>
        <v>Moumouni Adamou Yahaya</v>
      </c>
      <c r="B2633" s="16"/>
      <c r="C2633" s="14"/>
      <c r="F2633" s="16" t="str">
        <f>IFERROR(__xludf.DUMMYFUNCTION("""COMPUTED_VALUE"""),"Kolloma Dabagi")</f>
        <v>Kolloma Dabagi</v>
      </c>
      <c r="G2633" s="16"/>
      <c r="H2633" s="14"/>
      <c r="K2633" s="16">
        <f>IFERROR(__xludf.DUMMYFUNCTION("""COMPUTED_VALUE"""),202.0)</f>
        <v>202</v>
      </c>
      <c r="L2633" s="16"/>
      <c r="M2633" s="14"/>
    </row>
    <row r="2634">
      <c r="A2634" s="16" t="str">
        <f>IFERROR(__xludf.DUMMYFUNCTION("""COMPUTED_VALUE"""),"Moumouni Adamou Yahaya")</f>
        <v>Moumouni Adamou Yahaya</v>
      </c>
      <c r="B2634" s="16"/>
      <c r="C2634" s="14"/>
      <c r="F2634" s="16" t="str">
        <f>IFERROR(__xludf.DUMMYFUNCTION("""COMPUTED_VALUE"""),"Kolloma Dabagi")</f>
        <v>Kolloma Dabagi</v>
      </c>
      <c r="G2634" s="16"/>
      <c r="H2634" s="14"/>
      <c r="K2634" s="16">
        <f>IFERROR(__xludf.DUMMYFUNCTION("""COMPUTED_VALUE"""),378.0)</f>
        <v>378</v>
      </c>
      <c r="L2634" s="16"/>
      <c r="M2634" s="14"/>
    </row>
    <row r="2635">
      <c r="A2635" s="16" t="str">
        <f>IFERROR(__xludf.DUMMYFUNCTION("""COMPUTED_VALUE"""),"Moumouni Adamou Yahaya")</f>
        <v>Moumouni Adamou Yahaya</v>
      </c>
      <c r="B2635" s="16"/>
      <c r="C2635" s="14"/>
      <c r="F2635" s="16" t="str">
        <f>IFERROR(__xludf.DUMMYFUNCTION("""COMPUTED_VALUE"""),"Kolloma Dabagi")</f>
        <v>Kolloma Dabagi</v>
      </c>
      <c r="G2635" s="16"/>
      <c r="H2635" s="14"/>
      <c r="K2635" s="16">
        <f>IFERROR(__xludf.DUMMYFUNCTION("""COMPUTED_VALUE"""),340.0)</f>
        <v>340</v>
      </c>
      <c r="L2635" s="16"/>
      <c r="M2635" s="14"/>
    </row>
    <row r="2636">
      <c r="A2636" s="16" t="str">
        <f>IFERROR(__xludf.DUMMYFUNCTION("""COMPUTED_VALUE"""),"Maman Ado Abdourahamane")</f>
        <v>Maman Ado Abdourahamane</v>
      </c>
      <c r="B2636" s="16"/>
      <c r="C2636" s="14"/>
      <c r="F2636" s="16" t="str">
        <f>IFERROR(__xludf.DUMMYFUNCTION("""COMPUTED_VALUE"""),"Kolloma Dabagi")</f>
        <v>Kolloma Dabagi</v>
      </c>
      <c r="G2636" s="16"/>
      <c r="H2636" s="14"/>
      <c r="K2636" s="16">
        <f>IFERROR(__xludf.DUMMYFUNCTION("""COMPUTED_VALUE"""),291.0)</f>
        <v>291</v>
      </c>
      <c r="L2636" s="16"/>
      <c r="M2636" s="14"/>
    </row>
    <row r="2637">
      <c r="A2637" s="16" t="str">
        <f>IFERROR(__xludf.DUMMYFUNCTION("""COMPUTED_VALUE"""),"Maman Ado Abdourahamane")</f>
        <v>Maman Ado Abdourahamane</v>
      </c>
      <c r="B2637" s="16"/>
      <c r="C2637" s="14"/>
      <c r="F2637" s="16" t="str">
        <f>IFERROR(__xludf.DUMMYFUNCTION("""COMPUTED_VALUE"""),"Bouza Koiré")</f>
        <v>Bouza Koiré</v>
      </c>
      <c r="G2637" s="16"/>
      <c r="H2637" s="14"/>
      <c r="K2637" s="16">
        <f>IFERROR(__xludf.DUMMYFUNCTION("""COMPUTED_VALUE"""),1011.0)</f>
        <v>1011</v>
      </c>
      <c r="L2637" s="16"/>
      <c r="M2637" s="14"/>
    </row>
    <row r="2638">
      <c r="A2638" s="16" t="str">
        <f>IFERROR(__xludf.DUMMYFUNCTION("""COMPUTED_VALUE"""),"Maman Ado Abdourahamane")</f>
        <v>Maman Ado Abdourahamane</v>
      </c>
      <c r="B2638" s="16"/>
      <c r="C2638" s="14"/>
      <c r="F2638" s="16" t="str">
        <f>IFERROR(__xludf.DUMMYFUNCTION("""COMPUTED_VALUE"""),"Tadou")</f>
        <v>Tadou</v>
      </c>
      <c r="G2638" s="16"/>
      <c r="H2638" s="14"/>
      <c r="K2638" s="16">
        <f>IFERROR(__xludf.DUMMYFUNCTION("""COMPUTED_VALUE"""),695.0)</f>
        <v>695</v>
      </c>
      <c r="L2638" s="16"/>
      <c r="M2638" s="14"/>
    </row>
    <row r="2639">
      <c r="A2639" s="16" t="str">
        <f>IFERROR(__xludf.DUMMYFUNCTION("""COMPUTED_VALUE"""),"Achirou Malam Dan Maradi Nassirou")</f>
        <v>Achirou Malam Dan Maradi Nassirou</v>
      </c>
      <c r="B2639" s="16"/>
      <c r="C2639" s="14"/>
      <c r="F2639" s="16" t="str">
        <f>IFERROR(__xludf.DUMMYFUNCTION("""COMPUTED_VALUE"""),"Tadou")</f>
        <v>Tadou</v>
      </c>
      <c r="G2639" s="16"/>
      <c r="H2639" s="14"/>
      <c r="K2639" s="16">
        <f>IFERROR(__xludf.DUMMYFUNCTION("""COMPUTED_VALUE"""),346.0)</f>
        <v>346</v>
      </c>
      <c r="L2639" s="16"/>
      <c r="M2639" s="14"/>
    </row>
    <row r="2640">
      <c r="A2640" s="16" t="str">
        <f>IFERROR(__xludf.DUMMYFUNCTION("""COMPUTED_VALUE"""),"Achirou Malam Dan Maradi Nassirou")</f>
        <v>Achirou Malam Dan Maradi Nassirou</v>
      </c>
      <c r="B2640" s="16"/>
      <c r="C2640" s="14"/>
      <c r="F2640" s="16" t="str">
        <f>IFERROR(__xludf.DUMMYFUNCTION("""COMPUTED_VALUE"""),"Kolloma Baba")</f>
        <v>Kolloma Baba</v>
      </c>
      <c r="G2640" s="16"/>
      <c r="H2640" s="14"/>
      <c r="K2640" s="16">
        <f>IFERROR(__xludf.DUMMYFUNCTION("""COMPUTED_VALUE"""),253.0)</f>
        <v>253</v>
      </c>
      <c r="L2640" s="16"/>
      <c r="M2640" s="14"/>
    </row>
    <row r="2641">
      <c r="A2641" s="16" t="str">
        <f>IFERROR(__xludf.DUMMYFUNCTION("""COMPUTED_VALUE"""),"Achirou Malam Dan Maradi Nassirou")</f>
        <v>Achirou Malam Dan Maradi Nassirou</v>
      </c>
      <c r="B2641" s="16"/>
      <c r="C2641" s="14"/>
      <c r="F2641" s="16" t="str">
        <f>IFERROR(__xludf.DUMMYFUNCTION("""COMPUTED_VALUE"""),"Kolloma Baba")</f>
        <v>Kolloma Baba</v>
      </c>
      <c r="G2641" s="16"/>
      <c r="H2641" s="14"/>
      <c r="K2641" s="16">
        <f>IFERROR(__xludf.DUMMYFUNCTION("""COMPUTED_VALUE"""),800.0)</f>
        <v>800</v>
      </c>
      <c r="L2641" s="16"/>
      <c r="M2641" s="14"/>
    </row>
    <row r="2642">
      <c r="A2642" s="16" t="str">
        <f>IFERROR(__xludf.DUMMYFUNCTION("""COMPUTED_VALUE"""),"Achirou Malam Dan Maradi Nassirou")</f>
        <v>Achirou Malam Dan Maradi Nassirou</v>
      </c>
      <c r="B2642" s="16"/>
      <c r="C2642" s="14"/>
      <c r="F2642" s="16" t="str">
        <f>IFERROR(__xludf.DUMMYFUNCTION("""COMPUTED_VALUE"""),"Kolloma Dabagi")</f>
        <v>Kolloma Dabagi</v>
      </c>
      <c r="G2642" s="16"/>
      <c r="H2642" s="14"/>
      <c r="K2642" s="16">
        <f>IFERROR(__xludf.DUMMYFUNCTION("""COMPUTED_VALUE"""),401.0)</f>
        <v>401</v>
      </c>
      <c r="L2642" s="16"/>
      <c r="M2642" s="14"/>
    </row>
    <row r="2643">
      <c r="A2643" s="16" t="str">
        <f>IFERROR(__xludf.DUMMYFUNCTION("""COMPUTED_VALUE"""),"Achirou Malam Dan Maradi Nassirou")</f>
        <v>Achirou Malam Dan Maradi Nassirou</v>
      </c>
      <c r="B2643" s="16"/>
      <c r="C2643" s="14"/>
      <c r="F2643" s="16" t="str">
        <f>IFERROR(__xludf.DUMMYFUNCTION("""COMPUTED_VALUE"""),"Kolloma Baba")</f>
        <v>Kolloma Baba</v>
      </c>
      <c r="G2643" s="16"/>
      <c r="H2643" s="14"/>
      <c r="K2643" s="16">
        <f>IFERROR(__xludf.DUMMYFUNCTION("""COMPUTED_VALUE"""),254.0)</f>
        <v>254</v>
      </c>
      <c r="L2643" s="16"/>
      <c r="M2643" s="14"/>
    </row>
    <row r="2644">
      <c r="A2644" s="16" t="str">
        <f>IFERROR(__xludf.DUMMYFUNCTION("""COMPUTED_VALUE"""),"Achirou Malam Dan Maradi Nassirou")</f>
        <v>Achirou Malam Dan Maradi Nassirou</v>
      </c>
      <c r="B2644" s="16"/>
      <c r="C2644" s="14"/>
      <c r="F2644" s="16" t="str">
        <f>IFERROR(__xludf.DUMMYFUNCTION("""COMPUTED_VALUE"""),"Kolloma Dabagi")</f>
        <v>Kolloma Dabagi</v>
      </c>
      <c r="G2644" s="16"/>
      <c r="H2644" s="14"/>
      <c r="K2644" s="16">
        <f>IFERROR(__xludf.DUMMYFUNCTION("""COMPUTED_VALUE"""),614.0)</f>
        <v>614</v>
      </c>
      <c r="L2644" s="16"/>
      <c r="M2644" s="14"/>
    </row>
    <row r="2645">
      <c r="A2645" s="16" t="str">
        <f>IFERROR(__xludf.DUMMYFUNCTION("""COMPUTED_VALUE"""),"Mohamed Cherif")</f>
        <v>Mohamed Cherif</v>
      </c>
      <c r="B2645" s="16"/>
      <c r="C2645" s="14"/>
      <c r="F2645" s="16" t="str">
        <f>IFERROR(__xludf.DUMMYFUNCTION("""COMPUTED_VALUE"""),"Kolloma Dabagi")</f>
        <v>Kolloma Dabagi</v>
      </c>
      <c r="G2645" s="16"/>
      <c r="H2645" s="14"/>
      <c r="K2645" s="16">
        <f>IFERROR(__xludf.DUMMYFUNCTION("""COMPUTED_VALUE"""),632.0)</f>
        <v>632</v>
      </c>
      <c r="L2645" s="16"/>
      <c r="M2645" s="14"/>
    </row>
    <row r="2646">
      <c r="A2646" s="16" t="str">
        <f>IFERROR(__xludf.DUMMYFUNCTION("""COMPUTED_VALUE"""),"Kailou Hamidou Rainatou")</f>
        <v>Kailou Hamidou Rainatou</v>
      </c>
      <c r="B2646" s="16"/>
      <c r="C2646" s="14"/>
      <c r="F2646" s="16" t="str">
        <f>IFERROR(__xludf.DUMMYFUNCTION("""COMPUTED_VALUE"""),"Mareda")</f>
        <v>Mareda</v>
      </c>
      <c r="G2646" s="16"/>
      <c r="H2646" s="14"/>
      <c r="K2646" s="16">
        <f>IFERROR(__xludf.DUMMYFUNCTION("""COMPUTED_VALUE"""),640.0)</f>
        <v>640</v>
      </c>
      <c r="L2646" s="16"/>
      <c r="M2646" s="14"/>
    </row>
    <row r="2647">
      <c r="A2647" s="16" t="str">
        <f>IFERROR(__xludf.DUMMYFUNCTION("""COMPUTED_VALUE"""),"Mohamed Cherif")</f>
        <v>Mohamed Cherif</v>
      </c>
      <c r="B2647" s="16"/>
      <c r="C2647" s="14"/>
      <c r="F2647" s="16" t="str">
        <f>IFERROR(__xludf.DUMMYFUNCTION("""COMPUTED_VALUE"""),"Kolloma Dabagi")</f>
        <v>Kolloma Dabagi</v>
      </c>
      <c r="G2647" s="16"/>
      <c r="H2647" s="14"/>
      <c r="K2647" s="16">
        <f>IFERROR(__xludf.DUMMYFUNCTION("""COMPUTED_VALUE"""),357.0)</f>
        <v>357</v>
      </c>
      <c r="L2647" s="16"/>
      <c r="M2647" s="14"/>
    </row>
    <row r="2648">
      <c r="A2648" s="16" t="str">
        <f>IFERROR(__xludf.DUMMYFUNCTION("""COMPUTED_VALUE"""),"Halidou Tagaza Balkissa")</f>
        <v>Halidou Tagaza Balkissa</v>
      </c>
      <c r="B2648" s="16"/>
      <c r="C2648" s="14"/>
      <c r="F2648" s="16" t="str">
        <f>IFERROR(__xludf.DUMMYFUNCTION("""COMPUTED_VALUE"""),"Kolloma Dabagi")</f>
        <v>Kolloma Dabagi</v>
      </c>
      <c r="G2648" s="16"/>
      <c r="H2648" s="14"/>
      <c r="K2648" s="16">
        <f>IFERROR(__xludf.DUMMYFUNCTION("""COMPUTED_VALUE"""),255.0)</f>
        <v>255</v>
      </c>
      <c r="L2648" s="16"/>
      <c r="M2648" s="14"/>
    </row>
    <row r="2649">
      <c r="A2649" s="16" t="str">
        <f>IFERROR(__xludf.DUMMYFUNCTION("""COMPUTED_VALUE"""),"Halidou Tagaza Balkissa")</f>
        <v>Halidou Tagaza Balkissa</v>
      </c>
      <c r="B2649" s="16"/>
      <c r="C2649" s="14"/>
      <c r="F2649" s="16" t="str">
        <f>IFERROR(__xludf.DUMMYFUNCTION("""COMPUTED_VALUE"""),"Kolloma Baba")</f>
        <v>Kolloma Baba</v>
      </c>
      <c r="G2649" s="16"/>
      <c r="H2649" s="14"/>
      <c r="K2649" s="16">
        <f>IFERROR(__xludf.DUMMYFUNCTION("""COMPUTED_VALUE"""),347.0)</f>
        <v>347</v>
      </c>
      <c r="L2649" s="16"/>
      <c r="M2649" s="14"/>
    </row>
    <row r="2650">
      <c r="A2650" s="16" t="str">
        <f>IFERROR(__xludf.DUMMYFUNCTION("""COMPUTED_VALUE"""),"Halidou Tagaza Balkissa")</f>
        <v>Halidou Tagaza Balkissa</v>
      </c>
      <c r="B2650" s="16"/>
      <c r="C2650" s="14"/>
      <c r="F2650" s="16" t="str">
        <f>IFERROR(__xludf.DUMMYFUNCTION("""COMPUTED_VALUE"""),"Kolloma Baba")</f>
        <v>Kolloma Baba</v>
      </c>
      <c r="G2650" s="16"/>
      <c r="H2650" s="14"/>
      <c r="K2650" s="16">
        <f>IFERROR(__xludf.DUMMYFUNCTION("""COMPUTED_VALUE"""),728.0)</f>
        <v>728</v>
      </c>
      <c r="L2650" s="16"/>
      <c r="M2650" s="14"/>
    </row>
    <row r="2651">
      <c r="A2651" s="16" t="str">
        <f>IFERROR(__xludf.DUMMYFUNCTION("""COMPUTED_VALUE"""),"Halidou Tagaza Balkissa")</f>
        <v>Halidou Tagaza Balkissa</v>
      </c>
      <c r="B2651" s="16"/>
      <c r="C2651" s="14"/>
      <c r="F2651" s="16" t="str">
        <f>IFERROR(__xludf.DUMMYFUNCTION("""COMPUTED_VALUE"""),"Kolloma Baba")</f>
        <v>Kolloma Baba</v>
      </c>
      <c r="G2651" s="16"/>
      <c r="H2651" s="14"/>
      <c r="K2651" s="16">
        <f>IFERROR(__xludf.DUMMYFUNCTION("""COMPUTED_VALUE"""),909.0)</f>
        <v>909</v>
      </c>
      <c r="L2651" s="16"/>
      <c r="M2651" s="14"/>
    </row>
    <row r="2652">
      <c r="A2652" s="16" t="str">
        <f>IFERROR(__xludf.DUMMYFUNCTION("""COMPUTED_VALUE"""),"Halidou Tagaza Balkissa")</f>
        <v>Halidou Tagaza Balkissa</v>
      </c>
      <c r="B2652" s="16"/>
      <c r="C2652" s="14"/>
      <c r="F2652" s="16" t="str">
        <f>IFERROR(__xludf.DUMMYFUNCTION("""COMPUTED_VALUE"""),"Kolloma Baba")</f>
        <v>Kolloma Baba</v>
      </c>
      <c r="G2652" s="16"/>
      <c r="H2652" s="14"/>
      <c r="K2652" s="16">
        <f>IFERROR(__xludf.DUMMYFUNCTION("""COMPUTED_VALUE"""),672.0)</f>
        <v>672</v>
      </c>
      <c r="L2652" s="16"/>
      <c r="M2652" s="14"/>
    </row>
    <row r="2653">
      <c r="A2653" s="16" t="str">
        <f>IFERROR(__xludf.DUMMYFUNCTION("""COMPUTED_VALUE"""),"Halidou Tagaza Balkissa")</f>
        <v>Halidou Tagaza Balkissa</v>
      </c>
      <c r="B2653" s="16"/>
      <c r="C2653" s="14"/>
      <c r="F2653" s="16" t="str">
        <f>IFERROR(__xludf.DUMMYFUNCTION("""COMPUTED_VALUE"""),"Kolloma Dabagi")</f>
        <v>Kolloma Dabagi</v>
      </c>
      <c r="G2653" s="16"/>
      <c r="H2653" s="14"/>
      <c r="K2653" s="16">
        <f>IFERROR(__xludf.DUMMYFUNCTION("""COMPUTED_VALUE"""),949.0)</f>
        <v>949</v>
      </c>
      <c r="L2653" s="16"/>
      <c r="M2653" s="14"/>
    </row>
    <row r="2654">
      <c r="A2654" s="16" t="str">
        <f>IFERROR(__xludf.DUMMYFUNCTION("""COMPUTED_VALUE"""),"Halidou Tagaza Balkissa")</f>
        <v>Halidou Tagaza Balkissa</v>
      </c>
      <c r="B2654" s="16"/>
      <c r="C2654" s="14"/>
      <c r="F2654" s="16" t="str">
        <f>IFERROR(__xludf.DUMMYFUNCTION("""COMPUTED_VALUE"""),"Kolloma Baba")</f>
        <v>Kolloma Baba</v>
      </c>
      <c r="G2654" s="16"/>
      <c r="H2654" s="14"/>
      <c r="K2654" s="16">
        <f>IFERROR(__xludf.DUMMYFUNCTION("""COMPUTED_VALUE"""),290.0)</f>
        <v>290</v>
      </c>
      <c r="L2654" s="16"/>
      <c r="M2654" s="14"/>
    </row>
    <row r="2655">
      <c r="A2655" s="16" t="str">
        <f>IFERROR(__xludf.DUMMYFUNCTION("""COMPUTED_VALUE"""),"ALASSANE TAWEY AWALOU")</f>
        <v>ALASSANE TAWEY AWALOU</v>
      </c>
      <c r="B2655" s="16"/>
      <c r="C2655" s="14"/>
      <c r="F2655" s="16" t="str">
        <f>IFERROR(__xludf.DUMMYFUNCTION("""COMPUTED_VALUE"""),"Kolloma Baba")</f>
        <v>Kolloma Baba</v>
      </c>
      <c r="G2655" s="16"/>
      <c r="H2655" s="14"/>
      <c r="K2655" s="16">
        <f>IFERROR(__xludf.DUMMYFUNCTION("""COMPUTED_VALUE"""),1085.0)</f>
        <v>1085</v>
      </c>
      <c r="L2655" s="16"/>
      <c r="M2655" s="14"/>
    </row>
    <row r="2656">
      <c r="A2656" s="16" t="str">
        <f>IFERROR(__xludf.DUMMYFUNCTION("""COMPUTED_VALUE"""),"ALASSANE TAWEY AWALOU")</f>
        <v>ALASSANE TAWEY AWALOU</v>
      </c>
      <c r="B2656" s="16"/>
      <c r="C2656" s="14"/>
      <c r="F2656" s="16" t="str">
        <f>IFERROR(__xludf.DUMMYFUNCTION("""COMPUTED_VALUE"""),"Kolloma Baba")</f>
        <v>Kolloma Baba</v>
      </c>
      <c r="G2656" s="16"/>
      <c r="H2656" s="14"/>
      <c r="K2656" s="16">
        <f>IFERROR(__xludf.DUMMYFUNCTION("""COMPUTED_VALUE"""),1167.0)</f>
        <v>1167</v>
      </c>
      <c r="L2656" s="16"/>
      <c r="M2656" s="14"/>
    </row>
    <row r="2657">
      <c r="A2657" s="16" t="str">
        <f>IFERROR(__xludf.DUMMYFUNCTION("""COMPUTED_VALUE"""),"ALASSANE TAWEY AWALOU")</f>
        <v>ALASSANE TAWEY AWALOU</v>
      </c>
      <c r="B2657" s="16"/>
      <c r="C2657" s="14"/>
      <c r="F2657" s="16" t="str">
        <f>IFERROR(__xludf.DUMMYFUNCTION("""COMPUTED_VALUE"""),"Kolloma Baba")</f>
        <v>Kolloma Baba</v>
      </c>
      <c r="G2657" s="16"/>
      <c r="H2657" s="14"/>
      <c r="K2657" s="16">
        <f>IFERROR(__xludf.DUMMYFUNCTION("""COMPUTED_VALUE"""),553.0)</f>
        <v>553</v>
      </c>
      <c r="L2657" s="16"/>
      <c r="M2657" s="14"/>
    </row>
    <row r="2658">
      <c r="A2658" s="16" t="str">
        <f>IFERROR(__xludf.DUMMYFUNCTION("""COMPUTED_VALUE"""),"ALASSANE TAWEY AWALOU")</f>
        <v>ALASSANE TAWEY AWALOU</v>
      </c>
      <c r="B2658" s="16"/>
      <c r="C2658" s="14"/>
      <c r="F2658" s="16" t="str">
        <f>IFERROR(__xludf.DUMMYFUNCTION("""COMPUTED_VALUE"""),"Kolloma Baba")</f>
        <v>Kolloma Baba</v>
      </c>
      <c r="G2658" s="16"/>
      <c r="H2658" s="14"/>
      <c r="K2658" s="16">
        <f>IFERROR(__xludf.DUMMYFUNCTION("""COMPUTED_VALUE"""),984.0)</f>
        <v>984</v>
      </c>
      <c r="L2658" s="16"/>
      <c r="M2658" s="14"/>
    </row>
    <row r="2659">
      <c r="A2659" s="16" t="str">
        <f>IFERROR(__xludf.DUMMYFUNCTION("""COMPUTED_VALUE"""),"ALASSANE TAWEY AWALOU")</f>
        <v>ALASSANE TAWEY AWALOU</v>
      </c>
      <c r="B2659" s="16"/>
      <c r="C2659" s="14"/>
      <c r="F2659" s="16" t="str">
        <f>IFERROR(__xludf.DUMMYFUNCTION("""COMPUTED_VALUE"""),"Kolloma Baba")</f>
        <v>Kolloma Baba</v>
      </c>
      <c r="G2659" s="16"/>
      <c r="H2659" s="14"/>
      <c r="K2659" s="16">
        <f>IFERROR(__xludf.DUMMYFUNCTION("""COMPUTED_VALUE"""),436.0)</f>
        <v>436</v>
      </c>
      <c r="L2659" s="16"/>
      <c r="M2659" s="14"/>
    </row>
    <row r="2660">
      <c r="A2660" s="16" t="str">
        <f>IFERROR(__xludf.DUMMYFUNCTION("""COMPUTED_VALUE"""),"ALASSANE TAWEY AWALOU")</f>
        <v>ALASSANE TAWEY AWALOU</v>
      </c>
      <c r="B2660" s="16"/>
      <c r="C2660" s="14"/>
      <c r="F2660" s="16" t="str">
        <f>IFERROR(__xludf.DUMMYFUNCTION("""COMPUTED_VALUE"""),"Kolloma Baba")</f>
        <v>Kolloma Baba</v>
      </c>
      <c r="G2660" s="16"/>
      <c r="H2660" s="14"/>
      <c r="K2660" s="16">
        <f>IFERROR(__xludf.DUMMYFUNCTION("""COMPUTED_VALUE"""),282.0)</f>
        <v>282</v>
      </c>
      <c r="L2660" s="16"/>
      <c r="M2660" s="14"/>
    </row>
    <row r="2661">
      <c r="A2661" s="16" t="str">
        <f>IFERROR(__xludf.DUMMYFUNCTION("""COMPUTED_VALUE"""),"ALASSANE TAWEY AWALOU")</f>
        <v>ALASSANE TAWEY AWALOU</v>
      </c>
      <c r="B2661" s="16"/>
      <c r="C2661" s="14"/>
      <c r="F2661" s="16" t="str">
        <f>IFERROR(__xludf.DUMMYFUNCTION("""COMPUTED_VALUE"""),"Kolloma Baba")</f>
        <v>Kolloma Baba</v>
      </c>
      <c r="G2661" s="16"/>
      <c r="H2661" s="14"/>
      <c r="K2661" s="16">
        <f>IFERROR(__xludf.DUMMYFUNCTION("""COMPUTED_VALUE"""),907.0)</f>
        <v>907</v>
      </c>
      <c r="L2661" s="16"/>
      <c r="M2661" s="14"/>
    </row>
    <row r="2662">
      <c r="A2662" s="16" t="str">
        <f>IFERROR(__xludf.DUMMYFUNCTION("""COMPUTED_VALUE"""),"ALASSANE TAWEY AWALOU")</f>
        <v>ALASSANE TAWEY AWALOU</v>
      </c>
      <c r="B2662" s="16"/>
      <c r="C2662" s="14"/>
      <c r="F2662" s="16" t="str">
        <f>IFERROR(__xludf.DUMMYFUNCTION("""COMPUTED_VALUE"""),"Kolloma Baba")</f>
        <v>Kolloma Baba</v>
      </c>
      <c r="G2662" s="16"/>
      <c r="H2662" s="14"/>
      <c r="K2662" s="16">
        <f>IFERROR(__xludf.DUMMYFUNCTION("""COMPUTED_VALUE"""),492.0)</f>
        <v>492</v>
      </c>
      <c r="L2662" s="16"/>
      <c r="M2662" s="14"/>
    </row>
    <row r="2663">
      <c r="A2663" s="16" t="str">
        <f>IFERROR(__xludf.DUMMYFUNCTION("""COMPUTED_VALUE"""),"ALASSANE TAWEY AWALOU")</f>
        <v>ALASSANE TAWEY AWALOU</v>
      </c>
      <c r="B2663" s="16"/>
      <c r="C2663" s="14"/>
      <c r="F2663" s="16" t="str">
        <f>IFERROR(__xludf.DUMMYFUNCTION("""COMPUTED_VALUE"""),"Kolloma Baba")</f>
        <v>Kolloma Baba</v>
      </c>
      <c r="G2663" s="16"/>
      <c r="H2663" s="14"/>
      <c r="K2663" s="16">
        <f>IFERROR(__xludf.DUMMYFUNCTION("""COMPUTED_VALUE"""),375.0)</f>
        <v>375</v>
      </c>
      <c r="L2663" s="16"/>
      <c r="M2663" s="14"/>
    </row>
    <row r="2664">
      <c r="A2664" s="16" t="str">
        <f>IFERROR(__xludf.DUMMYFUNCTION("""COMPUTED_VALUE"""),"ALASSANE TAWEY AWALOU")</f>
        <v>ALASSANE TAWEY AWALOU</v>
      </c>
      <c r="B2664" s="16"/>
      <c r="C2664" s="14"/>
      <c r="F2664" s="16" t="str">
        <f>IFERROR(__xludf.DUMMYFUNCTION("""COMPUTED_VALUE"""),"Kolloma Baba")</f>
        <v>Kolloma Baba</v>
      </c>
      <c r="G2664" s="16"/>
      <c r="H2664" s="14"/>
      <c r="K2664" s="16">
        <f>IFERROR(__xludf.DUMMYFUNCTION("""COMPUTED_VALUE"""),794.0)</f>
        <v>794</v>
      </c>
      <c r="L2664" s="16"/>
      <c r="M2664" s="14"/>
    </row>
    <row r="2665">
      <c r="A2665" s="16" t="str">
        <f>IFERROR(__xludf.DUMMYFUNCTION("""COMPUTED_VALUE"""),"ALASSANE TAWEY AWALOU")</f>
        <v>ALASSANE TAWEY AWALOU</v>
      </c>
      <c r="B2665" s="16"/>
      <c r="C2665" s="14"/>
      <c r="F2665" s="16" t="str">
        <f>IFERROR(__xludf.DUMMYFUNCTION("""COMPUTED_VALUE"""),"Kolloma Baba")</f>
        <v>Kolloma Baba</v>
      </c>
      <c r="G2665" s="16"/>
      <c r="H2665" s="14"/>
      <c r="K2665" s="16">
        <f>IFERROR(__xludf.DUMMYFUNCTION("""COMPUTED_VALUE"""),318.0)</f>
        <v>318</v>
      </c>
      <c r="L2665" s="16"/>
      <c r="M2665" s="14"/>
    </row>
    <row r="2666">
      <c r="A2666" s="16" t="str">
        <f>IFERROR(__xludf.DUMMYFUNCTION("""COMPUTED_VALUE"""),"ALASSANE TAWEY AWALOU")</f>
        <v>ALASSANE TAWEY AWALOU</v>
      </c>
      <c r="B2666" s="16"/>
      <c r="C2666" s="14"/>
      <c r="F2666" s="16" t="str">
        <f>IFERROR(__xludf.DUMMYFUNCTION("""COMPUTED_VALUE"""),"Kolloma Baba")</f>
        <v>Kolloma Baba</v>
      </c>
      <c r="G2666" s="16"/>
      <c r="H2666" s="14"/>
      <c r="K2666" s="16">
        <f>IFERROR(__xludf.DUMMYFUNCTION("""COMPUTED_VALUE"""),336.0)</f>
        <v>336</v>
      </c>
      <c r="L2666" s="16"/>
      <c r="M2666" s="14"/>
    </row>
    <row r="2667">
      <c r="A2667" s="16" t="str">
        <f>IFERROR(__xludf.DUMMYFUNCTION("""COMPUTED_VALUE"""),"ALASSANE TAWEY AWALOU")</f>
        <v>ALASSANE TAWEY AWALOU</v>
      </c>
      <c r="B2667" s="16"/>
      <c r="C2667" s="14"/>
      <c r="F2667" s="16" t="str">
        <f>IFERROR(__xludf.DUMMYFUNCTION("""COMPUTED_VALUE"""),"Kolloma Dabagi")</f>
        <v>Kolloma Dabagi</v>
      </c>
      <c r="G2667" s="16"/>
      <c r="H2667" s="14"/>
      <c r="K2667" s="16">
        <f>IFERROR(__xludf.DUMMYFUNCTION("""COMPUTED_VALUE"""),341.0)</f>
        <v>341</v>
      </c>
      <c r="L2667" s="16"/>
      <c r="M2667" s="14"/>
    </row>
    <row r="2668">
      <c r="A2668" s="16" t="str">
        <f>IFERROR(__xludf.DUMMYFUNCTION("""COMPUTED_VALUE"""),"ALASSANE TAWEY AWALOU")</f>
        <v>ALASSANE TAWEY AWALOU</v>
      </c>
      <c r="B2668" s="16"/>
      <c r="C2668" s="14"/>
      <c r="F2668" s="16" t="str">
        <f>IFERROR(__xludf.DUMMYFUNCTION("""COMPUTED_VALUE"""),"Kolloma Dabagi")</f>
        <v>Kolloma Dabagi</v>
      </c>
      <c r="G2668" s="16"/>
      <c r="H2668" s="14"/>
      <c r="K2668" s="16">
        <f>IFERROR(__xludf.DUMMYFUNCTION("""COMPUTED_VALUE"""),524.0)</f>
        <v>524</v>
      </c>
      <c r="L2668" s="16"/>
      <c r="M2668" s="14"/>
    </row>
    <row r="2669">
      <c r="A2669" s="16" t="str">
        <f>IFERROR(__xludf.DUMMYFUNCTION("""COMPUTED_VALUE"""),"ALASSANE TAWEY AWALOU")</f>
        <v>ALASSANE TAWEY AWALOU</v>
      </c>
      <c r="B2669" s="16"/>
      <c r="C2669" s="14"/>
      <c r="F2669" s="16" t="str">
        <f>IFERROR(__xludf.DUMMYFUNCTION("""COMPUTED_VALUE"""),"Oualagué")</f>
        <v>Oualagué</v>
      </c>
      <c r="G2669" s="16"/>
      <c r="H2669" s="14"/>
      <c r="K2669" s="16">
        <f>IFERROR(__xludf.DUMMYFUNCTION("""COMPUTED_VALUE"""),279.0)</f>
        <v>279</v>
      </c>
      <c r="L2669" s="16"/>
      <c r="M2669" s="14"/>
    </row>
    <row r="2670">
      <c r="A2670" s="16" t="str">
        <f>IFERROR(__xludf.DUMMYFUNCTION("""COMPUTED_VALUE"""),"Fatimata Mohamed")</f>
        <v>Fatimata Mohamed</v>
      </c>
      <c r="B2670" s="16"/>
      <c r="C2670" s="14"/>
      <c r="F2670" s="16" t="str">
        <f>IFERROR(__xludf.DUMMYFUNCTION("""COMPUTED_VALUE"""),"Kolloma Baba")</f>
        <v>Kolloma Baba</v>
      </c>
      <c r="G2670" s="16"/>
      <c r="H2670" s="14"/>
      <c r="K2670" s="16">
        <f>IFERROR(__xludf.DUMMYFUNCTION("""COMPUTED_VALUE"""),1679.0)</f>
        <v>1679</v>
      </c>
      <c r="L2670" s="16"/>
      <c r="M2670" s="14"/>
    </row>
    <row r="2671">
      <c r="A2671" s="16" t="str">
        <f>IFERROR(__xludf.DUMMYFUNCTION("""COMPUTED_VALUE"""),"Razinatou Salissou")</f>
        <v>Razinatou Salissou</v>
      </c>
      <c r="B2671" s="16"/>
      <c r="C2671" s="14"/>
      <c r="F2671" s="16" t="str">
        <f>IFERROR(__xludf.DUMMYFUNCTION("""COMPUTED_VALUE"""),"Kolloma Dabagi")</f>
        <v>Kolloma Dabagi</v>
      </c>
      <c r="G2671" s="16"/>
      <c r="H2671" s="14"/>
      <c r="K2671" s="16">
        <f>IFERROR(__xludf.DUMMYFUNCTION("""COMPUTED_VALUE"""),761.0)</f>
        <v>761</v>
      </c>
      <c r="L2671" s="16"/>
      <c r="M2671" s="14"/>
    </row>
    <row r="2672">
      <c r="A2672" s="16" t="str">
        <f>IFERROR(__xludf.DUMMYFUNCTION("""COMPUTED_VALUE"""),"Zakari Aboubacar")</f>
        <v>Zakari Aboubacar</v>
      </c>
      <c r="B2672" s="16"/>
      <c r="C2672" s="14"/>
      <c r="F2672" s="16" t="str">
        <f>IFERROR(__xludf.DUMMYFUNCTION("""COMPUTED_VALUE"""),"Kolloma Dabagi")</f>
        <v>Kolloma Dabagi</v>
      </c>
      <c r="G2672" s="16"/>
      <c r="H2672" s="14"/>
      <c r="K2672" s="16">
        <f>IFERROR(__xludf.DUMMYFUNCTION("""COMPUTED_VALUE"""),1441.0)</f>
        <v>1441</v>
      </c>
      <c r="L2672" s="16"/>
      <c r="M2672" s="14"/>
    </row>
    <row r="2673">
      <c r="A2673" s="16" t="str">
        <f>IFERROR(__xludf.DUMMYFUNCTION("""COMPUTED_VALUE"""),"Zakari Aboubacar")</f>
        <v>Zakari Aboubacar</v>
      </c>
      <c r="B2673" s="16"/>
      <c r="C2673" s="14"/>
      <c r="F2673" s="16" t="str">
        <f>IFERROR(__xludf.DUMMYFUNCTION("""COMPUTED_VALUE"""),"Kolloma Dabagi")</f>
        <v>Kolloma Dabagi</v>
      </c>
      <c r="G2673" s="16"/>
      <c r="H2673" s="14"/>
      <c r="K2673" s="16">
        <f>IFERROR(__xludf.DUMMYFUNCTION("""COMPUTED_VALUE"""),291.0)</f>
        <v>291</v>
      </c>
      <c r="L2673" s="16"/>
      <c r="M2673" s="14"/>
    </row>
    <row r="2674">
      <c r="A2674" s="16" t="str">
        <f>IFERROR(__xludf.DUMMYFUNCTION("""COMPUTED_VALUE"""),"Zakari Aboubacar")</f>
        <v>Zakari Aboubacar</v>
      </c>
      <c r="B2674" s="16"/>
      <c r="C2674" s="14"/>
      <c r="F2674" s="16" t="str">
        <f>IFERROR(__xludf.DUMMYFUNCTION("""COMPUTED_VALUE"""),"Kolloma Baba")</f>
        <v>Kolloma Baba</v>
      </c>
      <c r="G2674" s="16"/>
      <c r="H2674" s="14"/>
      <c r="K2674" s="16">
        <f>IFERROR(__xludf.DUMMYFUNCTION("""COMPUTED_VALUE"""),1090.0)</f>
        <v>1090</v>
      </c>
      <c r="L2674" s="16"/>
      <c r="M2674" s="14"/>
    </row>
    <row r="2675">
      <c r="A2675" s="16" t="str">
        <f>IFERROR(__xludf.DUMMYFUNCTION("""COMPUTED_VALUE"""),"Razinatou Salissou")</f>
        <v>Razinatou Salissou</v>
      </c>
      <c r="B2675" s="16"/>
      <c r="C2675" s="14"/>
      <c r="F2675" s="16" t="str">
        <f>IFERROR(__xludf.DUMMYFUNCTION("""COMPUTED_VALUE"""),"Oualagué")</f>
        <v>Oualagué</v>
      </c>
      <c r="G2675" s="16"/>
      <c r="H2675" s="14"/>
      <c r="K2675" s="16">
        <f>IFERROR(__xludf.DUMMYFUNCTION("""COMPUTED_VALUE"""),1783.0)</f>
        <v>1783</v>
      </c>
      <c r="L2675" s="16"/>
      <c r="M2675" s="14"/>
    </row>
    <row r="2676">
      <c r="A2676" s="16" t="str">
        <f>IFERROR(__xludf.DUMMYFUNCTION("""COMPUTED_VALUE"""),"Razinatou Salissou")</f>
        <v>Razinatou Salissou</v>
      </c>
      <c r="B2676" s="16"/>
      <c r="C2676" s="14"/>
      <c r="F2676" s="16" t="str">
        <f>IFERROR(__xludf.DUMMYFUNCTION("""COMPUTED_VALUE"""),"Oualagué")</f>
        <v>Oualagué</v>
      </c>
      <c r="G2676" s="16"/>
      <c r="H2676" s="14"/>
      <c r="K2676" s="16">
        <f>IFERROR(__xludf.DUMMYFUNCTION("""COMPUTED_VALUE"""),1154.0)</f>
        <v>1154</v>
      </c>
      <c r="L2676" s="16"/>
      <c r="M2676" s="14"/>
    </row>
    <row r="2677">
      <c r="A2677" s="16" t="str">
        <f>IFERROR(__xludf.DUMMYFUNCTION("""COMPUTED_VALUE"""),"Razinatou Salissou")</f>
        <v>Razinatou Salissou</v>
      </c>
      <c r="B2677" s="16"/>
      <c r="C2677" s="14"/>
      <c r="F2677" s="16" t="str">
        <f>IFERROR(__xludf.DUMMYFUNCTION("""COMPUTED_VALUE"""),"Oualagué")</f>
        <v>Oualagué</v>
      </c>
      <c r="G2677" s="16"/>
      <c r="H2677" s="14"/>
      <c r="K2677" s="16">
        <f>IFERROR(__xludf.DUMMYFUNCTION("""COMPUTED_VALUE"""),1504.0)</f>
        <v>1504</v>
      </c>
      <c r="L2677" s="16"/>
      <c r="M2677" s="14"/>
    </row>
    <row r="2678">
      <c r="A2678" s="16" t="str">
        <f>IFERROR(__xludf.DUMMYFUNCTION("""COMPUTED_VALUE"""),"Kimba Issa Mamoudou")</f>
        <v>Kimba Issa Mamoudou</v>
      </c>
      <c r="B2678" s="16"/>
      <c r="C2678" s="14"/>
      <c r="F2678" s="16" t="str">
        <f>IFERROR(__xludf.DUMMYFUNCTION("""COMPUTED_VALUE"""),"Kolloma Dabagi")</f>
        <v>Kolloma Dabagi</v>
      </c>
      <c r="G2678" s="16"/>
      <c r="H2678" s="14"/>
      <c r="K2678" s="16">
        <f>IFERROR(__xludf.DUMMYFUNCTION("""COMPUTED_VALUE"""),157.0)</f>
        <v>157</v>
      </c>
      <c r="L2678" s="16"/>
      <c r="M2678" s="14"/>
    </row>
    <row r="2679">
      <c r="A2679" s="16" t="str">
        <f>IFERROR(__xludf.DUMMYFUNCTION("""COMPUTED_VALUE"""),"Kimba Issa Mamoudou")</f>
        <v>Kimba Issa Mamoudou</v>
      </c>
      <c r="B2679" s="16"/>
      <c r="C2679" s="14"/>
      <c r="F2679" s="16" t="str">
        <f>IFERROR(__xludf.DUMMYFUNCTION("""COMPUTED_VALUE"""),"Oualagué")</f>
        <v>Oualagué</v>
      </c>
      <c r="G2679" s="16"/>
      <c r="H2679" s="14"/>
      <c r="K2679" s="16">
        <f>IFERROR(__xludf.DUMMYFUNCTION("""COMPUTED_VALUE"""),273.0)</f>
        <v>273</v>
      </c>
      <c r="L2679" s="16"/>
      <c r="M2679" s="14"/>
    </row>
    <row r="2680">
      <c r="A2680" s="16" t="str">
        <f>IFERROR(__xludf.DUMMYFUNCTION("""COMPUTED_VALUE"""),"Kimba Issa Mamoudou")</f>
        <v>Kimba Issa Mamoudou</v>
      </c>
      <c r="B2680" s="16"/>
      <c r="C2680" s="14"/>
      <c r="F2680" s="16" t="str">
        <f>IFERROR(__xludf.DUMMYFUNCTION("""COMPUTED_VALUE"""),"Oualagué")</f>
        <v>Oualagué</v>
      </c>
      <c r="G2680" s="16"/>
      <c r="H2680" s="14"/>
      <c r="K2680" s="16">
        <f>IFERROR(__xludf.DUMMYFUNCTION("""COMPUTED_VALUE"""),492.0)</f>
        <v>492</v>
      </c>
      <c r="L2680" s="16"/>
      <c r="M2680" s="14"/>
    </row>
    <row r="2681">
      <c r="A2681" s="16" t="str">
        <f>IFERROR(__xludf.DUMMYFUNCTION("""COMPUTED_VALUE"""),"Kimba Issa Mamoudou")</f>
        <v>Kimba Issa Mamoudou</v>
      </c>
      <c r="B2681" s="16"/>
      <c r="C2681" s="14"/>
      <c r="F2681" s="16" t="str">
        <f>IFERROR(__xludf.DUMMYFUNCTION("""COMPUTED_VALUE"""),"Oualagué")</f>
        <v>Oualagué</v>
      </c>
      <c r="G2681" s="16"/>
      <c r="H2681" s="14"/>
      <c r="K2681" s="16">
        <f>IFERROR(__xludf.DUMMYFUNCTION("""COMPUTED_VALUE"""),1371.0)</f>
        <v>1371</v>
      </c>
      <c r="L2681" s="16"/>
      <c r="M2681" s="14"/>
    </row>
    <row r="2682">
      <c r="A2682" s="16" t="str">
        <f>IFERROR(__xludf.DUMMYFUNCTION("""COMPUTED_VALUE"""),"Kimba Issa Mamoudou")</f>
        <v>Kimba Issa Mamoudou</v>
      </c>
      <c r="B2682" s="16"/>
      <c r="C2682" s="14"/>
      <c r="F2682" s="16" t="str">
        <f>IFERROR(__xludf.DUMMYFUNCTION("""COMPUTED_VALUE"""),"Kirari")</f>
        <v>Kirari</v>
      </c>
      <c r="G2682" s="16"/>
      <c r="H2682" s="14"/>
      <c r="K2682" s="16">
        <f>IFERROR(__xludf.DUMMYFUNCTION("""COMPUTED_VALUE"""),320.0)</f>
        <v>320</v>
      </c>
      <c r="L2682" s="16"/>
      <c r="M2682" s="14"/>
    </row>
    <row r="2683">
      <c r="A2683" s="16" t="str">
        <f>IFERROR(__xludf.DUMMYFUNCTION("""COMPUTED_VALUE"""),"Kimba Issa Mamoudou")</f>
        <v>Kimba Issa Mamoudou</v>
      </c>
      <c r="B2683" s="16"/>
      <c r="C2683" s="14"/>
      <c r="F2683" s="16" t="str">
        <f>IFERROR(__xludf.DUMMYFUNCTION("""COMPUTED_VALUE"""),"Kirari")</f>
        <v>Kirari</v>
      </c>
      <c r="G2683" s="16"/>
      <c r="H2683" s="14"/>
      <c r="K2683" s="16">
        <f>IFERROR(__xludf.DUMMYFUNCTION("""COMPUTED_VALUE"""),1166.0)</f>
        <v>1166</v>
      </c>
      <c r="L2683" s="16"/>
      <c r="M2683" s="14"/>
    </row>
    <row r="2684">
      <c r="A2684" s="16" t="str">
        <f>IFERROR(__xludf.DUMMYFUNCTION("""COMPUTED_VALUE"""),"Kimba Issa Mamoudou")</f>
        <v>Kimba Issa Mamoudou</v>
      </c>
      <c r="B2684" s="16"/>
      <c r="C2684" s="14"/>
      <c r="F2684" s="16" t="str">
        <f>IFERROR(__xludf.DUMMYFUNCTION("""COMPUTED_VALUE"""),"Kirari")</f>
        <v>Kirari</v>
      </c>
      <c r="G2684" s="16"/>
      <c r="H2684" s="14"/>
      <c r="K2684" s="16">
        <f>IFERROR(__xludf.DUMMYFUNCTION("""COMPUTED_VALUE"""),193.0)</f>
        <v>193</v>
      </c>
      <c r="L2684" s="16"/>
      <c r="M2684" s="14"/>
    </row>
    <row r="2685">
      <c r="A2685" s="16" t="str">
        <f>IFERROR(__xludf.DUMMYFUNCTION("""COMPUTED_VALUE"""),"Kimba Issa Mamoudou")</f>
        <v>Kimba Issa Mamoudou</v>
      </c>
      <c r="B2685" s="16"/>
      <c r="C2685" s="14"/>
      <c r="F2685" s="16" t="str">
        <f>IFERROR(__xludf.DUMMYFUNCTION("""COMPUTED_VALUE"""),"Kirari")</f>
        <v>Kirari</v>
      </c>
      <c r="G2685" s="16"/>
      <c r="H2685" s="14"/>
      <c r="K2685" s="16">
        <f>IFERROR(__xludf.DUMMYFUNCTION("""COMPUTED_VALUE"""),228.0)</f>
        <v>228</v>
      </c>
      <c r="L2685" s="16"/>
      <c r="M2685" s="14"/>
    </row>
    <row r="2686">
      <c r="A2686" s="16" t="str">
        <f>IFERROR(__xludf.DUMMYFUNCTION("""COMPUTED_VALUE"""),"Kimba Issa Mamoudou")</f>
        <v>Kimba Issa Mamoudou</v>
      </c>
      <c r="B2686" s="16"/>
      <c r="C2686" s="14"/>
      <c r="F2686" s="16" t="str">
        <f>IFERROR(__xludf.DUMMYFUNCTION("""COMPUTED_VALUE"""),"Oualagué")</f>
        <v>Oualagué</v>
      </c>
      <c r="G2686" s="16"/>
      <c r="H2686" s="14"/>
      <c r="K2686" s="16">
        <f>IFERROR(__xludf.DUMMYFUNCTION("""COMPUTED_VALUE"""),1133.0)</f>
        <v>1133</v>
      </c>
      <c r="L2686" s="16"/>
      <c r="M2686" s="14"/>
    </row>
    <row r="2687">
      <c r="A2687" s="16" t="str">
        <f>IFERROR(__xludf.DUMMYFUNCTION("""COMPUTED_VALUE"""),"Adamou Halidou Daouda")</f>
        <v>Adamou Halidou Daouda</v>
      </c>
      <c r="B2687" s="16"/>
      <c r="C2687" s="14"/>
      <c r="F2687" s="16" t="str">
        <f>IFERROR(__xludf.DUMMYFUNCTION("""COMPUTED_VALUE"""),"Oualagué")</f>
        <v>Oualagué</v>
      </c>
      <c r="G2687" s="16"/>
      <c r="H2687" s="14"/>
      <c r="K2687" s="16">
        <f>IFERROR(__xludf.DUMMYFUNCTION("""COMPUTED_VALUE"""),625.0)</f>
        <v>625</v>
      </c>
      <c r="L2687" s="16"/>
      <c r="M2687" s="14"/>
    </row>
    <row r="2688">
      <c r="A2688" s="16" t="str">
        <f>IFERROR(__xludf.DUMMYFUNCTION("""COMPUTED_VALUE"""),"Adamou Halidou Daouda")</f>
        <v>Adamou Halidou Daouda</v>
      </c>
      <c r="B2688" s="16"/>
      <c r="C2688" s="14"/>
      <c r="F2688" s="16" t="str">
        <f>IFERROR(__xludf.DUMMYFUNCTION("""COMPUTED_VALUE"""),"Kirari")</f>
        <v>Kirari</v>
      </c>
      <c r="G2688" s="16"/>
      <c r="H2688" s="14"/>
      <c r="K2688" s="16">
        <f>IFERROR(__xludf.DUMMYFUNCTION("""COMPUTED_VALUE"""),631.0)</f>
        <v>631</v>
      </c>
      <c r="L2688" s="16"/>
      <c r="M2688" s="14"/>
    </row>
    <row r="2689">
      <c r="A2689" s="16" t="str">
        <f>IFERROR(__xludf.DUMMYFUNCTION("""COMPUTED_VALUE"""),"Adamou Halidou Daouda")</f>
        <v>Adamou Halidou Daouda</v>
      </c>
      <c r="B2689" s="16"/>
      <c r="C2689" s="14"/>
      <c r="F2689" s="16" t="str">
        <f>IFERROR(__xludf.DUMMYFUNCTION("""COMPUTED_VALUE"""),"Oualagué")</f>
        <v>Oualagué</v>
      </c>
      <c r="G2689" s="16"/>
      <c r="H2689" s="14"/>
      <c r="K2689" s="16">
        <f>IFERROR(__xludf.DUMMYFUNCTION("""COMPUTED_VALUE"""),980.0)</f>
        <v>980</v>
      </c>
      <c r="L2689" s="16"/>
      <c r="M2689" s="14"/>
    </row>
    <row r="2690">
      <c r="A2690" s="16" t="str">
        <f>IFERROR(__xludf.DUMMYFUNCTION("""COMPUTED_VALUE"""),"Adamou Halidou Daouda")</f>
        <v>Adamou Halidou Daouda</v>
      </c>
      <c r="B2690" s="16"/>
      <c r="C2690" s="14"/>
      <c r="F2690" s="16" t="str">
        <f>IFERROR(__xludf.DUMMYFUNCTION("""COMPUTED_VALUE"""),"Oualagué")</f>
        <v>Oualagué</v>
      </c>
      <c r="G2690" s="16"/>
      <c r="H2690" s="14"/>
      <c r="K2690" s="16">
        <f>IFERROR(__xludf.DUMMYFUNCTION("""COMPUTED_VALUE"""),1139.0)</f>
        <v>1139</v>
      </c>
      <c r="L2690" s="16"/>
      <c r="M2690" s="14"/>
    </row>
    <row r="2691">
      <c r="A2691" s="16" t="str">
        <f>IFERROR(__xludf.DUMMYFUNCTION("""COMPUTED_VALUE"""),"Adamou Halidou Daouda")</f>
        <v>Adamou Halidou Daouda</v>
      </c>
      <c r="B2691" s="16"/>
      <c r="C2691" s="14"/>
      <c r="F2691" s="16" t="str">
        <f>IFERROR(__xludf.DUMMYFUNCTION("""COMPUTED_VALUE"""),"Oualagué")</f>
        <v>Oualagué</v>
      </c>
      <c r="G2691" s="16"/>
      <c r="H2691" s="14"/>
      <c r="K2691" s="16">
        <f>IFERROR(__xludf.DUMMYFUNCTION("""COMPUTED_VALUE"""),888.0)</f>
        <v>888</v>
      </c>
      <c r="L2691" s="16"/>
      <c r="M2691" s="14"/>
    </row>
    <row r="2692">
      <c r="A2692" s="16" t="str">
        <f>IFERROR(__xludf.DUMMYFUNCTION("""COMPUTED_VALUE"""),"Adamou Halidou Daouda")</f>
        <v>Adamou Halidou Daouda</v>
      </c>
      <c r="B2692" s="16"/>
      <c r="C2692" s="14"/>
      <c r="F2692" s="16" t="str">
        <f>IFERROR(__xludf.DUMMYFUNCTION("""COMPUTED_VALUE"""),"Oualagué")</f>
        <v>Oualagué</v>
      </c>
      <c r="G2692" s="16"/>
      <c r="H2692" s="14"/>
      <c r="K2692" s="16">
        <f>IFERROR(__xludf.DUMMYFUNCTION("""COMPUTED_VALUE"""),753.0)</f>
        <v>753</v>
      </c>
      <c r="L2692" s="16"/>
      <c r="M2692" s="14"/>
    </row>
    <row r="2693">
      <c r="A2693" s="16" t="str">
        <f>IFERROR(__xludf.DUMMYFUNCTION("""COMPUTED_VALUE"""),"Adamou Halidou Daouda")</f>
        <v>Adamou Halidou Daouda</v>
      </c>
      <c r="B2693" s="16"/>
      <c r="C2693" s="14"/>
      <c r="F2693" s="16" t="str">
        <f>IFERROR(__xludf.DUMMYFUNCTION("""COMPUTED_VALUE"""),"Oualagué")</f>
        <v>Oualagué</v>
      </c>
      <c r="G2693" s="16"/>
      <c r="H2693" s="14"/>
      <c r="K2693" s="16">
        <f>IFERROR(__xludf.DUMMYFUNCTION("""COMPUTED_VALUE"""),467.0)</f>
        <v>467</v>
      </c>
      <c r="L2693" s="16"/>
      <c r="M2693" s="14"/>
    </row>
    <row r="2694">
      <c r="A2694" s="16" t="str">
        <f>IFERROR(__xludf.DUMMYFUNCTION("""COMPUTED_VALUE"""),"Adamou Halidou Daouda")</f>
        <v>Adamou Halidou Daouda</v>
      </c>
      <c r="B2694" s="16"/>
      <c r="C2694" s="14"/>
      <c r="F2694" s="16" t="str">
        <f>IFERROR(__xludf.DUMMYFUNCTION("""COMPUTED_VALUE"""),"Kirari")</f>
        <v>Kirari</v>
      </c>
      <c r="G2694" s="16"/>
      <c r="H2694" s="14"/>
      <c r="K2694" s="16">
        <f>IFERROR(__xludf.DUMMYFUNCTION("""COMPUTED_VALUE"""),1510.0)</f>
        <v>1510</v>
      </c>
      <c r="L2694" s="16"/>
      <c r="M2694" s="14"/>
    </row>
    <row r="2695">
      <c r="A2695" s="16" t="str">
        <f>IFERROR(__xludf.DUMMYFUNCTION("""COMPUTED_VALUE"""),"Adamou Halidou Daouda")</f>
        <v>Adamou Halidou Daouda</v>
      </c>
      <c r="B2695" s="16"/>
      <c r="C2695" s="14"/>
      <c r="F2695" s="16" t="str">
        <f>IFERROR(__xludf.DUMMYFUNCTION("""COMPUTED_VALUE"""),"Kirari")</f>
        <v>Kirari</v>
      </c>
      <c r="G2695" s="16"/>
      <c r="H2695" s="14"/>
      <c r="K2695" s="16">
        <f>IFERROR(__xludf.DUMMYFUNCTION("""COMPUTED_VALUE"""),1422.0)</f>
        <v>1422</v>
      </c>
      <c r="L2695" s="16"/>
      <c r="M2695" s="14"/>
    </row>
    <row r="2696">
      <c r="A2696" s="16" t="str">
        <f>IFERROR(__xludf.DUMMYFUNCTION("""COMPUTED_VALUE"""),"Abdoul Razak Mahamane Boukari")</f>
        <v>Abdoul Razak Mahamane Boukari</v>
      </c>
      <c r="B2696" s="16"/>
      <c r="C2696" s="14"/>
      <c r="F2696" s="16" t="str">
        <f>IFERROR(__xludf.DUMMYFUNCTION("""COMPUTED_VALUE"""),"Kirari")</f>
        <v>Kirari</v>
      </c>
      <c r="G2696" s="16"/>
      <c r="H2696" s="14"/>
      <c r="K2696" s="16">
        <f>IFERROR(__xludf.DUMMYFUNCTION("""COMPUTED_VALUE"""),740.0)</f>
        <v>740</v>
      </c>
      <c r="L2696" s="16"/>
      <c r="M2696" s="14"/>
    </row>
    <row r="2697">
      <c r="A2697" s="16" t="str">
        <f>IFERROR(__xludf.DUMMYFUNCTION("""COMPUTED_VALUE"""),"Abdoul Razak Mahamane Boukari")</f>
        <v>Abdoul Razak Mahamane Boukari</v>
      </c>
      <c r="B2697" s="16"/>
      <c r="C2697" s="14"/>
      <c r="F2697" s="16" t="str">
        <f>IFERROR(__xludf.DUMMYFUNCTION("""COMPUTED_VALUE"""),"Kirari")</f>
        <v>Kirari</v>
      </c>
      <c r="G2697" s="16"/>
      <c r="H2697" s="14"/>
      <c r="K2697" s="16">
        <f>IFERROR(__xludf.DUMMYFUNCTION("""COMPUTED_VALUE"""),202.0)</f>
        <v>202</v>
      </c>
      <c r="L2697" s="16"/>
      <c r="M2697" s="14"/>
    </row>
    <row r="2698">
      <c r="A2698" s="16" t="str">
        <f>IFERROR(__xludf.DUMMYFUNCTION("""COMPUTED_VALUE"""),"Abdoul Razak Mahamane Boukari")</f>
        <v>Abdoul Razak Mahamane Boukari</v>
      </c>
      <c r="B2698" s="16"/>
      <c r="C2698" s="14"/>
      <c r="F2698" s="16" t="str">
        <f>IFERROR(__xludf.DUMMYFUNCTION("""COMPUTED_VALUE"""),"Kirari")</f>
        <v>Kirari</v>
      </c>
      <c r="G2698" s="16"/>
      <c r="H2698" s="14"/>
      <c r="K2698" s="16">
        <f>IFERROR(__xludf.DUMMYFUNCTION("""COMPUTED_VALUE"""),257.0)</f>
        <v>257</v>
      </c>
      <c r="L2698" s="16"/>
      <c r="M2698" s="14"/>
    </row>
    <row r="2699">
      <c r="A2699" s="16" t="str">
        <f>IFERROR(__xludf.DUMMYFUNCTION("""COMPUTED_VALUE"""),"Abdoul Razak Mahamane Boukari")</f>
        <v>Abdoul Razak Mahamane Boukari</v>
      </c>
      <c r="B2699" s="16"/>
      <c r="C2699" s="14"/>
      <c r="F2699" s="16" t="str">
        <f>IFERROR(__xludf.DUMMYFUNCTION("""COMPUTED_VALUE"""),"Oualagué")</f>
        <v>Oualagué</v>
      </c>
      <c r="G2699" s="16"/>
      <c r="H2699" s="14"/>
      <c r="K2699" s="16">
        <f>IFERROR(__xludf.DUMMYFUNCTION("""COMPUTED_VALUE"""),251.0)</f>
        <v>251</v>
      </c>
      <c r="L2699" s="16"/>
      <c r="M2699" s="14"/>
    </row>
    <row r="2700">
      <c r="A2700" s="16" t="str">
        <f>IFERROR(__xludf.DUMMYFUNCTION("""COMPUTED_VALUE"""),"Abdoul Razak Mahamane Boukari")</f>
        <v>Abdoul Razak Mahamane Boukari</v>
      </c>
      <c r="B2700" s="16"/>
      <c r="C2700" s="14"/>
      <c r="F2700" s="16" t="str">
        <f>IFERROR(__xludf.DUMMYFUNCTION("""COMPUTED_VALUE"""),"Oualagué")</f>
        <v>Oualagué</v>
      </c>
      <c r="G2700" s="16"/>
      <c r="H2700" s="14"/>
      <c r="K2700" s="16">
        <f>IFERROR(__xludf.DUMMYFUNCTION("""COMPUTED_VALUE"""),266.0)</f>
        <v>266</v>
      </c>
      <c r="L2700" s="16"/>
      <c r="M2700" s="14"/>
    </row>
    <row r="2701">
      <c r="A2701" s="16" t="str">
        <f>IFERROR(__xludf.DUMMYFUNCTION("""COMPUTED_VALUE"""),"Abdoul Razak Mahamane Boukari")</f>
        <v>Abdoul Razak Mahamane Boukari</v>
      </c>
      <c r="B2701" s="16"/>
      <c r="C2701" s="14"/>
      <c r="F2701" s="16" t="str">
        <f>IFERROR(__xludf.DUMMYFUNCTION("""COMPUTED_VALUE"""),"Oualagué")</f>
        <v>Oualagué</v>
      </c>
      <c r="G2701" s="16"/>
      <c r="H2701" s="14"/>
      <c r="K2701" s="16">
        <f>IFERROR(__xludf.DUMMYFUNCTION("""COMPUTED_VALUE"""),223.0)</f>
        <v>223</v>
      </c>
      <c r="L2701" s="16"/>
      <c r="M2701" s="14"/>
    </row>
    <row r="2702">
      <c r="A2702" s="16" t="str">
        <f>IFERROR(__xludf.DUMMYFUNCTION("""COMPUTED_VALUE"""),"Abdoul Razak Mahamane Boukari")</f>
        <v>Abdoul Razak Mahamane Boukari</v>
      </c>
      <c r="B2702" s="16"/>
      <c r="C2702" s="14"/>
      <c r="F2702" s="16" t="str">
        <f>IFERROR(__xludf.DUMMYFUNCTION("""COMPUTED_VALUE"""),"Oualagué")</f>
        <v>Oualagué</v>
      </c>
      <c r="G2702" s="16"/>
      <c r="H2702" s="14"/>
      <c r="K2702" s="16">
        <f>IFERROR(__xludf.DUMMYFUNCTION("""COMPUTED_VALUE"""),359.0)</f>
        <v>359</v>
      </c>
      <c r="L2702" s="16"/>
      <c r="M2702" s="14"/>
    </row>
    <row r="2703">
      <c r="A2703" s="16" t="str">
        <f>IFERROR(__xludf.DUMMYFUNCTION("""COMPUTED_VALUE"""),"Abdoul Razak Mahamane Boukari")</f>
        <v>Abdoul Razak Mahamane Boukari</v>
      </c>
      <c r="B2703" s="16"/>
      <c r="C2703" s="14"/>
      <c r="F2703" s="16" t="str">
        <f>IFERROR(__xludf.DUMMYFUNCTION("""COMPUTED_VALUE"""),"Fourchini")</f>
        <v>Fourchini</v>
      </c>
      <c r="G2703" s="16"/>
      <c r="H2703" s="14"/>
      <c r="K2703" s="16">
        <f>IFERROR(__xludf.DUMMYFUNCTION("""COMPUTED_VALUE"""),322.0)</f>
        <v>322</v>
      </c>
      <c r="L2703" s="16"/>
      <c r="M2703" s="14"/>
    </row>
    <row r="2704">
      <c r="A2704" s="16" t="str">
        <f>IFERROR(__xludf.DUMMYFUNCTION("""COMPUTED_VALUE"""),"Moussa Ide Ibrahim")</f>
        <v>Moussa Ide Ibrahim</v>
      </c>
      <c r="B2704" s="16"/>
      <c r="C2704" s="14"/>
      <c r="F2704" s="16" t="str">
        <f>IFERROR(__xludf.DUMMYFUNCTION("""COMPUTED_VALUE"""),"Fourchini")</f>
        <v>Fourchini</v>
      </c>
      <c r="G2704" s="16"/>
      <c r="H2704" s="14"/>
      <c r="K2704" s="16">
        <f>IFERROR(__xludf.DUMMYFUNCTION("""COMPUTED_VALUE"""),236.0)</f>
        <v>236</v>
      </c>
      <c r="L2704" s="16"/>
      <c r="M2704" s="14"/>
    </row>
    <row r="2705">
      <c r="A2705" s="16" t="str">
        <f>IFERROR(__xludf.DUMMYFUNCTION("""COMPUTED_VALUE"""),"Moussa Ide Ibrahim")</f>
        <v>Moussa Ide Ibrahim</v>
      </c>
      <c r="B2705" s="16"/>
      <c r="C2705" s="14"/>
      <c r="F2705" s="16" t="str">
        <f>IFERROR(__xludf.DUMMYFUNCTION("""COMPUTED_VALUE"""),"Fourchini")</f>
        <v>Fourchini</v>
      </c>
      <c r="G2705" s="16"/>
      <c r="H2705" s="14"/>
      <c r="K2705" s="16">
        <f>IFERROR(__xludf.DUMMYFUNCTION("""COMPUTED_VALUE"""),229.0)</f>
        <v>229</v>
      </c>
      <c r="L2705" s="16"/>
      <c r="M2705" s="14"/>
    </row>
    <row r="2706">
      <c r="A2706" s="16" t="str">
        <f>IFERROR(__xludf.DUMMYFUNCTION("""COMPUTED_VALUE"""),"Moussa Ide Ibrahim")</f>
        <v>Moussa Ide Ibrahim</v>
      </c>
      <c r="B2706" s="16"/>
      <c r="C2706" s="14"/>
      <c r="F2706" s="16" t="str">
        <f>IFERROR(__xludf.DUMMYFUNCTION("""COMPUTED_VALUE"""),"Tountoubé-Guidan Zabi")</f>
        <v>Tountoubé-Guidan Zabi</v>
      </c>
      <c r="G2706" s="16"/>
      <c r="H2706" s="14"/>
      <c r="K2706" s="16">
        <f>IFERROR(__xludf.DUMMYFUNCTION("""COMPUTED_VALUE"""),217.0)</f>
        <v>217</v>
      </c>
      <c r="L2706" s="16"/>
      <c r="M2706" s="14"/>
    </row>
    <row r="2707">
      <c r="A2707" s="16" t="str">
        <f>IFERROR(__xludf.DUMMYFUNCTION("""COMPUTED_VALUE"""),"Moussa Ide Ibrahim")</f>
        <v>Moussa Ide Ibrahim</v>
      </c>
      <c r="B2707" s="16"/>
      <c r="C2707" s="14"/>
      <c r="F2707" s="16" t="str">
        <f>IFERROR(__xludf.DUMMYFUNCTION("""COMPUTED_VALUE"""),"Tountoubé-Guidan Zabi")</f>
        <v>Tountoubé-Guidan Zabi</v>
      </c>
      <c r="G2707" s="16"/>
      <c r="H2707" s="14"/>
      <c r="K2707" s="16">
        <f>IFERROR(__xludf.DUMMYFUNCTION("""COMPUTED_VALUE"""),844.0)</f>
        <v>844</v>
      </c>
      <c r="L2707" s="16"/>
      <c r="M2707" s="14"/>
    </row>
    <row r="2708">
      <c r="A2708" s="16" t="str">
        <f>IFERROR(__xludf.DUMMYFUNCTION("""COMPUTED_VALUE"""),"Moussa Ide Ibrahim")</f>
        <v>Moussa Ide Ibrahim</v>
      </c>
      <c r="B2708" s="16"/>
      <c r="C2708" s="14"/>
      <c r="F2708" s="16" t="str">
        <f>IFERROR(__xludf.DUMMYFUNCTION("""COMPUTED_VALUE"""),"Tountoubé-Guidan Zabi")</f>
        <v>Tountoubé-Guidan Zabi</v>
      </c>
      <c r="G2708" s="16"/>
      <c r="H2708" s="14"/>
      <c r="K2708" s="16">
        <f>IFERROR(__xludf.DUMMYFUNCTION("""COMPUTED_VALUE"""),768.0)</f>
        <v>768</v>
      </c>
      <c r="L2708" s="16"/>
      <c r="M2708" s="14"/>
    </row>
    <row r="2709">
      <c r="A2709" s="16" t="str">
        <f>IFERROR(__xludf.DUMMYFUNCTION("""COMPUTED_VALUE"""),"Moussa Ide Ibrahim")</f>
        <v>Moussa Ide Ibrahim</v>
      </c>
      <c r="B2709" s="16"/>
      <c r="C2709" s="14"/>
      <c r="F2709" s="16" t="str">
        <f>IFERROR(__xludf.DUMMYFUNCTION("""COMPUTED_VALUE"""),"Fourchini")</f>
        <v>Fourchini</v>
      </c>
      <c r="G2709" s="16"/>
      <c r="H2709" s="14"/>
      <c r="K2709" s="16">
        <f>IFERROR(__xludf.DUMMYFUNCTION("""COMPUTED_VALUE"""),889.0)</f>
        <v>889</v>
      </c>
      <c r="L2709" s="16"/>
      <c r="M2709" s="14"/>
    </row>
    <row r="2710">
      <c r="A2710" s="16" t="str">
        <f>IFERROR(__xludf.DUMMYFUNCTION("""COMPUTED_VALUE"""),"Moussa Ide Ibrahim")</f>
        <v>Moussa Ide Ibrahim</v>
      </c>
      <c r="B2710" s="16"/>
      <c r="C2710" s="14"/>
      <c r="F2710" s="16" t="str">
        <f>IFERROR(__xludf.DUMMYFUNCTION("""COMPUTED_VALUE"""),"Fourchini")</f>
        <v>Fourchini</v>
      </c>
      <c r="G2710" s="16"/>
      <c r="H2710" s="14"/>
      <c r="K2710" s="16">
        <f>IFERROR(__xludf.DUMMYFUNCTION("""COMPUTED_VALUE"""),852.0)</f>
        <v>852</v>
      </c>
      <c r="L2710" s="16"/>
      <c r="M2710" s="14"/>
    </row>
    <row r="2711">
      <c r="A2711" s="16" t="str">
        <f>IFERROR(__xludf.DUMMYFUNCTION("""COMPUTED_VALUE"""),"Moussa Ide Ibrahim")</f>
        <v>Moussa Ide Ibrahim</v>
      </c>
      <c r="B2711" s="16"/>
      <c r="C2711" s="14"/>
      <c r="F2711" s="16" t="str">
        <f>IFERROR(__xludf.DUMMYFUNCTION("""COMPUTED_VALUE"""),"Fourchini")</f>
        <v>Fourchini</v>
      </c>
      <c r="G2711" s="16"/>
      <c r="H2711" s="14"/>
      <c r="K2711" s="16">
        <f>IFERROR(__xludf.DUMMYFUNCTION("""COMPUTED_VALUE"""),1475.0)</f>
        <v>1475</v>
      </c>
      <c r="L2711" s="16"/>
      <c r="M2711" s="14"/>
    </row>
    <row r="2712">
      <c r="A2712" s="16" t="str">
        <f>IFERROR(__xludf.DUMMYFUNCTION("""COMPUTED_VALUE"""),"Moussa Ide Ibrahim")</f>
        <v>Moussa Ide Ibrahim</v>
      </c>
      <c r="B2712" s="16"/>
      <c r="C2712" s="14"/>
      <c r="F2712" s="16" t="str">
        <f>IFERROR(__xludf.DUMMYFUNCTION("""COMPUTED_VALUE"""),"Fourchini")</f>
        <v>Fourchini</v>
      </c>
      <c r="G2712" s="16"/>
      <c r="H2712" s="14"/>
      <c r="K2712" s="16">
        <f>IFERROR(__xludf.DUMMYFUNCTION("""COMPUTED_VALUE"""),352.0)</f>
        <v>352</v>
      </c>
      <c r="L2712" s="16"/>
      <c r="M2712" s="14"/>
    </row>
    <row r="2713">
      <c r="A2713" s="16" t="str">
        <f>IFERROR(__xludf.DUMMYFUNCTION("""COMPUTED_VALUE"""),"Moussa Ide Ibrahim")</f>
        <v>Moussa Ide Ibrahim</v>
      </c>
      <c r="B2713" s="16"/>
      <c r="C2713" s="14"/>
      <c r="F2713" s="16" t="str">
        <f>IFERROR(__xludf.DUMMYFUNCTION("""COMPUTED_VALUE"""),"Tountoubé-Guidan Zabi")</f>
        <v>Tountoubé-Guidan Zabi</v>
      </c>
      <c r="G2713" s="16"/>
      <c r="H2713" s="14"/>
      <c r="K2713" s="16">
        <f>IFERROR(__xludf.DUMMYFUNCTION("""COMPUTED_VALUE"""),638.0)</f>
        <v>638</v>
      </c>
      <c r="L2713" s="16"/>
      <c r="M2713" s="14"/>
    </row>
    <row r="2714">
      <c r="A2714" s="16" t="str">
        <f>IFERROR(__xludf.DUMMYFUNCTION("""COMPUTED_VALUE"""),"Maman Ado Abdourahamane")</f>
        <v>Maman Ado Abdourahamane</v>
      </c>
      <c r="B2714" s="16"/>
      <c r="C2714" s="14"/>
      <c r="F2714" s="16" t="str">
        <f>IFERROR(__xludf.DUMMYFUNCTION("""COMPUTED_VALUE"""),"Tountoubé-Guidan Zabi")</f>
        <v>Tountoubé-Guidan Zabi</v>
      </c>
      <c r="G2714" s="16"/>
      <c r="H2714" s="14"/>
      <c r="K2714" s="16">
        <f>IFERROR(__xludf.DUMMYFUNCTION("""COMPUTED_VALUE"""),277.0)</f>
        <v>277</v>
      </c>
      <c r="L2714" s="16"/>
      <c r="M2714" s="14"/>
    </row>
    <row r="2715">
      <c r="A2715" s="16" t="str">
        <f>IFERROR(__xludf.DUMMYFUNCTION("""COMPUTED_VALUE"""),"Maman Ado Abdourahamane")</f>
        <v>Maman Ado Abdourahamane</v>
      </c>
      <c r="B2715" s="16"/>
      <c r="C2715" s="14"/>
      <c r="F2715" s="16" t="str">
        <f>IFERROR(__xludf.DUMMYFUNCTION("""COMPUTED_VALUE"""),"Angar (illikan)")</f>
        <v>Angar (illikan)</v>
      </c>
      <c r="G2715" s="16"/>
      <c r="H2715" s="14"/>
      <c r="K2715" s="16">
        <f>IFERROR(__xludf.DUMMYFUNCTION("""COMPUTED_VALUE"""),543.0)</f>
        <v>543</v>
      </c>
      <c r="L2715" s="16"/>
      <c r="M2715" s="14"/>
    </row>
    <row r="2716">
      <c r="A2716" s="16" t="str">
        <f>IFERROR(__xludf.DUMMYFUNCTION("""COMPUTED_VALUE"""),"Maman Ado Abdourahamane")</f>
        <v>Maman Ado Abdourahamane</v>
      </c>
      <c r="B2716" s="16"/>
      <c r="C2716" s="14"/>
      <c r="F2716" s="16" t="str">
        <f>IFERROR(__xludf.DUMMYFUNCTION("""COMPUTED_VALUE"""),"Angar (illikan)")</f>
        <v>Angar (illikan)</v>
      </c>
      <c r="G2716" s="16"/>
      <c r="H2716" s="14"/>
      <c r="K2716" s="16">
        <f>IFERROR(__xludf.DUMMYFUNCTION("""COMPUTED_VALUE"""),323.0)</f>
        <v>323</v>
      </c>
      <c r="L2716" s="16"/>
      <c r="M2716" s="14"/>
    </row>
    <row r="2717">
      <c r="A2717" s="16" t="str">
        <f>IFERROR(__xludf.DUMMYFUNCTION("""COMPUTED_VALUE"""),"Maman Ado Abdourahamane")</f>
        <v>Maman Ado Abdourahamane</v>
      </c>
      <c r="B2717" s="16"/>
      <c r="C2717" s="14"/>
      <c r="F2717" s="16" t="str">
        <f>IFERROR(__xludf.DUMMYFUNCTION("""COMPUTED_VALUE"""),"Angar (illikan)")</f>
        <v>Angar (illikan)</v>
      </c>
      <c r="G2717" s="16"/>
      <c r="H2717" s="14"/>
      <c r="K2717" s="16">
        <f>IFERROR(__xludf.DUMMYFUNCTION("""COMPUTED_VALUE"""),1284.0)</f>
        <v>1284</v>
      </c>
      <c r="L2717" s="16"/>
      <c r="M2717" s="14"/>
    </row>
    <row r="2718">
      <c r="A2718" s="16" t="str">
        <f>IFERROR(__xludf.DUMMYFUNCTION("""COMPUTED_VALUE"""),"Maman Ado Abdourahamane")</f>
        <v>Maman Ado Abdourahamane</v>
      </c>
      <c r="B2718" s="16"/>
      <c r="C2718" s="14"/>
      <c r="F2718" s="16" t="str">
        <f>IFERROR(__xludf.DUMMYFUNCTION("""COMPUTED_VALUE"""),"Angar (illikan)")</f>
        <v>Angar (illikan)</v>
      </c>
      <c r="G2718" s="16"/>
      <c r="H2718" s="14"/>
      <c r="K2718" s="16">
        <f>IFERROR(__xludf.DUMMYFUNCTION("""COMPUTED_VALUE"""),242.0)</f>
        <v>242</v>
      </c>
      <c r="L2718" s="16"/>
      <c r="M2718" s="14"/>
    </row>
    <row r="2719">
      <c r="A2719" s="16" t="str">
        <f>IFERROR(__xludf.DUMMYFUNCTION("""COMPUTED_VALUE"""),"Hamissou Moussa Nana Mariama")</f>
        <v>Hamissou Moussa Nana Mariama</v>
      </c>
      <c r="B2719" s="16"/>
      <c r="C2719" s="14"/>
      <c r="F2719" s="16" t="str">
        <f>IFERROR(__xludf.DUMMYFUNCTION("""COMPUTED_VALUE"""),"Angar (illikan)")</f>
        <v>Angar (illikan)</v>
      </c>
      <c r="G2719" s="16"/>
      <c r="H2719" s="14"/>
      <c r="K2719" s="16">
        <f>IFERROR(__xludf.DUMMYFUNCTION("""COMPUTED_VALUE"""),820.0)</f>
        <v>820</v>
      </c>
      <c r="L2719" s="16"/>
      <c r="M2719" s="14"/>
    </row>
    <row r="2720">
      <c r="A2720" s="16" t="str">
        <f>IFERROR(__xludf.DUMMYFUNCTION("""COMPUTED_VALUE"""),"Hamissou Moussa Nana Mariama")</f>
        <v>Hamissou Moussa Nana Mariama</v>
      </c>
      <c r="B2720" s="16"/>
      <c r="C2720" s="14"/>
      <c r="F2720" s="16" t="str">
        <f>IFERROR(__xludf.DUMMYFUNCTION("""COMPUTED_VALUE"""),"Angar (illikan)")</f>
        <v>Angar (illikan)</v>
      </c>
      <c r="G2720" s="16"/>
      <c r="H2720" s="14"/>
      <c r="K2720" s="16">
        <f>IFERROR(__xludf.DUMMYFUNCTION("""COMPUTED_VALUE"""),678.0)</f>
        <v>678</v>
      </c>
      <c r="L2720" s="16"/>
      <c r="M2720" s="14"/>
    </row>
    <row r="2721">
      <c r="A2721" s="16" t="str">
        <f>IFERROR(__xludf.DUMMYFUNCTION("""COMPUTED_VALUE"""),"Ibrahim Dan Habou Larwana")</f>
        <v>Ibrahim Dan Habou Larwana</v>
      </c>
      <c r="B2721" s="16"/>
      <c r="C2721" s="14"/>
      <c r="F2721" s="16" t="str">
        <f>IFERROR(__xludf.DUMMYFUNCTION("""COMPUTED_VALUE"""),"Angar (illikan)")</f>
        <v>Angar (illikan)</v>
      </c>
      <c r="G2721" s="16"/>
      <c r="H2721" s="14"/>
      <c r="K2721" s="16">
        <f>IFERROR(__xludf.DUMMYFUNCTION("""COMPUTED_VALUE"""),196.0)</f>
        <v>196</v>
      </c>
      <c r="L2721" s="16"/>
      <c r="M2721" s="14"/>
    </row>
    <row r="2722">
      <c r="A2722" s="16" t="str">
        <f>IFERROR(__xludf.DUMMYFUNCTION("""COMPUTED_VALUE"""),"Ibrahim Dan Habou Larwana")</f>
        <v>Ibrahim Dan Habou Larwana</v>
      </c>
      <c r="B2722" s="16"/>
      <c r="C2722" s="14"/>
      <c r="F2722" s="16" t="str">
        <f>IFERROR(__xludf.DUMMYFUNCTION("""COMPUTED_VALUE"""),"Angar (illikan)")</f>
        <v>Angar (illikan)</v>
      </c>
      <c r="G2722" s="16"/>
      <c r="H2722" s="14"/>
      <c r="K2722" s="16">
        <f>IFERROR(__xludf.DUMMYFUNCTION("""COMPUTED_VALUE"""),233.0)</f>
        <v>233</v>
      </c>
      <c r="L2722" s="16"/>
      <c r="M2722" s="14"/>
    </row>
    <row r="2723">
      <c r="A2723" s="16" t="str">
        <f>IFERROR(__xludf.DUMMYFUNCTION("""COMPUTED_VALUE"""),"Ibrahim Dan Habou Larwana")</f>
        <v>Ibrahim Dan Habou Larwana</v>
      </c>
      <c r="B2723" s="16"/>
      <c r="C2723" s="14"/>
      <c r="F2723" s="16" t="str">
        <f>IFERROR(__xludf.DUMMYFUNCTION("""COMPUTED_VALUE"""),"Angar (illikan)")</f>
        <v>Angar (illikan)</v>
      </c>
      <c r="G2723" s="16"/>
      <c r="H2723" s="14"/>
      <c r="K2723" s="16">
        <f>IFERROR(__xludf.DUMMYFUNCTION("""COMPUTED_VALUE"""),202.0)</f>
        <v>202</v>
      </c>
      <c r="L2723" s="16"/>
      <c r="M2723" s="14"/>
    </row>
    <row r="2724">
      <c r="A2724" s="16" t="str">
        <f>IFERROR(__xludf.DUMMYFUNCTION("""COMPUTED_VALUE"""),"Ibrahim Dan Habou Larwana")</f>
        <v>Ibrahim Dan Habou Larwana</v>
      </c>
      <c r="B2724" s="16"/>
      <c r="C2724" s="14"/>
      <c r="F2724" s="16" t="str">
        <f>IFERROR(__xludf.DUMMYFUNCTION("""COMPUTED_VALUE"""),"Angar (illikan)")</f>
        <v>Angar (illikan)</v>
      </c>
      <c r="G2724" s="16"/>
      <c r="H2724" s="14"/>
      <c r="K2724" s="16">
        <f>IFERROR(__xludf.DUMMYFUNCTION("""COMPUTED_VALUE"""),253.0)</f>
        <v>253</v>
      </c>
      <c r="L2724" s="16"/>
      <c r="M2724" s="14"/>
    </row>
    <row r="2725">
      <c r="A2725" s="16" t="str">
        <f>IFERROR(__xludf.DUMMYFUNCTION("""COMPUTED_VALUE"""),"Ibrahim Dan Habou Larwana")</f>
        <v>Ibrahim Dan Habou Larwana</v>
      </c>
      <c r="B2725" s="16"/>
      <c r="C2725" s="14"/>
      <c r="F2725" s="16" t="str">
        <f>IFERROR(__xludf.DUMMYFUNCTION("""COMPUTED_VALUE"""),"Angar (illikan)")</f>
        <v>Angar (illikan)</v>
      </c>
      <c r="G2725" s="16"/>
      <c r="H2725" s="14"/>
      <c r="K2725" s="16">
        <f>IFERROR(__xludf.DUMMYFUNCTION("""COMPUTED_VALUE"""),504.0)</f>
        <v>504</v>
      </c>
      <c r="L2725" s="16"/>
      <c r="M2725" s="14"/>
    </row>
    <row r="2726">
      <c r="A2726" s="16" t="str">
        <f>IFERROR(__xludf.DUMMYFUNCTION("""COMPUTED_VALUE"""),"Ibrahim Dan Habou Larwana")</f>
        <v>Ibrahim Dan Habou Larwana</v>
      </c>
      <c r="B2726" s="16"/>
      <c r="C2726" s="14"/>
      <c r="F2726" s="16" t="str">
        <f>IFERROR(__xludf.DUMMYFUNCTION("""COMPUTED_VALUE"""),"Tountoubé-Guidan Zabi")</f>
        <v>Tountoubé-Guidan Zabi</v>
      </c>
      <c r="G2726" s="16"/>
      <c r="H2726" s="14"/>
      <c r="K2726" s="16">
        <f>IFERROR(__xludf.DUMMYFUNCTION("""COMPUTED_VALUE"""),402.0)</f>
        <v>402</v>
      </c>
      <c r="L2726" s="16"/>
      <c r="M2726" s="14"/>
    </row>
    <row r="2727">
      <c r="A2727" s="16" t="str">
        <f>IFERROR(__xludf.DUMMYFUNCTION("""COMPUTED_VALUE"""),"Ibrahim Dan Habou Larwana")</f>
        <v>Ibrahim Dan Habou Larwana</v>
      </c>
      <c r="B2727" s="16"/>
      <c r="C2727" s="14"/>
      <c r="F2727" s="16" t="str">
        <f>IFERROR(__xludf.DUMMYFUNCTION("""COMPUTED_VALUE"""),"Tountoubé-Guidan Zabi")</f>
        <v>Tountoubé-Guidan Zabi</v>
      </c>
      <c r="G2727" s="16"/>
      <c r="H2727" s="14"/>
      <c r="K2727" s="16">
        <f>IFERROR(__xludf.DUMMYFUNCTION("""COMPUTED_VALUE"""),303.0)</f>
        <v>303</v>
      </c>
      <c r="L2727" s="16"/>
      <c r="M2727" s="14"/>
    </row>
    <row r="2728">
      <c r="A2728" s="16" t="str">
        <f>IFERROR(__xludf.DUMMYFUNCTION("""COMPUTED_VALUE"""),"Ibrahim Dan Habou Larwana")</f>
        <v>Ibrahim Dan Habou Larwana</v>
      </c>
      <c r="B2728" s="16"/>
      <c r="C2728" s="14"/>
      <c r="F2728" s="16" t="str">
        <f>IFERROR(__xludf.DUMMYFUNCTION("""COMPUTED_VALUE"""),"Angar (illikan)")</f>
        <v>Angar (illikan)</v>
      </c>
      <c r="G2728" s="16"/>
      <c r="H2728" s="14"/>
      <c r="K2728" s="16">
        <f>IFERROR(__xludf.DUMMYFUNCTION("""COMPUTED_VALUE"""),829.0)</f>
        <v>829</v>
      </c>
      <c r="L2728" s="16"/>
      <c r="M2728" s="14"/>
    </row>
    <row r="2729">
      <c r="A2729" s="16" t="str">
        <f>IFERROR(__xludf.DUMMYFUNCTION("""COMPUTED_VALUE"""),"Ibrahim Dan Habou Larwana")</f>
        <v>Ibrahim Dan Habou Larwana</v>
      </c>
      <c r="B2729" s="16"/>
      <c r="C2729" s="14"/>
      <c r="F2729" s="16" t="str">
        <f>IFERROR(__xludf.DUMMYFUNCTION("""COMPUTED_VALUE"""),"Intchimia 1")</f>
        <v>Intchimia 1</v>
      </c>
      <c r="G2729" s="16"/>
      <c r="H2729" s="14"/>
      <c r="K2729" s="16">
        <f>IFERROR(__xludf.DUMMYFUNCTION("""COMPUTED_VALUE"""),464.0)</f>
        <v>464</v>
      </c>
      <c r="L2729" s="16"/>
      <c r="M2729" s="14"/>
    </row>
    <row r="2730">
      <c r="A2730" s="16" t="str">
        <f>IFERROR(__xludf.DUMMYFUNCTION("""COMPUTED_VALUE"""),"Ibrahim Dan Habou Larwana")</f>
        <v>Ibrahim Dan Habou Larwana</v>
      </c>
      <c r="B2730" s="16"/>
      <c r="C2730" s="14"/>
      <c r="F2730" s="16" t="str">
        <f>IFERROR(__xludf.DUMMYFUNCTION("""COMPUTED_VALUE"""),"Intchimia 1")</f>
        <v>Intchimia 1</v>
      </c>
      <c r="G2730" s="16"/>
      <c r="H2730" s="14"/>
      <c r="K2730" s="16">
        <f>IFERROR(__xludf.DUMMYFUNCTION("""COMPUTED_VALUE"""),530.0)</f>
        <v>530</v>
      </c>
      <c r="L2730" s="16"/>
      <c r="M2730" s="14"/>
    </row>
    <row r="2731">
      <c r="A2731" s="16" t="str">
        <f>IFERROR(__xludf.DUMMYFUNCTION("""COMPUTED_VALUE"""),"Ibrahim Dan Habou Larwana")</f>
        <v>Ibrahim Dan Habou Larwana</v>
      </c>
      <c r="B2731" s="16"/>
      <c r="C2731" s="14"/>
      <c r="F2731" s="16" t="str">
        <f>IFERROR(__xludf.DUMMYFUNCTION("""COMPUTED_VALUE"""),"Intchimia 1")</f>
        <v>Intchimia 1</v>
      </c>
      <c r="G2731" s="16"/>
      <c r="H2731" s="14"/>
      <c r="K2731" s="16">
        <f>IFERROR(__xludf.DUMMYFUNCTION("""COMPUTED_VALUE"""),1117.0)</f>
        <v>1117</v>
      </c>
      <c r="L2731" s="16"/>
      <c r="M2731" s="14"/>
    </row>
    <row r="2732">
      <c r="A2732" s="16" t="str">
        <f>IFERROR(__xludf.DUMMYFUNCTION("""COMPUTED_VALUE"""),"Ibrahim Dan Habou Larwana")</f>
        <v>Ibrahim Dan Habou Larwana</v>
      </c>
      <c r="B2732" s="16"/>
      <c r="C2732" s="14"/>
      <c r="F2732" s="16" t="str">
        <f>IFERROR(__xludf.DUMMYFUNCTION("""COMPUTED_VALUE"""),"Intchimia 1")</f>
        <v>Intchimia 1</v>
      </c>
      <c r="G2732" s="16"/>
      <c r="H2732" s="14"/>
      <c r="K2732" s="16">
        <f>IFERROR(__xludf.DUMMYFUNCTION("""COMPUTED_VALUE"""),1116.0)</f>
        <v>1116</v>
      </c>
      <c r="L2732" s="16"/>
      <c r="M2732" s="14"/>
    </row>
    <row r="2733">
      <c r="A2733" s="16" t="str">
        <f>IFERROR(__xludf.DUMMYFUNCTION("""COMPUTED_VALUE"""),"Ibrahim Dan Habou Larwana")</f>
        <v>Ibrahim Dan Habou Larwana</v>
      </c>
      <c r="B2733" s="16"/>
      <c r="C2733" s="14"/>
      <c r="F2733" s="16" t="str">
        <f>IFERROR(__xludf.DUMMYFUNCTION("""COMPUTED_VALUE"""),"Koutki")</f>
        <v>Koutki</v>
      </c>
      <c r="G2733" s="16"/>
      <c r="H2733" s="14"/>
      <c r="K2733" s="16">
        <f>IFERROR(__xludf.DUMMYFUNCTION("""COMPUTED_VALUE"""),241.0)</f>
        <v>241</v>
      </c>
      <c r="L2733" s="16"/>
      <c r="M2733" s="14"/>
    </row>
    <row r="2734">
      <c r="A2734" s="16" t="str">
        <f>IFERROR(__xludf.DUMMYFUNCTION("""COMPUTED_VALUE"""),"Ibrahim Dan Habou Larwana")</f>
        <v>Ibrahim Dan Habou Larwana</v>
      </c>
      <c r="B2734" s="16"/>
      <c r="C2734" s="14"/>
      <c r="F2734" s="16" t="str">
        <f>IFERROR(__xludf.DUMMYFUNCTION("""COMPUTED_VALUE"""),"Koutki")</f>
        <v>Koutki</v>
      </c>
      <c r="G2734" s="16"/>
      <c r="H2734" s="14"/>
      <c r="K2734" s="16">
        <f>IFERROR(__xludf.DUMMYFUNCTION("""COMPUTED_VALUE"""),215.0)</f>
        <v>215</v>
      </c>
      <c r="L2734" s="16"/>
      <c r="M2734" s="14"/>
    </row>
    <row r="2735">
      <c r="A2735" s="16" t="str">
        <f>IFERROR(__xludf.DUMMYFUNCTION("""COMPUTED_VALUE"""),"Ibrahim Dan Habou Larwana")</f>
        <v>Ibrahim Dan Habou Larwana</v>
      </c>
      <c r="B2735" s="16"/>
      <c r="C2735" s="14"/>
      <c r="F2735" s="16" t="str">
        <f>IFERROR(__xludf.DUMMYFUNCTION("""COMPUTED_VALUE"""),"Koutki")</f>
        <v>Koutki</v>
      </c>
      <c r="G2735" s="16"/>
      <c r="H2735" s="14"/>
      <c r="K2735" s="16">
        <f>IFERROR(__xludf.DUMMYFUNCTION("""COMPUTED_VALUE"""),270.0)</f>
        <v>270</v>
      </c>
      <c r="L2735" s="16"/>
      <c r="M2735" s="14"/>
    </row>
    <row r="2736">
      <c r="A2736" s="16" t="str">
        <f>IFERROR(__xludf.DUMMYFUNCTION("""COMPUTED_VALUE"""),"Ibrahim Dan Habou Larwana")</f>
        <v>Ibrahim Dan Habou Larwana</v>
      </c>
      <c r="B2736" s="16"/>
      <c r="C2736" s="14"/>
      <c r="F2736" s="16" t="str">
        <f>IFERROR(__xludf.DUMMYFUNCTION("""COMPUTED_VALUE"""),"Koutki")</f>
        <v>Koutki</v>
      </c>
      <c r="G2736" s="16"/>
      <c r="H2736" s="14"/>
      <c r="K2736" s="16">
        <f>IFERROR(__xludf.DUMMYFUNCTION("""COMPUTED_VALUE"""),405.0)</f>
        <v>405</v>
      </c>
      <c r="L2736" s="16"/>
      <c r="M2736" s="14"/>
    </row>
    <row r="2737">
      <c r="A2737" s="16" t="str">
        <f>IFERROR(__xludf.DUMMYFUNCTION("""COMPUTED_VALUE"""),"Yacouba Idé dit Lumana")</f>
        <v>Yacouba Idé dit Lumana</v>
      </c>
      <c r="B2737" s="16"/>
      <c r="C2737" s="14"/>
      <c r="F2737" s="16" t="str">
        <f>IFERROR(__xludf.DUMMYFUNCTION("""COMPUTED_VALUE"""),"Koutki")</f>
        <v>Koutki</v>
      </c>
      <c r="G2737" s="16"/>
      <c r="H2737" s="14"/>
      <c r="K2737" s="16">
        <f>IFERROR(__xludf.DUMMYFUNCTION("""COMPUTED_VALUE"""),808.0)</f>
        <v>808</v>
      </c>
      <c r="L2737" s="16"/>
      <c r="M2737" s="14"/>
    </row>
    <row r="2738">
      <c r="A2738" s="16" t="str">
        <f>IFERROR(__xludf.DUMMYFUNCTION("""COMPUTED_VALUE"""),"Yacouba Idé dit Lumana")</f>
        <v>Yacouba Idé dit Lumana</v>
      </c>
      <c r="B2738" s="16"/>
      <c r="C2738" s="14"/>
      <c r="F2738" s="16" t="str">
        <f>IFERROR(__xludf.DUMMYFUNCTION("""COMPUTED_VALUE"""),"Oualagué")</f>
        <v>Oualagué</v>
      </c>
      <c r="G2738" s="16"/>
      <c r="H2738" s="14"/>
      <c r="K2738" s="16">
        <f>IFERROR(__xludf.DUMMYFUNCTION("""COMPUTED_VALUE"""),252.0)</f>
        <v>252</v>
      </c>
      <c r="L2738" s="16"/>
      <c r="M2738" s="14"/>
    </row>
    <row r="2739">
      <c r="A2739" s="16" t="str">
        <f>IFERROR(__xludf.DUMMYFUNCTION("""COMPUTED_VALUE"""),"Yacouba Idé dit Lumana")</f>
        <v>Yacouba Idé dit Lumana</v>
      </c>
      <c r="B2739" s="16"/>
      <c r="C2739" s="14"/>
      <c r="F2739" s="16" t="str">
        <f>IFERROR(__xludf.DUMMYFUNCTION("""COMPUTED_VALUE"""),"Oualagué")</f>
        <v>Oualagué</v>
      </c>
      <c r="G2739" s="16"/>
      <c r="H2739" s="14"/>
      <c r="K2739" s="16">
        <f>IFERROR(__xludf.DUMMYFUNCTION("""COMPUTED_VALUE"""),349.0)</f>
        <v>349</v>
      </c>
      <c r="L2739" s="16"/>
      <c r="M2739" s="14"/>
    </row>
    <row r="2740">
      <c r="A2740" s="16" t="str">
        <f>IFERROR(__xludf.DUMMYFUNCTION("""COMPUTED_VALUE"""),"Yacouba Idé dit Lumana")</f>
        <v>Yacouba Idé dit Lumana</v>
      </c>
      <c r="B2740" s="16"/>
      <c r="C2740" s="14"/>
      <c r="F2740" s="16" t="str">
        <f>IFERROR(__xludf.DUMMYFUNCTION("""COMPUTED_VALUE"""),"Intchimia 1")</f>
        <v>Intchimia 1</v>
      </c>
      <c r="G2740" s="16"/>
      <c r="H2740" s="14"/>
      <c r="K2740" s="16">
        <f>IFERROR(__xludf.DUMMYFUNCTION("""COMPUTED_VALUE"""),604.0)</f>
        <v>604</v>
      </c>
      <c r="L2740" s="16"/>
      <c r="M2740" s="14"/>
    </row>
    <row r="2741">
      <c r="A2741" s="16" t="str">
        <f>IFERROR(__xludf.DUMMYFUNCTION("""COMPUTED_VALUE"""),"Yacouba Idé dit Lumana")</f>
        <v>Yacouba Idé dit Lumana</v>
      </c>
      <c r="B2741" s="16"/>
      <c r="C2741" s="14"/>
      <c r="F2741" s="16" t="str">
        <f>IFERROR(__xludf.DUMMYFUNCTION("""COMPUTED_VALUE"""),"Intchimia 1")</f>
        <v>Intchimia 1</v>
      </c>
      <c r="G2741" s="16"/>
      <c r="H2741" s="14"/>
      <c r="K2741" s="16">
        <f>IFERROR(__xludf.DUMMYFUNCTION("""COMPUTED_VALUE"""),666.0)</f>
        <v>666</v>
      </c>
      <c r="L2741" s="16"/>
      <c r="M2741" s="14"/>
    </row>
    <row r="2742">
      <c r="A2742" s="16" t="str">
        <f>IFERROR(__xludf.DUMMYFUNCTION("""COMPUTED_VALUE"""),"Yacouba Idé dit Lumana")</f>
        <v>Yacouba Idé dit Lumana</v>
      </c>
      <c r="B2742" s="16"/>
      <c r="C2742" s="14"/>
      <c r="F2742" s="16" t="str">
        <f>IFERROR(__xludf.DUMMYFUNCTION("""COMPUTED_VALUE"""),"Intchimia 1")</f>
        <v>Intchimia 1</v>
      </c>
      <c r="G2742" s="16"/>
      <c r="H2742" s="14"/>
      <c r="K2742" s="16">
        <f>IFERROR(__xludf.DUMMYFUNCTION("""COMPUTED_VALUE"""),380.0)</f>
        <v>380</v>
      </c>
      <c r="L2742" s="16"/>
      <c r="M2742" s="14"/>
    </row>
    <row r="2743">
      <c r="A2743" s="16" t="str">
        <f>IFERROR(__xludf.DUMMYFUNCTION("""COMPUTED_VALUE"""),"Sani Moussa Aboubacar")</f>
        <v>Sani Moussa Aboubacar</v>
      </c>
      <c r="B2743" s="16"/>
      <c r="C2743" s="14"/>
      <c r="F2743" s="16" t="str">
        <f>IFERROR(__xludf.DUMMYFUNCTION("""COMPUTED_VALUE"""),"Intchimia 1")</f>
        <v>Intchimia 1</v>
      </c>
      <c r="G2743" s="16"/>
      <c r="H2743" s="14"/>
      <c r="K2743" s="16">
        <f>IFERROR(__xludf.DUMMYFUNCTION("""COMPUTED_VALUE"""),312.0)</f>
        <v>312</v>
      </c>
      <c r="L2743" s="16"/>
      <c r="M2743" s="14"/>
    </row>
    <row r="2744">
      <c r="A2744" s="16" t="str">
        <f>IFERROR(__xludf.DUMMYFUNCTION("""COMPUTED_VALUE"""),"Sani Moussa Aboubacar")</f>
        <v>Sani Moussa Aboubacar</v>
      </c>
      <c r="B2744" s="16"/>
      <c r="C2744" s="14"/>
      <c r="F2744" s="16" t="str">
        <f>IFERROR(__xludf.DUMMYFUNCTION("""COMPUTED_VALUE"""),"Koutki")</f>
        <v>Koutki</v>
      </c>
      <c r="G2744" s="16"/>
      <c r="H2744" s="14"/>
      <c r="K2744" s="16">
        <f>IFERROR(__xludf.DUMMYFUNCTION("""COMPUTED_VALUE"""),714.0)</f>
        <v>714</v>
      </c>
      <c r="L2744" s="16"/>
      <c r="M2744" s="14"/>
    </row>
    <row r="2745">
      <c r="A2745" s="16" t="str">
        <f>IFERROR(__xludf.DUMMYFUNCTION("""COMPUTED_VALUE"""),"Sani Moussa Aboubacar")</f>
        <v>Sani Moussa Aboubacar</v>
      </c>
      <c r="B2745" s="16"/>
      <c r="C2745" s="14"/>
      <c r="F2745" s="16" t="str">
        <f>IFERROR(__xludf.DUMMYFUNCTION("""COMPUTED_VALUE"""),"Koutki")</f>
        <v>Koutki</v>
      </c>
      <c r="G2745" s="16"/>
      <c r="H2745" s="14"/>
      <c r="K2745" s="16">
        <f>IFERROR(__xludf.DUMMYFUNCTION("""COMPUTED_VALUE"""),509.0)</f>
        <v>509</v>
      </c>
      <c r="L2745" s="16"/>
      <c r="M2745" s="14"/>
    </row>
    <row r="2746">
      <c r="A2746" s="16" t="str">
        <f>IFERROR(__xludf.DUMMYFUNCTION("""COMPUTED_VALUE"""),"Sani Moussa Aboubacar")</f>
        <v>Sani Moussa Aboubacar</v>
      </c>
      <c r="B2746" s="16"/>
      <c r="C2746" s="14"/>
      <c r="F2746" s="16" t="str">
        <f>IFERROR(__xludf.DUMMYFUNCTION("""COMPUTED_VALUE"""),"Koutki")</f>
        <v>Koutki</v>
      </c>
      <c r="G2746" s="16"/>
      <c r="H2746" s="14"/>
      <c r="K2746" s="16">
        <f>IFERROR(__xludf.DUMMYFUNCTION("""COMPUTED_VALUE"""),296.0)</f>
        <v>296</v>
      </c>
      <c r="L2746" s="16"/>
      <c r="M2746" s="14"/>
    </row>
    <row r="2747">
      <c r="A2747" s="16" t="str">
        <f>IFERROR(__xludf.DUMMYFUNCTION("""COMPUTED_VALUE"""),"Sani Moussa Aboubacar")</f>
        <v>Sani Moussa Aboubacar</v>
      </c>
      <c r="B2747" s="16"/>
      <c r="C2747" s="14"/>
      <c r="F2747" s="16" t="str">
        <f>IFERROR(__xludf.DUMMYFUNCTION("""COMPUTED_VALUE"""),"Koutki")</f>
        <v>Koutki</v>
      </c>
      <c r="G2747" s="16"/>
      <c r="H2747" s="14"/>
      <c r="K2747" s="16">
        <f>IFERROR(__xludf.DUMMYFUNCTION("""COMPUTED_VALUE"""),519.0)</f>
        <v>519</v>
      </c>
      <c r="L2747" s="16"/>
      <c r="M2747" s="14"/>
    </row>
    <row r="2748">
      <c r="A2748" s="16" t="str">
        <f>IFERROR(__xludf.DUMMYFUNCTION("""COMPUTED_VALUE"""),"Sani Moussa Aboubacar")</f>
        <v>Sani Moussa Aboubacar</v>
      </c>
      <c r="B2748" s="16"/>
      <c r="C2748" s="14"/>
      <c r="F2748" s="16" t="str">
        <f>IFERROR(__xludf.DUMMYFUNCTION("""COMPUTED_VALUE"""),"Oualagué")</f>
        <v>Oualagué</v>
      </c>
      <c r="G2748" s="16"/>
      <c r="H2748" s="14"/>
      <c r="K2748" s="16">
        <f>IFERROR(__xludf.DUMMYFUNCTION("""COMPUTED_VALUE"""),250.0)</f>
        <v>250</v>
      </c>
      <c r="L2748" s="16"/>
      <c r="M2748" s="14"/>
    </row>
    <row r="2749">
      <c r="A2749" s="16" t="str">
        <f>IFERROR(__xludf.DUMMYFUNCTION("""COMPUTED_VALUE"""),"Sani Moussa Aboubacar")</f>
        <v>Sani Moussa Aboubacar</v>
      </c>
      <c r="B2749" s="16"/>
      <c r="C2749" s="14"/>
      <c r="F2749" s="16" t="str">
        <f>IFERROR(__xludf.DUMMYFUNCTION("""COMPUTED_VALUE"""),"Oualagué")</f>
        <v>Oualagué</v>
      </c>
      <c r="G2749" s="16"/>
      <c r="H2749" s="14"/>
      <c r="K2749" s="16">
        <f>IFERROR(__xludf.DUMMYFUNCTION("""COMPUTED_VALUE"""),195.0)</f>
        <v>195</v>
      </c>
      <c r="L2749" s="16"/>
      <c r="M2749" s="14"/>
    </row>
    <row r="2750">
      <c r="A2750" s="16" t="str">
        <f>IFERROR(__xludf.DUMMYFUNCTION("""COMPUTED_VALUE"""),"Sani Moussa Aboubacar")</f>
        <v>Sani Moussa Aboubacar</v>
      </c>
      <c r="B2750" s="16"/>
      <c r="C2750" s="14"/>
      <c r="F2750" s="16" t="str">
        <f>IFERROR(__xludf.DUMMYFUNCTION("""COMPUTED_VALUE"""),"Sokolé Guidan Gaba Mahalba")</f>
        <v>Sokolé Guidan Gaba Mahalba</v>
      </c>
      <c r="G2750" s="16"/>
      <c r="H2750" s="14"/>
      <c r="K2750" s="16">
        <f>IFERROR(__xludf.DUMMYFUNCTION("""COMPUTED_VALUE"""),591.0)</f>
        <v>591</v>
      </c>
      <c r="L2750" s="16"/>
      <c r="M2750" s="14"/>
    </row>
    <row r="2751">
      <c r="A2751" s="16" t="str">
        <f>IFERROR(__xludf.DUMMYFUNCTION("""COMPUTED_VALUE"""),"Sani Moussa Aboubacar")</f>
        <v>Sani Moussa Aboubacar</v>
      </c>
      <c r="B2751" s="16"/>
      <c r="C2751" s="14"/>
      <c r="F2751" s="16" t="str">
        <f>IFERROR(__xludf.DUMMYFUNCTION("""COMPUTED_VALUE"""),"Kalalé")</f>
        <v>Kalalé</v>
      </c>
      <c r="G2751" s="16"/>
      <c r="H2751" s="14"/>
      <c r="K2751" s="16">
        <f>IFERROR(__xludf.DUMMYFUNCTION("""COMPUTED_VALUE"""),1973.0)</f>
        <v>1973</v>
      </c>
      <c r="L2751" s="16"/>
      <c r="M2751" s="14"/>
    </row>
    <row r="2752">
      <c r="A2752" s="16" t="str">
        <f>IFERROR(__xludf.DUMMYFUNCTION("""COMPUTED_VALUE"""),"Sani Moussa Aboubacar")</f>
        <v>Sani Moussa Aboubacar</v>
      </c>
      <c r="B2752" s="16"/>
      <c r="C2752" s="14"/>
      <c r="F2752" s="16" t="str">
        <f>IFERROR(__xludf.DUMMYFUNCTION("""COMPUTED_VALUE"""),"Nassaraoua")</f>
        <v>Nassaraoua</v>
      </c>
      <c r="G2752" s="16"/>
      <c r="H2752" s="14"/>
      <c r="K2752" s="16">
        <f>IFERROR(__xludf.DUMMYFUNCTION("""COMPUTED_VALUE"""),1614.0)</f>
        <v>1614</v>
      </c>
      <c r="L2752" s="16"/>
      <c r="M2752" s="14"/>
    </row>
    <row r="2753">
      <c r="A2753" s="16" t="str">
        <f>IFERROR(__xludf.DUMMYFUNCTION("""COMPUTED_VALUE"""),"Sani Moussa Aboubacar")</f>
        <v>Sani Moussa Aboubacar</v>
      </c>
      <c r="B2753" s="16"/>
      <c r="C2753" s="14"/>
      <c r="F2753" s="16" t="str">
        <f>IFERROR(__xludf.DUMMYFUNCTION("""COMPUTED_VALUE"""),"Nassaraoua")</f>
        <v>Nassaraoua</v>
      </c>
      <c r="G2753" s="16"/>
      <c r="H2753" s="14"/>
      <c r="K2753" s="16">
        <f>IFERROR(__xludf.DUMMYFUNCTION("""COMPUTED_VALUE"""),395.0)</f>
        <v>395</v>
      </c>
      <c r="L2753" s="16"/>
      <c r="M2753" s="14"/>
    </row>
    <row r="2754">
      <c r="A2754" s="16" t="str">
        <f>IFERROR(__xludf.DUMMYFUNCTION("""COMPUTED_VALUE"""),"Zakari Aboubacar")</f>
        <v>Zakari Aboubacar</v>
      </c>
      <c r="B2754" s="16"/>
      <c r="C2754" s="14"/>
      <c r="F2754" s="16" t="str">
        <f>IFERROR(__xludf.DUMMYFUNCTION("""COMPUTED_VALUE"""),"Nassaraoua")</f>
        <v>Nassaraoua</v>
      </c>
      <c r="G2754" s="16"/>
      <c r="H2754" s="14"/>
      <c r="K2754" s="16">
        <f>IFERROR(__xludf.DUMMYFUNCTION("""COMPUTED_VALUE"""),338.0)</f>
        <v>338</v>
      </c>
      <c r="L2754" s="16"/>
      <c r="M2754" s="14"/>
    </row>
    <row r="2755">
      <c r="A2755" s="16" t="str">
        <f>IFERROR(__xludf.DUMMYFUNCTION("""COMPUTED_VALUE"""),"Zakari Aboubacar")</f>
        <v>Zakari Aboubacar</v>
      </c>
      <c r="B2755" s="16"/>
      <c r="C2755" s="14"/>
      <c r="F2755" s="16" t="str">
        <f>IFERROR(__xludf.DUMMYFUNCTION("""COMPUTED_VALUE"""),"Bilbis I")</f>
        <v>Bilbis I</v>
      </c>
      <c r="G2755" s="16"/>
      <c r="H2755" s="14"/>
      <c r="K2755" s="16">
        <f>IFERROR(__xludf.DUMMYFUNCTION("""COMPUTED_VALUE"""),597.0)</f>
        <v>597</v>
      </c>
      <c r="L2755" s="16"/>
      <c r="M2755" s="14"/>
    </row>
    <row r="2756">
      <c r="A2756" s="16" t="str">
        <f>IFERROR(__xludf.DUMMYFUNCTION("""COMPUTED_VALUE"""),"Zakari Aboubacar")</f>
        <v>Zakari Aboubacar</v>
      </c>
      <c r="B2756" s="16"/>
      <c r="C2756" s="14"/>
      <c r="F2756" s="16" t="str">
        <f>IFERROR(__xludf.DUMMYFUNCTION("""COMPUTED_VALUE"""),"Bilbis I")</f>
        <v>Bilbis I</v>
      </c>
      <c r="G2756" s="16"/>
      <c r="H2756" s="14"/>
      <c r="K2756" s="16">
        <f>IFERROR(__xludf.DUMMYFUNCTION("""COMPUTED_VALUE"""),244.0)</f>
        <v>244</v>
      </c>
      <c r="L2756" s="16"/>
      <c r="M2756" s="14"/>
    </row>
    <row r="2757">
      <c r="A2757" s="16" t="str">
        <f>IFERROR(__xludf.DUMMYFUNCTION("""COMPUTED_VALUE"""),"Zakari Aboubacar")</f>
        <v>Zakari Aboubacar</v>
      </c>
      <c r="B2757" s="16"/>
      <c r="C2757" s="14"/>
      <c r="F2757" s="16" t="str">
        <f>IFERROR(__xludf.DUMMYFUNCTION("""COMPUTED_VALUE"""),"Bilbis I")</f>
        <v>Bilbis I</v>
      </c>
      <c r="G2757" s="16"/>
      <c r="H2757" s="14"/>
      <c r="K2757" s="16">
        <f>IFERROR(__xludf.DUMMYFUNCTION("""COMPUTED_VALUE"""),319.0)</f>
        <v>319</v>
      </c>
      <c r="L2757" s="16"/>
      <c r="M2757" s="14"/>
    </row>
    <row r="2758">
      <c r="A2758" s="16" t="str">
        <f>IFERROR(__xludf.DUMMYFUNCTION("""COMPUTED_VALUE"""),"Zakari Aboubacar")</f>
        <v>Zakari Aboubacar</v>
      </c>
      <c r="B2758" s="16"/>
      <c r="C2758" s="14"/>
      <c r="F2758" s="16" t="str">
        <f>IFERROR(__xludf.DUMMYFUNCTION("""COMPUTED_VALUE"""),"Kolloma Baba")</f>
        <v>Kolloma Baba</v>
      </c>
      <c r="G2758" s="16"/>
      <c r="H2758" s="14"/>
      <c r="K2758" s="16">
        <f>IFERROR(__xludf.DUMMYFUNCTION("""COMPUTED_VALUE"""),406.0)</f>
        <v>406</v>
      </c>
      <c r="L2758" s="16"/>
      <c r="M2758" s="14"/>
    </row>
    <row r="2759">
      <c r="A2759" s="16" t="str">
        <f>IFERROR(__xludf.DUMMYFUNCTION("""COMPUTED_VALUE"""),"Zakari Aboubacar")</f>
        <v>Zakari Aboubacar</v>
      </c>
      <c r="B2759" s="16"/>
      <c r="C2759" s="14"/>
      <c r="F2759" s="16" t="str">
        <f>IFERROR(__xludf.DUMMYFUNCTION("""COMPUTED_VALUE"""),"Kolloma Baba")</f>
        <v>Kolloma Baba</v>
      </c>
      <c r="G2759" s="16"/>
      <c r="H2759" s="14"/>
      <c r="K2759" s="16">
        <f>IFERROR(__xludf.DUMMYFUNCTION("""COMPUTED_VALUE"""),1869.0)</f>
        <v>1869</v>
      </c>
      <c r="L2759" s="16"/>
      <c r="M2759" s="14"/>
    </row>
    <row r="2760">
      <c r="A2760" s="16" t="str">
        <f>IFERROR(__xludf.DUMMYFUNCTION("""COMPUTED_VALUE"""),"Zakari Aboubacar")</f>
        <v>Zakari Aboubacar</v>
      </c>
      <c r="B2760" s="16"/>
      <c r="C2760" s="14"/>
      <c r="F2760" s="16" t="str">
        <f>IFERROR(__xludf.DUMMYFUNCTION("""COMPUTED_VALUE"""),"Kolloma Baba")</f>
        <v>Kolloma Baba</v>
      </c>
      <c r="G2760" s="16"/>
      <c r="H2760" s="14"/>
      <c r="K2760" s="16">
        <f>IFERROR(__xludf.DUMMYFUNCTION("""COMPUTED_VALUE"""),377.0)</f>
        <v>377</v>
      </c>
      <c r="L2760" s="16"/>
      <c r="M2760" s="14"/>
    </row>
    <row r="2761">
      <c r="A2761" s="16" t="str">
        <f>IFERROR(__xludf.DUMMYFUNCTION("""COMPUTED_VALUE"""),"Zakari Aboubacar")</f>
        <v>Zakari Aboubacar</v>
      </c>
      <c r="B2761" s="16"/>
      <c r="C2761" s="14"/>
      <c r="F2761" s="16" t="str">
        <f>IFERROR(__xludf.DUMMYFUNCTION("""COMPUTED_VALUE"""),"Sabon Gari")</f>
        <v>Sabon Gari</v>
      </c>
      <c r="G2761" s="16"/>
      <c r="H2761" s="14"/>
      <c r="K2761" s="16">
        <f>IFERROR(__xludf.DUMMYFUNCTION("""COMPUTED_VALUE"""),807.0)</f>
        <v>807</v>
      </c>
      <c r="L2761" s="16"/>
      <c r="M2761" s="14"/>
    </row>
    <row r="2762">
      <c r="A2762" s="16" t="str">
        <f>IFERROR(__xludf.DUMMYFUNCTION("""COMPUTED_VALUE"""),"Zakari Aboubacar")</f>
        <v>Zakari Aboubacar</v>
      </c>
      <c r="B2762" s="16"/>
      <c r="C2762" s="14"/>
      <c r="F2762" s="16" t="str">
        <f>IFERROR(__xludf.DUMMYFUNCTION("""COMPUTED_VALUE"""),"Sabon Gari")</f>
        <v>Sabon Gari</v>
      </c>
      <c r="G2762" s="16"/>
      <c r="H2762" s="14"/>
      <c r="K2762" s="16">
        <f>IFERROR(__xludf.DUMMYFUNCTION("""COMPUTED_VALUE"""),881.0)</f>
        <v>881</v>
      </c>
      <c r="L2762" s="16"/>
      <c r="M2762" s="14"/>
    </row>
    <row r="2763">
      <c r="A2763" s="16" t="str">
        <f>IFERROR(__xludf.DUMMYFUNCTION("""COMPUTED_VALUE"""),"Zakari Aboubacar")</f>
        <v>Zakari Aboubacar</v>
      </c>
      <c r="B2763" s="16"/>
      <c r="C2763" s="14"/>
      <c r="F2763" s="16" t="str">
        <f>IFERROR(__xludf.DUMMYFUNCTION("""COMPUTED_VALUE"""),"Sabon Gari")</f>
        <v>Sabon Gari</v>
      </c>
      <c r="G2763" s="16"/>
      <c r="H2763" s="14"/>
      <c r="K2763" s="16">
        <f>IFERROR(__xludf.DUMMYFUNCTION("""COMPUTED_VALUE"""),880.0)</f>
        <v>880</v>
      </c>
      <c r="L2763" s="16"/>
      <c r="M2763" s="14"/>
    </row>
    <row r="2764">
      <c r="A2764" s="16" t="str">
        <f>IFERROR(__xludf.DUMMYFUNCTION("""COMPUTED_VALUE"""),"Zakari Aboubacar")</f>
        <v>Zakari Aboubacar</v>
      </c>
      <c r="B2764" s="16"/>
      <c r="C2764" s="14"/>
      <c r="F2764" s="16" t="str">
        <f>IFERROR(__xludf.DUMMYFUNCTION("""COMPUTED_VALUE"""),"Oualagué")</f>
        <v>Oualagué</v>
      </c>
      <c r="G2764" s="16"/>
      <c r="H2764" s="14"/>
      <c r="K2764" s="16">
        <f>IFERROR(__xludf.DUMMYFUNCTION("""COMPUTED_VALUE"""),418.0)</f>
        <v>418</v>
      </c>
      <c r="L2764" s="16"/>
      <c r="M2764" s="14"/>
    </row>
    <row r="2765">
      <c r="A2765" s="16" t="str">
        <f>IFERROR(__xludf.DUMMYFUNCTION("""COMPUTED_VALUE"""),"Zakari Aboubacar")</f>
        <v>Zakari Aboubacar</v>
      </c>
      <c r="B2765" s="16"/>
      <c r="C2765" s="14"/>
      <c r="F2765" s="16" t="str">
        <f>IFERROR(__xludf.DUMMYFUNCTION("""COMPUTED_VALUE"""),"Oualagué")</f>
        <v>Oualagué</v>
      </c>
      <c r="G2765" s="16"/>
      <c r="H2765" s="14"/>
      <c r="K2765" s="16">
        <f>IFERROR(__xludf.DUMMYFUNCTION("""COMPUTED_VALUE"""),483.0)</f>
        <v>483</v>
      </c>
      <c r="L2765" s="16"/>
      <c r="M2765" s="14"/>
    </row>
    <row r="2766">
      <c r="A2766" s="16" t="str">
        <f>IFERROR(__xludf.DUMMYFUNCTION("""COMPUTED_VALUE"""),"Zakari Aboubacar")</f>
        <v>Zakari Aboubacar</v>
      </c>
      <c r="B2766" s="16"/>
      <c r="C2766" s="14"/>
      <c r="F2766" s="16" t="str">
        <f>IFERROR(__xludf.DUMMYFUNCTION("""COMPUTED_VALUE"""),"Oualagué")</f>
        <v>Oualagué</v>
      </c>
      <c r="G2766" s="16"/>
      <c r="H2766" s="14"/>
      <c r="K2766" s="16">
        <f>IFERROR(__xludf.DUMMYFUNCTION("""COMPUTED_VALUE"""),623.0)</f>
        <v>623</v>
      </c>
      <c r="L2766" s="16"/>
      <c r="M2766" s="14"/>
    </row>
    <row r="2767">
      <c r="A2767" s="16" t="str">
        <f>IFERROR(__xludf.DUMMYFUNCTION("""COMPUTED_VALUE"""),"Hachimou Rabiou Mamoudou")</f>
        <v>Hachimou Rabiou Mamoudou</v>
      </c>
      <c r="B2767" s="16"/>
      <c r="C2767" s="14"/>
      <c r="F2767" s="16" t="str">
        <f>IFERROR(__xludf.DUMMYFUNCTION("""COMPUTED_VALUE"""),"Oualagué")</f>
        <v>Oualagué</v>
      </c>
      <c r="G2767" s="16"/>
      <c r="H2767" s="14"/>
      <c r="K2767" s="16">
        <f>IFERROR(__xludf.DUMMYFUNCTION("""COMPUTED_VALUE"""),960.0)</f>
        <v>960</v>
      </c>
      <c r="L2767" s="16"/>
      <c r="M2767" s="14"/>
    </row>
    <row r="2768">
      <c r="A2768" s="16" t="str">
        <f>IFERROR(__xludf.DUMMYFUNCTION("""COMPUTED_VALUE"""),"Hachimou Rabiou Mamoudou")</f>
        <v>Hachimou Rabiou Mamoudou</v>
      </c>
      <c r="B2768" s="16"/>
      <c r="C2768" s="14"/>
      <c r="F2768" s="16" t="str">
        <f>IFERROR(__xludf.DUMMYFUNCTION("""COMPUTED_VALUE"""),"Oualagué")</f>
        <v>Oualagué</v>
      </c>
      <c r="G2768" s="16"/>
      <c r="H2768" s="14"/>
      <c r="K2768" s="16">
        <f>IFERROR(__xludf.DUMMYFUNCTION("""COMPUTED_VALUE"""),1207.0)</f>
        <v>1207</v>
      </c>
      <c r="L2768" s="16"/>
      <c r="M2768" s="14"/>
    </row>
    <row r="2769">
      <c r="A2769" s="16" t="str">
        <f>IFERROR(__xludf.DUMMYFUNCTION("""COMPUTED_VALUE"""),"Hachimou Rabiou Mamoudou")</f>
        <v>Hachimou Rabiou Mamoudou</v>
      </c>
      <c r="B2769" s="16"/>
      <c r="C2769" s="14"/>
      <c r="F2769" s="16" t="str">
        <f>IFERROR(__xludf.DUMMYFUNCTION("""COMPUTED_VALUE"""),"Oualagué")</f>
        <v>Oualagué</v>
      </c>
      <c r="G2769" s="16"/>
      <c r="H2769" s="14"/>
      <c r="K2769" s="16">
        <f>IFERROR(__xludf.DUMMYFUNCTION("""COMPUTED_VALUE"""),1434.0)</f>
        <v>1434</v>
      </c>
      <c r="L2769" s="16"/>
      <c r="M2769" s="14"/>
    </row>
    <row r="2770">
      <c r="A2770" s="16" t="str">
        <f>IFERROR(__xludf.DUMMYFUNCTION("""COMPUTED_VALUE"""),"Hachimou Rabiou Mamoudou")</f>
        <v>Hachimou Rabiou Mamoudou</v>
      </c>
      <c r="B2770" s="16"/>
      <c r="C2770" s="14"/>
      <c r="F2770" s="16" t="str">
        <f>IFERROR(__xludf.DUMMYFUNCTION("""COMPUTED_VALUE"""),"Quartier Rouga")</f>
        <v>Quartier Rouga</v>
      </c>
      <c r="G2770" s="16"/>
      <c r="H2770" s="14"/>
      <c r="K2770" s="16">
        <f>IFERROR(__xludf.DUMMYFUNCTION("""COMPUTED_VALUE"""),316.0)</f>
        <v>316</v>
      </c>
      <c r="L2770" s="16"/>
      <c r="M2770" s="14"/>
    </row>
    <row r="2771">
      <c r="A2771" s="16" t="str">
        <f>IFERROR(__xludf.DUMMYFUNCTION("""COMPUTED_VALUE"""),"Hachimou Rabiou Mamoudou")</f>
        <v>Hachimou Rabiou Mamoudou</v>
      </c>
      <c r="B2771" s="16"/>
      <c r="C2771" s="14"/>
      <c r="F2771" s="16" t="str">
        <f>IFERROR(__xludf.DUMMYFUNCTION("""COMPUTED_VALUE"""),"Kirari")</f>
        <v>Kirari</v>
      </c>
      <c r="G2771" s="16"/>
      <c r="H2771" s="14"/>
      <c r="K2771" s="16">
        <f>IFERROR(__xludf.DUMMYFUNCTION("""COMPUTED_VALUE"""),729.0)</f>
        <v>729</v>
      </c>
      <c r="L2771" s="16"/>
      <c r="M2771" s="14"/>
    </row>
    <row r="2772">
      <c r="A2772" s="16" t="str">
        <f>IFERROR(__xludf.DUMMYFUNCTION("""COMPUTED_VALUE"""),"Hachimou Rabiou Mamoudou")</f>
        <v>Hachimou Rabiou Mamoudou</v>
      </c>
      <c r="B2772" s="16"/>
      <c r="C2772" s="14"/>
      <c r="F2772" s="16" t="str">
        <f>IFERROR(__xludf.DUMMYFUNCTION("""COMPUTED_VALUE"""),"Kirari")</f>
        <v>Kirari</v>
      </c>
      <c r="G2772" s="16"/>
      <c r="H2772" s="14"/>
      <c r="K2772" s="16">
        <f>IFERROR(__xludf.DUMMYFUNCTION("""COMPUTED_VALUE"""),277.0)</f>
        <v>277</v>
      </c>
      <c r="L2772" s="16"/>
      <c r="M2772" s="14"/>
    </row>
    <row r="2773">
      <c r="A2773" s="16" t="str">
        <f>IFERROR(__xludf.DUMMYFUNCTION("""COMPUTED_VALUE"""),"Ouhoumoudou Djannou Ibrahim")</f>
        <v>Ouhoumoudou Djannou Ibrahim</v>
      </c>
      <c r="B2773" s="16"/>
      <c r="C2773" s="14"/>
      <c r="F2773" s="16" t="str">
        <f>IFERROR(__xludf.DUMMYFUNCTION("""COMPUTED_VALUE"""),"Kirari")</f>
        <v>Kirari</v>
      </c>
      <c r="G2773" s="16"/>
      <c r="H2773" s="14"/>
      <c r="K2773" s="16">
        <f>IFERROR(__xludf.DUMMYFUNCTION("""COMPUTED_VALUE"""),310.0)</f>
        <v>310</v>
      </c>
      <c r="L2773" s="16"/>
      <c r="M2773" s="14"/>
    </row>
    <row r="2774">
      <c r="A2774" s="16" t="str">
        <f>IFERROR(__xludf.DUMMYFUNCTION("""COMPUTED_VALUE"""),"Ouhoumoudou Djannou Ibrahim")</f>
        <v>Ouhoumoudou Djannou Ibrahim</v>
      </c>
      <c r="B2774" s="16"/>
      <c r="C2774" s="14"/>
      <c r="F2774" s="16" t="str">
        <f>IFERROR(__xludf.DUMMYFUNCTION("""COMPUTED_VALUE"""),"Quartier Rouga")</f>
        <v>Quartier Rouga</v>
      </c>
      <c r="G2774" s="16"/>
      <c r="H2774" s="14"/>
      <c r="K2774" s="16">
        <f>IFERROR(__xludf.DUMMYFUNCTION("""COMPUTED_VALUE"""),585.0)</f>
        <v>585</v>
      </c>
      <c r="L2774" s="16"/>
      <c r="M2774" s="14"/>
    </row>
    <row r="2775">
      <c r="A2775" s="16" t="str">
        <f>IFERROR(__xludf.DUMMYFUNCTION("""COMPUTED_VALUE"""),"Ouhoumoudou Djannou Ibrahim")</f>
        <v>Ouhoumoudou Djannou Ibrahim</v>
      </c>
      <c r="B2775" s="16"/>
      <c r="C2775" s="14"/>
      <c r="F2775" s="16" t="str">
        <f>IFERROR(__xludf.DUMMYFUNCTION("""COMPUTED_VALUE"""),"Quartier Rouga")</f>
        <v>Quartier Rouga</v>
      </c>
      <c r="G2775" s="16"/>
      <c r="H2775" s="14"/>
      <c r="K2775" s="16">
        <f>IFERROR(__xludf.DUMMYFUNCTION("""COMPUTED_VALUE"""),398.0)</f>
        <v>398</v>
      </c>
      <c r="L2775" s="16"/>
      <c r="M2775" s="14"/>
    </row>
    <row r="2776">
      <c r="A2776" s="16" t="str">
        <f>IFERROR(__xludf.DUMMYFUNCTION("""COMPUTED_VALUE"""),"Ouhoumoudou Djannou Ibrahim")</f>
        <v>Ouhoumoudou Djannou Ibrahim</v>
      </c>
      <c r="B2776" s="16"/>
      <c r="C2776" s="14"/>
      <c r="F2776" s="16" t="str">
        <f>IFERROR(__xludf.DUMMYFUNCTION("""COMPUTED_VALUE"""),"Oualagué")</f>
        <v>Oualagué</v>
      </c>
      <c r="G2776" s="16"/>
      <c r="H2776" s="14"/>
      <c r="K2776" s="16">
        <f>IFERROR(__xludf.DUMMYFUNCTION("""COMPUTED_VALUE"""),1597.0)</f>
        <v>1597</v>
      </c>
      <c r="L2776" s="16"/>
      <c r="M2776" s="14"/>
    </row>
    <row r="2777">
      <c r="A2777" s="16" t="str">
        <f>IFERROR(__xludf.DUMMYFUNCTION("""COMPUTED_VALUE"""),"Ouhoumoudou Djannou Ibrahim")</f>
        <v>Ouhoumoudou Djannou Ibrahim</v>
      </c>
      <c r="B2777" s="16"/>
      <c r="C2777" s="14"/>
      <c r="F2777" s="16" t="str">
        <f>IFERROR(__xludf.DUMMYFUNCTION("""COMPUTED_VALUE"""),"Oualagué")</f>
        <v>Oualagué</v>
      </c>
      <c r="G2777" s="16"/>
      <c r="H2777" s="14"/>
      <c r="K2777" s="16">
        <f>IFERROR(__xludf.DUMMYFUNCTION("""COMPUTED_VALUE"""),392.0)</f>
        <v>392</v>
      </c>
      <c r="L2777" s="16"/>
      <c r="M2777" s="14"/>
    </row>
    <row r="2778">
      <c r="A2778" s="16" t="str">
        <f>IFERROR(__xludf.DUMMYFUNCTION("""COMPUTED_VALUE"""),"Ouhoumoudou Djannou Ibrahim")</f>
        <v>Ouhoumoudou Djannou Ibrahim</v>
      </c>
      <c r="B2778" s="16"/>
      <c r="C2778" s="14"/>
      <c r="F2778" s="16" t="str">
        <f>IFERROR(__xludf.DUMMYFUNCTION("""COMPUTED_VALUE"""),"Angar (illikan)")</f>
        <v>Angar (illikan)</v>
      </c>
      <c r="G2778" s="16"/>
      <c r="H2778" s="14"/>
      <c r="K2778" s="16">
        <f>IFERROR(__xludf.DUMMYFUNCTION("""COMPUTED_VALUE"""),878.0)</f>
        <v>878</v>
      </c>
      <c r="L2778" s="16"/>
      <c r="M2778" s="14"/>
    </row>
    <row r="2779">
      <c r="A2779" s="16" t="str">
        <f>IFERROR(__xludf.DUMMYFUNCTION("""COMPUTED_VALUE"""),"Ouhoumoudou Djannou Ibrahim")</f>
        <v>Ouhoumoudou Djannou Ibrahim</v>
      </c>
      <c r="B2779" s="16"/>
      <c r="C2779" s="14"/>
      <c r="F2779" s="16" t="str">
        <f>IFERROR(__xludf.DUMMYFUNCTION("""COMPUTED_VALUE"""),"Angar (illikan)")</f>
        <v>Angar (illikan)</v>
      </c>
      <c r="G2779" s="16"/>
      <c r="H2779" s="14"/>
      <c r="K2779" s="16">
        <f>IFERROR(__xludf.DUMMYFUNCTION("""COMPUTED_VALUE"""),1986.0)</f>
        <v>1986</v>
      </c>
      <c r="L2779" s="16"/>
      <c r="M2779" s="14"/>
    </row>
    <row r="2780">
      <c r="A2780" s="16" t="str">
        <f>IFERROR(__xludf.DUMMYFUNCTION("""COMPUTED_VALUE"""),"Moumouni Adamou Yahaya")</f>
        <v>Moumouni Adamou Yahaya</v>
      </c>
      <c r="B2780" s="16"/>
      <c r="C2780" s="14"/>
      <c r="F2780" s="16" t="str">
        <f>IFERROR(__xludf.DUMMYFUNCTION("""COMPUTED_VALUE"""),"Angar (illikan)")</f>
        <v>Angar (illikan)</v>
      </c>
      <c r="G2780" s="16"/>
      <c r="H2780" s="14"/>
      <c r="K2780" s="16">
        <f>IFERROR(__xludf.DUMMYFUNCTION("""COMPUTED_VALUE"""),905.0)</f>
        <v>905</v>
      </c>
      <c r="L2780" s="16"/>
      <c r="M2780" s="14"/>
    </row>
    <row r="2781">
      <c r="A2781" s="16" t="str">
        <f>IFERROR(__xludf.DUMMYFUNCTION("""COMPUTED_VALUE"""),"Moumouni Adamou Yahaya")</f>
        <v>Moumouni Adamou Yahaya</v>
      </c>
      <c r="B2781" s="16"/>
      <c r="C2781" s="14"/>
      <c r="F2781" s="16" t="str">
        <f>IFERROR(__xludf.DUMMYFUNCTION("""COMPUTED_VALUE"""),"Galé Gabass")</f>
        <v>Galé Gabass</v>
      </c>
      <c r="G2781" s="16"/>
      <c r="H2781" s="14"/>
      <c r="K2781" s="16">
        <f>IFERROR(__xludf.DUMMYFUNCTION("""COMPUTED_VALUE"""),355.0)</f>
        <v>355</v>
      </c>
      <c r="L2781" s="16"/>
      <c r="M2781" s="14"/>
    </row>
    <row r="2782">
      <c r="A2782" s="16" t="str">
        <f>IFERROR(__xludf.DUMMYFUNCTION("""COMPUTED_VALUE"""),"Moumouni Adamou Yahaya")</f>
        <v>Moumouni Adamou Yahaya</v>
      </c>
      <c r="B2782" s="16"/>
      <c r="C2782" s="14"/>
      <c r="F2782" s="16" t="str">
        <f>IFERROR(__xludf.DUMMYFUNCTION("""COMPUTED_VALUE"""),"Galé Gabass")</f>
        <v>Galé Gabass</v>
      </c>
      <c r="G2782" s="16"/>
      <c r="H2782" s="14"/>
      <c r="K2782" s="16">
        <f>IFERROR(__xludf.DUMMYFUNCTION("""COMPUTED_VALUE"""),1153.0)</f>
        <v>1153</v>
      </c>
      <c r="L2782" s="16"/>
      <c r="M2782" s="14"/>
    </row>
    <row r="2783">
      <c r="A2783" s="16" t="str">
        <f>IFERROR(__xludf.DUMMYFUNCTION("""COMPUTED_VALUE"""),"Mohamadou Amadou")</f>
        <v>Mohamadou Amadou</v>
      </c>
      <c r="B2783" s="16"/>
      <c r="C2783" s="14"/>
      <c r="F2783" s="16" t="str">
        <f>IFERROR(__xludf.DUMMYFUNCTION("""COMPUTED_VALUE"""),"Galé Gabass")</f>
        <v>Galé Gabass</v>
      </c>
      <c r="G2783" s="16"/>
      <c r="H2783" s="14"/>
      <c r="K2783" s="16">
        <f>IFERROR(__xludf.DUMMYFUNCTION("""COMPUTED_VALUE"""),398.0)</f>
        <v>398</v>
      </c>
      <c r="L2783" s="16"/>
      <c r="M2783" s="14"/>
    </row>
    <row r="2784">
      <c r="A2784" s="16" t="str">
        <f>IFERROR(__xludf.DUMMYFUNCTION("""COMPUTED_VALUE"""),"Mohamadou Amadou")</f>
        <v>Mohamadou Amadou</v>
      </c>
      <c r="B2784" s="16"/>
      <c r="C2784" s="14"/>
      <c r="F2784" s="16" t="str">
        <f>IFERROR(__xludf.DUMMYFUNCTION("""COMPUTED_VALUE"""),"Intchimia 1")</f>
        <v>Intchimia 1</v>
      </c>
      <c r="G2784" s="16"/>
      <c r="H2784" s="14"/>
      <c r="K2784" s="16">
        <f>IFERROR(__xludf.DUMMYFUNCTION("""COMPUTED_VALUE"""),322.0)</f>
        <v>322</v>
      </c>
      <c r="L2784" s="16"/>
      <c r="M2784" s="14"/>
    </row>
    <row r="2785">
      <c r="A2785" s="16" t="str">
        <f>IFERROR(__xludf.DUMMYFUNCTION("""COMPUTED_VALUE"""),"Mohamadou Amadou")</f>
        <v>Mohamadou Amadou</v>
      </c>
      <c r="B2785" s="16"/>
      <c r="C2785" s="14"/>
      <c r="F2785" s="16" t="str">
        <f>IFERROR(__xludf.DUMMYFUNCTION("""COMPUTED_VALUE"""),"Intchimia 1")</f>
        <v>Intchimia 1</v>
      </c>
      <c r="G2785" s="16"/>
      <c r="H2785" s="14"/>
      <c r="K2785" s="16">
        <f>IFERROR(__xludf.DUMMYFUNCTION("""COMPUTED_VALUE"""),573.0)</f>
        <v>573</v>
      </c>
      <c r="L2785" s="16"/>
      <c r="M2785" s="14"/>
    </row>
    <row r="2786">
      <c r="A2786" s="16" t="str">
        <f>IFERROR(__xludf.DUMMYFUNCTION("""COMPUTED_VALUE"""),"Mohamadou Amadou")</f>
        <v>Mohamadou Amadou</v>
      </c>
      <c r="B2786" s="16"/>
      <c r="C2786" s="14"/>
      <c r="F2786" s="16" t="str">
        <f>IFERROR(__xludf.DUMMYFUNCTION("""COMPUTED_VALUE"""),"Intchimia 1")</f>
        <v>Intchimia 1</v>
      </c>
      <c r="G2786" s="16"/>
      <c r="H2786" s="14"/>
      <c r="K2786" s="16">
        <f>IFERROR(__xludf.DUMMYFUNCTION("""COMPUTED_VALUE"""),656.0)</f>
        <v>656</v>
      </c>
      <c r="L2786" s="16"/>
      <c r="M2786" s="14"/>
    </row>
    <row r="2787">
      <c r="A2787" s="16" t="str">
        <f>IFERROR(__xludf.DUMMYFUNCTION("""COMPUTED_VALUE"""),"Mohamadou Amadou")</f>
        <v>Mohamadou Amadou</v>
      </c>
      <c r="B2787" s="16"/>
      <c r="C2787" s="14"/>
      <c r="F2787" s="16" t="str">
        <f>IFERROR(__xludf.DUMMYFUNCTION("""COMPUTED_VALUE"""),"Angar (illikan)")</f>
        <v>Angar (illikan)</v>
      </c>
      <c r="G2787" s="16"/>
      <c r="H2787" s="14"/>
      <c r="K2787" s="16">
        <f>IFERROR(__xludf.DUMMYFUNCTION("""COMPUTED_VALUE"""),223.0)</f>
        <v>223</v>
      </c>
      <c r="L2787" s="16"/>
      <c r="M2787" s="14"/>
    </row>
    <row r="2788">
      <c r="A2788" s="16" t="str">
        <f>IFERROR(__xludf.DUMMYFUNCTION("""COMPUTED_VALUE"""),"Mohamadou Amadou")</f>
        <v>Mohamadou Amadou</v>
      </c>
      <c r="B2788" s="16"/>
      <c r="C2788" s="14"/>
      <c r="F2788" s="16" t="str">
        <f>IFERROR(__xludf.DUMMYFUNCTION("""COMPUTED_VALUE"""),"Angar (illikan)")</f>
        <v>Angar (illikan)</v>
      </c>
      <c r="G2788" s="16"/>
      <c r="H2788" s="14"/>
      <c r="K2788" s="16">
        <f>IFERROR(__xludf.DUMMYFUNCTION("""COMPUTED_VALUE"""),818.0)</f>
        <v>818</v>
      </c>
      <c r="L2788" s="16"/>
      <c r="M2788" s="14"/>
    </row>
    <row r="2789">
      <c r="A2789" s="16" t="str">
        <f>IFERROR(__xludf.DUMMYFUNCTION("""COMPUTED_VALUE"""),"Mohamadou Amadou")</f>
        <v>Mohamadou Amadou</v>
      </c>
      <c r="B2789" s="16"/>
      <c r="C2789" s="14"/>
      <c r="F2789" s="16" t="str">
        <f>IFERROR(__xludf.DUMMYFUNCTION("""COMPUTED_VALUE"""),"Angar (illikan)")</f>
        <v>Angar (illikan)</v>
      </c>
      <c r="G2789" s="16"/>
      <c r="H2789" s="14"/>
      <c r="K2789" s="16">
        <f>IFERROR(__xludf.DUMMYFUNCTION("""COMPUTED_VALUE"""),644.0)</f>
        <v>644</v>
      </c>
      <c r="L2789" s="16"/>
      <c r="M2789" s="14"/>
    </row>
    <row r="2790">
      <c r="A2790" s="16" t="str">
        <f>IFERROR(__xludf.DUMMYFUNCTION("""COMPUTED_VALUE"""),"Mohamadou Amadou")</f>
        <v>Mohamadou Amadou</v>
      </c>
      <c r="B2790" s="16"/>
      <c r="C2790" s="14"/>
      <c r="F2790" s="16" t="str">
        <f>IFERROR(__xludf.DUMMYFUNCTION("""COMPUTED_VALUE"""),"Angar (illikan)")</f>
        <v>Angar (illikan)</v>
      </c>
      <c r="G2790" s="16"/>
      <c r="H2790" s="14"/>
      <c r="K2790" s="16">
        <f>IFERROR(__xludf.DUMMYFUNCTION("""COMPUTED_VALUE"""),436.0)</f>
        <v>436</v>
      </c>
      <c r="L2790" s="16"/>
      <c r="M2790" s="14"/>
    </row>
    <row r="2791">
      <c r="A2791" s="16" t="str">
        <f>IFERROR(__xludf.DUMMYFUNCTION("""COMPUTED_VALUE"""),"Mohamadou Amadou")</f>
        <v>Mohamadou Amadou</v>
      </c>
      <c r="B2791" s="16"/>
      <c r="C2791" s="14"/>
      <c r="F2791" s="16" t="str">
        <f>IFERROR(__xludf.DUMMYFUNCTION("""COMPUTED_VALUE"""),"Angar (illikan)")</f>
        <v>Angar (illikan)</v>
      </c>
      <c r="G2791" s="16"/>
      <c r="H2791" s="14"/>
      <c r="K2791" s="16">
        <f>IFERROR(__xludf.DUMMYFUNCTION("""COMPUTED_VALUE"""),732.0)</f>
        <v>732</v>
      </c>
      <c r="L2791" s="16"/>
      <c r="M2791" s="14"/>
    </row>
    <row r="2792">
      <c r="A2792" s="16" t="str">
        <f>IFERROR(__xludf.DUMMYFUNCTION("""COMPUTED_VALUE"""),"Moumouni Adamou Yahaya")</f>
        <v>Moumouni Adamou Yahaya</v>
      </c>
      <c r="B2792" s="16"/>
      <c r="C2792" s="14"/>
      <c r="F2792" s="16" t="str">
        <f>IFERROR(__xludf.DUMMYFUNCTION("""COMPUTED_VALUE"""),"Intchimia 1")</f>
        <v>Intchimia 1</v>
      </c>
      <c r="G2792" s="16"/>
      <c r="H2792" s="14"/>
      <c r="K2792" s="16">
        <f>IFERROR(__xludf.DUMMYFUNCTION("""COMPUTED_VALUE"""),743.0)</f>
        <v>743</v>
      </c>
      <c r="L2792" s="16"/>
      <c r="M2792" s="14"/>
    </row>
    <row r="2793">
      <c r="A2793" s="16" t="str">
        <f>IFERROR(__xludf.DUMMYFUNCTION("""COMPUTED_VALUE"""),"Abdoul Salami Ibrahim")</f>
        <v>Abdoul Salami Ibrahim</v>
      </c>
      <c r="B2793" s="16"/>
      <c r="C2793" s="14"/>
      <c r="F2793" s="16" t="str">
        <f>IFERROR(__xludf.DUMMYFUNCTION("""COMPUTED_VALUE"""),"Intchimia 1")</f>
        <v>Intchimia 1</v>
      </c>
      <c r="G2793" s="16"/>
      <c r="H2793" s="14"/>
      <c r="K2793" s="16">
        <f>IFERROR(__xludf.DUMMYFUNCTION("""COMPUTED_VALUE"""),610.0)</f>
        <v>610</v>
      </c>
      <c r="L2793" s="16"/>
      <c r="M2793" s="14"/>
    </row>
    <row r="2794">
      <c r="A2794" s="16" t="str">
        <f>IFERROR(__xludf.DUMMYFUNCTION("""COMPUTED_VALUE"""),"Inoussa Balkissou")</f>
        <v>Inoussa Balkissou</v>
      </c>
      <c r="B2794" s="16"/>
      <c r="C2794" s="14"/>
      <c r="F2794" s="16" t="str">
        <f>IFERROR(__xludf.DUMMYFUNCTION("""COMPUTED_VALUE"""),"Intchimia 1")</f>
        <v>Intchimia 1</v>
      </c>
      <c r="G2794" s="16"/>
      <c r="H2794" s="14"/>
      <c r="K2794" s="16">
        <f>IFERROR(__xludf.DUMMYFUNCTION("""COMPUTED_VALUE"""),718.0)</f>
        <v>718</v>
      </c>
      <c r="L2794" s="16"/>
      <c r="M2794" s="14"/>
    </row>
    <row r="2795">
      <c r="A2795" s="16" t="str">
        <f>IFERROR(__xludf.DUMMYFUNCTION("""COMPUTED_VALUE"""),"Inoussa Balkissou")</f>
        <v>Inoussa Balkissou</v>
      </c>
      <c r="B2795" s="16"/>
      <c r="C2795" s="14"/>
      <c r="F2795" s="16" t="str">
        <f>IFERROR(__xludf.DUMMYFUNCTION("""COMPUTED_VALUE"""),"Intchimia 1")</f>
        <v>Intchimia 1</v>
      </c>
      <c r="G2795" s="16"/>
      <c r="H2795" s="14"/>
      <c r="K2795" s="16">
        <f>IFERROR(__xludf.DUMMYFUNCTION("""COMPUTED_VALUE"""),265.0)</f>
        <v>265</v>
      </c>
      <c r="L2795" s="16"/>
      <c r="M2795" s="14"/>
    </row>
    <row r="2796">
      <c r="A2796" s="16" t="str">
        <f>IFERROR(__xludf.DUMMYFUNCTION("""COMPUTED_VALUE"""),"Inoussa Balkissou")</f>
        <v>Inoussa Balkissou</v>
      </c>
      <c r="B2796" s="16"/>
      <c r="C2796" s="14"/>
      <c r="F2796" s="16" t="str">
        <f>IFERROR(__xludf.DUMMYFUNCTION("""COMPUTED_VALUE"""),"Sokolé Guidan Gaba Mahalba")</f>
        <v>Sokolé Guidan Gaba Mahalba</v>
      </c>
      <c r="G2796" s="16"/>
      <c r="H2796" s="14"/>
      <c r="K2796" s="16">
        <f>IFERROR(__xludf.DUMMYFUNCTION("""COMPUTED_VALUE"""),2817.0)</f>
        <v>2817</v>
      </c>
      <c r="L2796" s="16"/>
      <c r="M2796" s="14"/>
    </row>
    <row r="2797">
      <c r="A2797" s="16" t="str">
        <f>IFERROR(__xludf.DUMMYFUNCTION("""COMPUTED_VALUE"""),"Inoussa Balkissou")</f>
        <v>Inoussa Balkissou</v>
      </c>
      <c r="B2797" s="16"/>
      <c r="C2797" s="14"/>
      <c r="F2797" s="16" t="str">
        <f>IFERROR(__xludf.DUMMYFUNCTION("""COMPUTED_VALUE"""),"Intchimia 1")</f>
        <v>Intchimia 1</v>
      </c>
      <c r="G2797" s="16"/>
      <c r="H2797" s="14"/>
      <c r="K2797" s="16">
        <f>IFERROR(__xludf.DUMMYFUNCTION("""COMPUTED_VALUE"""),265.0)</f>
        <v>265</v>
      </c>
      <c r="L2797" s="16"/>
      <c r="M2797" s="14"/>
    </row>
    <row r="2798">
      <c r="A2798" s="16" t="str">
        <f>IFERROR(__xludf.DUMMYFUNCTION("""COMPUTED_VALUE"""),"Mohamadou Amadou")</f>
        <v>Mohamadou Amadou</v>
      </c>
      <c r="B2798" s="16"/>
      <c r="C2798" s="14"/>
      <c r="F2798" s="16" t="str">
        <f>IFERROR(__xludf.DUMMYFUNCTION("""COMPUTED_VALUE"""),"Intchimia 1")</f>
        <v>Intchimia 1</v>
      </c>
      <c r="G2798" s="16"/>
      <c r="H2798" s="14"/>
      <c r="K2798" s="16">
        <f>IFERROR(__xludf.DUMMYFUNCTION("""COMPUTED_VALUE"""),295.0)</f>
        <v>295</v>
      </c>
      <c r="L2798" s="16"/>
      <c r="M2798" s="14"/>
    </row>
    <row r="2799">
      <c r="A2799" s="16" t="str">
        <f>IFERROR(__xludf.DUMMYFUNCTION("""COMPUTED_VALUE"""),"Mohamadou Amadou")</f>
        <v>Mohamadou Amadou</v>
      </c>
      <c r="B2799" s="16"/>
      <c r="C2799" s="14"/>
      <c r="F2799" s="16" t="str">
        <f>IFERROR(__xludf.DUMMYFUNCTION("""COMPUTED_VALUE"""),"Intchimia 1")</f>
        <v>Intchimia 1</v>
      </c>
      <c r="G2799" s="16"/>
      <c r="H2799" s="14"/>
      <c r="K2799" s="16">
        <f>IFERROR(__xludf.DUMMYFUNCTION("""COMPUTED_VALUE"""),268.0)</f>
        <v>268</v>
      </c>
      <c r="L2799" s="16"/>
      <c r="M2799" s="14"/>
    </row>
    <row r="2800">
      <c r="A2800" s="16" t="str">
        <f>IFERROR(__xludf.DUMMYFUNCTION("""COMPUTED_VALUE"""),"Saddy Youssouf")</f>
        <v>Saddy Youssouf</v>
      </c>
      <c r="B2800" s="16"/>
      <c r="C2800" s="14"/>
      <c r="F2800" s="16" t="str">
        <f>IFERROR(__xludf.DUMMYFUNCTION("""COMPUTED_VALUE"""),"Intchimia 1")</f>
        <v>Intchimia 1</v>
      </c>
      <c r="G2800" s="16"/>
      <c r="H2800" s="14"/>
      <c r="K2800" s="16">
        <f>IFERROR(__xludf.DUMMYFUNCTION("""COMPUTED_VALUE"""),320.0)</f>
        <v>320</v>
      </c>
      <c r="L2800" s="16"/>
      <c r="M2800" s="14"/>
    </row>
    <row r="2801">
      <c r="A2801" s="16" t="str">
        <f>IFERROR(__xludf.DUMMYFUNCTION("""COMPUTED_VALUE"""),"Saddy Youssouf")</f>
        <v>Saddy Youssouf</v>
      </c>
      <c r="B2801" s="16"/>
      <c r="C2801" s="14"/>
      <c r="F2801" s="16" t="str">
        <f>IFERROR(__xludf.DUMMYFUNCTION("""COMPUTED_VALUE"""),"Quartier Idewaran Zango")</f>
        <v>Quartier Idewaran Zango</v>
      </c>
      <c r="G2801" s="16"/>
      <c r="H2801" s="14"/>
      <c r="K2801" s="16">
        <f>IFERROR(__xludf.DUMMYFUNCTION("""COMPUTED_VALUE"""),528.0)</f>
        <v>528</v>
      </c>
      <c r="L2801" s="16"/>
      <c r="M2801" s="14"/>
    </row>
    <row r="2802">
      <c r="A2802" s="16" t="str">
        <f>IFERROR(__xludf.DUMMYFUNCTION("""COMPUTED_VALUE"""),"Saddy Youssouf")</f>
        <v>Saddy Youssouf</v>
      </c>
      <c r="B2802" s="16"/>
      <c r="C2802" s="14"/>
      <c r="F2802" s="16" t="str">
        <f>IFERROR(__xludf.DUMMYFUNCTION("""COMPUTED_VALUE"""),"Chin Galé (Idiki)")</f>
        <v>Chin Galé (Idiki)</v>
      </c>
      <c r="G2802" s="16"/>
      <c r="H2802" s="14"/>
      <c r="K2802" s="16">
        <f>IFERROR(__xludf.DUMMYFUNCTION("""COMPUTED_VALUE"""),1047.0)</f>
        <v>1047</v>
      </c>
      <c r="L2802" s="16"/>
      <c r="M2802" s="14"/>
    </row>
    <row r="2803">
      <c r="A2803" s="16" t="str">
        <f>IFERROR(__xludf.DUMMYFUNCTION("""COMPUTED_VALUE"""),"Saddy Youssouf")</f>
        <v>Saddy Youssouf</v>
      </c>
      <c r="B2803" s="16"/>
      <c r="C2803" s="14"/>
      <c r="F2803" s="16" t="str">
        <f>IFERROR(__xludf.DUMMYFUNCTION("""COMPUTED_VALUE"""),"Intchimia 1")</f>
        <v>Intchimia 1</v>
      </c>
      <c r="G2803" s="16"/>
      <c r="H2803" s="14"/>
      <c r="K2803" s="16">
        <f>IFERROR(__xludf.DUMMYFUNCTION("""COMPUTED_VALUE"""),310.0)</f>
        <v>310</v>
      </c>
      <c r="L2803" s="16"/>
      <c r="M2803" s="14"/>
    </row>
    <row r="2804">
      <c r="A2804" s="16" t="str">
        <f>IFERROR(__xludf.DUMMYFUNCTION("""COMPUTED_VALUE"""),"Mathieu Alphonse Rachida Juliette")</f>
        <v>Mathieu Alphonse Rachida Juliette</v>
      </c>
      <c r="B2804" s="16"/>
      <c r="C2804" s="14"/>
      <c r="F2804" s="16" t="str">
        <f>IFERROR(__xludf.DUMMYFUNCTION("""COMPUTED_VALUE"""),"Intchimia 1")</f>
        <v>Intchimia 1</v>
      </c>
      <c r="G2804" s="16"/>
      <c r="H2804" s="14"/>
      <c r="K2804" s="16">
        <f>IFERROR(__xludf.DUMMYFUNCTION("""COMPUTED_VALUE"""),281.0)</f>
        <v>281</v>
      </c>
      <c r="L2804" s="16"/>
      <c r="M2804" s="14"/>
    </row>
    <row r="2805">
      <c r="A2805" s="16" t="str">
        <f>IFERROR(__xludf.DUMMYFUNCTION("""COMPUTED_VALUE"""),"Mathieu Alphonse Rachida Juliette")</f>
        <v>Mathieu Alphonse Rachida Juliette</v>
      </c>
      <c r="B2805" s="16"/>
      <c r="C2805" s="14"/>
      <c r="F2805" s="16" t="str">
        <f>IFERROR(__xludf.DUMMYFUNCTION("""COMPUTED_VALUE"""),"Intchimia 1")</f>
        <v>Intchimia 1</v>
      </c>
      <c r="G2805" s="16"/>
      <c r="H2805" s="14"/>
      <c r="K2805" s="16">
        <f>IFERROR(__xludf.DUMMYFUNCTION("""COMPUTED_VALUE"""),381.0)</f>
        <v>381</v>
      </c>
      <c r="L2805" s="16"/>
      <c r="M2805" s="14"/>
    </row>
    <row r="2806">
      <c r="A2806" s="16" t="str">
        <f>IFERROR(__xludf.DUMMYFUNCTION("""COMPUTED_VALUE"""),"Mathieu Alphonse Rachida Juliette")</f>
        <v>Mathieu Alphonse Rachida Juliette</v>
      </c>
      <c r="B2806" s="16"/>
      <c r="C2806" s="14"/>
      <c r="F2806" s="16" t="str">
        <f>IFERROR(__xludf.DUMMYFUNCTION("""COMPUTED_VALUE"""),"Intchimia 1")</f>
        <v>Intchimia 1</v>
      </c>
      <c r="G2806" s="16"/>
      <c r="H2806" s="14"/>
      <c r="K2806" s="16">
        <f>IFERROR(__xludf.DUMMYFUNCTION("""COMPUTED_VALUE"""),994.0)</f>
        <v>994</v>
      </c>
      <c r="L2806" s="16"/>
      <c r="M2806" s="14"/>
    </row>
    <row r="2807">
      <c r="A2807" s="16" t="str">
        <f>IFERROR(__xludf.DUMMYFUNCTION("""COMPUTED_VALUE"""),"Mathieu Alphonse Rachida Juliette")</f>
        <v>Mathieu Alphonse Rachida Juliette</v>
      </c>
      <c r="B2807" s="16"/>
      <c r="C2807" s="14"/>
      <c r="F2807" s="16" t="str">
        <f>IFERROR(__xludf.DUMMYFUNCTION("""COMPUTED_VALUE"""),"Chin Galé (Idiki)")</f>
        <v>Chin Galé (Idiki)</v>
      </c>
      <c r="G2807" s="16"/>
      <c r="H2807" s="14"/>
      <c r="K2807" s="16">
        <f>IFERROR(__xludf.DUMMYFUNCTION("""COMPUTED_VALUE"""),304.0)</f>
        <v>304</v>
      </c>
      <c r="L2807" s="16"/>
      <c r="M2807" s="14"/>
    </row>
    <row r="2808">
      <c r="A2808" s="16" t="str">
        <f>IFERROR(__xludf.DUMMYFUNCTION("""COMPUTED_VALUE"""),"Mathieu Alphonse Rachida Juliette")</f>
        <v>Mathieu Alphonse Rachida Juliette</v>
      </c>
      <c r="B2808" s="16"/>
      <c r="C2808" s="14"/>
      <c r="F2808" s="16" t="str">
        <f>IFERROR(__xludf.DUMMYFUNCTION("""COMPUTED_VALUE"""),"Chin Galé (Idiki)")</f>
        <v>Chin Galé (Idiki)</v>
      </c>
      <c r="G2808" s="16"/>
      <c r="H2808" s="14"/>
      <c r="K2808" s="16">
        <f>IFERROR(__xludf.DUMMYFUNCTION("""COMPUTED_VALUE"""),643.0)</f>
        <v>643</v>
      </c>
      <c r="L2808" s="16"/>
      <c r="M2808" s="14"/>
    </row>
    <row r="2809">
      <c r="A2809" s="16" t="str">
        <f>IFERROR(__xludf.DUMMYFUNCTION("""COMPUTED_VALUE"""),"Saddy Youssouf")</f>
        <v>Saddy Youssouf</v>
      </c>
      <c r="B2809" s="16"/>
      <c r="C2809" s="14"/>
      <c r="F2809" s="16" t="str">
        <f>IFERROR(__xludf.DUMMYFUNCTION("""COMPUTED_VALUE"""),"Intchimia 1")</f>
        <v>Intchimia 1</v>
      </c>
      <c r="G2809" s="16"/>
      <c r="H2809" s="14"/>
      <c r="K2809" s="16">
        <f>IFERROR(__xludf.DUMMYFUNCTION("""COMPUTED_VALUE"""),497.0)</f>
        <v>497</v>
      </c>
      <c r="L2809" s="16"/>
      <c r="M2809" s="14"/>
    </row>
    <row r="2810">
      <c r="A2810" s="16" t="str">
        <f>IFERROR(__xludf.DUMMYFUNCTION("""COMPUTED_VALUE"""),"Saddy Youssouf")</f>
        <v>Saddy Youssouf</v>
      </c>
      <c r="B2810" s="16"/>
      <c r="C2810" s="14"/>
      <c r="F2810" s="16" t="str">
        <f>IFERROR(__xludf.DUMMYFUNCTION("""COMPUTED_VALUE"""),"Intchimia 1")</f>
        <v>Intchimia 1</v>
      </c>
      <c r="G2810" s="16"/>
      <c r="H2810" s="14"/>
      <c r="K2810" s="16">
        <f>IFERROR(__xludf.DUMMYFUNCTION("""COMPUTED_VALUE"""),730.0)</f>
        <v>730</v>
      </c>
      <c r="L2810" s="16"/>
      <c r="M2810" s="14"/>
    </row>
    <row r="2811">
      <c r="A2811" s="16" t="str">
        <f>IFERROR(__xludf.DUMMYFUNCTION("""COMPUTED_VALUE"""),"Saddy Youssouf")</f>
        <v>Saddy Youssouf</v>
      </c>
      <c r="B2811" s="16"/>
      <c r="C2811" s="14"/>
      <c r="F2811" s="16" t="str">
        <f>IFERROR(__xludf.DUMMYFUNCTION("""COMPUTED_VALUE"""),"Intchimia 1")</f>
        <v>Intchimia 1</v>
      </c>
      <c r="G2811" s="16"/>
      <c r="H2811" s="14"/>
      <c r="K2811" s="16">
        <f>IFERROR(__xludf.DUMMYFUNCTION("""COMPUTED_VALUE"""),977.0)</f>
        <v>977</v>
      </c>
      <c r="L2811" s="16"/>
      <c r="M2811" s="14"/>
    </row>
    <row r="2812">
      <c r="A2812" s="16" t="str">
        <f>IFERROR(__xludf.DUMMYFUNCTION("""COMPUTED_VALUE"""),"Saddy Youssouf")</f>
        <v>Saddy Youssouf</v>
      </c>
      <c r="B2812" s="16"/>
      <c r="C2812" s="14"/>
      <c r="F2812" s="16" t="str">
        <f>IFERROR(__xludf.DUMMYFUNCTION("""COMPUTED_VALUE"""),"Intchimia 1")</f>
        <v>Intchimia 1</v>
      </c>
      <c r="G2812" s="16"/>
      <c r="H2812" s="14"/>
      <c r="K2812" s="16">
        <f>IFERROR(__xludf.DUMMYFUNCTION("""COMPUTED_VALUE"""),1350.0)</f>
        <v>1350</v>
      </c>
      <c r="L2812" s="16"/>
      <c r="M2812" s="14"/>
    </row>
    <row r="2813">
      <c r="A2813" s="16" t="str">
        <f>IFERROR(__xludf.DUMMYFUNCTION("""COMPUTED_VALUE"""),"Mathieu Alphonse Rachida Juliette")</f>
        <v>Mathieu Alphonse Rachida Juliette</v>
      </c>
      <c r="B2813" s="16"/>
      <c r="C2813" s="14"/>
      <c r="F2813" s="16" t="str">
        <f>IFERROR(__xludf.DUMMYFUNCTION("""COMPUTED_VALUE"""),"Chin Galé (Idiki)")</f>
        <v>Chin Galé (Idiki)</v>
      </c>
      <c r="G2813" s="16"/>
      <c r="H2813" s="14"/>
      <c r="K2813" s="16">
        <f>IFERROR(__xludf.DUMMYFUNCTION("""COMPUTED_VALUE"""),269.0)</f>
        <v>269</v>
      </c>
      <c r="L2813" s="16"/>
      <c r="M2813" s="14"/>
    </row>
    <row r="2814">
      <c r="A2814" s="16" t="str">
        <f>IFERROR(__xludf.DUMMYFUNCTION("""COMPUTED_VALUE"""),"Mathieu Alphonse Rachida Juliette")</f>
        <v>Mathieu Alphonse Rachida Juliette</v>
      </c>
      <c r="B2814" s="16"/>
      <c r="C2814" s="14"/>
      <c r="F2814" s="16" t="str">
        <f>IFERROR(__xludf.DUMMYFUNCTION("""COMPUTED_VALUE"""),"Oualagué")</f>
        <v>Oualagué</v>
      </c>
      <c r="G2814" s="16"/>
      <c r="H2814" s="14"/>
      <c r="K2814" s="16">
        <f>IFERROR(__xludf.DUMMYFUNCTION("""COMPUTED_VALUE"""),1374.0)</f>
        <v>1374</v>
      </c>
      <c r="L2814" s="16"/>
      <c r="M2814" s="14"/>
    </row>
    <row r="2815">
      <c r="A2815" s="16" t="str">
        <f>IFERROR(__xludf.DUMMYFUNCTION("""COMPUTED_VALUE"""),"Mathieu Alphonse Rachida Juliette")</f>
        <v>Mathieu Alphonse Rachida Juliette</v>
      </c>
      <c r="B2815" s="16"/>
      <c r="C2815" s="14"/>
      <c r="F2815" s="16" t="str">
        <f>IFERROR(__xludf.DUMMYFUNCTION("""COMPUTED_VALUE"""),"Oualagué")</f>
        <v>Oualagué</v>
      </c>
      <c r="G2815" s="16"/>
      <c r="H2815" s="14"/>
      <c r="K2815" s="16">
        <f>IFERROR(__xludf.DUMMYFUNCTION("""COMPUTED_VALUE"""),391.0)</f>
        <v>391</v>
      </c>
      <c r="L2815" s="16"/>
      <c r="M2815" s="14"/>
    </row>
    <row r="2816">
      <c r="A2816" s="16" t="str">
        <f>IFERROR(__xludf.DUMMYFUNCTION("""COMPUTED_VALUE"""),"Abdoul Salami Ibrahim")</f>
        <v>Abdoul Salami Ibrahim</v>
      </c>
      <c r="B2816" s="16"/>
      <c r="C2816" s="14"/>
      <c r="F2816" s="16" t="str">
        <f>IFERROR(__xludf.DUMMYFUNCTION("""COMPUTED_VALUE"""),"Oualagué")</f>
        <v>Oualagué</v>
      </c>
      <c r="G2816" s="16"/>
      <c r="H2816" s="14"/>
      <c r="K2816" s="16">
        <f>IFERROR(__xludf.DUMMYFUNCTION("""COMPUTED_VALUE"""),294.0)</f>
        <v>294</v>
      </c>
      <c r="L2816" s="16"/>
      <c r="M2816" s="14"/>
    </row>
    <row r="2817">
      <c r="A2817" s="16" t="str">
        <f>IFERROR(__xludf.DUMMYFUNCTION("""COMPUTED_VALUE"""),"Abdoul Salami Ibrahim")</f>
        <v>Abdoul Salami Ibrahim</v>
      </c>
      <c r="B2817" s="16"/>
      <c r="C2817" s="14"/>
      <c r="F2817" s="16" t="str">
        <f>IFERROR(__xludf.DUMMYFUNCTION("""COMPUTED_VALUE"""),"Oualagué")</f>
        <v>Oualagué</v>
      </c>
      <c r="G2817" s="16"/>
      <c r="H2817" s="14"/>
      <c r="K2817" s="16">
        <f>IFERROR(__xludf.DUMMYFUNCTION("""COMPUTED_VALUE"""),1286.0)</f>
        <v>1286</v>
      </c>
      <c r="L2817" s="16"/>
      <c r="M2817" s="14"/>
    </row>
    <row r="2818">
      <c r="A2818" s="16" t="str">
        <f>IFERROR(__xludf.DUMMYFUNCTION("""COMPUTED_VALUE"""),"Abdoul Salami Ibrahim")</f>
        <v>Abdoul Salami Ibrahim</v>
      </c>
      <c r="B2818" s="16"/>
      <c r="C2818" s="14"/>
      <c r="F2818" s="16" t="str">
        <f>IFERROR(__xludf.DUMMYFUNCTION("""COMPUTED_VALUE"""),"Quartier Idewaran")</f>
        <v>Quartier Idewaran</v>
      </c>
      <c r="G2818" s="16"/>
      <c r="H2818" s="14"/>
      <c r="K2818" s="16">
        <f>IFERROR(__xludf.DUMMYFUNCTION("""COMPUTED_VALUE"""),328.0)</f>
        <v>328</v>
      </c>
      <c r="L2818" s="16"/>
      <c r="M2818" s="14"/>
    </row>
    <row r="2819">
      <c r="A2819" s="16" t="str">
        <f>IFERROR(__xludf.DUMMYFUNCTION("""COMPUTED_VALUE"""),"Abdoul Salami Ibrahim")</f>
        <v>Abdoul Salami Ibrahim</v>
      </c>
      <c r="B2819" s="16"/>
      <c r="C2819" s="14"/>
      <c r="F2819" s="16" t="str">
        <f>IFERROR(__xludf.DUMMYFUNCTION("""COMPUTED_VALUE"""),"Quartier Idewaran")</f>
        <v>Quartier Idewaran</v>
      </c>
      <c r="G2819" s="16"/>
      <c r="H2819" s="14"/>
      <c r="K2819" s="16">
        <f>IFERROR(__xludf.DUMMYFUNCTION("""COMPUTED_VALUE"""),1479.0)</f>
        <v>1479</v>
      </c>
      <c r="L2819" s="16"/>
      <c r="M2819" s="14"/>
    </row>
    <row r="2820">
      <c r="A2820" s="16" t="str">
        <f>IFERROR(__xludf.DUMMYFUNCTION("""COMPUTED_VALUE"""),"Abdoul Salami Ibrahim")</f>
        <v>Abdoul Salami Ibrahim</v>
      </c>
      <c r="B2820" s="16"/>
      <c r="C2820" s="14"/>
      <c r="F2820" s="16" t="str">
        <f>IFERROR(__xludf.DUMMYFUNCTION("""COMPUTED_VALUE"""),"Quartier Idewaran")</f>
        <v>Quartier Idewaran</v>
      </c>
      <c r="G2820" s="16"/>
      <c r="H2820" s="14"/>
      <c r="K2820" s="16">
        <f>IFERROR(__xludf.DUMMYFUNCTION("""COMPUTED_VALUE"""),307.0)</f>
        <v>307</v>
      </c>
      <c r="L2820" s="16"/>
      <c r="M2820" s="14"/>
    </row>
    <row r="2821">
      <c r="A2821" s="16" t="str">
        <f>IFERROR(__xludf.DUMMYFUNCTION("""COMPUTED_VALUE"""),"Mathieu Alphonse Rachida Juliette")</f>
        <v>Mathieu Alphonse Rachida Juliette</v>
      </c>
      <c r="B2821" s="16"/>
      <c r="C2821" s="14"/>
      <c r="F2821" s="16" t="str">
        <f>IFERROR(__xludf.DUMMYFUNCTION("""COMPUTED_VALUE"""),"Quartier Idewaran")</f>
        <v>Quartier Idewaran</v>
      </c>
      <c r="G2821" s="16"/>
      <c r="H2821" s="14"/>
      <c r="K2821" s="16">
        <f>IFERROR(__xludf.DUMMYFUNCTION("""COMPUTED_VALUE"""),291.0)</f>
        <v>291</v>
      </c>
      <c r="L2821" s="16"/>
      <c r="M2821" s="14"/>
    </row>
    <row r="2822">
      <c r="A2822" s="16" t="str">
        <f>IFERROR(__xludf.DUMMYFUNCTION("""COMPUTED_VALUE"""),"Mathieu Alphonse Rachida Juliette")</f>
        <v>Mathieu Alphonse Rachida Juliette</v>
      </c>
      <c r="B2822" s="16"/>
      <c r="C2822" s="14"/>
      <c r="F2822" s="16" t="str">
        <f>IFERROR(__xludf.DUMMYFUNCTION("""COMPUTED_VALUE"""),"Quartier Idewaran Zango")</f>
        <v>Quartier Idewaran Zango</v>
      </c>
      <c r="G2822" s="16"/>
      <c r="H2822" s="14"/>
      <c r="K2822" s="16">
        <f>IFERROR(__xludf.DUMMYFUNCTION("""COMPUTED_VALUE"""),285.0)</f>
        <v>285</v>
      </c>
      <c r="L2822" s="16"/>
      <c r="M2822" s="14"/>
    </row>
    <row r="2823">
      <c r="A2823" s="16" t="str">
        <f>IFERROR(__xludf.DUMMYFUNCTION("""COMPUTED_VALUE"""),"Mathieu Alphonse Rachida Juliette")</f>
        <v>Mathieu Alphonse Rachida Juliette</v>
      </c>
      <c r="B2823" s="16"/>
      <c r="C2823" s="14"/>
      <c r="F2823" s="16" t="str">
        <f>IFERROR(__xludf.DUMMYFUNCTION("""COMPUTED_VALUE"""),"Quartier Idewaran Zango")</f>
        <v>Quartier Idewaran Zango</v>
      </c>
      <c r="G2823" s="16"/>
      <c r="H2823" s="14"/>
      <c r="K2823" s="16">
        <f>IFERROR(__xludf.DUMMYFUNCTION("""COMPUTED_VALUE"""),295.0)</f>
        <v>295</v>
      </c>
      <c r="L2823" s="16"/>
      <c r="M2823" s="14"/>
    </row>
    <row r="2824">
      <c r="A2824" s="16" t="str">
        <f>IFERROR(__xludf.DUMMYFUNCTION("""COMPUTED_VALUE"""),"Mathieu Alphonse Rachida Juliette")</f>
        <v>Mathieu Alphonse Rachida Juliette</v>
      </c>
      <c r="B2824" s="16"/>
      <c r="C2824" s="14"/>
      <c r="F2824" s="16" t="str">
        <f>IFERROR(__xludf.DUMMYFUNCTION("""COMPUTED_VALUE"""),"Kalalé")</f>
        <v>Kalalé</v>
      </c>
      <c r="G2824" s="16"/>
      <c r="H2824" s="14"/>
      <c r="K2824" s="16">
        <f>IFERROR(__xludf.DUMMYFUNCTION("""COMPUTED_VALUE"""),308.0)</f>
        <v>308</v>
      </c>
      <c r="L2824" s="16"/>
      <c r="M2824" s="14"/>
    </row>
    <row r="2825">
      <c r="A2825" s="16" t="str">
        <f>IFERROR(__xludf.DUMMYFUNCTION("""COMPUTED_VALUE"""),"Mathieu Alphonse Rachida Juliette")</f>
        <v>Mathieu Alphonse Rachida Juliette</v>
      </c>
      <c r="B2825" s="16"/>
      <c r="C2825" s="14"/>
      <c r="F2825" s="16" t="str">
        <f>IFERROR(__xludf.DUMMYFUNCTION("""COMPUTED_VALUE"""),"Quartier Idewaran")</f>
        <v>Quartier Idewaran</v>
      </c>
      <c r="G2825" s="16"/>
      <c r="H2825" s="14"/>
      <c r="K2825" s="16">
        <f>IFERROR(__xludf.DUMMYFUNCTION("""COMPUTED_VALUE"""),1237.0)</f>
        <v>1237</v>
      </c>
      <c r="L2825" s="16"/>
      <c r="M2825" s="14"/>
    </row>
    <row r="2826">
      <c r="A2826" s="16" t="str">
        <f>IFERROR(__xludf.DUMMYFUNCTION("""COMPUTED_VALUE"""),"Moumouni Adamou Yahaya")</f>
        <v>Moumouni Adamou Yahaya</v>
      </c>
      <c r="B2826" s="16"/>
      <c r="C2826" s="14"/>
      <c r="F2826" s="16" t="str">
        <f>IFERROR(__xludf.DUMMYFUNCTION("""COMPUTED_VALUE"""),"Quartier Idewaran")</f>
        <v>Quartier Idewaran</v>
      </c>
      <c r="G2826" s="16"/>
      <c r="H2826" s="14"/>
      <c r="K2826" s="16">
        <f>IFERROR(__xludf.DUMMYFUNCTION("""COMPUTED_VALUE"""),283.0)</f>
        <v>283</v>
      </c>
      <c r="L2826" s="16"/>
      <c r="M2826" s="14"/>
    </row>
    <row r="2827">
      <c r="A2827" s="16" t="str">
        <f>IFERROR(__xludf.DUMMYFUNCTION("""COMPUTED_VALUE"""),"Mathieu Alphonse Rachida Juliette")</f>
        <v>Mathieu Alphonse Rachida Juliette</v>
      </c>
      <c r="B2827" s="16"/>
      <c r="C2827" s="14"/>
      <c r="F2827" s="16" t="str">
        <f>IFERROR(__xludf.DUMMYFUNCTION("""COMPUTED_VALUE"""),"Quartier Idewaran Zango")</f>
        <v>Quartier Idewaran Zango</v>
      </c>
      <c r="G2827" s="16"/>
      <c r="H2827" s="14"/>
      <c r="K2827" s="16">
        <f>IFERROR(__xludf.DUMMYFUNCTION("""COMPUTED_VALUE"""),2081.0)</f>
        <v>2081</v>
      </c>
      <c r="L2827" s="16"/>
      <c r="M2827" s="14"/>
    </row>
    <row r="2828">
      <c r="A2828" s="16" t="str">
        <f>IFERROR(__xludf.DUMMYFUNCTION("""COMPUTED_VALUE"""),"Mathieu Alphonse Rachida Juliette")</f>
        <v>Mathieu Alphonse Rachida Juliette</v>
      </c>
      <c r="B2828" s="16"/>
      <c r="C2828" s="14"/>
      <c r="F2828" s="16" t="str">
        <f>IFERROR(__xludf.DUMMYFUNCTION("""COMPUTED_VALUE"""),"Quartier Idewaran Zango")</f>
        <v>Quartier Idewaran Zango</v>
      </c>
      <c r="G2828" s="16"/>
      <c r="H2828" s="14"/>
      <c r="K2828" s="16">
        <f>IFERROR(__xludf.DUMMYFUNCTION("""COMPUTED_VALUE"""),341.0)</f>
        <v>341</v>
      </c>
      <c r="L2828" s="16"/>
      <c r="M2828" s="14"/>
    </row>
    <row r="2829">
      <c r="A2829" s="16" t="str">
        <f>IFERROR(__xludf.DUMMYFUNCTION("""COMPUTED_VALUE"""),"Mathieu Alphonse Rachida Juliette")</f>
        <v>Mathieu Alphonse Rachida Juliette</v>
      </c>
      <c r="B2829" s="16"/>
      <c r="C2829" s="14"/>
      <c r="F2829" s="16" t="str">
        <f>IFERROR(__xludf.DUMMYFUNCTION("""COMPUTED_VALUE"""),"Quartier Idewaran Zango")</f>
        <v>Quartier Idewaran Zango</v>
      </c>
      <c r="G2829" s="16"/>
      <c r="H2829" s="14"/>
      <c r="K2829" s="16">
        <f>IFERROR(__xludf.DUMMYFUNCTION("""COMPUTED_VALUE"""),333.0)</f>
        <v>333</v>
      </c>
      <c r="L2829" s="16"/>
      <c r="M2829" s="14"/>
    </row>
    <row r="2830">
      <c r="A2830" s="16" t="str">
        <f>IFERROR(__xludf.DUMMYFUNCTION("""COMPUTED_VALUE"""),"Aboubacar Hamadou Manga")</f>
        <v>Aboubacar Hamadou Manga</v>
      </c>
      <c r="B2830" s="16"/>
      <c r="C2830" s="14"/>
      <c r="F2830" s="16" t="str">
        <f>IFERROR(__xludf.DUMMYFUNCTION("""COMPUTED_VALUE"""),"Intchimia 1")</f>
        <v>Intchimia 1</v>
      </c>
      <c r="G2830" s="16"/>
      <c r="H2830" s="14"/>
      <c r="K2830" s="16">
        <f>IFERROR(__xludf.DUMMYFUNCTION("""COMPUTED_VALUE"""),833.0)</f>
        <v>833</v>
      </c>
      <c r="L2830" s="16"/>
      <c r="M2830" s="14"/>
    </row>
    <row r="2831">
      <c r="A2831" s="16" t="str">
        <f>IFERROR(__xludf.DUMMYFUNCTION("""COMPUTED_VALUE"""),"Aboubacar Hamadou Manga")</f>
        <v>Aboubacar Hamadou Manga</v>
      </c>
      <c r="B2831" s="16"/>
      <c r="C2831" s="14"/>
      <c r="F2831" s="16" t="str">
        <f>IFERROR(__xludf.DUMMYFUNCTION("""COMPUTED_VALUE"""),"Intchimia 1")</f>
        <v>Intchimia 1</v>
      </c>
      <c r="G2831" s="16"/>
      <c r="H2831" s="14"/>
      <c r="K2831" s="16">
        <f>IFERROR(__xludf.DUMMYFUNCTION("""COMPUTED_VALUE"""),1039.0)</f>
        <v>1039</v>
      </c>
      <c r="L2831" s="16"/>
      <c r="M2831" s="14"/>
    </row>
    <row r="2832">
      <c r="A2832" s="16" t="str">
        <f>IFERROR(__xludf.DUMMYFUNCTION("""COMPUTED_VALUE"""),"Elhaji Abdou Leilata")</f>
        <v>Elhaji Abdou Leilata</v>
      </c>
      <c r="B2832" s="16"/>
      <c r="C2832" s="14"/>
      <c r="F2832" s="16" t="str">
        <f>IFERROR(__xludf.DUMMYFUNCTION("""COMPUTED_VALUE"""),"Quartier Idewaran Zango")</f>
        <v>Quartier Idewaran Zango</v>
      </c>
      <c r="G2832" s="16"/>
      <c r="H2832" s="14"/>
      <c r="K2832" s="16">
        <f>IFERROR(__xludf.DUMMYFUNCTION("""COMPUTED_VALUE"""),245.0)</f>
        <v>245</v>
      </c>
      <c r="L2832" s="16"/>
      <c r="M2832" s="14"/>
    </row>
    <row r="2833">
      <c r="A2833" s="16" t="str">
        <f>IFERROR(__xludf.DUMMYFUNCTION("""COMPUTED_VALUE"""),"Aboubacar Hamadou Manga")</f>
        <v>Aboubacar Hamadou Manga</v>
      </c>
      <c r="B2833" s="16"/>
      <c r="C2833" s="14"/>
      <c r="F2833" s="16" t="str">
        <f>IFERROR(__xludf.DUMMYFUNCTION("""COMPUTED_VALUE"""),"Kalalé")</f>
        <v>Kalalé</v>
      </c>
      <c r="G2833" s="16"/>
      <c r="H2833" s="14"/>
      <c r="K2833" s="16">
        <f>IFERROR(__xludf.DUMMYFUNCTION("""COMPUTED_VALUE"""),1139.0)</f>
        <v>1139</v>
      </c>
      <c r="L2833" s="16"/>
      <c r="M2833" s="14"/>
    </row>
    <row r="2834">
      <c r="A2834" s="16" t="str">
        <f>IFERROR(__xludf.DUMMYFUNCTION("""COMPUTED_VALUE"""),"Amadou Hamidou Abdoul Karim")</f>
        <v>Amadou Hamidou Abdoul Karim</v>
      </c>
      <c r="B2834" s="16"/>
      <c r="C2834" s="14"/>
      <c r="F2834" s="16" t="str">
        <f>IFERROR(__xludf.DUMMYFUNCTION("""COMPUTED_VALUE"""),"Intchimia 1")</f>
        <v>Intchimia 1</v>
      </c>
      <c r="G2834" s="16"/>
      <c r="H2834" s="14"/>
      <c r="K2834" s="16">
        <f>IFERROR(__xludf.DUMMYFUNCTION("""COMPUTED_VALUE"""),522.0)</f>
        <v>522</v>
      </c>
      <c r="L2834" s="16"/>
      <c r="M2834" s="14"/>
    </row>
    <row r="2835">
      <c r="A2835" s="16" t="str">
        <f>IFERROR(__xludf.DUMMYFUNCTION("""COMPUTED_VALUE"""),"Amadou Hamidou Abdoul Karim")</f>
        <v>Amadou Hamidou Abdoul Karim</v>
      </c>
      <c r="B2835" s="16"/>
      <c r="C2835" s="14"/>
      <c r="F2835" s="16" t="str">
        <f>IFERROR(__xludf.DUMMYFUNCTION("""COMPUTED_VALUE"""),"Sokolé Guidan Gaba Mahalba")</f>
        <v>Sokolé Guidan Gaba Mahalba</v>
      </c>
      <c r="G2835" s="16"/>
      <c r="H2835" s="14"/>
      <c r="K2835" s="16">
        <f>IFERROR(__xludf.DUMMYFUNCTION("""COMPUTED_VALUE"""),918.0)</f>
        <v>918</v>
      </c>
      <c r="L2835" s="16"/>
      <c r="M2835" s="14"/>
    </row>
    <row r="2836">
      <c r="A2836" s="16" t="str">
        <f>IFERROR(__xludf.DUMMYFUNCTION("""COMPUTED_VALUE"""),"Amadou Hamidou Abdoul Karim")</f>
        <v>Amadou Hamidou Abdoul Karim</v>
      </c>
      <c r="B2836" s="16"/>
      <c r="C2836" s="14"/>
      <c r="F2836" s="16" t="str">
        <f>IFERROR(__xludf.DUMMYFUNCTION("""COMPUTED_VALUE"""),"Quartier Idewaran")</f>
        <v>Quartier Idewaran</v>
      </c>
      <c r="G2836" s="16"/>
      <c r="H2836" s="14"/>
      <c r="K2836" s="16">
        <f>IFERROR(__xludf.DUMMYFUNCTION("""COMPUTED_VALUE"""),1343.0)</f>
        <v>1343</v>
      </c>
      <c r="L2836" s="16"/>
      <c r="M2836" s="14"/>
    </row>
    <row r="2837">
      <c r="A2837" s="16" t="str">
        <f>IFERROR(__xludf.DUMMYFUNCTION("""COMPUTED_VALUE"""),"Amadou Hamidou Abdoul Karim")</f>
        <v>Amadou Hamidou Abdoul Karim</v>
      </c>
      <c r="B2837" s="16"/>
      <c r="C2837" s="14"/>
      <c r="F2837" s="16" t="str">
        <f>IFERROR(__xludf.DUMMYFUNCTION("""COMPUTED_VALUE"""),"Galé Gabass")</f>
        <v>Galé Gabass</v>
      </c>
      <c r="G2837" s="16"/>
      <c r="H2837" s="14"/>
      <c r="K2837" s="16">
        <f>IFERROR(__xludf.DUMMYFUNCTION("""COMPUTED_VALUE"""),760.0)</f>
        <v>760</v>
      </c>
      <c r="L2837" s="16"/>
      <c r="M2837" s="14"/>
    </row>
    <row r="2838">
      <c r="A2838" s="16" t="str">
        <f>IFERROR(__xludf.DUMMYFUNCTION("""COMPUTED_VALUE"""),"Amadou Hamidou Abdoul Karim")</f>
        <v>Amadou Hamidou Abdoul Karim</v>
      </c>
      <c r="B2838" s="16"/>
      <c r="C2838" s="14"/>
      <c r="F2838" s="16" t="str">
        <f>IFERROR(__xludf.DUMMYFUNCTION("""COMPUTED_VALUE"""),"Tsakarguida")</f>
        <v>Tsakarguida</v>
      </c>
      <c r="G2838" s="16"/>
      <c r="H2838" s="14"/>
      <c r="K2838" s="16">
        <f>IFERROR(__xludf.DUMMYFUNCTION("""COMPUTED_VALUE"""),389.0)</f>
        <v>389</v>
      </c>
      <c r="L2838" s="16"/>
      <c r="M2838" s="14"/>
    </row>
    <row r="2839">
      <c r="A2839" s="16" t="str">
        <f>IFERROR(__xludf.DUMMYFUNCTION("""COMPUTED_VALUE"""),"Amadou Hamidou Abdoul Karim")</f>
        <v>Amadou Hamidou Abdoul Karim</v>
      </c>
      <c r="B2839" s="16"/>
      <c r="C2839" s="14"/>
      <c r="F2839" s="16" t="str">
        <f>IFERROR(__xludf.DUMMYFUNCTION("""COMPUTED_VALUE"""),"Tsakarguida")</f>
        <v>Tsakarguida</v>
      </c>
      <c r="G2839" s="16"/>
      <c r="H2839" s="14"/>
      <c r="K2839" s="16">
        <f>IFERROR(__xludf.DUMMYFUNCTION("""COMPUTED_VALUE"""),1146.0)</f>
        <v>1146</v>
      </c>
      <c r="L2839" s="16"/>
      <c r="M2839" s="14"/>
    </row>
    <row r="2840">
      <c r="A2840" s="16" t="str">
        <f>IFERROR(__xludf.DUMMYFUNCTION("""COMPUTED_VALUE"""),"Razinatou Salissou")</f>
        <v>Razinatou Salissou</v>
      </c>
      <c r="B2840" s="16"/>
      <c r="C2840" s="14"/>
      <c r="F2840" s="16" t="str">
        <f>IFERROR(__xludf.DUMMYFUNCTION("""COMPUTED_VALUE"""),"Tsakarguida")</f>
        <v>Tsakarguida</v>
      </c>
      <c r="G2840" s="16"/>
      <c r="H2840" s="14"/>
      <c r="K2840" s="16">
        <f>IFERROR(__xludf.DUMMYFUNCTION("""COMPUTED_VALUE"""),979.0)</f>
        <v>979</v>
      </c>
      <c r="L2840" s="16"/>
      <c r="M2840" s="14"/>
    </row>
    <row r="2841">
      <c r="A2841" s="16" t="str">
        <f>IFERROR(__xludf.DUMMYFUNCTION("""COMPUTED_VALUE"""),"Amadou Hamidou Abdoul Karim")</f>
        <v>Amadou Hamidou Abdoul Karim</v>
      </c>
      <c r="B2841" s="16"/>
      <c r="C2841" s="14"/>
      <c r="F2841" s="16" t="str">
        <f>IFERROR(__xludf.DUMMYFUNCTION("""COMPUTED_VALUE"""),"Tadou")</f>
        <v>Tadou</v>
      </c>
      <c r="G2841" s="16"/>
      <c r="H2841" s="14"/>
      <c r="K2841" s="16">
        <f>IFERROR(__xludf.DUMMYFUNCTION("""COMPUTED_VALUE"""),999.0)</f>
        <v>999</v>
      </c>
      <c r="L2841" s="16"/>
      <c r="M2841" s="14"/>
    </row>
    <row r="2842">
      <c r="A2842" s="16" t="str">
        <f>IFERROR(__xludf.DUMMYFUNCTION("""COMPUTED_VALUE"""),"Elhaji Abdou Leilata")</f>
        <v>Elhaji Abdou Leilata</v>
      </c>
      <c r="B2842" s="16"/>
      <c r="C2842" s="14"/>
      <c r="F2842" s="16" t="str">
        <f>IFERROR(__xludf.DUMMYFUNCTION("""COMPUTED_VALUE"""),"Tadou")</f>
        <v>Tadou</v>
      </c>
      <c r="G2842" s="16"/>
      <c r="H2842" s="14"/>
      <c r="K2842" s="16">
        <f>IFERROR(__xludf.DUMMYFUNCTION("""COMPUTED_VALUE"""),559.0)</f>
        <v>559</v>
      </c>
      <c r="L2842" s="16"/>
      <c r="M2842" s="14"/>
    </row>
    <row r="2843">
      <c r="A2843" s="16" t="str">
        <f>IFERROR(__xludf.DUMMYFUNCTION("""COMPUTED_VALUE"""),"Elhaji Abdou Leilata")</f>
        <v>Elhaji Abdou Leilata</v>
      </c>
      <c r="B2843" s="16"/>
      <c r="C2843" s="14"/>
      <c r="F2843" s="16" t="str">
        <f>IFERROR(__xludf.DUMMYFUNCTION("""COMPUTED_VALUE"""),"Angar (illikan)")</f>
        <v>Angar (illikan)</v>
      </c>
      <c r="G2843" s="16"/>
      <c r="H2843" s="14"/>
      <c r="K2843" s="16">
        <f>IFERROR(__xludf.DUMMYFUNCTION("""COMPUTED_VALUE"""),368.0)</f>
        <v>368</v>
      </c>
      <c r="L2843" s="16"/>
      <c r="M2843" s="14"/>
    </row>
    <row r="2844">
      <c r="A2844" s="16" t="str">
        <f>IFERROR(__xludf.DUMMYFUNCTION("""COMPUTED_VALUE"""),"Elhaji Abdou Leilata")</f>
        <v>Elhaji Abdou Leilata</v>
      </c>
      <c r="B2844" s="16"/>
      <c r="C2844" s="14"/>
      <c r="F2844" s="16" t="str">
        <f>IFERROR(__xludf.DUMMYFUNCTION("""COMPUTED_VALUE"""),"Angar (illikan)")</f>
        <v>Angar (illikan)</v>
      </c>
      <c r="G2844" s="16"/>
      <c r="H2844" s="14"/>
      <c r="K2844" s="16">
        <f>IFERROR(__xludf.DUMMYFUNCTION("""COMPUTED_VALUE"""),402.0)</f>
        <v>402</v>
      </c>
      <c r="L2844" s="16"/>
      <c r="M2844" s="14"/>
    </row>
    <row r="2845">
      <c r="A2845" s="16" t="str">
        <f>IFERROR(__xludf.DUMMYFUNCTION("""COMPUTED_VALUE"""),"Elhaji Abdou Leilata")</f>
        <v>Elhaji Abdou Leilata</v>
      </c>
      <c r="B2845" s="16"/>
      <c r="C2845" s="14"/>
      <c r="F2845" s="16" t="str">
        <f>IFERROR(__xludf.DUMMYFUNCTION("""COMPUTED_VALUE"""),"Tadou")</f>
        <v>Tadou</v>
      </c>
      <c r="G2845" s="16"/>
      <c r="H2845" s="14"/>
      <c r="K2845" s="16">
        <f>IFERROR(__xludf.DUMMYFUNCTION("""COMPUTED_VALUE"""),1720.0)</f>
        <v>1720</v>
      </c>
      <c r="L2845" s="16"/>
      <c r="M2845" s="14"/>
    </row>
    <row r="2846">
      <c r="A2846" s="16" t="str">
        <f>IFERROR(__xludf.DUMMYFUNCTION("""COMPUTED_VALUE"""),"Mathieu Alphonse Rachida Juliette")</f>
        <v>Mathieu Alphonse Rachida Juliette</v>
      </c>
      <c r="B2846" s="16"/>
      <c r="C2846" s="14"/>
      <c r="F2846" s="16" t="str">
        <f>IFERROR(__xludf.DUMMYFUNCTION("""COMPUTED_VALUE"""),"Angar (illikan)")</f>
        <v>Angar (illikan)</v>
      </c>
      <c r="G2846" s="16"/>
      <c r="H2846" s="14"/>
      <c r="K2846" s="16">
        <f>IFERROR(__xludf.DUMMYFUNCTION("""COMPUTED_VALUE"""),258.0)</f>
        <v>258</v>
      </c>
      <c r="L2846" s="16"/>
      <c r="M2846" s="14"/>
    </row>
    <row r="2847">
      <c r="A2847" s="16" t="str">
        <f>IFERROR(__xludf.DUMMYFUNCTION("""COMPUTED_VALUE"""),"Mathieu Alphonse Rachida Juliette")</f>
        <v>Mathieu Alphonse Rachida Juliette</v>
      </c>
      <c r="B2847" s="16"/>
      <c r="C2847" s="14"/>
      <c r="F2847" s="16" t="str">
        <f>IFERROR(__xludf.DUMMYFUNCTION("""COMPUTED_VALUE"""),"Angar (illikan)")</f>
        <v>Angar (illikan)</v>
      </c>
      <c r="G2847" s="16"/>
      <c r="H2847" s="14"/>
      <c r="K2847" s="16">
        <f>IFERROR(__xludf.DUMMYFUNCTION("""COMPUTED_VALUE"""),468.0)</f>
        <v>468</v>
      </c>
      <c r="L2847" s="16"/>
      <c r="M2847" s="14"/>
    </row>
    <row r="2848">
      <c r="A2848" s="16" t="str">
        <f>IFERROR(__xludf.DUMMYFUNCTION("""COMPUTED_VALUE"""),"Binta Maman")</f>
        <v>Binta Maman</v>
      </c>
      <c r="B2848" s="16"/>
      <c r="C2848" s="14"/>
      <c r="F2848" s="16" t="str">
        <f>IFERROR(__xludf.DUMMYFUNCTION("""COMPUTED_VALUE"""),"Angar (illikan)")</f>
        <v>Angar (illikan)</v>
      </c>
      <c r="G2848" s="16"/>
      <c r="H2848" s="14"/>
      <c r="K2848" s="16">
        <f>IFERROR(__xludf.DUMMYFUNCTION("""COMPUTED_VALUE"""),1278.0)</f>
        <v>1278</v>
      </c>
      <c r="L2848" s="16"/>
      <c r="M2848" s="14"/>
    </row>
    <row r="2849">
      <c r="A2849" s="16" t="str">
        <f>IFERROR(__xludf.DUMMYFUNCTION("""COMPUTED_VALUE"""),"Binta Maman")</f>
        <v>Binta Maman</v>
      </c>
      <c r="B2849" s="16"/>
      <c r="C2849" s="14"/>
      <c r="F2849" s="16" t="str">
        <f>IFERROR(__xludf.DUMMYFUNCTION("""COMPUTED_VALUE"""),"Angar (illikan)")</f>
        <v>Angar (illikan)</v>
      </c>
      <c r="G2849" s="16"/>
      <c r="H2849" s="14"/>
      <c r="K2849" s="16">
        <f>IFERROR(__xludf.DUMMYFUNCTION("""COMPUTED_VALUE"""),1076.0)</f>
        <v>1076</v>
      </c>
      <c r="L2849" s="16"/>
      <c r="M2849" s="14"/>
    </row>
    <row r="2850">
      <c r="A2850" s="16" t="str">
        <f>IFERROR(__xludf.DUMMYFUNCTION("""COMPUTED_VALUE"""),"Binta Maman")</f>
        <v>Binta Maman</v>
      </c>
      <c r="B2850" s="16"/>
      <c r="C2850" s="14"/>
      <c r="F2850" s="16" t="str">
        <f>IFERROR(__xludf.DUMMYFUNCTION("""COMPUTED_VALUE"""),"Angar (illikan)")</f>
        <v>Angar (illikan)</v>
      </c>
      <c r="G2850" s="16"/>
      <c r="H2850" s="14"/>
      <c r="K2850" s="16">
        <f>IFERROR(__xludf.DUMMYFUNCTION("""COMPUTED_VALUE"""),577.0)</f>
        <v>577</v>
      </c>
      <c r="L2850" s="16"/>
      <c r="M2850" s="14"/>
    </row>
    <row r="2851">
      <c r="A2851" s="16" t="str">
        <f>IFERROR(__xludf.DUMMYFUNCTION("""COMPUTED_VALUE"""),"Binta Maman")</f>
        <v>Binta Maman</v>
      </c>
      <c r="B2851" s="16"/>
      <c r="C2851" s="14"/>
      <c r="F2851" s="16" t="str">
        <f>IFERROR(__xludf.DUMMYFUNCTION("""COMPUTED_VALUE"""),"Chin Galé (Idiki)")</f>
        <v>Chin Galé (Idiki)</v>
      </c>
      <c r="G2851" s="16"/>
      <c r="H2851" s="14"/>
      <c r="K2851" s="16">
        <f>IFERROR(__xludf.DUMMYFUNCTION("""COMPUTED_VALUE"""),1083.0)</f>
        <v>1083</v>
      </c>
      <c r="L2851" s="16"/>
      <c r="M2851" s="14"/>
    </row>
    <row r="2852">
      <c r="A2852" s="16" t="str">
        <f>IFERROR(__xludf.DUMMYFUNCTION("""COMPUTED_VALUE"""),"Amadou Tidjani Ousmane")</f>
        <v>Amadou Tidjani Ousmane</v>
      </c>
      <c r="B2852" s="16"/>
      <c r="C2852" s="14"/>
      <c r="F2852" s="16" t="str">
        <f>IFERROR(__xludf.DUMMYFUNCTION("""COMPUTED_VALUE"""),"Chin Galé (Idiki)")</f>
        <v>Chin Galé (Idiki)</v>
      </c>
      <c r="G2852" s="16"/>
      <c r="H2852" s="14"/>
      <c r="K2852" s="16">
        <f>IFERROR(__xludf.DUMMYFUNCTION("""COMPUTED_VALUE"""),531.0)</f>
        <v>531</v>
      </c>
      <c r="L2852" s="16"/>
      <c r="M2852" s="14"/>
    </row>
    <row r="2853">
      <c r="A2853" s="16" t="str">
        <f>IFERROR(__xludf.DUMMYFUNCTION("""COMPUTED_VALUE"""),"Amadou Tidjani Ousmane")</f>
        <v>Amadou Tidjani Ousmane</v>
      </c>
      <c r="B2853" s="16"/>
      <c r="C2853" s="14"/>
      <c r="F2853" s="16" t="str">
        <f>IFERROR(__xludf.DUMMYFUNCTION("""COMPUTED_VALUE"""),"Chin Galé (Idiki)")</f>
        <v>Chin Galé (Idiki)</v>
      </c>
      <c r="G2853" s="16"/>
      <c r="H2853" s="14"/>
      <c r="K2853" s="16">
        <f>IFERROR(__xludf.DUMMYFUNCTION("""COMPUTED_VALUE"""),426.0)</f>
        <v>426</v>
      </c>
      <c r="L2853" s="16"/>
      <c r="M2853" s="14"/>
    </row>
    <row r="2854">
      <c r="A2854" s="16" t="str">
        <f>IFERROR(__xludf.DUMMYFUNCTION("""COMPUTED_VALUE"""),"Asmaou Tanko Issa")</f>
        <v>Asmaou Tanko Issa</v>
      </c>
      <c r="B2854" s="16"/>
      <c r="C2854" s="14"/>
      <c r="F2854" s="16" t="str">
        <f>IFERROR(__xludf.DUMMYFUNCTION("""COMPUTED_VALUE"""),"Galé Gabass")</f>
        <v>Galé Gabass</v>
      </c>
      <c r="G2854" s="16"/>
      <c r="H2854" s="14"/>
      <c r="K2854" s="16">
        <f>IFERROR(__xludf.DUMMYFUNCTION("""COMPUTED_VALUE"""),1360.0)</f>
        <v>1360</v>
      </c>
      <c r="L2854" s="16"/>
      <c r="M2854" s="14"/>
    </row>
    <row r="2855">
      <c r="A2855" s="16" t="str">
        <f>IFERROR(__xludf.DUMMYFUNCTION("""COMPUTED_VALUE"""),"Asmaou Tanko Issa")</f>
        <v>Asmaou Tanko Issa</v>
      </c>
      <c r="B2855" s="16"/>
      <c r="C2855" s="14"/>
      <c r="F2855" s="16" t="str">
        <f>IFERROR(__xludf.DUMMYFUNCTION("""COMPUTED_VALUE"""),"Galé Gabass")</f>
        <v>Galé Gabass</v>
      </c>
      <c r="G2855" s="16"/>
      <c r="H2855" s="14"/>
      <c r="K2855" s="16">
        <f>IFERROR(__xludf.DUMMYFUNCTION("""COMPUTED_VALUE"""),503.0)</f>
        <v>503</v>
      </c>
      <c r="L2855" s="16"/>
      <c r="M2855" s="14"/>
    </row>
    <row r="2856">
      <c r="A2856" s="16" t="str">
        <f>IFERROR(__xludf.DUMMYFUNCTION("""COMPUTED_VALUE"""),"Asmaou Tanko Issa")</f>
        <v>Asmaou Tanko Issa</v>
      </c>
      <c r="B2856" s="16"/>
      <c r="C2856" s="14"/>
      <c r="F2856" s="16" t="str">
        <f>IFERROR(__xludf.DUMMYFUNCTION("""COMPUTED_VALUE"""),"Intchimia 1")</f>
        <v>Intchimia 1</v>
      </c>
      <c r="G2856" s="16"/>
      <c r="H2856" s="14"/>
      <c r="K2856" s="16">
        <f>IFERROR(__xludf.DUMMYFUNCTION("""COMPUTED_VALUE"""),1826.0)</f>
        <v>1826</v>
      </c>
      <c r="L2856" s="16"/>
      <c r="M2856" s="14"/>
    </row>
    <row r="2857">
      <c r="A2857" s="16" t="str">
        <f>IFERROR(__xludf.DUMMYFUNCTION("""COMPUTED_VALUE"""),"Asmaou Tanko Issa")</f>
        <v>Asmaou Tanko Issa</v>
      </c>
      <c r="B2857" s="16"/>
      <c r="C2857" s="14"/>
      <c r="F2857" s="16" t="str">
        <f>IFERROR(__xludf.DUMMYFUNCTION("""COMPUTED_VALUE"""),"Intchimia 1")</f>
        <v>Intchimia 1</v>
      </c>
      <c r="G2857" s="16"/>
      <c r="H2857" s="14"/>
      <c r="K2857" s="16">
        <f>IFERROR(__xludf.DUMMYFUNCTION("""COMPUTED_VALUE"""),364.0)</f>
        <v>364</v>
      </c>
      <c r="L2857" s="16"/>
      <c r="M2857" s="14"/>
    </row>
    <row r="2858">
      <c r="A2858" s="16" t="str">
        <f>IFERROR(__xludf.DUMMYFUNCTION("""COMPUTED_VALUE"""),"Gaoh Maazou")</f>
        <v>Gaoh Maazou</v>
      </c>
      <c r="B2858" s="16"/>
      <c r="C2858" s="14"/>
      <c r="F2858" s="16" t="str">
        <f>IFERROR(__xludf.DUMMYFUNCTION("""COMPUTED_VALUE"""),"Intchimia 1")</f>
        <v>Intchimia 1</v>
      </c>
      <c r="G2858" s="16"/>
      <c r="H2858" s="14"/>
      <c r="K2858" s="16">
        <f>IFERROR(__xludf.DUMMYFUNCTION("""COMPUTED_VALUE"""),1676.0)</f>
        <v>1676</v>
      </c>
      <c r="L2858" s="16"/>
      <c r="M2858" s="14"/>
    </row>
    <row r="2859">
      <c r="A2859" s="16" t="str">
        <f>IFERROR(__xludf.DUMMYFUNCTION("""COMPUTED_VALUE"""),"Gaoh Maazou")</f>
        <v>Gaoh Maazou</v>
      </c>
      <c r="B2859" s="16"/>
      <c r="C2859" s="14"/>
      <c r="F2859" s="16" t="str">
        <f>IFERROR(__xludf.DUMMYFUNCTION("""COMPUTED_VALUE"""),"Intchimia 1")</f>
        <v>Intchimia 1</v>
      </c>
      <c r="G2859" s="16"/>
      <c r="H2859" s="14"/>
      <c r="K2859" s="16">
        <f>IFERROR(__xludf.DUMMYFUNCTION("""COMPUTED_VALUE"""),1767.0)</f>
        <v>1767</v>
      </c>
      <c r="L2859" s="16"/>
      <c r="M2859" s="14"/>
    </row>
    <row r="2860">
      <c r="A2860" s="16" t="str">
        <f>IFERROR(__xludf.DUMMYFUNCTION("""COMPUTED_VALUE"""),"Gaoh Maazou")</f>
        <v>Gaoh Maazou</v>
      </c>
      <c r="B2860" s="16"/>
      <c r="C2860" s="14"/>
      <c r="F2860" s="16" t="str">
        <f>IFERROR(__xludf.DUMMYFUNCTION("""COMPUTED_VALUE"""),"Galé (Toudou)")</f>
        <v>Galé (Toudou)</v>
      </c>
      <c r="G2860" s="16"/>
      <c r="H2860" s="14"/>
      <c r="K2860" s="16">
        <f>IFERROR(__xludf.DUMMYFUNCTION("""COMPUTED_VALUE"""),1581.0)</f>
        <v>1581</v>
      </c>
      <c r="L2860" s="16"/>
      <c r="M2860" s="14"/>
    </row>
    <row r="2861">
      <c r="A2861" s="16" t="str">
        <f>IFERROR(__xludf.DUMMYFUNCTION("""COMPUTED_VALUE"""),"Gaoh Maazou")</f>
        <v>Gaoh Maazou</v>
      </c>
      <c r="B2861" s="16"/>
      <c r="C2861" s="14"/>
      <c r="F2861" s="16" t="str">
        <f>IFERROR(__xludf.DUMMYFUNCTION("""COMPUTED_VALUE"""),"Galé (Toudou)")</f>
        <v>Galé (Toudou)</v>
      </c>
      <c r="G2861" s="16"/>
      <c r="H2861" s="14"/>
      <c r="K2861" s="16">
        <f>IFERROR(__xludf.DUMMYFUNCTION("""COMPUTED_VALUE"""),460.0)</f>
        <v>460</v>
      </c>
      <c r="L2861" s="16"/>
      <c r="M2861" s="14"/>
    </row>
    <row r="2862">
      <c r="A2862" s="16" t="str">
        <f>IFERROR(__xludf.DUMMYFUNCTION("""COMPUTED_VALUE"""),"Gaoh Maazou")</f>
        <v>Gaoh Maazou</v>
      </c>
      <c r="B2862" s="16"/>
      <c r="C2862" s="14"/>
      <c r="F2862" s="16" t="str">
        <f>IFERROR(__xludf.DUMMYFUNCTION("""COMPUTED_VALUE"""),"Galé (Toudou)")</f>
        <v>Galé (Toudou)</v>
      </c>
      <c r="G2862" s="16"/>
      <c r="H2862" s="14"/>
      <c r="K2862" s="16">
        <f>IFERROR(__xludf.DUMMYFUNCTION("""COMPUTED_VALUE"""),843.0)</f>
        <v>843</v>
      </c>
      <c r="L2862" s="16"/>
      <c r="M2862" s="14"/>
    </row>
    <row r="2863">
      <c r="A2863" s="16" t="str">
        <f>IFERROR(__xludf.DUMMYFUNCTION("""COMPUTED_VALUE"""),"Gaoh Maazou")</f>
        <v>Gaoh Maazou</v>
      </c>
      <c r="B2863" s="16"/>
      <c r="C2863" s="14"/>
      <c r="F2863" s="16" t="str">
        <f>IFERROR(__xludf.DUMMYFUNCTION("""COMPUTED_VALUE"""),"Guidan Fako")</f>
        <v>Guidan Fako</v>
      </c>
      <c r="G2863" s="16"/>
      <c r="H2863" s="14"/>
      <c r="K2863" s="16">
        <f>IFERROR(__xludf.DUMMYFUNCTION("""COMPUTED_VALUE"""),542.0)</f>
        <v>542</v>
      </c>
      <c r="L2863" s="16"/>
      <c r="M2863" s="14"/>
    </row>
    <row r="2864">
      <c r="A2864" s="16" t="str">
        <f>IFERROR(__xludf.DUMMYFUNCTION("""COMPUTED_VALUE"""),"Achirou Malam Dan Maradi Nassirou")</f>
        <v>Achirou Malam Dan Maradi Nassirou</v>
      </c>
      <c r="B2864" s="16"/>
      <c r="C2864" s="14"/>
      <c r="F2864" s="16" t="str">
        <f>IFERROR(__xludf.DUMMYFUNCTION("""COMPUTED_VALUE"""),"Guidan Fako")</f>
        <v>Guidan Fako</v>
      </c>
      <c r="G2864" s="16"/>
      <c r="H2864" s="14"/>
      <c r="K2864" s="16">
        <f>IFERROR(__xludf.DUMMYFUNCTION("""COMPUTED_VALUE"""),294.0)</f>
        <v>294</v>
      </c>
      <c r="L2864" s="16"/>
      <c r="M2864" s="14"/>
    </row>
    <row r="2865">
      <c r="A2865" s="16" t="str">
        <f>IFERROR(__xludf.DUMMYFUNCTION("""COMPUTED_VALUE"""),"Achirou Malam Dan Maradi Nassirou")</f>
        <v>Achirou Malam Dan Maradi Nassirou</v>
      </c>
      <c r="B2865" s="16"/>
      <c r="C2865" s="14"/>
      <c r="F2865" s="16" t="str">
        <f>IFERROR(__xludf.DUMMYFUNCTION("""COMPUTED_VALUE"""),"Guidan Fako")</f>
        <v>Guidan Fako</v>
      </c>
      <c r="G2865" s="16"/>
      <c r="H2865" s="14"/>
      <c r="K2865" s="16">
        <f>IFERROR(__xludf.DUMMYFUNCTION("""COMPUTED_VALUE"""),319.0)</f>
        <v>319</v>
      </c>
      <c r="L2865" s="16"/>
      <c r="M2865" s="14"/>
    </row>
    <row r="2866">
      <c r="A2866" s="16" t="str">
        <f>IFERROR(__xludf.DUMMYFUNCTION("""COMPUTED_VALUE"""),"Achirou Malam Dan Maradi Nassirou")</f>
        <v>Achirou Malam Dan Maradi Nassirou</v>
      </c>
      <c r="B2866" s="16"/>
      <c r="C2866" s="14"/>
      <c r="F2866" s="16" t="str">
        <f>IFERROR(__xludf.DUMMYFUNCTION("""COMPUTED_VALUE"""),"Agouloum Toudou")</f>
        <v>Agouloum Toudou</v>
      </c>
      <c r="G2866" s="16"/>
      <c r="H2866" s="14"/>
      <c r="K2866" s="16">
        <f>IFERROR(__xludf.DUMMYFUNCTION("""COMPUTED_VALUE"""),544.0)</f>
        <v>544</v>
      </c>
      <c r="L2866" s="16"/>
      <c r="M2866" s="14"/>
    </row>
    <row r="2867">
      <c r="A2867" s="16" t="str">
        <f>IFERROR(__xludf.DUMMYFUNCTION("""COMPUTED_VALUE"""),"Achirou Malam Dan Maradi Nassirou")</f>
        <v>Achirou Malam Dan Maradi Nassirou</v>
      </c>
      <c r="B2867" s="16"/>
      <c r="C2867" s="14"/>
      <c r="F2867" s="16" t="str">
        <f>IFERROR(__xludf.DUMMYFUNCTION("""COMPUTED_VALUE"""),"Kabima-Al Baraka")</f>
        <v>Kabima-Al Baraka</v>
      </c>
      <c r="G2867" s="16"/>
      <c r="H2867" s="14"/>
      <c r="K2867" s="16">
        <f>IFERROR(__xludf.DUMMYFUNCTION("""COMPUTED_VALUE"""),1637.0)</f>
        <v>1637</v>
      </c>
      <c r="L2867" s="16"/>
      <c r="M2867" s="14"/>
    </row>
    <row r="2868">
      <c r="A2868" s="16" t="str">
        <f>IFERROR(__xludf.DUMMYFUNCTION("""COMPUTED_VALUE"""),"Achirou Malam Dan Maradi Nassirou")</f>
        <v>Achirou Malam Dan Maradi Nassirou</v>
      </c>
      <c r="B2868" s="16"/>
      <c r="C2868" s="14"/>
      <c r="F2868" s="16" t="str">
        <f>IFERROR(__xludf.DUMMYFUNCTION("""COMPUTED_VALUE"""),"Sokolé I")</f>
        <v>Sokolé I</v>
      </c>
      <c r="G2868" s="16"/>
      <c r="H2868" s="14"/>
      <c r="K2868" s="16">
        <f>IFERROR(__xludf.DUMMYFUNCTION("""COMPUTED_VALUE"""),453.0)</f>
        <v>453</v>
      </c>
      <c r="L2868" s="16"/>
      <c r="M2868" s="14"/>
    </row>
    <row r="2869">
      <c r="A2869" s="16" t="str">
        <f>IFERROR(__xludf.DUMMYFUNCTION("""COMPUTED_VALUE"""),"Mohamed Cherif")</f>
        <v>Mohamed Cherif</v>
      </c>
      <c r="B2869" s="16"/>
      <c r="C2869" s="14"/>
      <c r="F2869" s="16" t="str">
        <f>IFERROR(__xludf.DUMMYFUNCTION("""COMPUTED_VALUE"""),"Sokolé I")</f>
        <v>Sokolé I</v>
      </c>
      <c r="G2869" s="16"/>
      <c r="H2869" s="14"/>
      <c r="K2869" s="16">
        <f>IFERROR(__xludf.DUMMYFUNCTION("""COMPUTED_VALUE"""),611.0)</f>
        <v>611</v>
      </c>
      <c r="L2869" s="16"/>
      <c r="M2869" s="14"/>
    </row>
    <row r="2870">
      <c r="A2870" s="16" t="str">
        <f>IFERROR(__xludf.DUMMYFUNCTION("""COMPUTED_VALUE"""),"Mohamed Cherif")</f>
        <v>Mohamed Cherif</v>
      </c>
      <c r="B2870" s="16"/>
      <c r="C2870" s="14"/>
      <c r="F2870" s="16" t="str">
        <f>IFERROR(__xludf.DUMMYFUNCTION("""COMPUTED_VALUE"""),"Kalalé")</f>
        <v>Kalalé</v>
      </c>
      <c r="G2870" s="16"/>
      <c r="H2870" s="14"/>
      <c r="K2870" s="16">
        <f>IFERROR(__xludf.DUMMYFUNCTION("""COMPUTED_VALUE"""),1811.0)</f>
        <v>1811</v>
      </c>
      <c r="L2870" s="16"/>
      <c r="M2870" s="14"/>
    </row>
    <row r="2871">
      <c r="A2871" s="16" t="str">
        <f>IFERROR(__xludf.DUMMYFUNCTION("""COMPUTED_VALUE"""),"Mohamed Cherif")</f>
        <v>Mohamed Cherif</v>
      </c>
      <c r="B2871" s="16"/>
      <c r="C2871" s="14"/>
      <c r="F2871" s="16" t="str">
        <f>IFERROR(__xludf.DUMMYFUNCTION("""COMPUTED_VALUE"""),"Sabon Guida Damna")</f>
        <v>Sabon Guida Damna</v>
      </c>
      <c r="G2871" s="16"/>
      <c r="H2871" s="14"/>
      <c r="K2871" s="16">
        <f>IFERROR(__xludf.DUMMYFUNCTION("""COMPUTED_VALUE"""),253.0)</f>
        <v>253</v>
      </c>
      <c r="L2871" s="16"/>
      <c r="M2871" s="14"/>
    </row>
    <row r="2872">
      <c r="A2872" s="16" t="str">
        <f>IFERROR(__xludf.DUMMYFUNCTION("""COMPUTED_VALUE"""),"Mohamed Cherif")</f>
        <v>Mohamed Cherif</v>
      </c>
      <c r="B2872" s="16"/>
      <c r="C2872" s="14"/>
      <c r="F2872" s="16" t="str">
        <f>IFERROR(__xludf.DUMMYFUNCTION("""COMPUTED_VALUE"""),"Sabon Guida Damna")</f>
        <v>Sabon Guida Damna</v>
      </c>
      <c r="G2872" s="16"/>
      <c r="H2872" s="14"/>
      <c r="K2872" s="16">
        <f>IFERROR(__xludf.DUMMYFUNCTION("""COMPUTED_VALUE"""),1812.0)</f>
        <v>1812</v>
      </c>
      <c r="L2872" s="16"/>
      <c r="M2872" s="14"/>
    </row>
    <row r="2873">
      <c r="A2873" s="16" t="str">
        <f>IFERROR(__xludf.DUMMYFUNCTION("""COMPUTED_VALUE"""),"Kailou Hamidou Rainatou")</f>
        <v>Kailou Hamidou Rainatou</v>
      </c>
      <c r="B2873" s="16"/>
      <c r="C2873" s="14"/>
      <c r="F2873" s="16" t="str">
        <f>IFERROR(__xludf.DUMMYFUNCTION("""COMPUTED_VALUE"""),"Takakoumi")</f>
        <v>Takakoumi</v>
      </c>
      <c r="G2873" s="16"/>
      <c r="H2873" s="14"/>
      <c r="K2873" s="16">
        <f>IFERROR(__xludf.DUMMYFUNCTION("""COMPUTED_VALUE"""),1427.0)</f>
        <v>1427</v>
      </c>
      <c r="L2873" s="16"/>
      <c r="M2873" s="14"/>
    </row>
    <row r="2874">
      <c r="A2874" s="16" t="str">
        <f>IFERROR(__xludf.DUMMYFUNCTION("""COMPUTED_VALUE"""),"Kailou Hamidou Rainatou")</f>
        <v>Kailou Hamidou Rainatou</v>
      </c>
      <c r="B2874" s="16"/>
      <c r="C2874" s="14"/>
      <c r="F2874" s="16" t="str">
        <f>IFERROR(__xludf.DUMMYFUNCTION("""COMPUTED_VALUE"""),"Galé (Toudou)")</f>
        <v>Galé (Toudou)</v>
      </c>
      <c r="G2874" s="16"/>
      <c r="H2874" s="14"/>
      <c r="K2874" s="16">
        <f>IFERROR(__xludf.DUMMYFUNCTION("""COMPUTED_VALUE"""),2355.0)</f>
        <v>2355</v>
      </c>
      <c r="L2874" s="16"/>
      <c r="M2874" s="14"/>
    </row>
    <row r="2875">
      <c r="A2875" s="16" t="str">
        <f>IFERROR(__xludf.DUMMYFUNCTION("""COMPUTED_VALUE"""),"Kailou Hamidou Rainatou")</f>
        <v>Kailou Hamidou Rainatou</v>
      </c>
      <c r="B2875" s="16"/>
      <c r="C2875" s="14"/>
      <c r="F2875" s="16" t="str">
        <f>IFERROR(__xludf.DUMMYFUNCTION("""COMPUTED_VALUE"""),"Galé (Toudou)")</f>
        <v>Galé (Toudou)</v>
      </c>
      <c r="G2875" s="16"/>
      <c r="H2875" s="14"/>
      <c r="K2875" s="16">
        <f>IFERROR(__xludf.DUMMYFUNCTION("""COMPUTED_VALUE"""),1275.0)</f>
        <v>1275</v>
      </c>
      <c r="L2875" s="16"/>
      <c r="M2875" s="14"/>
    </row>
    <row r="2876">
      <c r="A2876" s="16" t="str">
        <f>IFERROR(__xludf.DUMMYFUNCTION("""COMPUTED_VALUE"""),"Kailou Hamidou Rainatou")</f>
        <v>Kailou Hamidou Rainatou</v>
      </c>
      <c r="B2876" s="16"/>
      <c r="C2876" s="14"/>
      <c r="F2876" s="16" t="str">
        <f>IFERROR(__xludf.DUMMYFUNCTION("""COMPUTED_VALUE"""),"Galé (Toudou)")</f>
        <v>Galé (Toudou)</v>
      </c>
      <c r="G2876" s="16"/>
      <c r="H2876" s="14"/>
      <c r="K2876" s="16">
        <f>IFERROR(__xludf.DUMMYFUNCTION("""COMPUTED_VALUE"""),391.0)</f>
        <v>391</v>
      </c>
      <c r="L2876" s="16"/>
      <c r="M2876" s="14"/>
    </row>
    <row r="2877">
      <c r="A2877" s="16" t="str">
        <f>IFERROR(__xludf.DUMMYFUNCTION("""COMPUTED_VALUE"""),"Kailou Hamidou Rainatou")</f>
        <v>Kailou Hamidou Rainatou</v>
      </c>
      <c r="B2877" s="16"/>
      <c r="C2877" s="14"/>
      <c r="F2877" s="16" t="str">
        <f>IFERROR(__xludf.DUMMYFUNCTION("""COMPUTED_VALUE"""),"Galé (Toudou)")</f>
        <v>Galé (Toudou)</v>
      </c>
      <c r="G2877" s="16"/>
      <c r="H2877" s="14"/>
      <c r="K2877" s="16">
        <f>IFERROR(__xludf.DUMMYFUNCTION("""COMPUTED_VALUE"""),768.0)</f>
        <v>768</v>
      </c>
      <c r="L2877" s="16"/>
      <c r="M2877" s="14"/>
    </row>
    <row r="2878">
      <c r="A2878" s="16" t="str">
        <f>IFERROR(__xludf.DUMMYFUNCTION("""COMPUTED_VALUE"""),"Achirou Malam Dan Maradi Nassirou")</f>
        <v>Achirou Malam Dan Maradi Nassirou</v>
      </c>
      <c r="B2878" s="16"/>
      <c r="C2878" s="14"/>
      <c r="F2878" s="16" t="str">
        <f>IFERROR(__xludf.DUMMYFUNCTION("""COMPUTED_VALUE"""),"Galé (Toudou)")</f>
        <v>Galé (Toudou)</v>
      </c>
      <c r="G2878" s="16"/>
      <c r="H2878" s="14"/>
      <c r="K2878" s="16">
        <f>IFERROR(__xludf.DUMMYFUNCTION("""COMPUTED_VALUE"""),543.0)</f>
        <v>543</v>
      </c>
      <c r="L2878" s="16"/>
      <c r="M2878" s="14"/>
    </row>
    <row r="2879">
      <c r="A2879" s="16" t="str">
        <f>IFERROR(__xludf.DUMMYFUNCTION("""COMPUTED_VALUE"""),"Haladou Boukar")</f>
        <v>Haladou Boukar</v>
      </c>
      <c r="B2879" s="16"/>
      <c r="C2879" s="14"/>
      <c r="F2879" s="16" t="str">
        <f>IFERROR(__xludf.DUMMYFUNCTION("""COMPUTED_VALUE"""),"Galé (Toudou)")</f>
        <v>Galé (Toudou)</v>
      </c>
      <c r="G2879" s="16"/>
      <c r="H2879" s="14"/>
      <c r="K2879" s="16">
        <f>IFERROR(__xludf.DUMMYFUNCTION("""COMPUTED_VALUE"""),462.0)</f>
        <v>462</v>
      </c>
      <c r="L2879" s="16"/>
      <c r="M2879" s="14"/>
    </row>
    <row r="2880">
      <c r="A2880" s="16" t="str">
        <f>IFERROR(__xludf.DUMMYFUNCTION("""COMPUTED_VALUE"""),"Halidou Tagaza Balkissa")</f>
        <v>Halidou Tagaza Balkissa</v>
      </c>
      <c r="B2880" s="16"/>
      <c r="C2880" s="14"/>
      <c r="F2880" s="16" t="str">
        <f>IFERROR(__xludf.DUMMYFUNCTION("""COMPUTED_VALUE"""),"Galé (Toudou)")</f>
        <v>Galé (Toudou)</v>
      </c>
      <c r="G2880" s="16"/>
      <c r="H2880" s="14"/>
      <c r="K2880" s="16">
        <f>IFERROR(__xludf.DUMMYFUNCTION("""COMPUTED_VALUE"""),1379.0)</f>
        <v>1379</v>
      </c>
      <c r="L2880" s="16"/>
      <c r="M2880" s="14"/>
    </row>
    <row r="2881">
      <c r="A2881" s="16" t="str">
        <f>IFERROR(__xludf.DUMMYFUNCTION("""COMPUTED_VALUE"""),"Halidou Tagaza Balkissa")</f>
        <v>Halidou Tagaza Balkissa</v>
      </c>
      <c r="B2881" s="16"/>
      <c r="C2881" s="14"/>
      <c r="F2881" s="16" t="str">
        <f>IFERROR(__xludf.DUMMYFUNCTION("""COMPUTED_VALUE"""),"Galé (Toudou)")</f>
        <v>Galé (Toudou)</v>
      </c>
      <c r="G2881" s="16"/>
      <c r="H2881" s="14"/>
      <c r="K2881" s="16">
        <f>IFERROR(__xludf.DUMMYFUNCTION("""COMPUTED_VALUE"""),310.0)</f>
        <v>310</v>
      </c>
      <c r="L2881" s="16"/>
      <c r="M2881" s="14"/>
    </row>
    <row r="2882">
      <c r="A2882" s="16" t="str">
        <f>IFERROR(__xludf.DUMMYFUNCTION("""COMPUTED_VALUE"""),"Halidou Tagaza Balkissa")</f>
        <v>Halidou Tagaza Balkissa</v>
      </c>
      <c r="B2882" s="16"/>
      <c r="C2882" s="14"/>
      <c r="F2882" s="16" t="str">
        <f>IFERROR(__xludf.DUMMYFUNCTION("""COMPUTED_VALUE"""),"Sokolé I")</f>
        <v>Sokolé I</v>
      </c>
      <c r="G2882" s="16"/>
      <c r="H2882" s="14"/>
      <c r="K2882" s="16">
        <f>IFERROR(__xludf.DUMMYFUNCTION("""COMPUTED_VALUE"""),954.0)</f>
        <v>954</v>
      </c>
      <c r="L2882" s="16"/>
      <c r="M2882" s="14"/>
    </row>
    <row r="2883">
      <c r="A2883" s="16" t="str">
        <f>IFERROR(__xludf.DUMMYFUNCTION("""COMPUTED_VALUE"""),"Ibrahim Dan Habou Larwana")</f>
        <v>Ibrahim Dan Habou Larwana</v>
      </c>
      <c r="B2883" s="16"/>
      <c r="C2883" s="14"/>
      <c r="F2883" s="16" t="str">
        <f>IFERROR(__xludf.DUMMYFUNCTION("""COMPUTED_VALUE"""),"Guidan Fako")</f>
        <v>Guidan Fako</v>
      </c>
      <c r="G2883" s="16"/>
      <c r="H2883" s="14"/>
      <c r="K2883" s="16">
        <f>IFERROR(__xludf.DUMMYFUNCTION("""COMPUTED_VALUE"""),412.0)</f>
        <v>412</v>
      </c>
      <c r="L2883" s="16"/>
      <c r="M2883" s="14"/>
    </row>
    <row r="2884">
      <c r="A2884" s="16" t="str">
        <f>IFERROR(__xludf.DUMMYFUNCTION("""COMPUTED_VALUE"""),"Ibrahim Dan Habou Larwana")</f>
        <v>Ibrahim Dan Habou Larwana</v>
      </c>
      <c r="B2884" s="16"/>
      <c r="C2884" s="14"/>
      <c r="F2884" s="16" t="str">
        <f>IFERROR(__xludf.DUMMYFUNCTION("""COMPUTED_VALUE"""),"Guidan Fako")</f>
        <v>Guidan Fako</v>
      </c>
      <c r="G2884" s="16"/>
      <c r="H2884" s="14"/>
      <c r="K2884" s="16">
        <f>IFERROR(__xludf.DUMMYFUNCTION("""COMPUTED_VALUE"""),644.0)</f>
        <v>644</v>
      </c>
      <c r="L2884" s="16"/>
      <c r="M2884" s="14"/>
    </row>
    <row r="2885">
      <c r="A2885" s="16" t="str">
        <f>IFERROR(__xludf.DUMMYFUNCTION("""COMPUTED_VALUE"""),"ALASSANE TAWEY AWALOU")</f>
        <v>ALASSANE TAWEY AWALOU</v>
      </c>
      <c r="B2885" s="16"/>
      <c r="C2885" s="14"/>
      <c r="F2885" s="16" t="str">
        <f>IFERROR(__xludf.DUMMYFUNCTION("""COMPUTED_VALUE"""),"Guidan Fako")</f>
        <v>Guidan Fako</v>
      </c>
      <c r="G2885" s="16"/>
      <c r="H2885" s="14"/>
      <c r="K2885" s="16">
        <f>IFERROR(__xludf.DUMMYFUNCTION("""COMPUTED_VALUE"""),761.0)</f>
        <v>761</v>
      </c>
      <c r="L2885" s="16"/>
      <c r="M2885" s="14"/>
    </row>
    <row r="2886">
      <c r="A2886" s="16" t="str">
        <f>IFERROR(__xludf.DUMMYFUNCTION("""COMPUTED_VALUE"""),"ALASSANE TAWEY AWALOU")</f>
        <v>ALASSANE TAWEY AWALOU</v>
      </c>
      <c r="B2886" s="16"/>
      <c r="C2886" s="14"/>
      <c r="F2886" s="16" t="str">
        <f>IFERROR(__xludf.DUMMYFUNCTION("""COMPUTED_VALUE"""),"Guidan Fako")</f>
        <v>Guidan Fako</v>
      </c>
      <c r="G2886" s="16"/>
      <c r="H2886" s="14"/>
      <c r="K2886" s="16">
        <f>IFERROR(__xludf.DUMMYFUNCTION("""COMPUTED_VALUE"""),413.0)</f>
        <v>413</v>
      </c>
      <c r="L2886" s="16"/>
      <c r="M2886" s="14"/>
    </row>
    <row r="2887">
      <c r="A2887" s="16" t="str">
        <f>IFERROR(__xludf.DUMMYFUNCTION("""COMPUTED_VALUE"""),"ALASSANE TAWEY AWALOU")</f>
        <v>ALASSANE TAWEY AWALOU</v>
      </c>
      <c r="B2887" s="16"/>
      <c r="C2887" s="14"/>
      <c r="F2887" s="16" t="str">
        <f>IFERROR(__xludf.DUMMYFUNCTION("""COMPUTED_VALUE"""),"Guidan Fako")</f>
        <v>Guidan Fako</v>
      </c>
      <c r="G2887" s="16"/>
      <c r="H2887" s="14"/>
      <c r="K2887" s="16">
        <f>IFERROR(__xludf.DUMMYFUNCTION("""COMPUTED_VALUE"""),378.0)</f>
        <v>378</v>
      </c>
      <c r="L2887" s="16"/>
      <c r="M2887" s="14"/>
    </row>
    <row r="2888">
      <c r="A2888" s="16" t="str">
        <f>IFERROR(__xludf.DUMMYFUNCTION("""COMPUTED_VALUE"""),"ALASSANE TAWEY AWALOU")</f>
        <v>ALASSANE TAWEY AWALOU</v>
      </c>
      <c r="B2888" s="16"/>
      <c r="C2888" s="14"/>
      <c r="F2888" s="16" t="str">
        <f>IFERROR(__xludf.DUMMYFUNCTION("""COMPUTED_VALUE"""),"Guidan Fako")</f>
        <v>Guidan Fako</v>
      </c>
      <c r="G2888" s="16"/>
      <c r="H2888" s="14"/>
      <c r="K2888" s="16">
        <f>IFERROR(__xludf.DUMMYFUNCTION("""COMPUTED_VALUE"""),1022.0)</f>
        <v>1022</v>
      </c>
      <c r="L2888" s="16"/>
      <c r="M2888" s="14"/>
    </row>
    <row r="2889">
      <c r="A2889" s="16" t="str">
        <f>IFERROR(__xludf.DUMMYFUNCTION("""COMPUTED_VALUE"""),"ALASSANE TAWEY AWALOU")</f>
        <v>ALASSANE TAWEY AWALOU</v>
      </c>
      <c r="B2889" s="16"/>
      <c r="C2889" s="14"/>
      <c r="F2889" s="16" t="str">
        <f>IFERROR(__xludf.DUMMYFUNCTION("""COMPUTED_VALUE"""),"Guidan Fako")</f>
        <v>Guidan Fako</v>
      </c>
      <c r="G2889" s="16"/>
      <c r="H2889" s="14"/>
      <c r="K2889" s="16">
        <f>IFERROR(__xludf.DUMMYFUNCTION("""COMPUTED_VALUE"""),1316.0)</f>
        <v>1316</v>
      </c>
      <c r="L2889" s="16"/>
      <c r="M2889" s="14"/>
    </row>
    <row r="2890">
      <c r="A2890" s="16" t="str">
        <f>IFERROR(__xludf.DUMMYFUNCTION("""COMPUTED_VALUE"""),"Kimba Issa Mamoudou")</f>
        <v>Kimba Issa Mamoudou</v>
      </c>
      <c r="B2890" s="16"/>
      <c r="C2890" s="14"/>
      <c r="F2890" s="16" t="str">
        <f>IFERROR(__xludf.DUMMYFUNCTION("""COMPUTED_VALUE"""),"Guidan Fako")</f>
        <v>Guidan Fako</v>
      </c>
      <c r="G2890" s="16"/>
      <c r="H2890" s="14"/>
      <c r="K2890" s="16">
        <f>IFERROR(__xludf.DUMMYFUNCTION("""COMPUTED_VALUE"""),1343.0)</f>
        <v>1343</v>
      </c>
      <c r="L2890" s="16"/>
      <c r="M2890" s="14"/>
    </row>
    <row r="2891">
      <c r="A2891" s="16" t="str">
        <f>IFERROR(__xludf.DUMMYFUNCTION("""COMPUTED_VALUE"""),"Kimba Issa Mamoudou")</f>
        <v>Kimba Issa Mamoudou</v>
      </c>
      <c r="B2891" s="16"/>
      <c r="C2891" s="14"/>
      <c r="F2891" s="16" t="str">
        <f>IFERROR(__xludf.DUMMYFUNCTION("""COMPUTED_VALUE"""),"Guidan Fako")</f>
        <v>Guidan Fako</v>
      </c>
      <c r="G2891" s="16"/>
      <c r="H2891" s="14"/>
      <c r="K2891" s="16">
        <f>IFERROR(__xludf.DUMMYFUNCTION("""COMPUTED_VALUE"""),567.0)</f>
        <v>567</v>
      </c>
      <c r="L2891" s="16"/>
      <c r="M2891" s="14"/>
    </row>
    <row r="2892">
      <c r="A2892" s="16" t="str">
        <f>IFERROR(__xludf.DUMMYFUNCTION("""COMPUTED_VALUE"""),"Kimba Issa Mamoudou")</f>
        <v>Kimba Issa Mamoudou</v>
      </c>
      <c r="B2892" s="16"/>
      <c r="C2892" s="14"/>
      <c r="F2892" s="16" t="str">
        <f>IFERROR(__xludf.DUMMYFUNCTION("""COMPUTED_VALUE"""),"Guidan Fako")</f>
        <v>Guidan Fako</v>
      </c>
      <c r="G2892" s="16"/>
      <c r="H2892" s="14"/>
      <c r="K2892" s="16">
        <f>IFERROR(__xludf.DUMMYFUNCTION("""COMPUTED_VALUE"""),387.0)</f>
        <v>387</v>
      </c>
      <c r="L2892" s="16"/>
      <c r="M2892" s="14"/>
    </row>
    <row r="2893">
      <c r="A2893" s="16" t="str">
        <f>IFERROR(__xludf.DUMMYFUNCTION("""COMPUTED_VALUE"""),"Kimba Issa Mamoudou")</f>
        <v>Kimba Issa Mamoudou</v>
      </c>
      <c r="B2893" s="16"/>
      <c r="C2893" s="14"/>
      <c r="F2893" s="16" t="str">
        <f>IFERROR(__xludf.DUMMYFUNCTION("""COMPUTED_VALUE"""),"Guidan Fako")</f>
        <v>Guidan Fako</v>
      </c>
      <c r="G2893" s="16"/>
      <c r="H2893" s="14"/>
      <c r="K2893" s="16">
        <f>IFERROR(__xludf.DUMMYFUNCTION("""COMPUTED_VALUE"""),359.0)</f>
        <v>359</v>
      </c>
      <c r="L2893" s="16"/>
      <c r="M2893" s="14"/>
    </row>
    <row r="2894">
      <c r="A2894" s="16" t="str">
        <f>IFERROR(__xludf.DUMMYFUNCTION("""COMPUTED_VALUE"""),"Kimba Issa Mamoudou")</f>
        <v>Kimba Issa Mamoudou</v>
      </c>
      <c r="B2894" s="16"/>
      <c r="C2894" s="14"/>
      <c r="F2894" s="16" t="str">
        <f>IFERROR(__xludf.DUMMYFUNCTION("""COMPUTED_VALUE"""),"Guidan Fako")</f>
        <v>Guidan Fako</v>
      </c>
      <c r="G2894" s="16"/>
      <c r="H2894" s="14"/>
      <c r="K2894" s="16">
        <f>IFERROR(__xludf.DUMMYFUNCTION("""COMPUTED_VALUE"""),299.0)</f>
        <v>299</v>
      </c>
      <c r="L2894" s="16"/>
      <c r="M2894" s="14"/>
    </row>
    <row r="2895">
      <c r="A2895" s="16" t="str">
        <f>IFERROR(__xludf.DUMMYFUNCTION("""COMPUTED_VALUE"""),"Moussa Ide Ibrahim")</f>
        <v>Moussa Ide Ibrahim</v>
      </c>
      <c r="B2895" s="16"/>
      <c r="C2895" s="14"/>
      <c r="F2895" s="16" t="str">
        <f>IFERROR(__xludf.DUMMYFUNCTION("""COMPUTED_VALUE"""),"Guidan Fako")</f>
        <v>Guidan Fako</v>
      </c>
      <c r="G2895" s="16"/>
      <c r="H2895" s="14"/>
      <c r="K2895" s="16">
        <f>IFERROR(__xludf.DUMMYFUNCTION("""COMPUTED_VALUE"""),469.0)</f>
        <v>469</v>
      </c>
      <c r="L2895" s="16"/>
      <c r="M2895" s="14"/>
    </row>
    <row r="2896">
      <c r="A2896" s="16" t="str">
        <f>IFERROR(__xludf.DUMMYFUNCTION("""COMPUTED_VALUE"""),"Moussa Ide Ibrahim")</f>
        <v>Moussa Ide Ibrahim</v>
      </c>
      <c r="B2896" s="16"/>
      <c r="C2896" s="14"/>
      <c r="F2896" s="16" t="str">
        <f>IFERROR(__xludf.DUMMYFUNCTION("""COMPUTED_VALUE"""),"Guidan Fako")</f>
        <v>Guidan Fako</v>
      </c>
      <c r="G2896" s="16"/>
      <c r="H2896" s="14"/>
      <c r="K2896" s="16">
        <f>IFERROR(__xludf.DUMMYFUNCTION("""COMPUTED_VALUE"""),677.0)</f>
        <v>677</v>
      </c>
      <c r="L2896" s="16"/>
      <c r="M2896" s="14"/>
    </row>
    <row r="2897">
      <c r="A2897" s="16" t="str">
        <f>IFERROR(__xludf.DUMMYFUNCTION("""COMPUTED_VALUE"""),"Moussa Ide Ibrahim")</f>
        <v>Moussa Ide Ibrahim</v>
      </c>
      <c r="B2897" s="16"/>
      <c r="C2897" s="14"/>
      <c r="F2897" s="16" t="str">
        <f>IFERROR(__xludf.DUMMYFUNCTION("""COMPUTED_VALUE"""),"Guidan Fako")</f>
        <v>Guidan Fako</v>
      </c>
      <c r="G2897" s="16"/>
      <c r="H2897" s="14"/>
      <c r="K2897" s="16">
        <f>IFERROR(__xludf.DUMMYFUNCTION("""COMPUTED_VALUE"""),733.0)</f>
        <v>733</v>
      </c>
      <c r="L2897" s="16"/>
      <c r="M2897" s="14"/>
    </row>
    <row r="2898">
      <c r="A2898" s="16" t="str">
        <f>IFERROR(__xludf.DUMMYFUNCTION("""COMPUTED_VALUE"""),"Moussa Ide Ibrahim")</f>
        <v>Moussa Ide Ibrahim</v>
      </c>
      <c r="B2898" s="16"/>
      <c r="C2898" s="14"/>
      <c r="F2898" s="16" t="str">
        <f>IFERROR(__xludf.DUMMYFUNCTION("""COMPUTED_VALUE"""),"Sokolé I")</f>
        <v>Sokolé I</v>
      </c>
      <c r="G2898" s="16"/>
      <c r="H2898" s="14"/>
      <c r="K2898" s="16">
        <f>IFERROR(__xludf.DUMMYFUNCTION("""COMPUTED_VALUE"""),624.0)</f>
        <v>624</v>
      </c>
      <c r="L2898" s="16"/>
      <c r="M2898" s="14"/>
    </row>
    <row r="2899">
      <c r="A2899" s="16" t="str">
        <f>IFERROR(__xludf.DUMMYFUNCTION("""COMPUTED_VALUE"""),"Moussa Ide Ibrahim")</f>
        <v>Moussa Ide Ibrahim</v>
      </c>
      <c r="B2899" s="16"/>
      <c r="C2899" s="14"/>
      <c r="F2899" s="16" t="str">
        <f>IFERROR(__xludf.DUMMYFUNCTION("""COMPUTED_VALUE"""),"Sokolé I")</f>
        <v>Sokolé I</v>
      </c>
      <c r="G2899" s="16"/>
      <c r="H2899" s="14"/>
      <c r="K2899" s="16">
        <f>IFERROR(__xludf.DUMMYFUNCTION("""COMPUTED_VALUE"""),445.0)</f>
        <v>445</v>
      </c>
      <c r="L2899" s="16"/>
      <c r="M2899" s="14"/>
    </row>
    <row r="2900">
      <c r="A2900" s="16" t="str">
        <f>IFERROR(__xludf.DUMMYFUNCTION("""COMPUTED_VALUE"""),"Kadidja Issaka Hamidou")</f>
        <v>Kadidja Issaka Hamidou</v>
      </c>
      <c r="B2900" s="16"/>
      <c r="C2900" s="14"/>
      <c r="F2900" s="16" t="str">
        <f>IFERROR(__xludf.DUMMYFUNCTION("""COMPUTED_VALUE"""),"Galé (Toudou)")</f>
        <v>Galé (Toudou)</v>
      </c>
      <c r="G2900" s="16"/>
      <c r="H2900" s="14"/>
      <c r="K2900" s="16">
        <f>IFERROR(__xludf.DUMMYFUNCTION("""COMPUTED_VALUE"""),606.0)</f>
        <v>606</v>
      </c>
      <c r="L2900" s="16"/>
      <c r="M2900" s="14"/>
    </row>
    <row r="2901">
      <c r="A2901" s="16" t="str">
        <f>IFERROR(__xludf.DUMMYFUNCTION("""COMPUTED_VALUE"""),"Kadidja Issaka Hamidou")</f>
        <v>Kadidja Issaka Hamidou</v>
      </c>
      <c r="B2901" s="16"/>
      <c r="C2901" s="14"/>
      <c r="F2901" s="16" t="str">
        <f>IFERROR(__xludf.DUMMYFUNCTION("""COMPUTED_VALUE"""),"Galé (Toudou)")</f>
        <v>Galé (Toudou)</v>
      </c>
      <c r="G2901" s="16"/>
      <c r="H2901" s="14"/>
      <c r="K2901" s="16">
        <f>IFERROR(__xludf.DUMMYFUNCTION("""COMPUTED_VALUE"""),700.0)</f>
        <v>700</v>
      </c>
      <c r="L2901" s="16"/>
      <c r="M2901" s="14"/>
    </row>
    <row r="2902">
      <c r="A2902" s="16" t="str">
        <f>IFERROR(__xludf.DUMMYFUNCTION("""COMPUTED_VALUE"""),"Larabou Chamsoudine")</f>
        <v>Larabou Chamsoudine</v>
      </c>
      <c r="B2902" s="16"/>
      <c r="C2902" s="14"/>
      <c r="F2902" s="16" t="str">
        <f>IFERROR(__xludf.DUMMYFUNCTION("""COMPUTED_VALUE"""),"Galé (Toudou)")</f>
        <v>Galé (Toudou)</v>
      </c>
      <c r="G2902" s="16"/>
      <c r="H2902" s="14"/>
      <c r="K2902" s="16">
        <f>IFERROR(__xludf.DUMMYFUNCTION("""COMPUTED_VALUE"""),454.0)</f>
        <v>454</v>
      </c>
      <c r="L2902" s="16"/>
      <c r="M2902" s="14"/>
    </row>
    <row r="2903">
      <c r="A2903" s="16" t="str">
        <f>IFERROR(__xludf.DUMMYFUNCTION("""COMPUTED_VALUE"""),"Kadidja Issaka Hamidou")</f>
        <v>Kadidja Issaka Hamidou</v>
      </c>
      <c r="B2903" s="16"/>
      <c r="C2903" s="14"/>
      <c r="F2903" s="16" t="str">
        <f>IFERROR(__xludf.DUMMYFUNCTION("""COMPUTED_VALUE"""),"Galé (Toudou)")</f>
        <v>Galé (Toudou)</v>
      </c>
      <c r="G2903" s="16"/>
      <c r="H2903" s="14"/>
      <c r="K2903" s="16">
        <f>IFERROR(__xludf.DUMMYFUNCTION("""COMPUTED_VALUE"""),376.0)</f>
        <v>376</v>
      </c>
      <c r="L2903" s="16"/>
      <c r="M2903" s="14"/>
    </row>
    <row r="2904">
      <c r="A2904" s="16" t="str">
        <f>IFERROR(__xludf.DUMMYFUNCTION("""COMPUTED_VALUE"""),"Larabou Chamsoudine")</f>
        <v>Larabou Chamsoudine</v>
      </c>
      <c r="B2904" s="16"/>
      <c r="C2904" s="14"/>
      <c r="F2904" s="16" t="str">
        <f>IFERROR(__xludf.DUMMYFUNCTION("""COMPUTED_VALUE"""),"Galé (Toudou)")</f>
        <v>Galé (Toudou)</v>
      </c>
      <c r="G2904" s="16"/>
      <c r="H2904" s="14"/>
      <c r="K2904" s="16">
        <f>IFERROR(__xludf.DUMMYFUNCTION("""COMPUTED_VALUE"""),1219.0)</f>
        <v>1219</v>
      </c>
      <c r="L2904" s="16"/>
      <c r="M2904" s="14"/>
    </row>
    <row r="2905">
      <c r="A2905" s="16" t="str">
        <f>IFERROR(__xludf.DUMMYFUNCTION("""COMPUTED_VALUE"""),"Larabou Chamsoudine")</f>
        <v>Larabou Chamsoudine</v>
      </c>
      <c r="B2905" s="16"/>
      <c r="C2905" s="14"/>
      <c r="F2905" s="16" t="str">
        <f>IFERROR(__xludf.DUMMYFUNCTION("""COMPUTED_VALUE"""),"Galé (Toudou)")</f>
        <v>Galé (Toudou)</v>
      </c>
      <c r="G2905" s="16"/>
      <c r="H2905" s="14"/>
      <c r="K2905" s="16">
        <f>IFERROR(__xludf.DUMMYFUNCTION("""COMPUTED_VALUE"""),1110.0)</f>
        <v>1110</v>
      </c>
      <c r="L2905" s="16"/>
      <c r="M2905" s="14"/>
    </row>
    <row r="2906">
      <c r="A2906" s="16" t="str">
        <f>IFERROR(__xludf.DUMMYFUNCTION("""COMPUTED_VALUE"""),"Larabou Chamsoudine")</f>
        <v>Larabou Chamsoudine</v>
      </c>
      <c r="B2906" s="16"/>
      <c r="C2906" s="14"/>
      <c r="F2906" s="16" t="str">
        <f>IFERROR(__xludf.DUMMYFUNCTION("""COMPUTED_VALUE"""),"Quartier Toudoun Maiguichiri")</f>
        <v>Quartier Toudoun Maiguichiri</v>
      </c>
      <c r="G2906" s="16"/>
      <c r="H2906" s="14"/>
      <c r="K2906" s="16">
        <f>IFERROR(__xludf.DUMMYFUNCTION("""COMPUTED_VALUE"""),571.0)</f>
        <v>571</v>
      </c>
      <c r="L2906" s="16"/>
      <c r="M2906" s="14"/>
    </row>
    <row r="2907">
      <c r="A2907" s="16" t="str">
        <f>IFERROR(__xludf.DUMMYFUNCTION("""COMPUTED_VALUE"""),"Larabou Chamsoudine")</f>
        <v>Larabou Chamsoudine</v>
      </c>
      <c r="B2907" s="16"/>
      <c r="C2907" s="14"/>
      <c r="F2907" s="16" t="str">
        <f>IFERROR(__xludf.DUMMYFUNCTION("""COMPUTED_VALUE"""),"Quartier Toudoun Maiguichiri")</f>
        <v>Quartier Toudoun Maiguichiri</v>
      </c>
      <c r="G2907" s="16"/>
      <c r="H2907" s="14"/>
      <c r="K2907" s="16">
        <f>IFERROR(__xludf.DUMMYFUNCTION("""COMPUTED_VALUE"""),731.0)</f>
        <v>731</v>
      </c>
      <c r="L2907" s="16"/>
      <c r="M2907" s="14"/>
    </row>
    <row r="2908">
      <c r="A2908" s="16" t="str">
        <f>IFERROR(__xludf.DUMMYFUNCTION("""COMPUTED_VALUE"""),"Larabou Chamsoudine")</f>
        <v>Larabou Chamsoudine</v>
      </c>
      <c r="B2908" s="16"/>
      <c r="C2908" s="14"/>
      <c r="F2908" s="16" t="str">
        <f>IFERROR(__xludf.DUMMYFUNCTION("""COMPUTED_VALUE"""),"Quartier Toudoun Maiguichiri")</f>
        <v>Quartier Toudoun Maiguichiri</v>
      </c>
      <c r="G2908" s="16"/>
      <c r="H2908" s="14"/>
      <c r="K2908" s="16">
        <f>IFERROR(__xludf.DUMMYFUNCTION("""COMPUTED_VALUE"""),1044.0)</f>
        <v>1044</v>
      </c>
      <c r="L2908" s="16"/>
      <c r="M2908" s="14"/>
    </row>
    <row r="2909">
      <c r="A2909" s="16" t="str">
        <f>IFERROR(__xludf.DUMMYFUNCTION("""COMPUTED_VALUE"""),"Larabou Chamsoudine")</f>
        <v>Larabou Chamsoudine</v>
      </c>
      <c r="B2909" s="16"/>
      <c r="C2909" s="14"/>
      <c r="F2909" s="16" t="str">
        <f>IFERROR(__xludf.DUMMYFUNCTION("""COMPUTED_VALUE"""),"Quartier Toudoun Maiguichiri")</f>
        <v>Quartier Toudoun Maiguichiri</v>
      </c>
      <c r="G2909" s="16"/>
      <c r="H2909" s="14"/>
      <c r="K2909" s="16">
        <f>IFERROR(__xludf.DUMMYFUNCTION("""COMPUTED_VALUE"""),965.0)</f>
        <v>965</v>
      </c>
      <c r="L2909" s="16"/>
      <c r="M2909" s="14"/>
    </row>
    <row r="2910">
      <c r="A2910" s="16" t="str">
        <f>IFERROR(__xludf.DUMMYFUNCTION("""COMPUTED_VALUE"""),"Larabou Chamsoudine")</f>
        <v>Larabou Chamsoudine</v>
      </c>
      <c r="B2910" s="16"/>
      <c r="C2910" s="14"/>
      <c r="F2910" s="16" t="str">
        <f>IFERROR(__xludf.DUMMYFUNCTION("""COMPUTED_VALUE"""),"Quartier Toudoun Maiguichiri")</f>
        <v>Quartier Toudoun Maiguichiri</v>
      </c>
      <c r="G2910" s="16"/>
      <c r="H2910" s="14"/>
      <c r="K2910" s="16">
        <f>IFERROR(__xludf.DUMMYFUNCTION("""COMPUTED_VALUE"""),1131.0)</f>
        <v>1131</v>
      </c>
      <c r="L2910" s="16"/>
      <c r="M2910" s="14"/>
    </row>
    <row r="2911">
      <c r="A2911" s="16" t="str">
        <f>IFERROR(__xludf.DUMMYFUNCTION("""COMPUTED_VALUE"""),"Larabou Chamsoudine")</f>
        <v>Larabou Chamsoudine</v>
      </c>
      <c r="B2911" s="16"/>
      <c r="C2911" s="14"/>
      <c r="F2911" s="16" t="str">
        <f>IFERROR(__xludf.DUMMYFUNCTION("""COMPUTED_VALUE"""),"Quartier Toudoun Maiguichiri")</f>
        <v>Quartier Toudoun Maiguichiri</v>
      </c>
      <c r="G2911" s="16"/>
      <c r="H2911" s="14"/>
      <c r="K2911" s="16">
        <f>IFERROR(__xludf.DUMMYFUNCTION("""COMPUTED_VALUE"""),1075.0)</f>
        <v>1075</v>
      </c>
      <c r="L2911" s="16"/>
      <c r="M2911" s="14"/>
    </row>
    <row r="2912">
      <c r="A2912" s="16" t="str">
        <f>IFERROR(__xludf.DUMMYFUNCTION("""COMPUTED_VALUE"""),"Larabou Chamsoudine")</f>
        <v>Larabou Chamsoudine</v>
      </c>
      <c r="B2912" s="16"/>
      <c r="C2912" s="14"/>
      <c r="F2912" s="16" t="str">
        <f>IFERROR(__xludf.DUMMYFUNCTION("""COMPUTED_VALUE"""),"Quartier Toudoun Maiguichiri")</f>
        <v>Quartier Toudoun Maiguichiri</v>
      </c>
      <c r="G2912" s="16"/>
      <c r="H2912" s="14"/>
      <c r="K2912" s="16">
        <f>IFERROR(__xludf.DUMMYFUNCTION("""COMPUTED_VALUE"""),832.0)</f>
        <v>832</v>
      </c>
      <c r="L2912" s="16"/>
      <c r="M2912" s="14"/>
    </row>
    <row r="2913">
      <c r="A2913" s="16" t="str">
        <f>IFERROR(__xludf.DUMMYFUNCTION("""COMPUTED_VALUE"""),"Larabou Chamsoudine")</f>
        <v>Larabou Chamsoudine</v>
      </c>
      <c r="B2913" s="16"/>
      <c r="C2913" s="14"/>
      <c r="F2913" s="16" t="str">
        <f>IFERROR(__xludf.DUMMYFUNCTION("""COMPUTED_VALUE"""),"Agouloum Toudou")</f>
        <v>Agouloum Toudou</v>
      </c>
      <c r="G2913" s="16"/>
      <c r="H2913" s="14"/>
      <c r="K2913" s="16">
        <f>IFERROR(__xludf.DUMMYFUNCTION("""COMPUTED_VALUE"""),324.0)</f>
        <v>324</v>
      </c>
      <c r="L2913" s="16"/>
      <c r="M2913" s="14"/>
    </row>
    <row r="2914">
      <c r="A2914" s="16" t="str">
        <f>IFERROR(__xludf.DUMMYFUNCTION("""COMPUTED_VALUE"""),"Kadidja Issaka Hamidou")</f>
        <v>Kadidja Issaka Hamidou</v>
      </c>
      <c r="B2914" s="16"/>
      <c r="C2914" s="14"/>
      <c r="F2914" s="16" t="str">
        <f>IFERROR(__xludf.DUMMYFUNCTION("""COMPUTED_VALUE"""),"Agouloum Toudou")</f>
        <v>Agouloum Toudou</v>
      </c>
      <c r="G2914" s="16"/>
      <c r="H2914" s="14"/>
      <c r="K2914" s="16">
        <f>IFERROR(__xludf.DUMMYFUNCTION("""COMPUTED_VALUE"""),423.0)</f>
        <v>423</v>
      </c>
      <c r="L2914" s="16"/>
      <c r="M2914" s="14"/>
    </row>
    <row r="2915">
      <c r="A2915" s="16" t="str">
        <f>IFERROR(__xludf.DUMMYFUNCTION("""COMPUTED_VALUE"""),"Amadou Hamidou Abdoul Karim")</f>
        <v>Amadou Hamidou Abdoul Karim</v>
      </c>
      <c r="B2915" s="16"/>
      <c r="C2915" s="14"/>
      <c r="F2915" s="16" t="str">
        <f>IFERROR(__xludf.DUMMYFUNCTION("""COMPUTED_VALUE"""),"Agouloum Toudou")</f>
        <v>Agouloum Toudou</v>
      </c>
      <c r="G2915" s="16"/>
      <c r="H2915" s="14"/>
      <c r="K2915" s="16">
        <f>IFERROR(__xludf.DUMMYFUNCTION("""COMPUTED_VALUE"""),215.0)</f>
        <v>215</v>
      </c>
      <c r="L2915" s="16"/>
      <c r="M2915" s="14"/>
    </row>
    <row r="2916">
      <c r="A2916" s="16" t="str">
        <f>IFERROR(__xludf.DUMMYFUNCTION("""COMPUTED_VALUE"""),"Amadou Hamidou Abdoul Karim")</f>
        <v>Amadou Hamidou Abdoul Karim</v>
      </c>
      <c r="B2916" s="16"/>
      <c r="C2916" s="14"/>
      <c r="F2916" s="16" t="str">
        <f>IFERROR(__xludf.DUMMYFUNCTION("""COMPUTED_VALUE"""),"Agouloum Toudou")</f>
        <v>Agouloum Toudou</v>
      </c>
      <c r="G2916" s="16"/>
      <c r="H2916" s="14"/>
      <c r="K2916" s="16">
        <f>IFERROR(__xludf.DUMMYFUNCTION("""COMPUTED_VALUE"""),913.0)</f>
        <v>913</v>
      </c>
      <c r="L2916" s="16"/>
      <c r="M2916" s="14"/>
    </row>
    <row r="2917">
      <c r="A2917" s="16" t="str">
        <f>IFERROR(__xludf.DUMMYFUNCTION("""COMPUTED_VALUE"""),"Amadou Hamidou Abdoul Karim")</f>
        <v>Amadou Hamidou Abdoul Karim</v>
      </c>
      <c r="B2917" s="16"/>
      <c r="C2917" s="14"/>
      <c r="F2917" s="16" t="str">
        <f>IFERROR(__xludf.DUMMYFUNCTION("""COMPUTED_VALUE"""),"Agouloum Toudou")</f>
        <v>Agouloum Toudou</v>
      </c>
      <c r="G2917" s="16"/>
      <c r="H2917" s="14"/>
      <c r="K2917" s="16">
        <f>IFERROR(__xludf.DUMMYFUNCTION("""COMPUTED_VALUE"""),829.0)</f>
        <v>829</v>
      </c>
      <c r="L2917" s="16"/>
      <c r="M2917" s="14"/>
    </row>
    <row r="2918">
      <c r="A2918" s="16" t="str">
        <f>IFERROR(__xludf.DUMMYFUNCTION("""COMPUTED_VALUE"""),"Amadou Hamidou Abdoul Karim")</f>
        <v>Amadou Hamidou Abdoul Karim</v>
      </c>
      <c r="B2918" s="16"/>
      <c r="C2918" s="14"/>
      <c r="F2918" s="16" t="str">
        <f>IFERROR(__xludf.DUMMYFUNCTION("""COMPUTED_VALUE"""),"AgouloumKarama")</f>
        <v>AgouloumKarama</v>
      </c>
      <c r="G2918" s="16"/>
      <c r="H2918" s="14"/>
      <c r="K2918" s="16">
        <f>IFERROR(__xludf.DUMMYFUNCTION("""COMPUTED_VALUE"""),524.0)</f>
        <v>524</v>
      </c>
      <c r="L2918" s="16"/>
      <c r="M2918" s="14"/>
    </row>
    <row r="2919">
      <c r="A2919" s="16" t="str">
        <f>IFERROR(__xludf.DUMMYFUNCTION("""COMPUTED_VALUE"""),"Amadou Hamidou Abdoul Karim")</f>
        <v>Amadou Hamidou Abdoul Karim</v>
      </c>
      <c r="B2919" s="16"/>
      <c r="C2919" s="14"/>
      <c r="F2919" s="16" t="str">
        <f>IFERROR(__xludf.DUMMYFUNCTION("""COMPUTED_VALUE"""),"Kabima-Al Baraka")</f>
        <v>Kabima-Al Baraka</v>
      </c>
      <c r="G2919" s="16"/>
      <c r="H2919" s="14"/>
      <c r="K2919" s="16">
        <f>IFERROR(__xludf.DUMMYFUNCTION("""COMPUTED_VALUE"""),998.0)</f>
        <v>998</v>
      </c>
      <c r="L2919" s="16"/>
      <c r="M2919" s="14"/>
    </row>
    <row r="2920">
      <c r="A2920" s="16" t="str">
        <f>IFERROR(__xludf.DUMMYFUNCTION("""COMPUTED_VALUE"""),"Amadou Hamidou Abdoul Karim")</f>
        <v>Amadou Hamidou Abdoul Karim</v>
      </c>
      <c r="B2920" s="16"/>
      <c r="C2920" s="14"/>
      <c r="F2920" s="16" t="str">
        <f>IFERROR(__xludf.DUMMYFUNCTION("""COMPUTED_VALUE"""),"Kabima-Al Baraka")</f>
        <v>Kabima-Al Baraka</v>
      </c>
      <c r="G2920" s="16"/>
      <c r="H2920" s="14"/>
      <c r="K2920" s="16">
        <f>IFERROR(__xludf.DUMMYFUNCTION("""COMPUTED_VALUE"""),261.0)</f>
        <v>261</v>
      </c>
      <c r="L2920" s="16"/>
      <c r="M2920" s="14"/>
    </row>
    <row r="2921">
      <c r="A2921" s="16" t="str">
        <f>IFERROR(__xludf.DUMMYFUNCTION("""COMPUTED_VALUE"""),"Inoussa Balkissou")</f>
        <v>Inoussa Balkissou</v>
      </c>
      <c r="B2921" s="16"/>
      <c r="C2921" s="14"/>
      <c r="F2921" s="16" t="str">
        <f>IFERROR(__xludf.DUMMYFUNCTION("""COMPUTED_VALUE"""),"Kabima-Al Baraka")</f>
        <v>Kabima-Al Baraka</v>
      </c>
      <c r="G2921" s="16"/>
      <c r="H2921" s="14"/>
      <c r="K2921" s="16">
        <f>IFERROR(__xludf.DUMMYFUNCTION("""COMPUTED_VALUE"""),1122.0)</f>
        <v>1122</v>
      </c>
      <c r="L2921" s="16"/>
      <c r="M2921" s="14"/>
    </row>
    <row r="2922">
      <c r="A2922" s="16" t="str">
        <f>IFERROR(__xludf.DUMMYFUNCTION("""COMPUTED_VALUE"""),"Inoussa Balkissou")</f>
        <v>Inoussa Balkissou</v>
      </c>
      <c r="B2922" s="16"/>
      <c r="C2922" s="14"/>
      <c r="F2922" s="16" t="str">
        <f>IFERROR(__xludf.DUMMYFUNCTION("""COMPUTED_VALUE"""),"Kabima-Al Baraka")</f>
        <v>Kabima-Al Baraka</v>
      </c>
      <c r="G2922" s="16"/>
      <c r="H2922" s="14"/>
      <c r="K2922" s="16">
        <f>IFERROR(__xludf.DUMMYFUNCTION("""COMPUTED_VALUE"""),270.0)</f>
        <v>270</v>
      </c>
      <c r="L2922" s="16"/>
      <c r="M2922" s="14"/>
    </row>
    <row r="2923">
      <c r="A2923" s="16" t="str">
        <f>IFERROR(__xludf.DUMMYFUNCTION("""COMPUTED_VALUE"""),"Inoussa Balkissou")</f>
        <v>Inoussa Balkissou</v>
      </c>
      <c r="B2923" s="16"/>
      <c r="C2923" s="14"/>
      <c r="F2923" s="16" t="str">
        <f>IFERROR(__xludf.DUMMYFUNCTION("""COMPUTED_VALUE"""),"Sokolé Guidan Gaba Mahalba")</f>
        <v>Sokolé Guidan Gaba Mahalba</v>
      </c>
      <c r="G2923" s="16"/>
      <c r="H2923" s="14"/>
      <c r="K2923" s="16">
        <f>IFERROR(__xludf.DUMMYFUNCTION("""COMPUTED_VALUE"""),757.0)</f>
        <v>757</v>
      </c>
      <c r="L2923" s="16"/>
      <c r="M2923" s="14"/>
    </row>
    <row r="2924">
      <c r="A2924" s="16" t="str">
        <f>IFERROR(__xludf.DUMMYFUNCTION("""COMPUTED_VALUE"""),"Abdoul Salami Ibrahim")</f>
        <v>Abdoul Salami Ibrahim</v>
      </c>
      <c r="B2924" s="16"/>
      <c r="C2924" s="14"/>
      <c r="F2924" s="16" t="str">
        <f>IFERROR(__xludf.DUMMYFUNCTION("""COMPUTED_VALUE"""),"Sokolé Guidan Gaba Mahalba")</f>
        <v>Sokolé Guidan Gaba Mahalba</v>
      </c>
      <c r="G2924" s="16"/>
      <c r="H2924" s="14"/>
      <c r="K2924" s="16">
        <f>IFERROR(__xludf.DUMMYFUNCTION("""COMPUTED_VALUE"""),300.0)</f>
        <v>300</v>
      </c>
      <c r="L2924" s="16"/>
      <c r="M2924" s="14"/>
    </row>
    <row r="2925">
      <c r="A2925" s="16" t="str">
        <f>IFERROR(__xludf.DUMMYFUNCTION("""COMPUTED_VALUE"""),"Haladou Boukar")</f>
        <v>Haladou Boukar</v>
      </c>
      <c r="B2925" s="16"/>
      <c r="C2925" s="14"/>
      <c r="F2925" s="16" t="str">
        <f>IFERROR(__xludf.DUMMYFUNCTION("""COMPUTED_VALUE"""),"Sokolé Guidan Gaba Mahalba")</f>
        <v>Sokolé Guidan Gaba Mahalba</v>
      </c>
      <c r="G2925" s="16"/>
      <c r="H2925" s="14"/>
      <c r="K2925" s="16">
        <f>IFERROR(__xludf.DUMMYFUNCTION("""COMPUTED_VALUE"""),768.0)</f>
        <v>768</v>
      </c>
      <c r="L2925" s="16"/>
      <c r="M2925" s="14"/>
    </row>
    <row r="2926">
      <c r="A2926" s="16" t="str">
        <f>IFERROR(__xludf.DUMMYFUNCTION("""COMPUTED_VALUE"""),"Haladou Boukar")</f>
        <v>Haladou Boukar</v>
      </c>
      <c r="B2926" s="16"/>
      <c r="C2926" s="14"/>
      <c r="F2926" s="16" t="str">
        <f>IFERROR(__xludf.DUMMYFUNCTION("""COMPUTED_VALUE"""),"Sokolé Guidan Gaba Mahalba")</f>
        <v>Sokolé Guidan Gaba Mahalba</v>
      </c>
      <c r="G2926" s="16"/>
      <c r="H2926" s="14"/>
      <c r="K2926" s="16">
        <f>IFERROR(__xludf.DUMMYFUNCTION("""COMPUTED_VALUE"""),622.0)</f>
        <v>622</v>
      </c>
      <c r="L2926" s="16"/>
      <c r="M2926" s="14"/>
    </row>
    <row r="2927">
      <c r="A2927" s="16" t="str">
        <f>IFERROR(__xludf.DUMMYFUNCTION("""COMPUTED_VALUE"""),"Haladou Boukar")</f>
        <v>Haladou Boukar</v>
      </c>
      <c r="B2927" s="16"/>
      <c r="C2927" s="14"/>
      <c r="F2927" s="16" t="str">
        <f>IFERROR(__xludf.DUMMYFUNCTION("""COMPUTED_VALUE"""),"Sokolé Guidan Gaba Mahalba")</f>
        <v>Sokolé Guidan Gaba Mahalba</v>
      </c>
      <c r="G2927" s="16"/>
      <c r="H2927" s="14"/>
      <c r="K2927" s="16">
        <f>IFERROR(__xludf.DUMMYFUNCTION("""COMPUTED_VALUE"""),1566.0)</f>
        <v>1566</v>
      </c>
      <c r="L2927" s="16"/>
      <c r="M2927" s="14"/>
    </row>
    <row r="2928">
      <c r="A2928" s="16" t="str">
        <f>IFERROR(__xludf.DUMMYFUNCTION("""COMPUTED_VALUE"""),"Haladou Boukar")</f>
        <v>Haladou Boukar</v>
      </c>
      <c r="B2928" s="16"/>
      <c r="C2928" s="14"/>
      <c r="F2928" s="16" t="str">
        <f>IFERROR(__xludf.DUMMYFUNCTION("""COMPUTED_VALUE"""),"Sokolé I")</f>
        <v>Sokolé I</v>
      </c>
      <c r="G2928" s="16"/>
      <c r="H2928" s="14"/>
      <c r="K2928" s="16">
        <f>IFERROR(__xludf.DUMMYFUNCTION("""COMPUTED_VALUE"""),479.0)</f>
        <v>479</v>
      </c>
      <c r="L2928" s="16"/>
      <c r="M2928" s="14"/>
    </row>
    <row r="2929">
      <c r="A2929" s="16" t="str">
        <f>IFERROR(__xludf.DUMMYFUNCTION("""COMPUTED_VALUE"""),"Haladou Boukar")</f>
        <v>Haladou Boukar</v>
      </c>
      <c r="B2929" s="16"/>
      <c r="C2929" s="14"/>
      <c r="F2929" s="16" t="str">
        <f>IFERROR(__xludf.DUMMYFUNCTION("""COMPUTED_VALUE"""),"Sokolé I")</f>
        <v>Sokolé I</v>
      </c>
      <c r="G2929" s="16"/>
      <c r="H2929" s="14"/>
      <c r="K2929" s="16">
        <f>IFERROR(__xludf.DUMMYFUNCTION("""COMPUTED_VALUE"""),482.0)</f>
        <v>482</v>
      </c>
      <c r="L2929" s="16"/>
      <c r="M2929" s="14"/>
    </row>
    <row r="2930">
      <c r="A2930" s="16" t="str">
        <f>IFERROR(__xludf.DUMMYFUNCTION("""COMPUTED_VALUE"""),"Haladou Boukar")</f>
        <v>Haladou Boukar</v>
      </c>
      <c r="B2930" s="16"/>
      <c r="C2930" s="14"/>
      <c r="F2930" s="16" t="str">
        <f>IFERROR(__xludf.DUMMYFUNCTION("""COMPUTED_VALUE"""),"Sokolé I")</f>
        <v>Sokolé I</v>
      </c>
      <c r="G2930" s="16"/>
      <c r="H2930" s="14"/>
      <c r="K2930" s="16">
        <f>IFERROR(__xludf.DUMMYFUNCTION("""COMPUTED_VALUE"""),361.0)</f>
        <v>361</v>
      </c>
      <c r="L2930" s="16"/>
      <c r="M2930" s="14"/>
    </row>
    <row r="2931">
      <c r="A2931" s="16" t="str">
        <f>IFERROR(__xludf.DUMMYFUNCTION("""COMPUTED_VALUE"""),"Haladou Boukar")</f>
        <v>Haladou Boukar</v>
      </c>
      <c r="B2931" s="16"/>
      <c r="C2931" s="14"/>
      <c r="F2931" s="16" t="str">
        <f>IFERROR(__xludf.DUMMYFUNCTION("""COMPUTED_VALUE"""),"Sokolé I")</f>
        <v>Sokolé I</v>
      </c>
      <c r="G2931" s="16"/>
      <c r="H2931" s="14"/>
      <c r="K2931" s="16">
        <f>IFERROR(__xludf.DUMMYFUNCTION("""COMPUTED_VALUE"""),662.0)</f>
        <v>662</v>
      </c>
      <c r="L2931" s="16"/>
      <c r="M2931" s="14"/>
    </row>
    <row r="2932">
      <c r="A2932" s="16" t="str">
        <f>IFERROR(__xludf.DUMMYFUNCTION("""COMPUTED_VALUE"""),"Haladou Boukar")</f>
        <v>Haladou Boukar</v>
      </c>
      <c r="B2932" s="16"/>
      <c r="C2932" s="14"/>
      <c r="F2932" s="16" t="str">
        <f>IFERROR(__xludf.DUMMYFUNCTION("""COMPUTED_VALUE"""),"Sokolé I")</f>
        <v>Sokolé I</v>
      </c>
      <c r="G2932" s="16"/>
      <c r="H2932" s="14"/>
      <c r="K2932" s="16">
        <f>IFERROR(__xludf.DUMMYFUNCTION("""COMPUTED_VALUE"""),310.0)</f>
        <v>310</v>
      </c>
      <c r="L2932" s="16"/>
      <c r="M2932" s="14"/>
    </row>
    <row r="2933">
      <c r="A2933" s="16" t="str">
        <f>IFERROR(__xludf.DUMMYFUNCTION("""COMPUTED_VALUE"""),"Haladou Boukar")</f>
        <v>Haladou Boukar</v>
      </c>
      <c r="B2933" s="16"/>
      <c r="C2933" s="14"/>
      <c r="F2933" s="16" t="str">
        <f>IFERROR(__xludf.DUMMYFUNCTION("""COMPUTED_VALUE"""),"Sokolé I")</f>
        <v>Sokolé I</v>
      </c>
      <c r="G2933" s="16"/>
      <c r="H2933" s="14"/>
      <c r="K2933" s="16">
        <f>IFERROR(__xludf.DUMMYFUNCTION("""COMPUTED_VALUE"""),1813.0)</f>
        <v>1813</v>
      </c>
      <c r="L2933" s="16"/>
      <c r="M2933" s="14"/>
    </row>
    <row r="2934">
      <c r="A2934" s="16" t="str">
        <f>IFERROR(__xludf.DUMMYFUNCTION("""COMPUTED_VALUE"""),"Moumouni Adamou Yahaya")</f>
        <v>Moumouni Adamou Yahaya</v>
      </c>
      <c r="B2934" s="16"/>
      <c r="C2934" s="14"/>
      <c r="F2934" s="16" t="str">
        <f>IFERROR(__xludf.DUMMYFUNCTION("""COMPUTED_VALUE"""),"Galé (Toudou)")</f>
        <v>Galé (Toudou)</v>
      </c>
      <c r="G2934" s="16"/>
      <c r="H2934" s="14"/>
      <c r="K2934" s="16">
        <f>IFERROR(__xludf.DUMMYFUNCTION("""COMPUTED_VALUE"""),1196.0)</f>
        <v>1196</v>
      </c>
      <c r="L2934" s="16"/>
      <c r="M2934" s="14"/>
    </row>
    <row r="2935">
      <c r="A2935" s="16" t="str">
        <f>IFERROR(__xludf.DUMMYFUNCTION("""COMPUTED_VALUE"""),"Moumouni Adamou Yahaya")</f>
        <v>Moumouni Adamou Yahaya</v>
      </c>
      <c r="B2935" s="16"/>
      <c r="C2935" s="14"/>
      <c r="F2935" s="16" t="str">
        <f>IFERROR(__xludf.DUMMYFUNCTION("""COMPUTED_VALUE"""),"Galé (Toudou)")</f>
        <v>Galé (Toudou)</v>
      </c>
      <c r="G2935" s="16"/>
      <c r="H2935" s="14"/>
      <c r="K2935" s="16">
        <f>IFERROR(__xludf.DUMMYFUNCTION("""COMPUTED_VALUE"""),868.0)</f>
        <v>868</v>
      </c>
      <c r="L2935" s="16"/>
      <c r="M2935" s="14"/>
    </row>
    <row r="2936">
      <c r="A2936" s="16" t="str">
        <f>IFERROR(__xludf.DUMMYFUNCTION("""COMPUTED_VALUE"""),"Moumouni Adamou Yahaya")</f>
        <v>Moumouni Adamou Yahaya</v>
      </c>
      <c r="B2936" s="16"/>
      <c r="C2936" s="14"/>
      <c r="F2936" s="16" t="str">
        <f>IFERROR(__xludf.DUMMYFUNCTION("""COMPUTED_VALUE"""),"Galé (Toudou)")</f>
        <v>Galé (Toudou)</v>
      </c>
      <c r="G2936" s="16"/>
      <c r="H2936" s="14"/>
      <c r="K2936" s="16">
        <f>IFERROR(__xludf.DUMMYFUNCTION("""COMPUTED_VALUE"""),1024.0)</f>
        <v>1024</v>
      </c>
      <c r="L2936" s="16"/>
      <c r="M2936" s="14"/>
    </row>
    <row r="2937">
      <c r="A2937" s="16" t="str">
        <f>IFERROR(__xludf.DUMMYFUNCTION("""COMPUTED_VALUE"""),"Moumouni Adamou Yahaya")</f>
        <v>Moumouni Adamou Yahaya</v>
      </c>
      <c r="B2937" s="16"/>
      <c r="C2937" s="14"/>
      <c r="F2937" s="16" t="str">
        <f>IFERROR(__xludf.DUMMYFUNCTION("""COMPUTED_VALUE"""),"Galé (Toudou)")</f>
        <v>Galé (Toudou)</v>
      </c>
      <c r="G2937" s="16"/>
      <c r="H2937" s="14"/>
      <c r="K2937" s="16">
        <f>IFERROR(__xludf.DUMMYFUNCTION("""COMPUTED_VALUE"""),408.0)</f>
        <v>408</v>
      </c>
      <c r="L2937" s="16"/>
      <c r="M2937" s="14"/>
    </row>
    <row r="2938">
      <c r="A2938" s="16" t="str">
        <f>IFERROR(__xludf.DUMMYFUNCTION("""COMPUTED_VALUE"""),"Amadou Tidjani Ousmane")</f>
        <v>Amadou Tidjani Ousmane</v>
      </c>
      <c r="B2938" s="16"/>
      <c r="C2938" s="14"/>
      <c r="F2938" s="16" t="str">
        <f>IFERROR(__xludf.DUMMYFUNCTION("""COMPUTED_VALUE"""),"Sokolé I")</f>
        <v>Sokolé I</v>
      </c>
      <c r="G2938" s="16"/>
      <c r="H2938" s="14"/>
      <c r="K2938" s="16">
        <f>IFERROR(__xludf.DUMMYFUNCTION("""COMPUTED_VALUE"""),555.0)</f>
        <v>555</v>
      </c>
      <c r="L2938" s="16"/>
      <c r="M2938" s="14"/>
    </row>
    <row r="2939">
      <c r="A2939" s="16" t="str">
        <f>IFERROR(__xludf.DUMMYFUNCTION("""COMPUTED_VALUE"""),"Amadou Tidjani Ousmane")</f>
        <v>Amadou Tidjani Ousmane</v>
      </c>
      <c r="B2939" s="16"/>
      <c r="C2939" s="14"/>
      <c r="F2939" s="16" t="str">
        <f>IFERROR(__xludf.DUMMYFUNCTION("""COMPUTED_VALUE"""),"Sokolé I")</f>
        <v>Sokolé I</v>
      </c>
      <c r="G2939" s="16"/>
      <c r="H2939" s="14"/>
      <c r="K2939" s="16">
        <f>IFERROR(__xludf.DUMMYFUNCTION("""COMPUTED_VALUE"""),1810.0)</f>
        <v>1810</v>
      </c>
      <c r="L2939" s="16"/>
      <c r="M2939" s="14"/>
    </row>
    <row r="2940">
      <c r="A2940" s="16" t="str">
        <f>IFERROR(__xludf.DUMMYFUNCTION("""COMPUTED_VALUE"""),"Amadou Tidjani Ousmane")</f>
        <v>Amadou Tidjani Ousmane</v>
      </c>
      <c r="B2940" s="16"/>
      <c r="C2940" s="14"/>
      <c r="F2940" s="16" t="str">
        <f>IFERROR(__xludf.DUMMYFUNCTION("""COMPUTED_VALUE"""),"Guidan Fako")</f>
        <v>Guidan Fako</v>
      </c>
      <c r="G2940" s="16"/>
      <c r="H2940" s="14"/>
      <c r="K2940" s="16">
        <f>IFERROR(__xludf.DUMMYFUNCTION("""COMPUTED_VALUE"""),856.0)</f>
        <v>856</v>
      </c>
      <c r="L2940" s="16"/>
      <c r="M2940" s="14"/>
    </row>
    <row r="2941">
      <c r="A2941" s="16" t="str">
        <f>IFERROR(__xludf.DUMMYFUNCTION("""COMPUTED_VALUE"""),"Amadou Tidjani Ousmane")</f>
        <v>Amadou Tidjani Ousmane</v>
      </c>
      <c r="B2941" s="16"/>
      <c r="C2941" s="14"/>
      <c r="F2941" s="16" t="str">
        <f>IFERROR(__xludf.DUMMYFUNCTION("""COMPUTED_VALUE"""),"Guidan Fako")</f>
        <v>Guidan Fako</v>
      </c>
      <c r="G2941" s="16"/>
      <c r="H2941" s="14"/>
      <c r="K2941" s="16">
        <f>IFERROR(__xludf.DUMMYFUNCTION("""COMPUTED_VALUE"""),2149.0)</f>
        <v>2149</v>
      </c>
      <c r="L2941" s="16"/>
      <c r="M2941" s="14"/>
    </row>
    <row r="2942">
      <c r="A2942" s="16" t="str">
        <f>IFERROR(__xludf.DUMMYFUNCTION("""COMPUTED_VALUE"""),"Amadou Tidjani Ousmane")</f>
        <v>Amadou Tidjani Ousmane</v>
      </c>
      <c r="B2942" s="16"/>
      <c r="C2942" s="14"/>
      <c r="F2942" s="16" t="str">
        <f>IFERROR(__xludf.DUMMYFUNCTION("""COMPUTED_VALUE"""),"Guidan Fako")</f>
        <v>Guidan Fako</v>
      </c>
      <c r="G2942" s="16"/>
      <c r="H2942" s="14"/>
      <c r="K2942" s="16">
        <f>IFERROR(__xludf.DUMMYFUNCTION("""COMPUTED_VALUE"""),507.0)</f>
        <v>507</v>
      </c>
      <c r="L2942" s="16"/>
      <c r="M2942" s="14"/>
    </row>
    <row r="2943">
      <c r="A2943" s="16" t="str">
        <f>IFERROR(__xludf.DUMMYFUNCTION("""COMPUTED_VALUE"""),"Amadou Tidjani Ousmane")</f>
        <v>Amadou Tidjani Ousmane</v>
      </c>
      <c r="B2943" s="16"/>
      <c r="C2943" s="14"/>
      <c r="F2943" s="16" t="str">
        <f>IFERROR(__xludf.DUMMYFUNCTION("""COMPUTED_VALUE"""),"Guidan Fako")</f>
        <v>Guidan Fako</v>
      </c>
      <c r="G2943" s="16"/>
      <c r="H2943" s="14"/>
      <c r="K2943" s="16">
        <f>IFERROR(__xludf.DUMMYFUNCTION("""COMPUTED_VALUE"""),432.0)</f>
        <v>432</v>
      </c>
      <c r="L2943" s="16"/>
      <c r="M2943" s="14"/>
    </row>
    <row r="2944">
      <c r="A2944" s="16" t="str">
        <f>IFERROR(__xludf.DUMMYFUNCTION("""COMPUTED_VALUE"""),"Amadou Tidjani Ousmane")</f>
        <v>Amadou Tidjani Ousmane</v>
      </c>
      <c r="B2944" s="16"/>
      <c r="C2944" s="14"/>
      <c r="F2944" s="16" t="str">
        <f>IFERROR(__xludf.DUMMYFUNCTION("""COMPUTED_VALUE"""),"Guidan Fako")</f>
        <v>Guidan Fako</v>
      </c>
      <c r="G2944" s="16"/>
      <c r="H2944" s="14"/>
      <c r="K2944" s="16">
        <f>IFERROR(__xludf.DUMMYFUNCTION("""COMPUTED_VALUE"""),451.0)</f>
        <v>451</v>
      </c>
      <c r="L2944" s="16"/>
      <c r="M2944" s="14"/>
    </row>
    <row r="2945">
      <c r="A2945" s="16" t="str">
        <f>IFERROR(__xludf.DUMMYFUNCTION("""COMPUTED_VALUE"""),"Amadou Tidjani Ousmane")</f>
        <v>Amadou Tidjani Ousmane</v>
      </c>
      <c r="B2945" s="16"/>
      <c r="C2945" s="14"/>
      <c r="F2945" s="16" t="str">
        <f>IFERROR(__xludf.DUMMYFUNCTION("""COMPUTED_VALUE"""),"Guidan Fako")</f>
        <v>Guidan Fako</v>
      </c>
      <c r="G2945" s="16"/>
      <c r="H2945" s="14"/>
      <c r="K2945" s="16">
        <f>IFERROR(__xludf.DUMMYFUNCTION("""COMPUTED_VALUE"""),472.0)</f>
        <v>472</v>
      </c>
      <c r="L2945" s="16"/>
      <c r="M2945" s="14"/>
    </row>
    <row r="2946">
      <c r="A2946" s="16" t="str">
        <f>IFERROR(__xludf.DUMMYFUNCTION("""COMPUTED_VALUE"""),"Amadou Tidjani Ousmane")</f>
        <v>Amadou Tidjani Ousmane</v>
      </c>
      <c r="B2946" s="16"/>
      <c r="C2946" s="14"/>
      <c r="F2946" s="16" t="str">
        <f>IFERROR(__xludf.DUMMYFUNCTION("""COMPUTED_VALUE"""),"Guidan Fako")</f>
        <v>Guidan Fako</v>
      </c>
      <c r="G2946" s="16"/>
      <c r="H2946" s="14"/>
      <c r="K2946" s="16">
        <f>IFERROR(__xludf.DUMMYFUNCTION("""COMPUTED_VALUE"""),236.0)</f>
        <v>236</v>
      </c>
      <c r="L2946" s="16"/>
      <c r="M2946" s="14"/>
    </row>
    <row r="2947">
      <c r="A2947" s="16" t="str">
        <f>IFERROR(__xludf.DUMMYFUNCTION("""COMPUTED_VALUE"""),"Amadou Tidjani Ousmane")</f>
        <v>Amadou Tidjani Ousmane</v>
      </c>
      <c r="B2947" s="16"/>
      <c r="C2947" s="14"/>
      <c r="F2947" s="16" t="str">
        <f>IFERROR(__xludf.DUMMYFUNCTION("""COMPUTED_VALUE"""),"Guidan Fako")</f>
        <v>Guidan Fako</v>
      </c>
      <c r="G2947" s="16"/>
      <c r="H2947" s="14"/>
      <c r="K2947" s="16">
        <f>IFERROR(__xludf.DUMMYFUNCTION("""COMPUTED_VALUE"""),1045.0)</f>
        <v>1045</v>
      </c>
      <c r="L2947" s="16"/>
      <c r="M2947" s="14"/>
    </row>
    <row r="2948">
      <c r="A2948" s="16" t="str">
        <f>IFERROR(__xludf.DUMMYFUNCTION("""COMPUTED_VALUE"""),"Amadou Tidjani Ousmane")</f>
        <v>Amadou Tidjani Ousmane</v>
      </c>
      <c r="B2948" s="16"/>
      <c r="C2948" s="14"/>
      <c r="F2948" s="16" t="str">
        <f>IFERROR(__xludf.DUMMYFUNCTION("""COMPUTED_VALUE"""),"Guidan Fako")</f>
        <v>Guidan Fako</v>
      </c>
      <c r="G2948" s="16"/>
      <c r="H2948" s="14"/>
      <c r="K2948" s="16">
        <f>IFERROR(__xludf.DUMMYFUNCTION("""COMPUTED_VALUE"""),744.0)</f>
        <v>744</v>
      </c>
      <c r="L2948" s="16"/>
      <c r="M2948" s="14"/>
    </row>
    <row r="2949">
      <c r="A2949" s="16" t="str">
        <f>IFERROR(__xludf.DUMMYFUNCTION("""COMPUTED_VALUE"""),"Amadou Tidjani Ousmane")</f>
        <v>Amadou Tidjani Ousmane</v>
      </c>
      <c r="B2949" s="16"/>
      <c r="C2949" s="14"/>
      <c r="F2949" s="16" t="str">
        <f>IFERROR(__xludf.DUMMYFUNCTION("""COMPUTED_VALUE"""),"Guidan Fako")</f>
        <v>Guidan Fako</v>
      </c>
      <c r="G2949" s="16"/>
      <c r="H2949" s="14"/>
      <c r="K2949" s="16">
        <f>IFERROR(__xludf.DUMMYFUNCTION("""COMPUTED_VALUE"""),258.0)</f>
        <v>258</v>
      </c>
      <c r="L2949" s="16"/>
      <c r="M2949" s="14"/>
    </row>
    <row r="2950">
      <c r="A2950" s="16" t="str">
        <f>IFERROR(__xludf.DUMMYFUNCTION("""COMPUTED_VALUE"""),"Amadou Tidjani Ousmane")</f>
        <v>Amadou Tidjani Ousmane</v>
      </c>
      <c r="B2950" s="16"/>
      <c r="C2950" s="14"/>
      <c r="F2950" s="16" t="str">
        <f>IFERROR(__xludf.DUMMYFUNCTION("""COMPUTED_VALUE"""),"Guidan Fako")</f>
        <v>Guidan Fako</v>
      </c>
      <c r="G2950" s="16"/>
      <c r="H2950" s="14"/>
      <c r="K2950" s="16">
        <f>IFERROR(__xludf.DUMMYFUNCTION("""COMPUTED_VALUE"""),273.0)</f>
        <v>273</v>
      </c>
      <c r="L2950" s="16"/>
      <c r="M2950" s="14"/>
    </row>
    <row r="2951">
      <c r="A2951" s="16" t="str">
        <f>IFERROR(__xludf.DUMMYFUNCTION("""COMPUTED_VALUE"""),"Amadou Tidjani Ousmane")</f>
        <v>Amadou Tidjani Ousmane</v>
      </c>
      <c r="B2951" s="16"/>
      <c r="C2951" s="14"/>
      <c r="F2951" s="16" t="str">
        <f>IFERROR(__xludf.DUMMYFUNCTION("""COMPUTED_VALUE"""),"Guidan Fako")</f>
        <v>Guidan Fako</v>
      </c>
      <c r="G2951" s="16"/>
      <c r="H2951" s="14"/>
      <c r="K2951" s="16">
        <f>IFERROR(__xludf.DUMMYFUNCTION("""COMPUTED_VALUE"""),274.0)</f>
        <v>274</v>
      </c>
      <c r="L2951" s="16"/>
      <c r="M2951" s="14"/>
    </row>
    <row r="2952">
      <c r="A2952" s="16" t="str">
        <f>IFERROR(__xludf.DUMMYFUNCTION("""COMPUTED_VALUE"""),"Amadou Tidjani Ousmane")</f>
        <v>Amadou Tidjani Ousmane</v>
      </c>
      <c r="B2952" s="16"/>
      <c r="C2952" s="14"/>
      <c r="F2952" s="16" t="str">
        <f>IFERROR(__xludf.DUMMYFUNCTION("""COMPUTED_VALUE"""),"Kabima-Al Baraka")</f>
        <v>Kabima-Al Baraka</v>
      </c>
      <c r="G2952" s="16"/>
      <c r="H2952" s="14"/>
      <c r="K2952" s="16">
        <f>IFERROR(__xludf.DUMMYFUNCTION("""COMPUTED_VALUE"""),789.0)</f>
        <v>789</v>
      </c>
      <c r="L2952" s="16"/>
      <c r="M2952" s="14"/>
    </row>
    <row r="2953">
      <c r="A2953" s="16" t="str">
        <f>IFERROR(__xludf.DUMMYFUNCTION("""COMPUTED_VALUE"""),"Amadou Tidjani Ousmane")</f>
        <v>Amadou Tidjani Ousmane</v>
      </c>
      <c r="B2953" s="16"/>
      <c r="C2953" s="14"/>
      <c r="F2953" s="16" t="str">
        <f>IFERROR(__xludf.DUMMYFUNCTION("""COMPUTED_VALUE"""),"Kabima-Al Baraka")</f>
        <v>Kabima-Al Baraka</v>
      </c>
      <c r="G2953" s="16"/>
      <c r="H2953" s="14"/>
      <c r="K2953" s="16">
        <f>IFERROR(__xludf.DUMMYFUNCTION("""COMPUTED_VALUE"""),328.0)</f>
        <v>328</v>
      </c>
      <c r="L2953" s="16"/>
      <c r="M2953" s="14"/>
    </row>
    <row r="2954">
      <c r="A2954" s="16" t="str">
        <f>IFERROR(__xludf.DUMMYFUNCTION("""COMPUTED_VALUE"""),"Amadou Tidjani Ousmane")</f>
        <v>Amadou Tidjani Ousmane</v>
      </c>
      <c r="B2954" s="16"/>
      <c r="C2954" s="14"/>
      <c r="F2954" s="16" t="str">
        <f>IFERROR(__xludf.DUMMYFUNCTION("""COMPUTED_VALUE"""),"Moullela Guidan FoKo")</f>
        <v>Moullela Guidan FoKo</v>
      </c>
      <c r="G2954" s="16"/>
      <c r="H2954" s="14"/>
      <c r="K2954" s="16">
        <f>IFERROR(__xludf.DUMMYFUNCTION("""COMPUTED_VALUE"""),896.0)</f>
        <v>896</v>
      </c>
      <c r="L2954" s="16"/>
      <c r="M2954" s="14"/>
    </row>
    <row r="2955">
      <c r="A2955" s="16" t="str">
        <f>IFERROR(__xludf.DUMMYFUNCTION("""COMPUTED_VALUE"""),"Amadou Tidjani Ousmane")</f>
        <v>Amadou Tidjani Ousmane</v>
      </c>
      <c r="B2955" s="16"/>
      <c r="C2955" s="14"/>
      <c r="F2955" s="16" t="str">
        <f>IFERROR(__xludf.DUMMYFUNCTION("""COMPUTED_VALUE"""),"Sokolé I")</f>
        <v>Sokolé I</v>
      </c>
      <c r="G2955" s="16"/>
      <c r="H2955" s="14"/>
      <c r="K2955" s="16">
        <f>IFERROR(__xludf.DUMMYFUNCTION("""COMPUTED_VALUE"""),289.0)</f>
        <v>289</v>
      </c>
      <c r="L2955" s="16"/>
      <c r="M2955" s="14"/>
    </row>
    <row r="2956">
      <c r="A2956" s="16" t="str">
        <f>IFERROR(__xludf.DUMMYFUNCTION("""COMPUTED_VALUE"""),"Amadou Tidjani Ousmane")</f>
        <v>Amadou Tidjani Ousmane</v>
      </c>
      <c r="B2956" s="16"/>
      <c r="C2956" s="14"/>
      <c r="F2956" s="16" t="str">
        <f>IFERROR(__xludf.DUMMYFUNCTION("""COMPUTED_VALUE"""),"Sokolé I")</f>
        <v>Sokolé I</v>
      </c>
      <c r="G2956" s="16"/>
      <c r="H2956" s="14"/>
      <c r="K2956" s="16">
        <f>IFERROR(__xludf.DUMMYFUNCTION("""COMPUTED_VALUE"""),601.0)</f>
        <v>601</v>
      </c>
      <c r="L2956" s="16"/>
      <c r="M2956" s="14"/>
    </row>
    <row r="2957">
      <c r="A2957" s="16" t="str">
        <f>IFERROR(__xludf.DUMMYFUNCTION("""COMPUTED_VALUE"""),"Amadou Tidjani Ousmane")</f>
        <v>Amadou Tidjani Ousmane</v>
      </c>
      <c r="B2957" s="16"/>
      <c r="C2957" s="14"/>
      <c r="F2957" s="16" t="str">
        <f>IFERROR(__xludf.DUMMYFUNCTION("""COMPUTED_VALUE"""),"Sokolé I")</f>
        <v>Sokolé I</v>
      </c>
      <c r="G2957" s="16"/>
      <c r="H2957" s="14"/>
      <c r="K2957" s="16">
        <f>IFERROR(__xludf.DUMMYFUNCTION("""COMPUTED_VALUE"""),1519.0)</f>
        <v>1519</v>
      </c>
      <c r="L2957" s="16"/>
      <c r="M2957" s="14"/>
    </row>
    <row r="2958">
      <c r="A2958" s="16" t="str">
        <f>IFERROR(__xludf.DUMMYFUNCTION("""COMPUTED_VALUE"""),"Amadou Tidjani Ousmane")</f>
        <v>Amadou Tidjani Ousmane</v>
      </c>
      <c r="B2958" s="16"/>
      <c r="C2958" s="14"/>
      <c r="F2958" s="16" t="str">
        <f>IFERROR(__xludf.DUMMYFUNCTION("""COMPUTED_VALUE"""),"Sokolé I")</f>
        <v>Sokolé I</v>
      </c>
      <c r="G2958" s="16"/>
      <c r="H2958" s="14"/>
      <c r="K2958" s="16">
        <f>IFERROR(__xludf.DUMMYFUNCTION("""COMPUTED_VALUE"""),420.0)</f>
        <v>420</v>
      </c>
      <c r="L2958" s="16"/>
      <c r="M2958" s="14"/>
    </row>
    <row r="2959">
      <c r="A2959" s="16" t="str">
        <f>IFERROR(__xludf.DUMMYFUNCTION("""COMPUTED_VALUE"""),"Binta Maikano Mahamane")</f>
        <v>Binta Maikano Mahamane</v>
      </c>
      <c r="B2959" s="16"/>
      <c r="C2959" s="14"/>
      <c r="F2959" s="16" t="str">
        <f>IFERROR(__xludf.DUMMYFUNCTION("""COMPUTED_VALUE"""),"Sokolé I")</f>
        <v>Sokolé I</v>
      </c>
      <c r="G2959" s="16"/>
      <c r="H2959" s="14"/>
      <c r="K2959" s="16">
        <f>IFERROR(__xludf.DUMMYFUNCTION("""COMPUTED_VALUE"""),256.0)</f>
        <v>256</v>
      </c>
      <c r="L2959" s="16"/>
      <c r="M2959" s="14"/>
    </row>
    <row r="2960">
      <c r="A2960" s="16" t="str">
        <f>IFERROR(__xludf.DUMMYFUNCTION("""COMPUTED_VALUE"""),"Zakari Aboubacar")</f>
        <v>Zakari Aboubacar</v>
      </c>
      <c r="B2960" s="16"/>
      <c r="C2960" s="14"/>
      <c r="F2960" s="16" t="str">
        <f>IFERROR(__xludf.DUMMYFUNCTION("""COMPUTED_VALUE"""),"Kabima-Al Baraka")</f>
        <v>Kabima-Al Baraka</v>
      </c>
      <c r="G2960" s="16"/>
      <c r="H2960" s="14"/>
      <c r="K2960" s="16">
        <f>IFERROR(__xludf.DUMMYFUNCTION("""COMPUTED_VALUE"""),1538.0)</f>
        <v>1538</v>
      </c>
      <c r="L2960" s="16"/>
      <c r="M2960" s="14"/>
    </row>
    <row r="2961">
      <c r="A2961" s="16" t="str">
        <f>IFERROR(__xludf.DUMMYFUNCTION("""COMPUTED_VALUE"""),"Zakari Aboubacar")</f>
        <v>Zakari Aboubacar</v>
      </c>
      <c r="B2961" s="16"/>
      <c r="C2961" s="14"/>
      <c r="F2961" s="16" t="str">
        <f>IFERROR(__xludf.DUMMYFUNCTION("""COMPUTED_VALUE"""),"Guidan Fako")</f>
        <v>Guidan Fako</v>
      </c>
      <c r="G2961" s="16"/>
      <c r="H2961" s="14"/>
      <c r="K2961" s="16">
        <f>IFERROR(__xludf.DUMMYFUNCTION("""COMPUTED_VALUE"""),662.0)</f>
        <v>662</v>
      </c>
      <c r="L2961" s="16"/>
      <c r="M2961" s="14"/>
    </row>
    <row r="2962">
      <c r="A2962" s="16" t="str">
        <f>IFERROR(__xludf.DUMMYFUNCTION("""COMPUTED_VALUE"""),"Zakari Aboubacar")</f>
        <v>Zakari Aboubacar</v>
      </c>
      <c r="B2962" s="16"/>
      <c r="C2962" s="14"/>
      <c r="F2962" s="16" t="str">
        <f>IFERROR(__xludf.DUMMYFUNCTION("""COMPUTED_VALUE"""),"Guidan Fako")</f>
        <v>Guidan Fako</v>
      </c>
      <c r="G2962" s="16"/>
      <c r="H2962" s="14"/>
      <c r="K2962" s="16">
        <f>IFERROR(__xludf.DUMMYFUNCTION("""COMPUTED_VALUE"""),327.0)</f>
        <v>327</v>
      </c>
      <c r="L2962" s="16"/>
      <c r="M2962" s="14"/>
    </row>
    <row r="2963">
      <c r="A2963" s="16" t="str">
        <f>IFERROR(__xludf.DUMMYFUNCTION("""COMPUTED_VALUE"""),"Zakari Aboubacar")</f>
        <v>Zakari Aboubacar</v>
      </c>
      <c r="B2963" s="16"/>
      <c r="C2963" s="14"/>
      <c r="F2963" s="16" t="str">
        <f>IFERROR(__xludf.DUMMYFUNCTION("""COMPUTED_VALUE"""),"Guidan Fako")</f>
        <v>Guidan Fako</v>
      </c>
      <c r="G2963" s="16"/>
      <c r="H2963" s="14"/>
      <c r="K2963" s="16">
        <f>IFERROR(__xludf.DUMMYFUNCTION("""COMPUTED_VALUE"""),474.0)</f>
        <v>474</v>
      </c>
      <c r="L2963" s="16"/>
      <c r="M2963" s="14"/>
    </row>
    <row r="2964">
      <c r="A2964" s="16" t="str">
        <f>IFERROR(__xludf.DUMMYFUNCTION("""COMPUTED_VALUE"""),"Zakari Aboubacar")</f>
        <v>Zakari Aboubacar</v>
      </c>
      <c r="B2964" s="16"/>
      <c r="C2964" s="14"/>
      <c r="F2964" s="16" t="str">
        <f>IFERROR(__xludf.DUMMYFUNCTION("""COMPUTED_VALUE"""),"Guidan Fako")</f>
        <v>Guidan Fako</v>
      </c>
      <c r="G2964" s="16"/>
      <c r="H2964" s="14"/>
      <c r="K2964" s="16">
        <f>IFERROR(__xludf.DUMMYFUNCTION("""COMPUTED_VALUE"""),696.0)</f>
        <v>696</v>
      </c>
      <c r="L2964" s="16"/>
      <c r="M2964" s="14"/>
    </row>
    <row r="2965">
      <c r="A2965" s="16" t="str">
        <f>IFERROR(__xludf.DUMMYFUNCTION("""COMPUTED_VALUE"""),"Hachimou Rabiou Mamoudou")</f>
        <v>Hachimou Rabiou Mamoudou</v>
      </c>
      <c r="B2965" s="16"/>
      <c r="C2965" s="14"/>
      <c r="F2965" s="16" t="str">
        <f>IFERROR(__xludf.DUMMYFUNCTION("""COMPUTED_VALUE"""),"Guidan Fako")</f>
        <v>Guidan Fako</v>
      </c>
      <c r="G2965" s="16"/>
      <c r="H2965" s="14"/>
      <c r="K2965" s="16">
        <f>IFERROR(__xludf.DUMMYFUNCTION("""COMPUTED_VALUE"""),1337.0)</f>
        <v>1337</v>
      </c>
      <c r="L2965" s="16"/>
      <c r="M2965" s="14"/>
    </row>
    <row r="2966">
      <c r="A2966" s="16" t="str">
        <f>IFERROR(__xludf.DUMMYFUNCTION("""COMPUTED_VALUE"""),"Hachimou Rabiou Mamoudou")</f>
        <v>Hachimou Rabiou Mamoudou</v>
      </c>
      <c r="B2966" s="16"/>
      <c r="C2966" s="14"/>
      <c r="F2966" s="16" t="str">
        <f>IFERROR(__xludf.DUMMYFUNCTION("""COMPUTED_VALUE"""),"Goudawa I")</f>
        <v>Goudawa I</v>
      </c>
      <c r="G2966" s="16"/>
      <c r="H2966" s="14"/>
      <c r="K2966" s="16">
        <f>IFERROR(__xludf.DUMMYFUNCTION("""COMPUTED_VALUE"""),1327.0)</f>
        <v>1327</v>
      </c>
      <c r="L2966" s="16"/>
      <c r="M2966" s="14"/>
    </row>
    <row r="2967">
      <c r="A2967" s="16" t="str">
        <f>IFERROR(__xludf.DUMMYFUNCTION("""COMPUTED_VALUE"""),"Hachimou Rabiou Mamoudou")</f>
        <v>Hachimou Rabiou Mamoudou</v>
      </c>
      <c r="B2967" s="16"/>
      <c r="C2967" s="14"/>
      <c r="F2967" s="16" t="str">
        <f>IFERROR(__xludf.DUMMYFUNCTION("""COMPUTED_VALUE"""),"Goudawa I")</f>
        <v>Goudawa I</v>
      </c>
      <c r="G2967" s="16"/>
      <c r="H2967" s="14"/>
      <c r="K2967" s="16">
        <f>IFERROR(__xludf.DUMMYFUNCTION("""COMPUTED_VALUE"""),1147.0)</f>
        <v>1147</v>
      </c>
      <c r="L2967" s="16"/>
      <c r="M2967" s="14"/>
    </row>
    <row r="2968">
      <c r="A2968" s="16" t="str">
        <f>IFERROR(__xludf.DUMMYFUNCTION("""COMPUTED_VALUE"""),"Hachimou Rabiou Mamoudou")</f>
        <v>Hachimou Rabiou Mamoudou</v>
      </c>
      <c r="B2968" s="16"/>
      <c r="C2968" s="14"/>
      <c r="F2968" s="16" t="str">
        <f>IFERROR(__xludf.DUMMYFUNCTION("""COMPUTED_VALUE"""),"Goudawa I")</f>
        <v>Goudawa I</v>
      </c>
      <c r="G2968" s="16"/>
      <c r="H2968" s="14"/>
      <c r="K2968" s="16">
        <f>IFERROR(__xludf.DUMMYFUNCTION("""COMPUTED_VALUE"""),1313.0)</f>
        <v>1313</v>
      </c>
      <c r="L2968" s="16"/>
      <c r="M2968" s="14"/>
    </row>
    <row r="2969">
      <c r="A2969" s="16" t="str">
        <f>IFERROR(__xludf.DUMMYFUNCTION("""COMPUTED_VALUE"""),"Hachimou Rabiou Mamoudou")</f>
        <v>Hachimou Rabiou Mamoudou</v>
      </c>
      <c r="B2969" s="16"/>
      <c r="C2969" s="14"/>
      <c r="F2969" s="16" t="str">
        <f>IFERROR(__xludf.DUMMYFUNCTION("""COMPUTED_VALUE"""),"Goudawa I")</f>
        <v>Goudawa I</v>
      </c>
      <c r="G2969" s="16"/>
      <c r="H2969" s="14"/>
      <c r="K2969" s="16">
        <f>IFERROR(__xludf.DUMMYFUNCTION("""COMPUTED_VALUE"""),1492.0)</f>
        <v>1492</v>
      </c>
      <c r="L2969" s="16"/>
      <c r="M2969" s="14"/>
    </row>
    <row r="2970">
      <c r="A2970" s="16" t="str">
        <f>IFERROR(__xludf.DUMMYFUNCTION("""COMPUTED_VALUE"""),"Hachimou Rabiou Mamoudou")</f>
        <v>Hachimou Rabiou Mamoudou</v>
      </c>
      <c r="B2970" s="16"/>
      <c r="C2970" s="14"/>
      <c r="F2970" s="16" t="str">
        <f>IFERROR(__xludf.DUMMYFUNCTION("""COMPUTED_VALUE"""),"Goudawa I")</f>
        <v>Goudawa I</v>
      </c>
      <c r="G2970" s="16"/>
      <c r="H2970" s="14"/>
      <c r="K2970" s="16">
        <f>IFERROR(__xludf.DUMMYFUNCTION("""COMPUTED_VALUE"""),452.0)</f>
        <v>452</v>
      </c>
      <c r="L2970" s="16"/>
      <c r="M2970" s="14"/>
    </row>
    <row r="2971">
      <c r="A2971" s="16" t="str">
        <f>IFERROR(__xludf.DUMMYFUNCTION("""COMPUTED_VALUE"""),"Hachimou Rabiou Mamoudou")</f>
        <v>Hachimou Rabiou Mamoudou</v>
      </c>
      <c r="B2971" s="16"/>
      <c r="C2971" s="14"/>
      <c r="F2971" s="16" t="str">
        <f>IFERROR(__xludf.DUMMYFUNCTION("""COMPUTED_VALUE"""),"Goudawa I")</f>
        <v>Goudawa I</v>
      </c>
      <c r="G2971" s="16"/>
      <c r="H2971" s="14"/>
      <c r="K2971" s="16">
        <f>IFERROR(__xludf.DUMMYFUNCTION("""COMPUTED_VALUE"""),351.0)</f>
        <v>351</v>
      </c>
      <c r="L2971" s="16"/>
      <c r="M2971" s="14"/>
    </row>
    <row r="2972">
      <c r="A2972" s="16" t="str">
        <f>IFERROR(__xludf.DUMMYFUNCTION("""COMPUTED_VALUE"""),"Ouhoumoudou Djannou Ibrahim")</f>
        <v>Ouhoumoudou Djannou Ibrahim</v>
      </c>
      <c r="B2972" s="16"/>
      <c r="C2972" s="14"/>
      <c r="F2972" s="16" t="str">
        <f>IFERROR(__xludf.DUMMYFUNCTION("""COMPUTED_VALUE"""),"Goudawa I")</f>
        <v>Goudawa I</v>
      </c>
      <c r="G2972" s="16"/>
      <c r="H2972" s="14"/>
      <c r="K2972" s="16">
        <f>IFERROR(__xludf.DUMMYFUNCTION("""COMPUTED_VALUE"""),783.0)</f>
        <v>783</v>
      </c>
      <c r="L2972" s="16"/>
      <c r="M2972" s="14"/>
    </row>
    <row r="2973">
      <c r="A2973" s="16" t="str">
        <f>IFERROR(__xludf.DUMMYFUNCTION("""COMPUTED_VALUE"""),"Ouhoumoudou Djannou Ibrahim")</f>
        <v>Ouhoumoudou Djannou Ibrahim</v>
      </c>
      <c r="B2973" s="16"/>
      <c r="C2973" s="14"/>
      <c r="F2973" s="16" t="str">
        <f>IFERROR(__xludf.DUMMYFUNCTION("""COMPUTED_VALUE"""),"Quartier Rouga")</f>
        <v>Quartier Rouga</v>
      </c>
      <c r="G2973" s="16"/>
      <c r="H2973" s="14"/>
      <c r="K2973" s="16">
        <f>IFERROR(__xludf.DUMMYFUNCTION("""COMPUTED_VALUE"""),865.0)</f>
        <v>865</v>
      </c>
      <c r="L2973" s="16"/>
      <c r="M2973" s="14"/>
    </row>
    <row r="2974">
      <c r="A2974" s="16" t="str">
        <f>IFERROR(__xludf.DUMMYFUNCTION("""COMPUTED_VALUE"""),"Ouhoumoudou Djannou Ibrahim")</f>
        <v>Ouhoumoudou Djannou Ibrahim</v>
      </c>
      <c r="B2974" s="16"/>
      <c r="C2974" s="14"/>
      <c r="F2974" s="16" t="str">
        <f>IFERROR(__xludf.DUMMYFUNCTION("""COMPUTED_VALUE"""),"Quartier Rouga")</f>
        <v>Quartier Rouga</v>
      </c>
      <c r="G2974" s="16"/>
      <c r="H2974" s="14"/>
      <c r="K2974" s="16">
        <f>IFERROR(__xludf.DUMMYFUNCTION("""COMPUTED_VALUE"""),381.0)</f>
        <v>381</v>
      </c>
      <c r="L2974" s="16"/>
      <c r="M2974" s="14"/>
    </row>
    <row r="2975">
      <c r="A2975" s="16" t="str">
        <f>IFERROR(__xludf.DUMMYFUNCTION("""COMPUTED_VALUE"""),"Ouhoumoudou Djannou Ibrahim")</f>
        <v>Ouhoumoudou Djannou Ibrahim</v>
      </c>
      <c r="B2975" s="16"/>
      <c r="C2975" s="14"/>
      <c r="F2975" s="16" t="str">
        <f>IFERROR(__xludf.DUMMYFUNCTION("""COMPUTED_VALUE"""),"Quartier Rouga")</f>
        <v>Quartier Rouga</v>
      </c>
      <c r="G2975" s="16"/>
      <c r="H2975" s="14"/>
      <c r="K2975" s="16">
        <f>IFERROR(__xludf.DUMMYFUNCTION("""COMPUTED_VALUE"""),511.0)</f>
        <v>511</v>
      </c>
      <c r="L2975" s="16"/>
      <c r="M2975" s="14"/>
    </row>
    <row r="2976">
      <c r="A2976" s="16" t="str">
        <f>IFERROR(__xludf.DUMMYFUNCTION("""COMPUTED_VALUE"""),"Ouhoumoudou Djannou Ibrahim")</f>
        <v>Ouhoumoudou Djannou Ibrahim</v>
      </c>
      <c r="B2976" s="16"/>
      <c r="C2976" s="14"/>
      <c r="F2976" s="16" t="str">
        <f>IFERROR(__xludf.DUMMYFUNCTION("""COMPUTED_VALUE"""),"Quartier Rouga")</f>
        <v>Quartier Rouga</v>
      </c>
      <c r="G2976" s="16"/>
      <c r="H2976" s="14"/>
      <c r="K2976" s="16">
        <f>IFERROR(__xludf.DUMMYFUNCTION("""COMPUTED_VALUE"""),1070.0)</f>
        <v>1070</v>
      </c>
      <c r="L2976" s="16"/>
      <c r="M2976" s="14"/>
    </row>
    <row r="2977">
      <c r="A2977" s="16" t="str">
        <f>IFERROR(__xludf.DUMMYFUNCTION("""COMPUTED_VALUE"""),"Ouhoumoudou Djannou Ibrahim")</f>
        <v>Ouhoumoudou Djannou Ibrahim</v>
      </c>
      <c r="B2977" s="16"/>
      <c r="C2977" s="14"/>
      <c r="F2977" s="16" t="str">
        <f>IFERROR(__xludf.DUMMYFUNCTION("""COMPUTED_VALUE"""),"Sokolé Guidan Gaba Mahalba")</f>
        <v>Sokolé Guidan Gaba Mahalba</v>
      </c>
      <c r="G2977" s="16"/>
      <c r="H2977" s="14"/>
      <c r="K2977" s="16">
        <f>IFERROR(__xludf.DUMMYFUNCTION("""COMPUTED_VALUE"""),559.0)</f>
        <v>559</v>
      </c>
      <c r="L2977" s="16"/>
      <c r="M2977" s="14"/>
    </row>
    <row r="2978">
      <c r="A2978" s="16" t="str">
        <f>IFERROR(__xludf.DUMMYFUNCTION("""COMPUTED_VALUE"""),"Yacouba Idé dit Lumana")</f>
        <v>Yacouba Idé dit Lumana</v>
      </c>
      <c r="B2978" s="16"/>
      <c r="C2978" s="14"/>
      <c r="F2978" s="16" t="str">
        <f>IFERROR(__xludf.DUMMYFUNCTION("""COMPUTED_VALUE"""),"Sokolé Guidan Gaba Mahalba")</f>
        <v>Sokolé Guidan Gaba Mahalba</v>
      </c>
      <c r="G2978" s="16"/>
      <c r="H2978" s="14"/>
      <c r="K2978" s="16">
        <f>IFERROR(__xludf.DUMMYFUNCTION("""COMPUTED_VALUE"""),1287.0)</f>
        <v>1287</v>
      </c>
      <c r="L2978" s="16"/>
      <c r="M2978" s="14"/>
    </row>
    <row r="2979">
      <c r="A2979" s="16" t="str">
        <f>IFERROR(__xludf.DUMMYFUNCTION("""COMPUTED_VALUE"""),"Yacouba Idé dit Lumana")</f>
        <v>Yacouba Idé dit Lumana</v>
      </c>
      <c r="B2979" s="16"/>
      <c r="C2979" s="14"/>
      <c r="F2979" s="16" t="str">
        <f>IFERROR(__xludf.DUMMYFUNCTION("""COMPUTED_VALUE"""),"Sokolé Guidan Gaba Mahalba")</f>
        <v>Sokolé Guidan Gaba Mahalba</v>
      </c>
      <c r="G2979" s="16"/>
      <c r="H2979" s="14"/>
      <c r="K2979" s="16">
        <f>IFERROR(__xludf.DUMMYFUNCTION("""COMPUTED_VALUE"""),404.0)</f>
        <v>404</v>
      </c>
      <c r="L2979" s="16"/>
      <c r="M2979" s="14"/>
    </row>
    <row r="2980">
      <c r="A2980" s="16" t="str">
        <f>IFERROR(__xludf.DUMMYFUNCTION("""COMPUTED_VALUE"""),"Yacouba Idé dit Lumana")</f>
        <v>Yacouba Idé dit Lumana</v>
      </c>
      <c r="B2980" s="16"/>
      <c r="C2980" s="14"/>
      <c r="F2980" s="16" t="str">
        <f>IFERROR(__xludf.DUMMYFUNCTION("""COMPUTED_VALUE"""),"Sokolé Guidan Gaba Mahalba")</f>
        <v>Sokolé Guidan Gaba Mahalba</v>
      </c>
      <c r="G2980" s="16"/>
      <c r="H2980" s="14"/>
      <c r="K2980" s="16">
        <f>IFERROR(__xludf.DUMMYFUNCTION("""COMPUTED_VALUE"""),416.0)</f>
        <v>416</v>
      </c>
      <c r="L2980" s="16"/>
      <c r="M2980" s="14"/>
    </row>
    <row r="2981">
      <c r="A2981" s="16" t="str">
        <f>IFERROR(__xludf.DUMMYFUNCTION("""COMPUTED_VALUE"""),"Yacouba Idé dit Lumana")</f>
        <v>Yacouba Idé dit Lumana</v>
      </c>
      <c r="B2981" s="16"/>
      <c r="C2981" s="14"/>
      <c r="F2981" s="16" t="str">
        <f>IFERROR(__xludf.DUMMYFUNCTION("""COMPUTED_VALUE"""),"Sokolé Guidan Gaba Mahalba")</f>
        <v>Sokolé Guidan Gaba Mahalba</v>
      </c>
      <c r="G2981" s="16"/>
      <c r="H2981" s="14"/>
      <c r="K2981" s="16">
        <f>IFERROR(__xludf.DUMMYFUNCTION("""COMPUTED_VALUE"""),630.0)</f>
        <v>630</v>
      </c>
      <c r="L2981" s="16"/>
      <c r="M2981" s="14"/>
    </row>
    <row r="2982">
      <c r="A2982" s="16" t="str">
        <f>IFERROR(__xludf.DUMMYFUNCTION("""COMPUTED_VALUE"""),"Razinatou Salissou")</f>
        <v>Razinatou Salissou</v>
      </c>
      <c r="B2982" s="16"/>
      <c r="C2982" s="14"/>
      <c r="F2982" s="16" t="str">
        <f>IFERROR(__xludf.DUMMYFUNCTION("""COMPUTED_VALUE"""),"Sokolé Guidan Gaba Mahalba")</f>
        <v>Sokolé Guidan Gaba Mahalba</v>
      </c>
      <c r="G2982" s="16"/>
      <c r="H2982" s="14"/>
      <c r="K2982" s="16">
        <f>IFERROR(__xludf.DUMMYFUNCTION("""COMPUTED_VALUE"""),1500.0)</f>
        <v>1500</v>
      </c>
      <c r="L2982" s="16"/>
      <c r="M2982" s="14"/>
    </row>
    <row r="2983">
      <c r="A2983" s="16" t="str">
        <f>IFERROR(__xludf.DUMMYFUNCTION("""COMPUTED_VALUE"""),"Mohamed Cherif")</f>
        <v>Mohamed Cherif</v>
      </c>
      <c r="B2983" s="16"/>
      <c r="C2983" s="14"/>
      <c r="F2983" s="16" t="str">
        <f>IFERROR(__xludf.DUMMYFUNCTION("""COMPUTED_VALUE"""),"Sokolé Guidan Gaba Mahalba")</f>
        <v>Sokolé Guidan Gaba Mahalba</v>
      </c>
      <c r="G2983" s="16"/>
      <c r="H2983" s="14"/>
      <c r="K2983" s="16"/>
      <c r="L2983" s="16"/>
      <c r="M2983" s="14"/>
    </row>
    <row r="2984">
      <c r="A2984" s="16" t="str">
        <f>IFERROR(__xludf.DUMMYFUNCTION("""COMPUTED_VALUE"""),"Mohamed Cherif")</f>
        <v>Mohamed Cherif</v>
      </c>
      <c r="B2984" s="16"/>
      <c r="C2984" s="14"/>
      <c r="F2984" s="16" t="str">
        <f>IFERROR(__xludf.DUMMYFUNCTION("""COMPUTED_VALUE"""),"Sokolé Guidan Gaba Mahalba")</f>
        <v>Sokolé Guidan Gaba Mahalba</v>
      </c>
      <c r="G2984" s="16"/>
      <c r="H2984" s="14"/>
      <c r="K2984" s="16"/>
      <c r="L2984" s="16"/>
      <c r="M2984" s="14"/>
    </row>
    <row r="2985">
      <c r="A2985" s="16" t="str">
        <f>IFERROR(__xludf.DUMMYFUNCTION("""COMPUTED_VALUE"""),"Mohamed Cherif")</f>
        <v>Mohamed Cherif</v>
      </c>
      <c r="B2985" s="16"/>
      <c r="C2985" s="14"/>
      <c r="F2985" s="16" t="str">
        <f>IFERROR(__xludf.DUMMYFUNCTION("""COMPUTED_VALUE"""),"Sokolé Guidan Gaba Mahalba")</f>
        <v>Sokolé Guidan Gaba Mahalba</v>
      </c>
      <c r="G2985" s="16"/>
      <c r="H2985" s="14"/>
      <c r="K2985" s="16"/>
      <c r="L2985" s="16"/>
      <c r="M2985" s="14"/>
    </row>
    <row r="2986">
      <c r="A2986" s="16" t="str">
        <f>IFERROR(__xludf.DUMMYFUNCTION("""COMPUTED_VALUE"""),"Mohamed Cherif")</f>
        <v>Mohamed Cherif</v>
      </c>
      <c r="B2986" s="16"/>
      <c r="C2986" s="14"/>
      <c r="F2986" s="16" t="str">
        <f>IFERROR(__xludf.DUMMYFUNCTION("""COMPUTED_VALUE"""),"Galé (Toudou)")</f>
        <v>Galé (Toudou)</v>
      </c>
      <c r="G2986" s="16"/>
      <c r="H2986" s="14"/>
      <c r="K2986" s="16"/>
      <c r="L2986" s="16"/>
      <c r="M2986" s="14"/>
    </row>
    <row r="2987">
      <c r="A2987" s="16" t="str">
        <f>IFERROR(__xludf.DUMMYFUNCTION("""COMPUTED_VALUE"""),"Razinatou Salissou")</f>
        <v>Razinatou Salissou</v>
      </c>
      <c r="B2987" s="16"/>
      <c r="C2987" s="14"/>
      <c r="F2987" s="16" t="str">
        <f>IFERROR(__xludf.DUMMYFUNCTION("""COMPUTED_VALUE"""),"Galé (Toudou)")</f>
        <v>Galé (Toudou)</v>
      </c>
      <c r="G2987" s="16"/>
      <c r="H2987" s="14"/>
      <c r="K2987" s="16"/>
      <c r="L2987" s="16"/>
      <c r="M2987" s="14"/>
    </row>
    <row r="2988">
      <c r="A2988" s="16" t="str">
        <f>IFERROR(__xludf.DUMMYFUNCTION("""COMPUTED_VALUE"""),"Mohamadou Amadou")</f>
        <v>Mohamadou Amadou</v>
      </c>
      <c r="B2988" s="16"/>
      <c r="C2988" s="14"/>
      <c r="F2988" s="16" t="str">
        <f>IFERROR(__xludf.DUMMYFUNCTION("""COMPUTED_VALUE"""),"Galé (Toudou)")</f>
        <v>Galé (Toudou)</v>
      </c>
      <c r="G2988" s="16"/>
      <c r="H2988" s="14"/>
      <c r="K2988" s="16"/>
      <c r="L2988" s="16"/>
      <c r="M2988" s="14"/>
    </row>
    <row r="2989">
      <c r="A2989" s="16" t="str">
        <f>IFERROR(__xludf.DUMMYFUNCTION("""COMPUTED_VALUE"""),"Mohamadou Amadou")</f>
        <v>Mohamadou Amadou</v>
      </c>
      <c r="B2989" s="16"/>
      <c r="C2989" s="14"/>
      <c r="F2989" s="16" t="str">
        <f>IFERROR(__xludf.DUMMYFUNCTION("""COMPUTED_VALUE"""),"Galé (Toudou)")</f>
        <v>Galé (Toudou)</v>
      </c>
      <c r="G2989" s="16"/>
      <c r="H2989" s="14"/>
      <c r="K2989" s="16"/>
      <c r="L2989" s="16"/>
      <c r="M2989" s="14"/>
    </row>
    <row r="2990">
      <c r="A2990" s="16" t="str">
        <f>IFERROR(__xludf.DUMMYFUNCTION("""COMPUTED_VALUE"""),"Mohamadou Amadou")</f>
        <v>Mohamadou Amadou</v>
      </c>
      <c r="B2990" s="16"/>
      <c r="C2990" s="14"/>
      <c r="F2990" s="16" t="str">
        <f>IFERROR(__xludf.DUMMYFUNCTION("""COMPUTED_VALUE"""),"Galé (Toudou)")</f>
        <v>Galé (Toudou)</v>
      </c>
      <c r="G2990" s="16"/>
      <c r="H2990" s="14"/>
      <c r="K2990" s="16"/>
      <c r="L2990" s="16"/>
      <c r="M2990" s="14"/>
    </row>
    <row r="2991">
      <c r="A2991" s="16" t="str">
        <f>IFERROR(__xludf.DUMMYFUNCTION("""COMPUTED_VALUE"""),"Saddy Youssouf")</f>
        <v>Saddy Youssouf</v>
      </c>
      <c r="B2991" s="16"/>
      <c r="C2991" s="14"/>
      <c r="F2991" s="16" t="str">
        <f>IFERROR(__xludf.DUMMYFUNCTION("""COMPUTED_VALUE"""),"Galé (Toudou)")</f>
        <v>Galé (Toudou)</v>
      </c>
      <c r="G2991" s="16"/>
      <c r="H2991" s="14"/>
      <c r="K2991" s="16"/>
      <c r="L2991" s="16"/>
      <c r="M2991" s="14"/>
    </row>
    <row r="2992">
      <c r="A2992" s="16" t="str">
        <f>IFERROR(__xludf.DUMMYFUNCTION("""COMPUTED_VALUE"""),"Saddy Youssouf")</f>
        <v>Saddy Youssouf</v>
      </c>
      <c r="B2992" s="16"/>
      <c r="C2992" s="14"/>
      <c r="F2992" s="16" t="str">
        <f>IFERROR(__xludf.DUMMYFUNCTION("""COMPUTED_VALUE"""),"Galé (Toudou)")</f>
        <v>Galé (Toudou)</v>
      </c>
      <c r="G2992" s="16"/>
      <c r="H2992" s="14"/>
      <c r="K2992" s="16"/>
      <c r="L2992" s="16"/>
      <c r="M2992" s="14"/>
    </row>
    <row r="2993">
      <c r="A2993" s="16" t="str">
        <f>IFERROR(__xludf.DUMMYFUNCTION("""COMPUTED_VALUE"""),"Saddy Youssouf")</f>
        <v>Saddy Youssouf</v>
      </c>
      <c r="B2993" s="16"/>
      <c r="C2993" s="14"/>
      <c r="F2993" s="16" t="str">
        <f>IFERROR(__xludf.DUMMYFUNCTION("""COMPUTED_VALUE"""),"Galé (Toudou)")</f>
        <v>Galé (Toudou)</v>
      </c>
      <c r="G2993" s="16"/>
      <c r="H2993" s="14"/>
      <c r="K2993" s="16"/>
      <c r="L2993" s="16"/>
      <c r="M2993" s="14"/>
    </row>
    <row r="2994">
      <c r="A2994" s="16" t="str">
        <f>IFERROR(__xludf.DUMMYFUNCTION("""COMPUTED_VALUE"""),"Saddy Youssouf")</f>
        <v>Saddy Youssouf</v>
      </c>
      <c r="B2994" s="16"/>
      <c r="C2994" s="14"/>
      <c r="F2994" s="16" t="str">
        <f>IFERROR(__xludf.DUMMYFUNCTION("""COMPUTED_VALUE"""),"Galé (Toudou)")</f>
        <v>Galé (Toudou)</v>
      </c>
      <c r="G2994" s="16"/>
      <c r="H2994" s="14"/>
      <c r="K2994" s="16"/>
      <c r="L2994" s="16"/>
      <c r="M2994" s="14"/>
    </row>
    <row r="2995">
      <c r="A2995" s="16" t="str">
        <f>IFERROR(__xludf.DUMMYFUNCTION("""COMPUTED_VALUE"""),"Saddy Youssouf")</f>
        <v>Saddy Youssouf</v>
      </c>
      <c r="B2995" s="16"/>
      <c r="C2995" s="14"/>
      <c r="F2995" s="16" t="str">
        <f>IFERROR(__xludf.DUMMYFUNCTION("""COMPUTED_VALUE"""),"Galé (Toudou)")</f>
        <v>Galé (Toudou)</v>
      </c>
      <c r="G2995" s="16"/>
      <c r="H2995" s="14"/>
      <c r="K2995" s="16"/>
      <c r="L2995" s="16"/>
      <c r="M2995" s="14"/>
    </row>
    <row r="2996">
      <c r="A2996" s="16" t="str">
        <f>IFERROR(__xludf.DUMMYFUNCTION("""COMPUTED_VALUE"""),"Abdoul Salami Ibrahim")</f>
        <v>Abdoul Salami Ibrahim</v>
      </c>
      <c r="B2996" s="16"/>
      <c r="C2996" s="14"/>
      <c r="F2996" s="16" t="str">
        <f>IFERROR(__xludf.DUMMYFUNCTION("""COMPUTED_VALUE"""),"Galé (Toudou)")</f>
        <v>Galé (Toudou)</v>
      </c>
      <c r="G2996" s="16"/>
      <c r="H2996" s="14"/>
      <c r="K2996" s="16"/>
      <c r="L2996" s="16"/>
      <c r="M2996" s="14"/>
    </row>
    <row r="2997">
      <c r="A2997" s="16" t="str">
        <f>IFERROR(__xludf.DUMMYFUNCTION("""COMPUTED_VALUE"""),"Abdoul Salami Ibrahim")</f>
        <v>Abdoul Salami Ibrahim</v>
      </c>
      <c r="B2997" s="16"/>
      <c r="C2997" s="14"/>
      <c r="F2997" s="16"/>
      <c r="G2997" s="16"/>
      <c r="H2997" s="14"/>
      <c r="K2997" s="16"/>
      <c r="L2997" s="16"/>
      <c r="M2997" s="14"/>
    </row>
    <row r="2998">
      <c r="A2998" s="16" t="str">
        <f>IFERROR(__xludf.DUMMYFUNCTION("""COMPUTED_VALUE"""),"Achirou Malam Dan Maradi Nassirou")</f>
        <v>Achirou Malam Dan Maradi Nassirou</v>
      </c>
      <c r="B2998" s="16"/>
      <c r="C2998" s="14"/>
      <c r="F2998" s="16"/>
      <c r="G2998" s="16"/>
      <c r="H2998" s="14"/>
      <c r="K2998" s="16"/>
      <c r="L2998" s="16"/>
      <c r="M2998" s="14"/>
    </row>
    <row r="2999">
      <c r="A2999" s="16" t="str">
        <f>IFERROR(__xludf.DUMMYFUNCTION("""COMPUTED_VALUE"""),"Achirou Malam Dan Maradi Nassirou")</f>
        <v>Achirou Malam Dan Maradi Nassirou</v>
      </c>
      <c r="B2999" s="16"/>
      <c r="C2999" s="14"/>
      <c r="F2999" s="16"/>
      <c r="G2999" s="16"/>
      <c r="H2999" s="14"/>
      <c r="K2999" s="16"/>
      <c r="L2999" s="16"/>
      <c r="M2999" s="14"/>
    </row>
    <row r="3000">
      <c r="A3000" s="16" t="str">
        <f>IFERROR(__xludf.DUMMYFUNCTION("""COMPUTED_VALUE"""),"Achirou Malam Dan Maradi Nassirou")</f>
        <v>Achirou Malam Dan Maradi Nassirou</v>
      </c>
      <c r="B3000" s="16"/>
      <c r="C3000" s="14"/>
      <c r="F3000" s="16"/>
      <c r="G3000" s="16"/>
      <c r="H3000" s="14"/>
      <c r="K3000" s="16"/>
      <c r="L3000" s="16"/>
      <c r="M3000" s="14"/>
    </row>
    <row r="3001">
      <c r="A3001" s="16" t="str">
        <f>IFERROR(__xludf.DUMMYFUNCTION("""COMPUTED_VALUE"""),"Achirou Malam Dan Maradi Nassirou")</f>
        <v>Achirou Malam Dan Maradi Nassirou</v>
      </c>
      <c r="B3001" s="16"/>
      <c r="C3001" s="14"/>
      <c r="F3001" s="16"/>
      <c r="G3001" s="16"/>
      <c r="H3001" s="14"/>
      <c r="K3001" s="16"/>
      <c r="L3001" s="16"/>
      <c r="M3001" s="14"/>
    </row>
    <row r="3002">
      <c r="A3002" s="16" t="str">
        <f>IFERROR(__xludf.DUMMYFUNCTION("""COMPUTED_VALUE"""),"Achirou Malam Dan Maradi Nassirou")</f>
        <v>Achirou Malam Dan Maradi Nassirou</v>
      </c>
      <c r="B3002" s="16"/>
      <c r="C3002" s="14"/>
      <c r="F3002" s="16"/>
      <c r="G3002" s="16"/>
      <c r="H3002" s="14"/>
      <c r="K3002" s="16"/>
      <c r="L3002" s="16"/>
      <c r="M3002" s="14"/>
    </row>
    <row r="3003">
      <c r="A3003" s="16" t="str">
        <f>IFERROR(__xludf.DUMMYFUNCTION("""COMPUTED_VALUE"""),"Achirou Malam Dan Maradi Nassirou")</f>
        <v>Achirou Malam Dan Maradi Nassirou</v>
      </c>
      <c r="B3003" s="16"/>
      <c r="C3003" s="14"/>
      <c r="F3003" s="16"/>
      <c r="G3003" s="16"/>
      <c r="H3003" s="14"/>
      <c r="K3003" s="16"/>
      <c r="L3003" s="16"/>
      <c r="M3003" s="14"/>
    </row>
    <row r="3004">
      <c r="A3004" s="16" t="str">
        <f>IFERROR(__xludf.DUMMYFUNCTION("""COMPUTED_VALUE"""),"Aboubacar Hamadou Manga")</f>
        <v>Aboubacar Hamadou Manga</v>
      </c>
      <c r="B3004" s="16"/>
      <c r="C3004" s="14"/>
      <c r="F3004" s="16"/>
      <c r="G3004" s="16"/>
      <c r="H3004" s="14"/>
      <c r="K3004" s="16"/>
      <c r="L3004" s="16"/>
      <c r="M3004" s="14"/>
    </row>
    <row r="3005">
      <c r="A3005" s="16" t="str">
        <f>IFERROR(__xludf.DUMMYFUNCTION("""COMPUTED_VALUE"""),"Aboubacar Hamadou Manga")</f>
        <v>Aboubacar Hamadou Manga</v>
      </c>
      <c r="B3005" s="16"/>
      <c r="C3005" s="14"/>
      <c r="F3005" s="16"/>
      <c r="G3005" s="16"/>
      <c r="H3005" s="14"/>
      <c r="K3005" s="16"/>
      <c r="L3005" s="16"/>
      <c r="M3005" s="14"/>
    </row>
    <row r="3006">
      <c r="A3006" s="16" t="str">
        <f>IFERROR(__xludf.DUMMYFUNCTION("""COMPUTED_VALUE"""),"Elhaji Abdou Leilata")</f>
        <v>Elhaji Abdou Leilata</v>
      </c>
      <c r="B3006" s="16"/>
      <c r="C3006" s="14"/>
      <c r="F3006" s="16"/>
      <c r="G3006" s="16"/>
      <c r="H3006" s="14"/>
      <c r="K3006" s="16"/>
      <c r="L3006" s="16"/>
      <c r="M3006" s="14"/>
    </row>
    <row r="3007">
      <c r="A3007" s="16" t="str">
        <f>IFERROR(__xludf.DUMMYFUNCTION("""COMPUTED_VALUE"""),"Elhaji Abdou Leilata")</f>
        <v>Elhaji Abdou Leilata</v>
      </c>
      <c r="B3007" s="16"/>
      <c r="C3007" s="14"/>
      <c r="F3007" s="16"/>
      <c r="G3007" s="16"/>
      <c r="H3007" s="14"/>
      <c r="K3007" s="16"/>
      <c r="L3007" s="16"/>
      <c r="M3007" s="14"/>
    </row>
    <row r="3008">
      <c r="A3008" s="16" t="str">
        <f>IFERROR(__xludf.DUMMYFUNCTION("""COMPUTED_VALUE"""),"Elhaji Abdou Leilata")</f>
        <v>Elhaji Abdou Leilata</v>
      </c>
      <c r="B3008" s="16"/>
      <c r="C3008" s="14"/>
      <c r="F3008" s="16"/>
      <c r="G3008" s="16"/>
      <c r="H3008" s="14"/>
      <c r="K3008" s="16"/>
      <c r="L3008" s="16"/>
      <c r="M3008" s="14"/>
    </row>
    <row r="3009">
      <c r="A3009" s="16" t="str">
        <f>IFERROR(__xludf.DUMMYFUNCTION("""COMPUTED_VALUE"""),"Maman Ado Abdourahamane")</f>
        <v>Maman Ado Abdourahamane</v>
      </c>
      <c r="B3009" s="16"/>
      <c r="C3009" s="14"/>
      <c r="F3009" s="16"/>
      <c r="G3009" s="16"/>
      <c r="H3009" s="14"/>
      <c r="K3009" s="16"/>
      <c r="L3009" s="16"/>
      <c r="M3009" s="14"/>
    </row>
    <row r="3010">
      <c r="A3010" s="16" t="str">
        <f>IFERROR(__xludf.DUMMYFUNCTION("""COMPUTED_VALUE"""),"Maman Ado Abdourahamane")</f>
        <v>Maman Ado Abdourahamane</v>
      </c>
      <c r="B3010" s="16"/>
      <c r="C3010" s="14"/>
      <c r="F3010" s="16"/>
      <c r="G3010" s="16"/>
      <c r="H3010" s="14"/>
      <c r="K3010" s="16"/>
      <c r="L3010" s="16"/>
      <c r="M3010" s="14"/>
    </row>
    <row r="3011">
      <c r="A3011" s="16" t="str">
        <f>IFERROR(__xludf.DUMMYFUNCTION("""COMPUTED_VALUE"""),"Maman Ado Abdourahamane")</f>
        <v>Maman Ado Abdourahamane</v>
      </c>
      <c r="B3011" s="16"/>
      <c r="C3011" s="14"/>
      <c r="F3011" s="16"/>
      <c r="G3011" s="16"/>
      <c r="H3011" s="14"/>
      <c r="K3011" s="16"/>
      <c r="L3011" s="16"/>
      <c r="M3011" s="14"/>
    </row>
    <row r="3012">
      <c r="A3012" s="16" t="str">
        <f>IFERROR(__xludf.DUMMYFUNCTION("""COMPUTED_VALUE"""),"Maman Ado Abdourahamane")</f>
        <v>Maman Ado Abdourahamane</v>
      </c>
      <c r="B3012" s="16"/>
      <c r="C3012" s="14"/>
      <c r="F3012" s="16"/>
      <c r="G3012" s="16"/>
      <c r="H3012" s="14"/>
      <c r="K3012" s="16"/>
      <c r="L3012" s="16"/>
      <c r="M3012" s="14"/>
    </row>
    <row r="3013">
      <c r="A3013" s="16" t="str">
        <f>IFERROR(__xludf.DUMMYFUNCTION("""COMPUTED_VALUE"""),"Maman Ado Abdourahamane")</f>
        <v>Maman Ado Abdourahamane</v>
      </c>
      <c r="B3013" s="16"/>
      <c r="C3013" s="14"/>
      <c r="F3013" s="16"/>
      <c r="G3013" s="16"/>
      <c r="H3013" s="14"/>
      <c r="K3013" s="16"/>
      <c r="L3013" s="16"/>
      <c r="M3013" s="14"/>
    </row>
    <row r="3014">
      <c r="A3014" s="16" t="str">
        <f>IFERROR(__xludf.DUMMYFUNCTION("""COMPUTED_VALUE"""),"Maman Ado Abdourahamane")</f>
        <v>Maman Ado Abdourahamane</v>
      </c>
      <c r="B3014" s="16"/>
      <c r="C3014" s="14"/>
      <c r="F3014" s="16"/>
      <c r="G3014" s="16"/>
      <c r="H3014" s="14"/>
      <c r="K3014" s="16"/>
      <c r="L3014" s="16"/>
      <c r="M3014" s="14"/>
    </row>
    <row r="3015">
      <c r="A3015" s="16" t="str">
        <f>IFERROR(__xludf.DUMMYFUNCTION("""COMPUTED_VALUE"""),"Gaoh Maazou")</f>
        <v>Gaoh Maazou</v>
      </c>
      <c r="B3015" s="16"/>
      <c r="C3015" s="14"/>
      <c r="F3015" s="16"/>
      <c r="G3015" s="16"/>
      <c r="H3015" s="14"/>
      <c r="K3015" s="16"/>
      <c r="L3015" s="16"/>
      <c r="M3015" s="14"/>
    </row>
    <row r="3016">
      <c r="A3016" s="16" t="str">
        <f>IFERROR(__xludf.DUMMYFUNCTION("""COMPUTED_VALUE"""),"Gaoh Maazou")</f>
        <v>Gaoh Maazou</v>
      </c>
      <c r="B3016" s="16"/>
      <c r="C3016" s="14"/>
      <c r="F3016" s="16"/>
      <c r="G3016" s="16"/>
      <c r="H3016" s="14"/>
      <c r="K3016" s="16"/>
      <c r="L3016" s="16"/>
      <c r="M3016" s="14"/>
    </row>
    <row r="3017">
      <c r="A3017" s="16" t="str">
        <f>IFERROR(__xludf.DUMMYFUNCTION("""COMPUTED_VALUE"""),"Gaoh Maazou")</f>
        <v>Gaoh Maazou</v>
      </c>
      <c r="B3017" s="16"/>
      <c r="C3017" s="14"/>
      <c r="F3017" s="16"/>
      <c r="G3017" s="16"/>
      <c r="H3017" s="14"/>
      <c r="K3017" s="16"/>
      <c r="L3017" s="16"/>
      <c r="M3017" s="14"/>
    </row>
    <row r="3018">
      <c r="A3018" s="16" t="str">
        <f>IFERROR(__xludf.DUMMYFUNCTION("""COMPUTED_VALUE"""),"Gaoh Maazou")</f>
        <v>Gaoh Maazou</v>
      </c>
      <c r="B3018" s="16"/>
      <c r="C3018" s="14"/>
      <c r="F3018" s="16"/>
      <c r="G3018" s="16"/>
      <c r="H3018" s="14"/>
      <c r="K3018" s="16"/>
      <c r="L3018" s="16"/>
      <c r="M3018" s="14"/>
    </row>
    <row r="3019">
      <c r="A3019" s="16" t="str">
        <f>IFERROR(__xludf.DUMMYFUNCTION("""COMPUTED_VALUE"""),"Asmaou Tanko Issa")</f>
        <v>Asmaou Tanko Issa</v>
      </c>
      <c r="B3019" s="16"/>
      <c r="C3019" s="14"/>
      <c r="F3019" s="16"/>
      <c r="G3019" s="16"/>
      <c r="H3019" s="14"/>
      <c r="K3019" s="16"/>
      <c r="L3019" s="16"/>
      <c r="M3019" s="14"/>
    </row>
    <row r="3020">
      <c r="A3020" s="16" t="str">
        <f>IFERROR(__xludf.DUMMYFUNCTION("""COMPUTED_VALUE"""),"Asmaou Tanko Issa")</f>
        <v>Asmaou Tanko Issa</v>
      </c>
      <c r="B3020" s="16"/>
      <c r="C3020" s="14"/>
      <c r="F3020" s="16"/>
      <c r="G3020" s="16"/>
      <c r="H3020" s="14"/>
      <c r="K3020" s="16"/>
      <c r="L3020" s="16"/>
      <c r="M3020" s="14"/>
    </row>
    <row r="3021">
      <c r="A3021" s="16" t="str">
        <f>IFERROR(__xludf.DUMMYFUNCTION("""COMPUTED_VALUE"""),"Ibrahim Dan Habou Larwana")</f>
        <v>Ibrahim Dan Habou Larwana</v>
      </c>
      <c r="B3021" s="16"/>
      <c r="C3021" s="14"/>
      <c r="F3021" s="16"/>
      <c r="G3021" s="16"/>
      <c r="H3021" s="14"/>
      <c r="K3021" s="16"/>
      <c r="L3021" s="16"/>
      <c r="M3021" s="14"/>
    </row>
    <row r="3022">
      <c r="A3022" s="16" t="str">
        <f>IFERROR(__xludf.DUMMYFUNCTION("""COMPUTED_VALUE"""),"Ibrahim Dan Habou Larwana")</f>
        <v>Ibrahim Dan Habou Larwana</v>
      </c>
      <c r="B3022" s="16"/>
      <c r="C3022" s="14"/>
      <c r="F3022" s="16"/>
      <c r="G3022" s="16"/>
      <c r="H3022" s="14"/>
      <c r="K3022" s="16"/>
      <c r="L3022" s="16"/>
      <c r="M3022" s="14"/>
    </row>
    <row r="3023">
      <c r="A3023" s="16" t="str">
        <f>IFERROR(__xludf.DUMMYFUNCTION("""COMPUTED_VALUE"""),"Ibrahim Dan Habou Larwana")</f>
        <v>Ibrahim Dan Habou Larwana</v>
      </c>
      <c r="B3023" s="16"/>
      <c r="C3023" s="14"/>
      <c r="F3023" s="16"/>
      <c r="G3023" s="16"/>
      <c r="H3023" s="14"/>
      <c r="K3023" s="16"/>
      <c r="L3023" s="16"/>
      <c r="M3023" s="14"/>
    </row>
    <row r="3024">
      <c r="A3024" s="16" t="str">
        <f>IFERROR(__xludf.DUMMYFUNCTION("""COMPUTED_VALUE"""),"Ibrahim Dan Habou Larwana")</f>
        <v>Ibrahim Dan Habou Larwana</v>
      </c>
      <c r="B3024" s="16"/>
      <c r="C3024" s="14"/>
      <c r="F3024" s="16"/>
      <c r="G3024" s="16"/>
      <c r="H3024" s="14"/>
      <c r="K3024" s="16"/>
      <c r="L3024" s="16"/>
      <c r="M3024" s="14"/>
    </row>
    <row r="3025">
      <c r="A3025" s="16" t="str">
        <f>IFERROR(__xludf.DUMMYFUNCTION("""COMPUTED_VALUE"""),"Ibrahim Dan Habou Larwana")</f>
        <v>Ibrahim Dan Habou Larwana</v>
      </c>
      <c r="B3025" s="16"/>
      <c r="C3025" s="14"/>
      <c r="F3025" s="16"/>
      <c r="G3025" s="16"/>
      <c r="H3025" s="14"/>
      <c r="K3025" s="16"/>
      <c r="L3025" s="16"/>
      <c r="M3025" s="14"/>
    </row>
    <row r="3026">
      <c r="A3026" s="16" t="str">
        <f>IFERROR(__xludf.DUMMYFUNCTION("""COMPUTED_VALUE"""),"Ibrahim Dan Habou Larwana")</f>
        <v>Ibrahim Dan Habou Larwana</v>
      </c>
      <c r="B3026" s="16"/>
      <c r="C3026" s="14"/>
      <c r="F3026" s="16"/>
      <c r="G3026" s="16"/>
      <c r="H3026" s="14"/>
      <c r="K3026" s="16"/>
      <c r="L3026" s="16"/>
      <c r="M3026" s="14"/>
    </row>
    <row r="3027">
      <c r="A3027" s="16" t="str">
        <f>IFERROR(__xludf.DUMMYFUNCTION("""COMPUTED_VALUE"""),"Adamou Halidou Daouda")</f>
        <v>Adamou Halidou Daouda</v>
      </c>
      <c r="B3027" s="16"/>
      <c r="C3027" s="14"/>
      <c r="F3027" s="16"/>
      <c r="G3027" s="16"/>
      <c r="H3027" s="14"/>
      <c r="K3027" s="16"/>
      <c r="L3027" s="16"/>
      <c r="M3027" s="14"/>
    </row>
    <row r="3028">
      <c r="A3028" s="16" t="str">
        <f>IFERROR(__xludf.DUMMYFUNCTION("""COMPUTED_VALUE"""),"Adamou Halidou Daouda")</f>
        <v>Adamou Halidou Daouda</v>
      </c>
      <c r="B3028" s="16"/>
      <c r="C3028" s="14"/>
      <c r="F3028" s="16"/>
      <c r="G3028" s="16"/>
      <c r="H3028" s="14"/>
      <c r="K3028" s="16"/>
      <c r="L3028" s="16"/>
      <c r="M3028" s="14"/>
    </row>
    <row r="3029">
      <c r="A3029" s="16" t="str">
        <f>IFERROR(__xludf.DUMMYFUNCTION("""COMPUTED_VALUE"""),"Adamou Halidou Daouda")</f>
        <v>Adamou Halidou Daouda</v>
      </c>
      <c r="B3029" s="16"/>
      <c r="C3029" s="14"/>
      <c r="F3029" s="16"/>
      <c r="G3029" s="16"/>
      <c r="H3029" s="14"/>
      <c r="K3029" s="16"/>
      <c r="L3029" s="16"/>
      <c r="M3029" s="14"/>
    </row>
    <row r="3030">
      <c r="A3030" s="16" t="str">
        <f>IFERROR(__xludf.DUMMYFUNCTION("""COMPUTED_VALUE"""),"Adamou Halidou Daouda")</f>
        <v>Adamou Halidou Daouda</v>
      </c>
      <c r="B3030" s="16"/>
      <c r="C3030" s="14"/>
      <c r="F3030" s="16"/>
      <c r="G3030" s="16"/>
      <c r="H3030" s="14"/>
      <c r="K3030" s="16"/>
      <c r="L3030" s="16"/>
      <c r="M3030" s="14"/>
    </row>
    <row r="3031">
      <c r="A3031" s="16" t="str">
        <f>IFERROR(__xludf.DUMMYFUNCTION("""COMPUTED_VALUE"""),"Adamou Halidou Daouda")</f>
        <v>Adamou Halidou Daouda</v>
      </c>
      <c r="B3031" s="16"/>
      <c r="C3031" s="14"/>
      <c r="F3031" s="16"/>
      <c r="G3031" s="16"/>
      <c r="H3031" s="14"/>
      <c r="K3031" s="16"/>
      <c r="L3031" s="16"/>
      <c r="M3031" s="14"/>
    </row>
    <row r="3032">
      <c r="A3032" s="16" t="str">
        <f>IFERROR(__xludf.DUMMYFUNCTION("""COMPUTED_VALUE"""),"Adamou Halidou Daouda")</f>
        <v>Adamou Halidou Daouda</v>
      </c>
      <c r="B3032" s="16"/>
      <c r="C3032" s="14"/>
      <c r="F3032" s="16"/>
      <c r="G3032" s="16"/>
      <c r="H3032" s="14"/>
      <c r="K3032" s="16"/>
      <c r="L3032" s="16"/>
      <c r="M3032" s="14"/>
    </row>
    <row r="3033">
      <c r="A3033" s="16" t="str">
        <f>IFERROR(__xludf.DUMMYFUNCTION("""COMPUTED_VALUE"""),"Adamou Halidou Daouda")</f>
        <v>Adamou Halidou Daouda</v>
      </c>
      <c r="B3033" s="16"/>
      <c r="C3033" s="14"/>
      <c r="F3033" s="16"/>
      <c r="G3033" s="16"/>
      <c r="H3033" s="14"/>
      <c r="K3033" s="16"/>
      <c r="L3033" s="16"/>
      <c r="M3033" s="14"/>
    </row>
    <row r="3034">
      <c r="A3034" s="16" t="str">
        <f>IFERROR(__xludf.DUMMYFUNCTION("""COMPUTED_VALUE"""),"Adamou Halidou Daouda")</f>
        <v>Adamou Halidou Daouda</v>
      </c>
      <c r="B3034" s="16"/>
      <c r="C3034" s="14"/>
      <c r="F3034" s="16"/>
      <c r="G3034" s="16"/>
      <c r="H3034" s="14"/>
      <c r="K3034" s="16"/>
      <c r="L3034" s="16"/>
      <c r="M3034" s="14"/>
    </row>
    <row r="3035">
      <c r="A3035" s="16" t="str">
        <f>IFERROR(__xludf.DUMMYFUNCTION("""COMPUTED_VALUE"""),"Adamou Halidou Daouda")</f>
        <v>Adamou Halidou Daouda</v>
      </c>
      <c r="B3035" s="16"/>
      <c r="C3035" s="14"/>
      <c r="F3035" s="16"/>
      <c r="G3035" s="16"/>
      <c r="H3035" s="14"/>
      <c r="K3035" s="16"/>
      <c r="L3035" s="16"/>
      <c r="M3035" s="14"/>
    </row>
    <row r="3036">
      <c r="A3036" s="16" t="str">
        <f>IFERROR(__xludf.DUMMYFUNCTION("""COMPUTED_VALUE"""),"Adamou Halidou Daouda")</f>
        <v>Adamou Halidou Daouda</v>
      </c>
      <c r="B3036" s="16"/>
      <c r="C3036" s="14"/>
      <c r="F3036" s="16"/>
      <c r="G3036" s="16"/>
      <c r="H3036" s="14"/>
      <c r="K3036" s="16"/>
      <c r="L3036" s="16"/>
      <c r="M3036" s="14"/>
    </row>
    <row r="3037">
      <c r="A3037" s="16" t="str">
        <f>IFERROR(__xludf.DUMMYFUNCTION("""COMPUTED_VALUE"""),"Adamou Halidou Daouda")</f>
        <v>Adamou Halidou Daouda</v>
      </c>
      <c r="B3037" s="16"/>
      <c r="C3037" s="14"/>
      <c r="F3037" s="16"/>
      <c r="G3037" s="16"/>
      <c r="H3037" s="14"/>
      <c r="K3037" s="16"/>
      <c r="L3037" s="16"/>
      <c r="M3037" s="14"/>
    </row>
    <row r="3038">
      <c r="A3038" s="16" t="str">
        <f>IFERROR(__xludf.DUMMYFUNCTION("""COMPUTED_VALUE"""),"ALASSANE TAWEY AWALOU")</f>
        <v>ALASSANE TAWEY AWALOU</v>
      </c>
      <c r="B3038" s="16"/>
      <c r="C3038" s="14"/>
      <c r="F3038" s="16"/>
      <c r="G3038" s="16"/>
      <c r="H3038" s="14"/>
      <c r="K3038" s="16"/>
      <c r="L3038" s="16"/>
      <c r="M3038" s="14"/>
    </row>
    <row r="3039">
      <c r="A3039" s="16" t="str">
        <f>IFERROR(__xludf.DUMMYFUNCTION("""COMPUTED_VALUE"""),"ALASSANE TAWEY AWALOU")</f>
        <v>ALASSANE TAWEY AWALOU</v>
      </c>
      <c r="B3039" s="16"/>
      <c r="C3039" s="14"/>
      <c r="F3039" s="16"/>
      <c r="G3039" s="16"/>
      <c r="H3039" s="14"/>
      <c r="K3039" s="16"/>
      <c r="L3039" s="16"/>
      <c r="M3039" s="14"/>
    </row>
    <row r="3040">
      <c r="A3040" s="16" t="str">
        <f>IFERROR(__xludf.DUMMYFUNCTION("""COMPUTED_VALUE"""),"Halidou Tagaza Balkissa")</f>
        <v>Halidou Tagaza Balkissa</v>
      </c>
      <c r="B3040" s="16"/>
      <c r="C3040" s="14"/>
      <c r="F3040" s="16"/>
      <c r="G3040" s="16"/>
      <c r="H3040" s="14"/>
      <c r="K3040" s="16"/>
      <c r="L3040" s="16"/>
      <c r="M3040" s="14"/>
    </row>
    <row r="3041">
      <c r="A3041" s="16" t="str">
        <f>IFERROR(__xludf.DUMMYFUNCTION("""COMPUTED_VALUE"""),"ALASSANE TAWEY AWALOU")</f>
        <v>ALASSANE TAWEY AWALOU</v>
      </c>
      <c r="B3041" s="16"/>
      <c r="C3041" s="14"/>
      <c r="F3041" s="16"/>
      <c r="G3041" s="16"/>
      <c r="H3041" s="14"/>
      <c r="K3041" s="16"/>
      <c r="L3041" s="16"/>
      <c r="M3041" s="14"/>
    </row>
    <row r="3042">
      <c r="A3042" s="16" t="str">
        <f>IFERROR(__xludf.DUMMYFUNCTION("""COMPUTED_VALUE"""),"ALASSANE TAWEY AWALOU")</f>
        <v>ALASSANE TAWEY AWALOU</v>
      </c>
      <c r="B3042" s="16"/>
      <c r="C3042" s="14"/>
      <c r="F3042" s="16"/>
      <c r="G3042" s="16"/>
      <c r="H3042" s="14"/>
      <c r="K3042" s="16"/>
      <c r="L3042" s="16"/>
      <c r="M3042" s="14"/>
    </row>
    <row r="3043">
      <c r="A3043" s="16" t="str">
        <f>IFERROR(__xludf.DUMMYFUNCTION("""COMPUTED_VALUE"""),"ALASSANE TAWEY AWALOU")</f>
        <v>ALASSANE TAWEY AWALOU</v>
      </c>
      <c r="B3043" s="16"/>
      <c r="C3043" s="14"/>
      <c r="F3043" s="16"/>
      <c r="G3043" s="16"/>
      <c r="H3043" s="14"/>
      <c r="K3043" s="16"/>
      <c r="L3043" s="16"/>
      <c r="M3043" s="14"/>
    </row>
    <row r="3044">
      <c r="A3044" s="16" t="str">
        <f>IFERROR(__xludf.DUMMYFUNCTION("""COMPUTED_VALUE"""),"ALASSANE TAWEY AWALOU")</f>
        <v>ALASSANE TAWEY AWALOU</v>
      </c>
      <c r="B3044" s="16"/>
      <c r="C3044" s="14"/>
      <c r="F3044" s="16"/>
      <c r="G3044" s="16"/>
      <c r="H3044" s="14"/>
      <c r="K3044" s="16"/>
      <c r="L3044" s="16"/>
      <c r="M3044" s="14"/>
    </row>
    <row r="3045">
      <c r="A3045" s="16" t="str">
        <f>IFERROR(__xludf.DUMMYFUNCTION("""COMPUTED_VALUE"""),"ALASSANE TAWEY AWALOU")</f>
        <v>ALASSANE TAWEY AWALOU</v>
      </c>
      <c r="B3045" s="16"/>
      <c r="C3045" s="14"/>
      <c r="F3045" s="16"/>
      <c r="G3045" s="16"/>
      <c r="H3045" s="14"/>
      <c r="K3045" s="16"/>
      <c r="L3045" s="16"/>
      <c r="M3045" s="14"/>
    </row>
    <row r="3046">
      <c r="A3046" s="16" t="str">
        <f>IFERROR(__xludf.DUMMYFUNCTION("""COMPUTED_VALUE"""),"Abdoul Razak Mahamane Boukari")</f>
        <v>Abdoul Razak Mahamane Boukari</v>
      </c>
      <c r="B3046" s="16"/>
      <c r="C3046" s="14"/>
      <c r="F3046" s="16"/>
      <c r="G3046" s="16"/>
      <c r="H3046" s="14"/>
      <c r="K3046" s="16"/>
      <c r="L3046" s="16"/>
      <c r="M3046" s="14"/>
    </row>
    <row r="3047">
      <c r="A3047" s="16" t="str">
        <f>IFERROR(__xludf.DUMMYFUNCTION("""COMPUTED_VALUE"""),"Abdoul Razak Mahamane Boukari")</f>
        <v>Abdoul Razak Mahamane Boukari</v>
      </c>
      <c r="B3047" s="16"/>
      <c r="C3047" s="14"/>
      <c r="F3047" s="16"/>
      <c r="G3047" s="16"/>
      <c r="H3047" s="14"/>
      <c r="K3047" s="16"/>
      <c r="L3047" s="16"/>
      <c r="M3047" s="14"/>
    </row>
    <row r="3048">
      <c r="A3048" s="16" t="str">
        <f>IFERROR(__xludf.DUMMYFUNCTION("""COMPUTED_VALUE"""),"Abdoul Razak Mahamane Boukari")</f>
        <v>Abdoul Razak Mahamane Boukari</v>
      </c>
      <c r="B3048" s="16"/>
      <c r="C3048" s="14"/>
      <c r="F3048" s="16"/>
      <c r="G3048" s="16"/>
      <c r="H3048" s="14"/>
      <c r="K3048" s="16"/>
      <c r="L3048" s="16"/>
      <c r="M3048" s="14"/>
    </row>
    <row r="3049">
      <c r="A3049" s="16" t="str">
        <f>IFERROR(__xludf.DUMMYFUNCTION("""COMPUTED_VALUE"""),"Abdoul Razak Mahamane Boukari")</f>
        <v>Abdoul Razak Mahamane Boukari</v>
      </c>
      <c r="B3049" s="16"/>
      <c r="C3049" s="14"/>
      <c r="F3049" s="16"/>
      <c r="G3049" s="16"/>
      <c r="H3049" s="14"/>
      <c r="K3049" s="16"/>
      <c r="L3049" s="16"/>
      <c r="M3049" s="14"/>
    </row>
    <row r="3050">
      <c r="A3050" s="16" t="str">
        <f>IFERROR(__xludf.DUMMYFUNCTION("""COMPUTED_VALUE"""),"Abdoul Razak Mahamane Boukari")</f>
        <v>Abdoul Razak Mahamane Boukari</v>
      </c>
      <c r="B3050" s="16"/>
      <c r="C3050" s="14"/>
      <c r="F3050" s="16"/>
      <c r="G3050" s="16"/>
      <c r="H3050" s="14"/>
      <c r="K3050" s="16"/>
      <c r="L3050" s="16"/>
      <c r="M3050" s="14"/>
    </row>
    <row r="3051">
      <c r="A3051" s="16" t="str">
        <f>IFERROR(__xludf.DUMMYFUNCTION("""COMPUTED_VALUE"""),"Abdoul Razak Mahamane Boukari")</f>
        <v>Abdoul Razak Mahamane Boukari</v>
      </c>
      <c r="B3051" s="16"/>
      <c r="C3051" s="14"/>
      <c r="F3051" s="16"/>
      <c r="G3051" s="16"/>
      <c r="H3051" s="14"/>
      <c r="K3051" s="16"/>
      <c r="L3051" s="16"/>
      <c r="M3051" s="14"/>
    </row>
    <row r="3052">
      <c r="A3052" s="16" t="str">
        <f>IFERROR(__xludf.DUMMYFUNCTION("""COMPUTED_VALUE"""),"Abdoul Razak Mahamane Boukari")</f>
        <v>Abdoul Razak Mahamane Boukari</v>
      </c>
      <c r="B3052" s="16"/>
      <c r="C3052" s="14"/>
      <c r="F3052" s="16"/>
      <c r="G3052" s="16"/>
      <c r="H3052" s="14"/>
      <c r="K3052" s="16"/>
      <c r="L3052" s="16"/>
      <c r="M3052" s="14"/>
    </row>
    <row r="3053">
      <c r="A3053" s="16" t="str">
        <f>IFERROR(__xludf.DUMMYFUNCTION("""COMPUTED_VALUE"""),"Abdoul Razak Mahamane Boukari")</f>
        <v>Abdoul Razak Mahamane Boukari</v>
      </c>
      <c r="B3053" s="16"/>
      <c r="C3053" s="14"/>
      <c r="F3053" s="16"/>
      <c r="G3053" s="16"/>
      <c r="H3053" s="14"/>
      <c r="K3053" s="16"/>
      <c r="L3053" s="16"/>
      <c r="M3053" s="14"/>
    </row>
    <row r="3054">
      <c r="A3054" s="16" t="str">
        <f>IFERROR(__xludf.DUMMYFUNCTION("""COMPUTED_VALUE"""),"Abdoul Razak Mahamane Boukari")</f>
        <v>Abdoul Razak Mahamane Boukari</v>
      </c>
      <c r="B3054" s="16"/>
      <c r="C3054" s="14"/>
      <c r="F3054" s="16"/>
      <c r="G3054" s="16"/>
      <c r="H3054" s="14"/>
      <c r="K3054" s="16"/>
      <c r="L3054" s="16"/>
      <c r="M3054" s="14"/>
    </row>
    <row r="3055">
      <c r="A3055" s="16" t="str">
        <f>IFERROR(__xludf.DUMMYFUNCTION("""COMPUTED_VALUE"""),"Abdoul Razak Mahamane Boukari")</f>
        <v>Abdoul Razak Mahamane Boukari</v>
      </c>
      <c r="B3055" s="16"/>
      <c r="C3055" s="14"/>
      <c r="F3055" s="16"/>
      <c r="G3055" s="16"/>
      <c r="H3055" s="14"/>
      <c r="K3055" s="16"/>
      <c r="L3055" s="16"/>
      <c r="M3055" s="14"/>
    </row>
    <row r="3056">
      <c r="A3056" s="16" t="str">
        <f>IFERROR(__xludf.DUMMYFUNCTION("""COMPUTED_VALUE"""),"Abdoul Razak Mahamane Boukari")</f>
        <v>Abdoul Razak Mahamane Boukari</v>
      </c>
      <c r="B3056" s="16"/>
      <c r="C3056" s="14"/>
      <c r="F3056" s="16"/>
      <c r="G3056" s="16"/>
      <c r="H3056" s="14"/>
      <c r="K3056" s="16"/>
      <c r="L3056" s="16"/>
      <c r="M3056" s="14"/>
    </row>
    <row r="3057">
      <c r="A3057" s="16" t="str">
        <f>IFERROR(__xludf.DUMMYFUNCTION("""COMPUTED_VALUE"""),"Abdoul Razak Mahamane Boukari")</f>
        <v>Abdoul Razak Mahamane Boukari</v>
      </c>
      <c r="B3057" s="16"/>
      <c r="C3057" s="14"/>
      <c r="F3057" s="16"/>
      <c r="G3057" s="16"/>
      <c r="H3057" s="14"/>
      <c r="K3057" s="16"/>
      <c r="L3057" s="16"/>
      <c r="M3057" s="14"/>
    </row>
    <row r="3058">
      <c r="A3058" s="16" t="str">
        <f>IFERROR(__xludf.DUMMYFUNCTION("""COMPUTED_VALUE"""),"Abdoul Razak Mahamane Boukari")</f>
        <v>Abdoul Razak Mahamane Boukari</v>
      </c>
      <c r="B3058" s="16"/>
      <c r="C3058" s="14"/>
      <c r="F3058" s="16"/>
      <c r="G3058" s="16"/>
      <c r="H3058" s="14"/>
      <c r="K3058" s="16"/>
      <c r="L3058" s="16"/>
      <c r="M3058" s="14"/>
    </row>
    <row r="3059">
      <c r="A3059" s="16" t="str">
        <f>IFERROR(__xludf.DUMMYFUNCTION("""COMPUTED_VALUE"""),"Abdoul Razak Mahamane Boukari")</f>
        <v>Abdoul Razak Mahamane Boukari</v>
      </c>
      <c r="B3059" s="16"/>
      <c r="C3059" s="14"/>
      <c r="F3059" s="16"/>
      <c r="G3059" s="16"/>
      <c r="H3059" s="14"/>
      <c r="K3059" s="16"/>
      <c r="L3059" s="16"/>
      <c r="M3059" s="14"/>
    </row>
    <row r="3060">
      <c r="A3060" s="16" t="str">
        <f>IFERROR(__xludf.DUMMYFUNCTION("""COMPUTED_VALUE"""),"Abdoul Razak Mahamane Boukari")</f>
        <v>Abdoul Razak Mahamane Boukari</v>
      </c>
      <c r="B3060" s="16"/>
      <c r="C3060" s="14"/>
      <c r="F3060" s="16"/>
      <c r="G3060" s="16"/>
      <c r="H3060" s="14"/>
      <c r="K3060" s="16"/>
      <c r="L3060" s="16"/>
      <c r="M3060" s="14"/>
    </row>
    <row r="3061">
      <c r="A3061" s="16" t="str">
        <f>IFERROR(__xludf.DUMMYFUNCTION("""COMPUTED_VALUE"""),"Abdoul Razak Mahamane Boukari")</f>
        <v>Abdoul Razak Mahamane Boukari</v>
      </c>
      <c r="B3061" s="16"/>
      <c r="C3061" s="14"/>
      <c r="F3061" s="16"/>
      <c r="G3061" s="16"/>
      <c r="H3061" s="14"/>
      <c r="K3061" s="16"/>
      <c r="L3061" s="16"/>
      <c r="M3061" s="14"/>
    </row>
    <row r="3062">
      <c r="A3062" s="16" t="str">
        <f>IFERROR(__xludf.DUMMYFUNCTION("""COMPUTED_VALUE"""),"Abdoul Razak Mahamane Boukari")</f>
        <v>Abdoul Razak Mahamane Boukari</v>
      </c>
      <c r="B3062" s="16"/>
      <c r="C3062" s="14"/>
      <c r="F3062" s="16"/>
      <c r="G3062" s="16"/>
      <c r="H3062" s="14"/>
      <c r="K3062" s="16"/>
      <c r="L3062" s="16"/>
      <c r="M3062" s="14"/>
    </row>
    <row r="3063">
      <c r="A3063" s="16" t="str">
        <f>IFERROR(__xludf.DUMMYFUNCTION("""COMPUTED_VALUE"""),"Abdoul Razak Mahamane Boukari")</f>
        <v>Abdoul Razak Mahamane Boukari</v>
      </c>
      <c r="B3063" s="16"/>
      <c r="C3063" s="14"/>
      <c r="F3063" s="16"/>
      <c r="G3063" s="16"/>
      <c r="H3063" s="14"/>
      <c r="K3063" s="16"/>
      <c r="L3063" s="16"/>
      <c r="M3063" s="14"/>
    </row>
    <row r="3064">
      <c r="A3064" s="16" t="str">
        <f>IFERROR(__xludf.DUMMYFUNCTION("""COMPUTED_VALUE"""),"Abdoul Razak Mahamane Boukari")</f>
        <v>Abdoul Razak Mahamane Boukari</v>
      </c>
      <c r="B3064" s="16"/>
      <c r="C3064" s="14"/>
      <c r="F3064" s="16"/>
      <c r="G3064" s="16"/>
      <c r="H3064" s="14"/>
      <c r="K3064" s="16"/>
      <c r="L3064" s="16"/>
      <c r="M3064" s="14"/>
    </row>
    <row r="3065">
      <c r="A3065" s="16" t="str">
        <f>IFERROR(__xludf.DUMMYFUNCTION("""COMPUTED_VALUE"""),"Abdoul Razak Mahamane Boukari")</f>
        <v>Abdoul Razak Mahamane Boukari</v>
      </c>
      <c r="B3065" s="16"/>
      <c r="C3065" s="14"/>
      <c r="F3065" s="16"/>
      <c r="G3065" s="16"/>
      <c r="H3065" s="14"/>
      <c r="K3065" s="16"/>
      <c r="L3065" s="16"/>
      <c r="M3065" s="14"/>
    </row>
    <row r="3066">
      <c r="A3066" s="16" t="str">
        <f>IFERROR(__xludf.DUMMYFUNCTION("""COMPUTED_VALUE"""),"Abdoul Razak Mahamane Boukari")</f>
        <v>Abdoul Razak Mahamane Boukari</v>
      </c>
      <c r="B3066" s="16"/>
      <c r="C3066" s="14"/>
      <c r="F3066" s="16"/>
      <c r="G3066" s="16"/>
      <c r="H3066" s="14"/>
      <c r="K3066" s="16"/>
      <c r="L3066" s="16"/>
      <c r="M3066" s="14"/>
    </row>
    <row r="3067">
      <c r="A3067" s="16" t="str">
        <f>IFERROR(__xludf.DUMMYFUNCTION("""COMPUTED_VALUE"""),"Abdoul Razak Mahamane Boukari")</f>
        <v>Abdoul Razak Mahamane Boukari</v>
      </c>
      <c r="B3067" s="16"/>
      <c r="C3067" s="14"/>
      <c r="F3067" s="16"/>
      <c r="G3067" s="16"/>
      <c r="H3067" s="14"/>
      <c r="K3067" s="16"/>
      <c r="L3067" s="16"/>
      <c r="M3067" s="14"/>
    </row>
    <row r="3068">
      <c r="A3068" s="16" t="str">
        <f>IFERROR(__xludf.DUMMYFUNCTION("""COMPUTED_VALUE"""),"Moussa Ide Ibrahim")</f>
        <v>Moussa Ide Ibrahim</v>
      </c>
      <c r="B3068" s="16"/>
      <c r="C3068" s="14"/>
      <c r="F3068" s="16"/>
      <c r="G3068" s="16"/>
      <c r="H3068" s="14"/>
      <c r="K3068" s="16"/>
      <c r="L3068" s="16"/>
      <c r="M3068" s="14"/>
    </row>
    <row r="3069">
      <c r="A3069" s="16" t="str">
        <f>IFERROR(__xludf.DUMMYFUNCTION("""COMPUTED_VALUE"""),"Moussa Ide Ibrahim")</f>
        <v>Moussa Ide Ibrahim</v>
      </c>
      <c r="B3069" s="16"/>
      <c r="C3069" s="14"/>
      <c r="F3069" s="16"/>
      <c r="G3069" s="16"/>
      <c r="H3069" s="14"/>
      <c r="K3069" s="16"/>
      <c r="L3069" s="16"/>
      <c r="M3069" s="14"/>
    </row>
    <row r="3070">
      <c r="A3070" s="16" t="str">
        <f>IFERROR(__xludf.DUMMYFUNCTION("""COMPUTED_VALUE"""),"Moussa Ide Ibrahim")</f>
        <v>Moussa Ide Ibrahim</v>
      </c>
      <c r="B3070" s="16"/>
      <c r="C3070" s="14"/>
      <c r="F3070" s="16"/>
      <c r="G3070" s="16"/>
      <c r="H3070" s="14"/>
      <c r="K3070" s="16"/>
      <c r="L3070" s="16"/>
      <c r="M3070" s="14"/>
    </row>
    <row r="3071">
      <c r="A3071" s="16" t="str">
        <f>IFERROR(__xludf.DUMMYFUNCTION("""COMPUTED_VALUE"""),"Moussa Ide Ibrahim")</f>
        <v>Moussa Ide Ibrahim</v>
      </c>
      <c r="B3071" s="16"/>
      <c r="C3071" s="14"/>
      <c r="F3071" s="16"/>
      <c r="G3071" s="16"/>
      <c r="H3071" s="14"/>
      <c r="K3071" s="16"/>
      <c r="L3071" s="16"/>
      <c r="M3071" s="14"/>
    </row>
    <row r="3072">
      <c r="A3072" s="16" t="str">
        <f>IFERROR(__xludf.DUMMYFUNCTION("""COMPUTED_VALUE"""),"Moussa Ide Ibrahim")</f>
        <v>Moussa Ide Ibrahim</v>
      </c>
      <c r="B3072" s="16"/>
      <c r="C3072" s="14"/>
      <c r="F3072" s="16"/>
      <c r="G3072" s="16"/>
      <c r="H3072" s="14"/>
      <c r="K3072" s="16"/>
      <c r="L3072" s="16"/>
      <c r="M3072" s="14"/>
    </row>
    <row r="3073">
      <c r="A3073" s="16" t="str">
        <f>IFERROR(__xludf.DUMMYFUNCTION("""COMPUTED_VALUE"""),"Moussa Ide Ibrahim")</f>
        <v>Moussa Ide Ibrahim</v>
      </c>
      <c r="B3073" s="16"/>
      <c r="C3073" s="14"/>
      <c r="F3073" s="16"/>
      <c r="G3073" s="16"/>
      <c r="H3073" s="14"/>
      <c r="K3073" s="16"/>
      <c r="L3073" s="16"/>
      <c r="M3073" s="14"/>
    </row>
    <row r="3074">
      <c r="A3074" s="16" t="str">
        <f>IFERROR(__xludf.DUMMYFUNCTION("""COMPUTED_VALUE"""),"Moussa Ide Ibrahim")</f>
        <v>Moussa Ide Ibrahim</v>
      </c>
      <c r="B3074" s="16"/>
      <c r="C3074" s="14"/>
      <c r="F3074" s="16"/>
      <c r="G3074" s="16"/>
      <c r="H3074" s="14"/>
      <c r="K3074" s="16"/>
      <c r="L3074" s="16"/>
      <c r="M3074" s="14"/>
    </row>
    <row r="3075">
      <c r="A3075" s="16" t="str">
        <f>IFERROR(__xludf.DUMMYFUNCTION("""COMPUTED_VALUE"""),"Kimba Issa Mamoudou")</f>
        <v>Kimba Issa Mamoudou</v>
      </c>
      <c r="B3075" s="16"/>
      <c r="C3075" s="14"/>
      <c r="F3075" s="16"/>
      <c r="G3075" s="16"/>
      <c r="H3075" s="14"/>
      <c r="K3075" s="16"/>
      <c r="L3075" s="16"/>
      <c r="M3075" s="14"/>
    </row>
    <row r="3076">
      <c r="A3076" s="16" t="str">
        <f>IFERROR(__xludf.DUMMYFUNCTION("""COMPUTED_VALUE"""),"Kimba Issa Mamoudou")</f>
        <v>Kimba Issa Mamoudou</v>
      </c>
      <c r="B3076" s="16"/>
      <c r="C3076" s="14"/>
      <c r="F3076" s="16"/>
      <c r="G3076" s="16"/>
      <c r="H3076" s="14"/>
      <c r="K3076" s="16"/>
      <c r="L3076" s="16"/>
      <c r="M3076" s="14"/>
    </row>
    <row r="3077">
      <c r="A3077" s="16" t="str">
        <f>IFERROR(__xludf.DUMMYFUNCTION("""COMPUTED_VALUE"""),"Kimba Issa Mamoudou")</f>
        <v>Kimba Issa Mamoudou</v>
      </c>
      <c r="B3077" s="16"/>
      <c r="C3077" s="14"/>
      <c r="F3077" s="16"/>
      <c r="G3077" s="16"/>
      <c r="H3077" s="14"/>
      <c r="K3077" s="16"/>
      <c r="L3077" s="16"/>
      <c r="M3077" s="14"/>
    </row>
    <row r="3078">
      <c r="A3078" s="16" t="str">
        <f>IFERROR(__xludf.DUMMYFUNCTION("""COMPUTED_VALUE"""),"Kimba Issa Mamoudou")</f>
        <v>Kimba Issa Mamoudou</v>
      </c>
      <c r="B3078" s="16"/>
      <c r="C3078" s="14"/>
      <c r="F3078" s="16"/>
      <c r="G3078" s="16"/>
      <c r="H3078" s="14"/>
      <c r="K3078" s="16"/>
      <c r="L3078" s="16"/>
      <c r="M3078" s="14"/>
    </row>
    <row r="3079">
      <c r="A3079" s="16" t="str">
        <f>IFERROR(__xludf.DUMMYFUNCTION("""COMPUTED_VALUE"""),"Kimba Issa Mamoudou")</f>
        <v>Kimba Issa Mamoudou</v>
      </c>
      <c r="B3079" s="16"/>
      <c r="C3079" s="14"/>
      <c r="F3079" s="16"/>
      <c r="G3079" s="16"/>
      <c r="H3079" s="14"/>
      <c r="K3079" s="16"/>
      <c r="L3079" s="16"/>
      <c r="M3079" s="14"/>
    </row>
    <row r="3080">
      <c r="A3080" s="16" t="str">
        <f>IFERROR(__xludf.DUMMYFUNCTION("""COMPUTED_VALUE"""),"Kimba Issa Mamoudou")</f>
        <v>Kimba Issa Mamoudou</v>
      </c>
      <c r="B3080" s="16"/>
      <c r="C3080" s="14"/>
      <c r="F3080" s="16"/>
      <c r="G3080" s="16"/>
      <c r="H3080" s="14"/>
      <c r="K3080" s="16"/>
      <c r="L3080" s="16"/>
      <c r="M3080" s="14"/>
    </row>
    <row r="3081">
      <c r="A3081" s="16" t="str">
        <f>IFERROR(__xludf.DUMMYFUNCTION("""COMPUTED_VALUE"""),"Kimba Issa Mamoudou")</f>
        <v>Kimba Issa Mamoudou</v>
      </c>
      <c r="B3081" s="16"/>
      <c r="C3081" s="14"/>
      <c r="F3081" s="16"/>
      <c r="G3081" s="16"/>
      <c r="H3081" s="14"/>
      <c r="K3081" s="16"/>
      <c r="L3081" s="16"/>
      <c r="M3081" s="14"/>
    </row>
    <row r="3082">
      <c r="A3082" s="16" t="str">
        <f>IFERROR(__xludf.DUMMYFUNCTION("""COMPUTED_VALUE"""),"Amadou Hamidou Abdoul Karim")</f>
        <v>Amadou Hamidou Abdoul Karim</v>
      </c>
      <c r="B3082" s="16"/>
      <c r="C3082" s="14"/>
      <c r="F3082" s="16"/>
      <c r="G3082" s="16"/>
      <c r="H3082" s="14"/>
      <c r="K3082" s="16"/>
      <c r="L3082" s="16"/>
      <c r="M3082" s="14"/>
    </row>
    <row r="3083">
      <c r="A3083" s="16" t="str">
        <f>IFERROR(__xludf.DUMMYFUNCTION("""COMPUTED_VALUE"""),"Amadou Hamidou Abdoul Karim")</f>
        <v>Amadou Hamidou Abdoul Karim</v>
      </c>
      <c r="B3083" s="16"/>
      <c r="C3083" s="14"/>
      <c r="F3083" s="16"/>
      <c r="G3083" s="16"/>
      <c r="H3083" s="14"/>
      <c r="K3083" s="16"/>
      <c r="L3083" s="16"/>
      <c r="M3083" s="14"/>
    </row>
    <row r="3084">
      <c r="A3084" s="16" t="str">
        <f>IFERROR(__xludf.DUMMYFUNCTION("""COMPUTED_VALUE"""),"Mohamadou Amadou")</f>
        <v>Mohamadou Amadou</v>
      </c>
      <c r="B3084" s="16"/>
      <c r="C3084" s="14"/>
      <c r="F3084" s="16"/>
      <c r="G3084" s="16"/>
      <c r="H3084" s="14"/>
      <c r="K3084" s="16"/>
      <c r="L3084" s="16"/>
      <c r="M3084" s="14"/>
    </row>
    <row r="3085">
      <c r="A3085" s="16" t="str">
        <f>IFERROR(__xludf.DUMMYFUNCTION("""COMPUTED_VALUE"""),"Rabi Boubacar Younoussa")</f>
        <v>Rabi Boubacar Younoussa</v>
      </c>
      <c r="B3085" s="16"/>
      <c r="C3085" s="14"/>
      <c r="F3085" s="16"/>
      <c r="G3085" s="16"/>
      <c r="H3085" s="14"/>
      <c r="K3085" s="16"/>
      <c r="L3085" s="16"/>
      <c r="M3085" s="14"/>
    </row>
    <row r="3086">
      <c r="A3086" s="16" t="str">
        <f>IFERROR(__xludf.DUMMYFUNCTION("""COMPUTED_VALUE"""),"Mohamadou Amadou")</f>
        <v>Mohamadou Amadou</v>
      </c>
      <c r="B3086" s="16"/>
      <c r="C3086" s="14"/>
      <c r="F3086" s="16"/>
      <c r="G3086" s="16"/>
      <c r="H3086" s="14"/>
      <c r="K3086" s="16"/>
      <c r="L3086" s="16"/>
      <c r="M3086" s="14"/>
    </row>
    <row r="3087">
      <c r="A3087" s="16" t="str">
        <f>IFERROR(__xludf.DUMMYFUNCTION("""COMPUTED_VALUE"""),"Larabou Chamsoudine")</f>
        <v>Larabou Chamsoudine</v>
      </c>
      <c r="B3087" s="16"/>
      <c r="C3087" s="14"/>
      <c r="F3087" s="16"/>
      <c r="G3087" s="16"/>
      <c r="H3087" s="14"/>
      <c r="K3087" s="16"/>
      <c r="L3087" s="16"/>
      <c r="M3087" s="14"/>
    </row>
    <row r="3088">
      <c r="A3088" s="16" t="str">
        <f>IFERROR(__xludf.DUMMYFUNCTION("""COMPUTED_VALUE"""),"Larabou Chamsoudine")</f>
        <v>Larabou Chamsoudine</v>
      </c>
      <c r="B3088" s="16"/>
      <c r="C3088" s="14"/>
      <c r="F3088" s="16"/>
      <c r="G3088" s="16"/>
      <c r="H3088" s="14"/>
      <c r="K3088" s="16"/>
      <c r="L3088" s="16"/>
      <c r="M3088" s="14"/>
    </row>
    <row r="3089">
      <c r="A3089" s="16" t="str">
        <f>IFERROR(__xludf.DUMMYFUNCTION("""COMPUTED_VALUE"""),"Kadidja Issaka Hamidou")</f>
        <v>Kadidja Issaka Hamidou</v>
      </c>
      <c r="B3089" s="16"/>
      <c r="C3089" s="14"/>
      <c r="F3089" s="16"/>
      <c r="G3089" s="16"/>
      <c r="H3089" s="14"/>
      <c r="K3089" s="16"/>
      <c r="L3089" s="16"/>
      <c r="M3089" s="14"/>
    </row>
    <row r="3090">
      <c r="A3090" s="16" t="str">
        <f>IFERROR(__xludf.DUMMYFUNCTION("""COMPUTED_VALUE"""),"Kadidja Issaka Hamidou")</f>
        <v>Kadidja Issaka Hamidou</v>
      </c>
      <c r="B3090" s="16"/>
      <c r="C3090" s="14"/>
      <c r="F3090" s="16"/>
      <c r="G3090" s="16"/>
      <c r="H3090" s="14"/>
      <c r="K3090" s="16"/>
      <c r="L3090" s="16"/>
      <c r="M3090" s="14"/>
    </row>
    <row r="3091">
      <c r="A3091" s="16" t="str">
        <f>IFERROR(__xludf.DUMMYFUNCTION("""COMPUTED_VALUE"""),"Issoufou Amadou Aichatou")</f>
        <v>Issoufou Amadou Aichatou</v>
      </c>
      <c r="B3091" s="16"/>
      <c r="C3091" s="14"/>
      <c r="F3091" s="16"/>
      <c r="G3091" s="16"/>
      <c r="H3091" s="14"/>
      <c r="K3091" s="16"/>
      <c r="L3091" s="16"/>
      <c r="M3091" s="14"/>
    </row>
    <row r="3092">
      <c r="A3092" s="16" t="str">
        <f>IFERROR(__xludf.DUMMYFUNCTION("""COMPUTED_VALUE"""),"Issoufou Amadou Aichatou")</f>
        <v>Issoufou Amadou Aichatou</v>
      </c>
      <c r="B3092" s="16"/>
      <c r="C3092" s="14"/>
      <c r="F3092" s="16"/>
      <c r="G3092" s="16"/>
      <c r="H3092" s="14"/>
      <c r="K3092" s="16"/>
      <c r="L3092" s="16"/>
      <c r="M3092" s="14"/>
    </row>
    <row r="3093">
      <c r="A3093" s="16" t="str">
        <f>IFERROR(__xludf.DUMMYFUNCTION("""COMPUTED_VALUE"""),"Issoufou Amadou Aichatou")</f>
        <v>Issoufou Amadou Aichatou</v>
      </c>
      <c r="B3093" s="16"/>
      <c r="C3093" s="14"/>
      <c r="F3093" s="16"/>
      <c r="G3093" s="16"/>
      <c r="H3093" s="14"/>
      <c r="K3093" s="16"/>
      <c r="L3093" s="16"/>
      <c r="M3093" s="14"/>
    </row>
    <row r="3094">
      <c r="A3094" s="16" t="str">
        <f>IFERROR(__xludf.DUMMYFUNCTION("""COMPUTED_VALUE"""),"Issoufou Amadou Aichatou")</f>
        <v>Issoufou Amadou Aichatou</v>
      </c>
      <c r="B3094" s="16"/>
      <c r="C3094" s="14"/>
      <c r="F3094" s="16"/>
      <c r="G3094" s="16"/>
      <c r="H3094" s="14"/>
      <c r="K3094" s="16"/>
      <c r="L3094" s="16"/>
      <c r="M3094" s="14"/>
    </row>
    <row r="3095">
      <c r="A3095" s="16" t="str">
        <f>IFERROR(__xludf.DUMMYFUNCTION("""COMPUTED_VALUE"""),"Issoufou Amadou Aichatou")</f>
        <v>Issoufou Amadou Aichatou</v>
      </c>
      <c r="B3095" s="16"/>
      <c r="C3095" s="14"/>
      <c r="F3095" s="16"/>
      <c r="G3095" s="16"/>
      <c r="H3095" s="14"/>
      <c r="K3095" s="16"/>
      <c r="L3095" s="16"/>
      <c r="M3095" s="14"/>
    </row>
    <row r="3096">
      <c r="A3096" s="16" t="str">
        <f>IFERROR(__xludf.DUMMYFUNCTION("""COMPUTED_VALUE"""),"Sani Moussa Aboubacar")</f>
        <v>Sani Moussa Aboubacar</v>
      </c>
      <c r="B3096" s="16"/>
      <c r="C3096" s="14"/>
      <c r="F3096" s="16"/>
      <c r="G3096" s="16"/>
      <c r="H3096" s="14"/>
      <c r="K3096" s="16"/>
      <c r="L3096" s="16"/>
      <c r="M3096" s="14"/>
    </row>
    <row r="3097">
      <c r="A3097" s="16" t="str">
        <f>IFERROR(__xludf.DUMMYFUNCTION("""COMPUTED_VALUE"""),"Sani Moussa Aboubacar")</f>
        <v>Sani Moussa Aboubacar</v>
      </c>
      <c r="B3097" s="16"/>
      <c r="C3097" s="14"/>
      <c r="F3097" s="16"/>
      <c r="G3097" s="16"/>
      <c r="H3097" s="14"/>
      <c r="K3097" s="16"/>
      <c r="L3097" s="16"/>
      <c r="M3097" s="14"/>
    </row>
    <row r="3098">
      <c r="A3098" s="16" t="str">
        <f>IFERROR(__xludf.DUMMYFUNCTION("""COMPUTED_VALUE"""),"Sani Moussa Aboubacar")</f>
        <v>Sani Moussa Aboubacar</v>
      </c>
      <c r="B3098" s="16"/>
      <c r="C3098" s="14"/>
      <c r="F3098" s="16"/>
      <c r="G3098" s="16"/>
      <c r="H3098" s="14"/>
      <c r="K3098" s="16"/>
      <c r="L3098" s="16"/>
      <c r="M3098" s="14"/>
    </row>
    <row r="3099">
      <c r="A3099" s="16" t="str">
        <f>IFERROR(__xludf.DUMMYFUNCTION("""COMPUTED_VALUE"""),"Sani Moussa Aboubacar")</f>
        <v>Sani Moussa Aboubacar</v>
      </c>
      <c r="B3099" s="16"/>
      <c r="C3099" s="14"/>
      <c r="F3099" s="16"/>
      <c r="G3099" s="16"/>
      <c r="H3099" s="14"/>
      <c r="K3099" s="16"/>
      <c r="L3099" s="16"/>
      <c r="M3099" s="14"/>
    </row>
    <row r="3100">
      <c r="A3100" s="16" t="str">
        <f>IFERROR(__xludf.DUMMYFUNCTION("""COMPUTED_VALUE"""),"Sani Moussa Aboubacar")</f>
        <v>Sani Moussa Aboubacar</v>
      </c>
      <c r="B3100" s="16"/>
      <c r="C3100" s="14"/>
      <c r="F3100" s="16"/>
      <c r="G3100" s="16"/>
      <c r="H3100" s="14"/>
      <c r="K3100" s="16"/>
      <c r="L3100" s="16"/>
      <c r="M3100" s="14"/>
    </row>
    <row r="3101">
      <c r="A3101" s="16" t="str">
        <f>IFERROR(__xludf.DUMMYFUNCTION("""COMPUTED_VALUE"""),"Sani Moussa Aboubacar")</f>
        <v>Sani Moussa Aboubacar</v>
      </c>
      <c r="B3101" s="16"/>
      <c r="C3101" s="14"/>
      <c r="F3101" s="16"/>
      <c r="G3101" s="16"/>
      <c r="H3101" s="14"/>
      <c r="K3101" s="16"/>
      <c r="L3101" s="16"/>
      <c r="M3101" s="14"/>
    </row>
    <row r="3102">
      <c r="A3102" s="16" t="str">
        <f>IFERROR(__xludf.DUMMYFUNCTION("""COMPUTED_VALUE"""),"Sani Moussa Aboubacar")</f>
        <v>Sani Moussa Aboubacar</v>
      </c>
      <c r="B3102" s="16"/>
      <c r="C3102" s="14"/>
      <c r="F3102" s="16"/>
      <c r="G3102" s="16"/>
      <c r="H3102" s="14"/>
      <c r="K3102" s="16"/>
      <c r="L3102" s="16"/>
      <c r="M3102" s="14"/>
    </row>
    <row r="3103">
      <c r="A3103" s="16" t="str">
        <f>IFERROR(__xludf.DUMMYFUNCTION("""COMPUTED_VALUE"""),"Sani Moussa Aboubacar")</f>
        <v>Sani Moussa Aboubacar</v>
      </c>
      <c r="B3103" s="16"/>
      <c r="C3103" s="14"/>
      <c r="F3103" s="16"/>
      <c r="G3103" s="16"/>
      <c r="H3103" s="14"/>
      <c r="K3103" s="16"/>
      <c r="L3103" s="16"/>
      <c r="M3103" s="14"/>
    </row>
    <row r="3104">
      <c r="A3104" s="16" t="str">
        <f>IFERROR(__xludf.DUMMYFUNCTION("""COMPUTED_VALUE"""),"Sani Moussa Aboubacar")</f>
        <v>Sani Moussa Aboubacar</v>
      </c>
      <c r="B3104" s="16"/>
      <c r="C3104" s="14"/>
      <c r="F3104" s="16"/>
      <c r="G3104" s="16"/>
      <c r="H3104" s="14"/>
      <c r="K3104" s="16"/>
      <c r="L3104" s="16"/>
      <c r="M3104" s="14"/>
    </row>
    <row r="3105">
      <c r="A3105" s="16" t="str">
        <f>IFERROR(__xludf.DUMMYFUNCTION("""COMPUTED_VALUE"""),"Sani Moussa Aboubacar")</f>
        <v>Sani Moussa Aboubacar</v>
      </c>
      <c r="B3105" s="16"/>
      <c r="C3105" s="14"/>
      <c r="F3105" s="16"/>
      <c r="G3105" s="16"/>
      <c r="H3105" s="14"/>
      <c r="K3105" s="16"/>
      <c r="L3105" s="16"/>
      <c r="M3105" s="14"/>
    </row>
    <row r="3106">
      <c r="A3106" s="16" t="str">
        <f>IFERROR(__xludf.DUMMYFUNCTION("""COMPUTED_VALUE"""),"Zakari Aboubacar")</f>
        <v>Zakari Aboubacar</v>
      </c>
      <c r="B3106" s="16"/>
      <c r="C3106" s="14"/>
      <c r="F3106" s="16"/>
      <c r="G3106" s="16"/>
      <c r="H3106" s="14"/>
      <c r="K3106" s="16"/>
      <c r="L3106" s="16"/>
      <c r="M3106" s="14"/>
    </row>
    <row r="3107">
      <c r="A3107" s="16" t="str">
        <f>IFERROR(__xludf.DUMMYFUNCTION("""COMPUTED_VALUE"""),"Zakari Aboubacar")</f>
        <v>Zakari Aboubacar</v>
      </c>
      <c r="B3107" s="16"/>
      <c r="C3107" s="14"/>
      <c r="F3107" s="16"/>
      <c r="G3107" s="16"/>
      <c r="H3107" s="14"/>
      <c r="K3107" s="16"/>
      <c r="L3107" s="16"/>
      <c r="M3107" s="14"/>
    </row>
    <row r="3108">
      <c r="A3108" s="16" t="str">
        <f>IFERROR(__xludf.DUMMYFUNCTION("""COMPUTED_VALUE"""),"Zakari Aboubacar")</f>
        <v>Zakari Aboubacar</v>
      </c>
      <c r="B3108" s="16"/>
      <c r="C3108" s="14"/>
      <c r="F3108" s="16"/>
      <c r="G3108" s="16"/>
      <c r="H3108" s="14"/>
      <c r="K3108" s="16"/>
      <c r="L3108" s="16"/>
      <c r="M3108" s="14"/>
    </row>
    <row r="3109">
      <c r="A3109" s="16" t="str">
        <f>IFERROR(__xludf.DUMMYFUNCTION("""COMPUTED_VALUE"""),"Zakari Aboubacar")</f>
        <v>Zakari Aboubacar</v>
      </c>
      <c r="B3109" s="16"/>
      <c r="C3109" s="14"/>
      <c r="F3109" s="16"/>
      <c r="G3109" s="16"/>
      <c r="H3109" s="14"/>
      <c r="K3109" s="16"/>
      <c r="L3109" s="16"/>
      <c r="M3109" s="14"/>
    </row>
    <row r="3110">
      <c r="A3110" s="16" t="str">
        <f>IFERROR(__xludf.DUMMYFUNCTION("""COMPUTED_VALUE"""),"Zakari Aboubacar")</f>
        <v>Zakari Aboubacar</v>
      </c>
      <c r="B3110" s="16"/>
      <c r="C3110" s="14"/>
      <c r="F3110" s="16"/>
      <c r="G3110" s="16"/>
      <c r="H3110" s="14"/>
      <c r="K3110" s="16"/>
      <c r="L3110" s="16"/>
      <c r="M3110" s="14"/>
    </row>
    <row r="3111">
      <c r="A3111" s="16" t="str">
        <f>IFERROR(__xludf.DUMMYFUNCTION("""COMPUTED_VALUE"""),"Zakari Aboubacar")</f>
        <v>Zakari Aboubacar</v>
      </c>
      <c r="B3111" s="16"/>
      <c r="C3111" s="14"/>
      <c r="F3111" s="16"/>
      <c r="G3111" s="16"/>
      <c r="H3111" s="14"/>
      <c r="K3111" s="16"/>
      <c r="L3111" s="16"/>
      <c r="M3111" s="14"/>
    </row>
    <row r="3112">
      <c r="A3112" s="16" t="str">
        <f>IFERROR(__xludf.DUMMYFUNCTION("""COMPUTED_VALUE"""),"Zakari Aboubacar")</f>
        <v>Zakari Aboubacar</v>
      </c>
      <c r="B3112" s="16"/>
      <c r="C3112" s="14"/>
      <c r="F3112" s="16"/>
      <c r="G3112" s="16"/>
      <c r="H3112" s="14"/>
      <c r="K3112" s="16"/>
      <c r="L3112" s="16"/>
      <c r="M3112" s="14"/>
    </row>
    <row r="3113">
      <c r="A3113" s="16" t="str">
        <f>IFERROR(__xludf.DUMMYFUNCTION("""COMPUTED_VALUE"""),"Zakari Aboubacar")</f>
        <v>Zakari Aboubacar</v>
      </c>
      <c r="B3113" s="16"/>
      <c r="C3113" s="14"/>
      <c r="F3113" s="16"/>
      <c r="G3113" s="16"/>
      <c r="H3113" s="14"/>
      <c r="K3113" s="16"/>
      <c r="L3113" s="16"/>
      <c r="M3113" s="14"/>
    </row>
    <row r="3114">
      <c r="A3114" s="16" t="str">
        <f>IFERROR(__xludf.DUMMYFUNCTION("""COMPUTED_VALUE"""),"Zakari Aboubacar")</f>
        <v>Zakari Aboubacar</v>
      </c>
      <c r="B3114" s="16"/>
      <c r="C3114" s="14"/>
      <c r="F3114" s="16"/>
      <c r="G3114" s="16"/>
      <c r="H3114" s="14"/>
      <c r="K3114" s="16"/>
      <c r="L3114" s="16"/>
      <c r="M3114" s="14"/>
    </row>
    <row r="3115">
      <c r="A3115" s="16" t="str">
        <f>IFERROR(__xludf.DUMMYFUNCTION("""COMPUTED_VALUE"""),"Zakari Aboubacar")</f>
        <v>Zakari Aboubacar</v>
      </c>
      <c r="B3115" s="16"/>
      <c r="C3115" s="14"/>
      <c r="F3115" s="16"/>
      <c r="G3115" s="16"/>
      <c r="H3115" s="14"/>
      <c r="K3115" s="16"/>
      <c r="L3115" s="16"/>
      <c r="M3115" s="14"/>
    </row>
    <row r="3116">
      <c r="A3116" s="16" t="str">
        <f>IFERROR(__xludf.DUMMYFUNCTION("""COMPUTED_VALUE"""),"Zakari Aboubacar")</f>
        <v>Zakari Aboubacar</v>
      </c>
      <c r="B3116" s="16"/>
      <c r="C3116" s="14"/>
      <c r="F3116" s="16"/>
      <c r="G3116" s="16"/>
      <c r="H3116" s="14"/>
      <c r="K3116" s="16"/>
      <c r="L3116" s="16"/>
      <c r="M3116" s="14"/>
    </row>
    <row r="3117">
      <c r="A3117" s="16" t="str">
        <f>IFERROR(__xludf.DUMMYFUNCTION("""COMPUTED_VALUE"""),"Achirou kane Abdoul Nasser")</f>
        <v>Achirou kane Abdoul Nasser</v>
      </c>
      <c r="B3117" s="16"/>
      <c r="C3117" s="14"/>
      <c r="F3117" s="16"/>
      <c r="G3117" s="16"/>
      <c r="H3117" s="14"/>
      <c r="K3117" s="16"/>
      <c r="L3117" s="16"/>
      <c r="M3117" s="14"/>
    </row>
    <row r="3118">
      <c r="A3118" s="16" t="str">
        <f>IFERROR(__xludf.DUMMYFUNCTION("""COMPUTED_VALUE"""),"Achirou kane Abdoul Nasser")</f>
        <v>Achirou kane Abdoul Nasser</v>
      </c>
      <c r="B3118" s="16"/>
      <c r="C3118" s="14"/>
      <c r="F3118" s="16"/>
      <c r="G3118" s="16"/>
      <c r="H3118" s="14"/>
      <c r="K3118" s="16"/>
      <c r="L3118" s="16"/>
      <c r="M3118" s="14"/>
    </row>
    <row r="3119">
      <c r="A3119" s="16" t="str">
        <f>IFERROR(__xludf.DUMMYFUNCTION("""COMPUTED_VALUE"""),"Achirou kane Abdoul Nasser")</f>
        <v>Achirou kane Abdoul Nasser</v>
      </c>
      <c r="B3119" s="16"/>
      <c r="C3119" s="14"/>
      <c r="F3119" s="16"/>
      <c r="G3119" s="16"/>
      <c r="H3119" s="14"/>
      <c r="K3119" s="16"/>
      <c r="L3119" s="16"/>
      <c r="M3119" s="14"/>
    </row>
    <row r="3120">
      <c r="A3120" s="16" t="str">
        <f>IFERROR(__xludf.DUMMYFUNCTION("""COMPUTED_VALUE"""),"Achirou kane Abdoul Nasser")</f>
        <v>Achirou kane Abdoul Nasser</v>
      </c>
      <c r="B3120" s="16"/>
      <c r="C3120" s="14"/>
      <c r="F3120" s="16"/>
      <c r="G3120" s="16"/>
      <c r="H3120" s="14"/>
      <c r="K3120" s="16"/>
      <c r="L3120" s="16"/>
      <c r="M3120" s="14"/>
    </row>
    <row r="3121">
      <c r="A3121" s="16" t="str">
        <f>IFERROR(__xludf.DUMMYFUNCTION("""COMPUTED_VALUE"""),"Achirou kane Abdoul Nasser")</f>
        <v>Achirou kane Abdoul Nasser</v>
      </c>
      <c r="B3121" s="16"/>
      <c r="C3121" s="14"/>
      <c r="F3121" s="16"/>
      <c r="G3121" s="16"/>
      <c r="H3121" s="14"/>
      <c r="K3121" s="16"/>
      <c r="L3121" s="16"/>
      <c r="M3121" s="14"/>
    </row>
    <row r="3122">
      <c r="A3122" s="16" t="str">
        <f>IFERROR(__xludf.DUMMYFUNCTION("""COMPUTED_VALUE"""),"Achirou kane Abdoul Nasser")</f>
        <v>Achirou kane Abdoul Nasser</v>
      </c>
      <c r="B3122" s="16"/>
      <c r="C3122" s="14"/>
      <c r="F3122" s="16"/>
      <c r="G3122" s="16"/>
      <c r="H3122" s="14"/>
      <c r="K3122" s="16"/>
      <c r="L3122" s="16"/>
      <c r="M3122" s="14"/>
    </row>
    <row r="3123">
      <c r="A3123" s="16" t="str">
        <f>IFERROR(__xludf.DUMMYFUNCTION("""COMPUTED_VALUE"""),"Achirou kane Abdoul Nasser")</f>
        <v>Achirou kane Abdoul Nasser</v>
      </c>
      <c r="B3123" s="16"/>
      <c r="C3123" s="14"/>
      <c r="F3123" s="16"/>
      <c r="G3123" s="16"/>
      <c r="H3123" s="14"/>
      <c r="K3123" s="16"/>
      <c r="L3123" s="16"/>
      <c r="M3123" s="14"/>
    </row>
    <row r="3124">
      <c r="A3124" s="16" t="str">
        <f>IFERROR(__xludf.DUMMYFUNCTION("""COMPUTED_VALUE"""),"Achirou kane Abdoul Nasser")</f>
        <v>Achirou kane Abdoul Nasser</v>
      </c>
      <c r="B3124" s="16"/>
      <c r="C3124" s="14"/>
      <c r="F3124" s="16"/>
      <c r="G3124" s="16"/>
      <c r="H3124" s="14"/>
      <c r="K3124" s="16"/>
      <c r="L3124" s="16"/>
      <c r="M3124" s="14"/>
    </row>
    <row r="3125">
      <c r="A3125" s="16" t="str">
        <f>IFERROR(__xludf.DUMMYFUNCTION("""COMPUTED_VALUE"""),"Rakia moussa")</f>
        <v>Rakia moussa</v>
      </c>
      <c r="B3125" s="16"/>
      <c r="C3125" s="14"/>
      <c r="F3125" s="16"/>
      <c r="G3125" s="16"/>
      <c r="H3125" s="14"/>
      <c r="K3125" s="16"/>
      <c r="L3125" s="16"/>
      <c r="M3125" s="14"/>
    </row>
    <row r="3126">
      <c r="A3126" s="16" t="str">
        <f>IFERROR(__xludf.DUMMYFUNCTION("""COMPUTED_VALUE"""),"Ouhoumoudou Djannou Ibrahim")</f>
        <v>Ouhoumoudou Djannou Ibrahim</v>
      </c>
      <c r="B3126" s="16"/>
      <c r="C3126" s="14"/>
      <c r="F3126" s="16"/>
      <c r="G3126" s="16"/>
      <c r="H3126" s="14"/>
      <c r="K3126" s="16"/>
      <c r="L3126" s="16"/>
      <c r="M3126" s="14"/>
    </row>
    <row r="3127">
      <c r="A3127" s="16" t="str">
        <f>IFERROR(__xludf.DUMMYFUNCTION("""COMPUTED_VALUE"""),"Ouhoumoudou Djannou Ibrahim")</f>
        <v>Ouhoumoudou Djannou Ibrahim</v>
      </c>
      <c r="B3127" s="16"/>
      <c r="C3127" s="14"/>
      <c r="F3127" s="16"/>
      <c r="G3127" s="16"/>
      <c r="H3127" s="14"/>
      <c r="K3127" s="16"/>
      <c r="L3127" s="16"/>
      <c r="M3127" s="14"/>
    </row>
    <row r="3128">
      <c r="A3128" s="16" t="str">
        <f>IFERROR(__xludf.DUMMYFUNCTION("""COMPUTED_VALUE"""),"Ouhoumoudou Djannou Ibrahim")</f>
        <v>Ouhoumoudou Djannou Ibrahim</v>
      </c>
      <c r="B3128" s="16"/>
      <c r="C3128" s="14"/>
      <c r="F3128" s="16"/>
      <c r="G3128" s="16"/>
      <c r="H3128" s="14"/>
      <c r="K3128" s="16"/>
      <c r="L3128" s="16"/>
      <c r="M3128" s="14"/>
    </row>
    <row r="3129">
      <c r="A3129" s="16" t="str">
        <f>IFERROR(__xludf.DUMMYFUNCTION("""COMPUTED_VALUE"""),"Ouhoumoudou Djannou Ibrahim")</f>
        <v>Ouhoumoudou Djannou Ibrahim</v>
      </c>
      <c r="B3129" s="16"/>
      <c r="C3129" s="14"/>
      <c r="F3129" s="16"/>
      <c r="G3129" s="16"/>
      <c r="H3129" s="14"/>
      <c r="K3129" s="16"/>
      <c r="L3129" s="16"/>
      <c r="M3129" s="14"/>
    </row>
    <row r="3130">
      <c r="A3130" s="16" t="str">
        <f>IFERROR(__xludf.DUMMYFUNCTION("""COMPUTED_VALUE"""),"Ouhoumoudou Djannou Ibrahim")</f>
        <v>Ouhoumoudou Djannou Ibrahim</v>
      </c>
      <c r="B3130" s="16"/>
      <c r="C3130" s="14"/>
      <c r="F3130" s="16"/>
      <c r="G3130" s="16"/>
      <c r="H3130" s="14"/>
      <c r="K3130" s="16"/>
      <c r="L3130" s="16"/>
      <c r="M3130" s="14"/>
    </row>
    <row r="3131">
      <c r="A3131" s="16" t="str">
        <f>IFERROR(__xludf.DUMMYFUNCTION("""COMPUTED_VALUE"""),"Ouhoumoudou Djannou Ibrahim")</f>
        <v>Ouhoumoudou Djannou Ibrahim</v>
      </c>
      <c r="B3131" s="16"/>
      <c r="C3131" s="14"/>
      <c r="F3131" s="16"/>
      <c r="G3131" s="16"/>
      <c r="H3131" s="14"/>
      <c r="K3131" s="16"/>
      <c r="L3131" s="16"/>
      <c r="M3131" s="14"/>
    </row>
    <row r="3132">
      <c r="A3132" s="16" t="str">
        <f>IFERROR(__xludf.DUMMYFUNCTION("""COMPUTED_VALUE"""),"Ouhoumoudou Djannou Ibrahim")</f>
        <v>Ouhoumoudou Djannou Ibrahim</v>
      </c>
      <c r="B3132" s="16"/>
      <c r="C3132" s="14"/>
      <c r="F3132" s="16"/>
      <c r="G3132" s="16"/>
      <c r="H3132" s="14"/>
      <c r="K3132" s="16"/>
      <c r="L3132" s="16"/>
      <c r="M3132" s="14"/>
    </row>
    <row r="3133">
      <c r="A3133" s="16" t="str">
        <f>IFERROR(__xludf.DUMMYFUNCTION("""COMPUTED_VALUE"""),"Hachimou Rabiou Mamoudou")</f>
        <v>Hachimou Rabiou Mamoudou</v>
      </c>
      <c r="B3133" s="16"/>
      <c r="C3133" s="14"/>
      <c r="F3133" s="16"/>
      <c r="G3133" s="16"/>
      <c r="H3133" s="14"/>
      <c r="K3133" s="16"/>
      <c r="L3133" s="16"/>
      <c r="M3133" s="14"/>
    </row>
    <row r="3134">
      <c r="A3134" s="16" t="str">
        <f>IFERROR(__xludf.DUMMYFUNCTION("""COMPUTED_VALUE"""),"Hachimou Rabiou Mamoudou")</f>
        <v>Hachimou Rabiou Mamoudou</v>
      </c>
      <c r="B3134" s="16"/>
      <c r="C3134" s="14"/>
      <c r="F3134" s="16"/>
      <c r="G3134" s="16"/>
      <c r="H3134" s="14"/>
      <c r="K3134" s="16"/>
      <c r="L3134" s="16"/>
      <c r="M3134" s="14"/>
    </row>
    <row r="3135">
      <c r="A3135" s="16" t="str">
        <f>IFERROR(__xludf.DUMMYFUNCTION("""COMPUTED_VALUE"""),"Hachimou Rabiou Mamoudou")</f>
        <v>Hachimou Rabiou Mamoudou</v>
      </c>
      <c r="B3135" s="16"/>
      <c r="C3135" s="14"/>
      <c r="F3135" s="16"/>
      <c r="G3135" s="16"/>
      <c r="H3135" s="14"/>
      <c r="K3135" s="16"/>
      <c r="L3135" s="16"/>
      <c r="M3135" s="14"/>
    </row>
    <row r="3136">
      <c r="A3136" s="16" t="str">
        <f>IFERROR(__xludf.DUMMYFUNCTION("""COMPUTED_VALUE"""),"Hachimou Rabiou Mamoudou")</f>
        <v>Hachimou Rabiou Mamoudou</v>
      </c>
      <c r="B3136" s="16"/>
      <c r="C3136" s="14"/>
      <c r="F3136" s="16"/>
      <c r="G3136" s="16"/>
      <c r="H3136" s="14"/>
      <c r="K3136" s="16"/>
      <c r="L3136" s="16"/>
      <c r="M3136" s="14"/>
    </row>
    <row r="3137">
      <c r="A3137" s="16" t="str">
        <f>IFERROR(__xludf.DUMMYFUNCTION("""COMPUTED_VALUE"""),"Hachimou Rabiou Mamoudou")</f>
        <v>Hachimou Rabiou Mamoudou</v>
      </c>
      <c r="B3137" s="16"/>
      <c r="C3137" s="14"/>
      <c r="F3137" s="16"/>
      <c r="G3137" s="16"/>
      <c r="H3137" s="14"/>
      <c r="K3137" s="16"/>
      <c r="L3137" s="16"/>
      <c r="M3137" s="14"/>
    </row>
    <row r="3138">
      <c r="A3138" s="16" t="str">
        <f>IFERROR(__xludf.DUMMYFUNCTION("""COMPUTED_VALUE"""),"Hachimou Rabiou Mamoudou")</f>
        <v>Hachimou Rabiou Mamoudou</v>
      </c>
      <c r="B3138" s="16"/>
      <c r="C3138" s="14"/>
      <c r="F3138" s="16"/>
      <c r="G3138" s="16"/>
      <c r="H3138" s="14"/>
      <c r="K3138" s="16"/>
      <c r="L3138" s="16"/>
      <c r="M3138" s="14"/>
    </row>
    <row r="3139">
      <c r="A3139" s="16" t="str">
        <f>IFERROR(__xludf.DUMMYFUNCTION("""COMPUTED_VALUE"""),"Hachimou Rabiou Mamoudou")</f>
        <v>Hachimou Rabiou Mamoudou</v>
      </c>
      <c r="B3139" s="16"/>
      <c r="C3139" s="14"/>
      <c r="F3139" s="16"/>
      <c r="G3139" s="16"/>
      <c r="H3139" s="14"/>
      <c r="K3139" s="16"/>
      <c r="L3139" s="16"/>
      <c r="M3139" s="14"/>
    </row>
    <row r="3140">
      <c r="A3140" s="16" t="str">
        <f>IFERROR(__xludf.DUMMYFUNCTION("""COMPUTED_VALUE"""),"Achirou kane Abdoul Nasser")</f>
        <v>Achirou kane Abdoul Nasser</v>
      </c>
      <c r="B3140" s="16"/>
      <c r="C3140" s="14"/>
      <c r="F3140" s="16"/>
      <c r="G3140" s="16"/>
      <c r="H3140" s="14"/>
      <c r="K3140" s="16"/>
      <c r="L3140" s="16"/>
      <c r="M3140" s="14"/>
    </row>
    <row r="3141">
      <c r="A3141" s="16" t="str">
        <f>IFERROR(__xludf.DUMMYFUNCTION("""COMPUTED_VALUE"""),"Rakia moussa")</f>
        <v>Rakia moussa</v>
      </c>
      <c r="B3141" s="16"/>
      <c r="C3141" s="14"/>
      <c r="F3141" s="16"/>
      <c r="G3141" s="16"/>
      <c r="H3141" s="14"/>
      <c r="K3141" s="16"/>
      <c r="L3141" s="16"/>
      <c r="M3141" s="14"/>
    </row>
    <row r="3142">
      <c r="A3142" s="16" t="str">
        <f>IFERROR(__xludf.DUMMYFUNCTION("""COMPUTED_VALUE"""),"Rakia moussa")</f>
        <v>Rakia moussa</v>
      </c>
      <c r="B3142" s="16"/>
      <c r="C3142" s="14"/>
      <c r="F3142" s="16"/>
      <c r="G3142" s="16"/>
      <c r="H3142" s="14"/>
      <c r="K3142" s="16"/>
      <c r="L3142" s="16"/>
      <c r="M3142" s="14"/>
    </row>
    <row r="3143">
      <c r="A3143" s="16" t="str">
        <f>IFERROR(__xludf.DUMMYFUNCTION("""COMPUTED_VALUE"""),"Rakia moussa")</f>
        <v>Rakia moussa</v>
      </c>
      <c r="B3143" s="16"/>
      <c r="C3143" s="14"/>
      <c r="F3143" s="16"/>
      <c r="G3143" s="16"/>
      <c r="H3143" s="14"/>
      <c r="K3143" s="16"/>
      <c r="L3143" s="16"/>
      <c r="M3143" s="14"/>
    </row>
    <row r="3144">
      <c r="A3144" s="16" t="str">
        <f>IFERROR(__xludf.DUMMYFUNCTION("""COMPUTED_VALUE"""),"Achirou kane Abdoul Nasser")</f>
        <v>Achirou kane Abdoul Nasser</v>
      </c>
      <c r="B3144" s="16"/>
      <c r="C3144" s="14"/>
      <c r="F3144" s="16"/>
      <c r="G3144" s="16"/>
      <c r="H3144" s="14"/>
      <c r="K3144" s="16"/>
      <c r="L3144" s="16"/>
      <c r="M3144" s="14"/>
    </row>
    <row r="3145">
      <c r="A3145" s="16" t="str">
        <f>IFERROR(__xludf.DUMMYFUNCTION("""COMPUTED_VALUE"""),"Achirou kane Abdoul Nasser")</f>
        <v>Achirou kane Abdoul Nasser</v>
      </c>
      <c r="B3145" s="16"/>
      <c r="C3145" s="14"/>
      <c r="F3145" s="16"/>
      <c r="G3145" s="16"/>
      <c r="H3145" s="14"/>
      <c r="K3145" s="16"/>
      <c r="L3145" s="16"/>
      <c r="M3145" s="14"/>
    </row>
    <row r="3146">
      <c r="A3146" s="16" t="str">
        <f>IFERROR(__xludf.DUMMYFUNCTION("""COMPUTED_VALUE"""),"Achirou kane Abdoul Nasser")</f>
        <v>Achirou kane Abdoul Nasser</v>
      </c>
      <c r="B3146" s="16"/>
      <c r="C3146" s="14"/>
      <c r="F3146" s="16"/>
      <c r="G3146" s="16"/>
      <c r="H3146" s="14"/>
      <c r="K3146" s="16"/>
      <c r="L3146" s="16"/>
      <c r="M3146" s="14"/>
    </row>
    <row r="3147">
      <c r="A3147" s="16" t="str">
        <f>IFERROR(__xludf.DUMMYFUNCTION("""COMPUTED_VALUE"""),"Rakia moussa")</f>
        <v>Rakia moussa</v>
      </c>
      <c r="B3147" s="16"/>
      <c r="C3147" s="14"/>
      <c r="F3147" s="16"/>
      <c r="G3147" s="16"/>
      <c r="H3147" s="14"/>
      <c r="K3147" s="16"/>
      <c r="L3147" s="16"/>
      <c r="M3147" s="14"/>
    </row>
    <row r="3148">
      <c r="A3148" s="16" t="str">
        <f>IFERROR(__xludf.DUMMYFUNCTION("""COMPUTED_VALUE"""),"Rakia moussa")</f>
        <v>Rakia moussa</v>
      </c>
      <c r="B3148" s="16"/>
      <c r="C3148" s="14"/>
      <c r="F3148" s="16"/>
      <c r="G3148" s="16"/>
      <c r="H3148" s="14"/>
      <c r="K3148" s="16"/>
      <c r="L3148" s="16"/>
      <c r="M3148" s="14"/>
    </row>
    <row r="3149">
      <c r="A3149" s="16" t="str">
        <f>IFERROR(__xludf.DUMMYFUNCTION("""COMPUTED_VALUE"""),"Rakia moussa")</f>
        <v>Rakia moussa</v>
      </c>
      <c r="B3149" s="16"/>
      <c r="C3149" s="14"/>
      <c r="F3149" s="16"/>
      <c r="G3149" s="16"/>
      <c r="H3149" s="14"/>
      <c r="K3149" s="16"/>
      <c r="L3149" s="16"/>
      <c r="M3149" s="14"/>
    </row>
    <row r="3150">
      <c r="A3150" s="16" t="str">
        <f>IFERROR(__xludf.DUMMYFUNCTION("""COMPUTED_VALUE"""),"Zakari Aboubacar")</f>
        <v>Zakari Aboubacar</v>
      </c>
      <c r="B3150" s="16"/>
      <c r="C3150" s="14"/>
      <c r="F3150" s="16"/>
      <c r="G3150" s="16"/>
      <c r="H3150" s="14"/>
      <c r="K3150" s="16"/>
      <c r="L3150" s="16"/>
      <c r="M3150" s="14"/>
    </row>
    <row r="3151">
      <c r="A3151" s="16" t="str">
        <f>IFERROR(__xludf.DUMMYFUNCTION("""COMPUTED_VALUE"""),"Amadou Tidjani Ousmane")</f>
        <v>Amadou Tidjani Ousmane</v>
      </c>
      <c r="B3151" s="16"/>
      <c r="C3151" s="14"/>
      <c r="F3151" s="16"/>
      <c r="G3151" s="16"/>
      <c r="H3151" s="14"/>
      <c r="K3151" s="16"/>
      <c r="L3151" s="16"/>
      <c r="M3151" s="14"/>
    </row>
    <row r="3152">
      <c r="A3152" s="16" t="str">
        <f>IFERROR(__xludf.DUMMYFUNCTION("""COMPUTED_VALUE"""),"Zakari Aboubacar")</f>
        <v>Zakari Aboubacar</v>
      </c>
      <c r="B3152" s="16"/>
      <c r="C3152" s="14"/>
      <c r="F3152" s="16"/>
      <c r="G3152" s="16"/>
      <c r="H3152" s="14"/>
      <c r="K3152" s="16"/>
      <c r="L3152" s="16"/>
      <c r="M3152" s="14"/>
    </row>
    <row r="3153">
      <c r="A3153" s="16" t="str">
        <f>IFERROR(__xludf.DUMMYFUNCTION("""COMPUTED_VALUE"""),"Maman Zayanou Harouna")</f>
        <v>Maman Zayanou Harouna</v>
      </c>
      <c r="B3153" s="16"/>
      <c r="C3153" s="14"/>
      <c r="F3153" s="16"/>
      <c r="G3153" s="16"/>
      <c r="H3153" s="14"/>
      <c r="K3153" s="16"/>
      <c r="L3153" s="16"/>
      <c r="M3153" s="14"/>
    </row>
    <row r="3154">
      <c r="A3154" s="16" t="str">
        <f>IFERROR(__xludf.DUMMYFUNCTION("""COMPUTED_VALUE"""),"Maman Zayanou Harouna")</f>
        <v>Maman Zayanou Harouna</v>
      </c>
      <c r="B3154" s="16"/>
      <c r="C3154" s="14"/>
      <c r="F3154" s="16"/>
      <c r="G3154" s="16"/>
      <c r="H3154" s="14"/>
      <c r="K3154" s="16"/>
      <c r="L3154" s="16"/>
      <c r="M3154" s="14"/>
    </row>
    <row r="3155">
      <c r="A3155" s="16" t="str">
        <f>IFERROR(__xludf.DUMMYFUNCTION("""COMPUTED_VALUE"""),"Maman Zayanou Harouna")</f>
        <v>Maman Zayanou Harouna</v>
      </c>
      <c r="B3155" s="16"/>
      <c r="C3155" s="14"/>
      <c r="F3155" s="16"/>
      <c r="G3155" s="16"/>
      <c r="H3155" s="14"/>
      <c r="K3155" s="16"/>
      <c r="L3155" s="16"/>
      <c r="M3155" s="14"/>
    </row>
    <row r="3156">
      <c r="A3156" s="16" t="str">
        <f>IFERROR(__xludf.DUMMYFUNCTION("""COMPUTED_VALUE"""),"Maman Zayanou Harouna")</f>
        <v>Maman Zayanou Harouna</v>
      </c>
      <c r="B3156" s="16"/>
      <c r="C3156" s="14"/>
      <c r="F3156" s="16"/>
      <c r="G3156" s="16"/>
      <c r="H3156" s="14"/>
      <c r="K3156" s="16"/>
      <c r="L3156" s="16"/>
      <c r="M3156" s="14"/>
    </row>
    <row r="3157">
      <c r="A3157" s="16" t="str">
        <f>IFERROR(__xludf.DUMMYFUNCTION("""COMPUTED_VALUE"""),"Maman Zayanou Harouna")</f>
        <v>Maman Zayanou Harouna</v>
      </c>
      <c r="B3157" s="16"/>
      <c r="C3157" s="14"/>
      <c r="F3157" s="16"/>
      <c r="G3157" s="16"/>
      <c r="H3157" s="14"/>
      <c r="K3157" s="16"/>
      <c r="L3157" s="16"/>
      <c r="M3157" s="14"/>
    </row>
    <row r="3158">
      <c r="A3158" s="16" t="str">
        <f>IFERROR(__xludf.DUMMYFUNCTION("""COMPUTED_VALUE"""),"Maman Zayanou Harouna")</f>
        <v>Maman Zayanou Harouna</v>
      </c>
      <c r="B3158" s="16"/>
      <c r="C3158" s="14"/>
      <c r="F3158" s="16"/>
      <c r="G3158" s="16"/>
      <c r="H3158" s="14"/>
      <c r="K3158" s="16"/>
      <c r="L3158" s="16"/>
      <c r="M3158" s="14"/>
    </row>
    <row r="3159">
      <c r="A3159" s="16" t="str">
        <f>IFERROR(__xludf.DUMMYFUNCTION("""COMPUTED_VALUE"""),"Maman Zayanou Harouna")</f>
        <v>Maman Zayanou Harouna</v>
      </c>
      <c r="B3159" s="16"/>
      <c r="C3159" s="14"/>
      <c r="F3159" s="16"/>
      <c r="G3159" s="16"/>
      <c r="H3159" s="14"/>
      <c r="K3159" s="16"/>
      <c r="L3159" s="16"/>
      <c r="M3159" s="14"/>
    </row>
    <row r="3160">
      <c r="A3160" s="16" t="str">
        <f>IFERROR(__xludf.DUMMYFUNCTION("""COMPUTED_VALUE"""),"Maman Zayanou Harouna")</f>
        <v>Maman Zayanou Harouna</v>
      </c>
      <c r="B3160" s="16"/>
      <c r="C3160" s="14"/>
      <c r="F3160" s="16"/>
      <c r="G3160" s="16"/>
      <c r="H3160" s="14"/>
      <c r="K3160" s="16"/>
      <c r="L3160" s="16"/>
      <c r="M3160" s="14"/>
    </row>
    <row r="3161">
      <c r="A3161" s="16" t="str">
        <f>IFERROR(__xludf.DUMMYFUNCTION("""COMPUTED_VALUE"""),"Maman Zayanou Harouna")</f>
        <v>Maman Zayanou Harouna</v>
      </c>
      <c r="B3161" s="16"/>
      <c r="C3161" s="14"/>
      <c r="F3161" s="16"/>
      <c r="G3161" s="16"/>
      <c r="H3161" s="14"/>
      <c r="K3161" s="16"/>
      <c r="L3161" s="16"/>
      <c r="M3161" s="14"/>
    </row>
    <row r="3162">
      <c r="A3162" s="16" t="str">
        <f>IFERROR(__xludf.DUMMYFUNCTION("""COMPUTED_VALUE"""),"Maman Zayanou Harouna")</f>
        <v>Maman Zayanou Harouna</v>
      </c>
      <c r="B3162" s="16"/>
      <c r="C3162" s="14"/>
      <c r="F3162" s="16"/>
      <c r="G3162" s="16"/>
      <c r="H3162" s="14"/>
      <c r="K3162" s="16"/>
      <c r="L3162" s="16"/>
      <c r="M3162" s="14"/>
    </row>
    <row r="3163">
      <c r="A3163" s="16" t="str">
        <f>IFERROR(__xludf.DUMMYFUNCTION("""COMPUTED_VALUE"""),"Maman Zayanou Harouna")</f>
        <v>Maman Zayanou Harouna</v>
      </c>
      <c r="B3163" s="16"/>
      <c r="C3163" s="14"/>
      <c r="F3163" s="16"/>
      <c r="G3163" s="16"/>
      <c r="H3163" s="14"/>
      <c r="K3163" s="16"/>
      <c r="L3163" s="16"/>
      <c r="M3163" s="14"/>
    </row>
    <row r="3164">
      <c r="A3164" s="16" t="str">
        <f>IFERROR(__xludf.DUMMYFUNCTION("""COMPUTED_VALUE"""),"Maman Zayanou Harouna")</f>
        <v>Maman Zayanou Harouna</v>
      </c>
      <c r="B3164" s="16"/>
      <c r="C3164" s="14"/>
      <c r="F3164" s="16"/>
      <c r="G3164" s="16"/>
      <c r="H3164" s="14"/>
      <c r="K3164" s="16"/>
      <c r="L3164" s="16"/>
      <c r="M3164" s="14"/>
    </row>
    <row r="3165">
      <c r="A3165" s="16" t="str">
        <f>IFERROR(__xludf.DUMMYFUNCTION("""COMPUTED_VALUE"""),"Maman Zayanou Harouna")</f>
        <v>Maman Zayanou Harouna</v>
      </c>
      <c r="B3165" s="16"/>
      <c r="C3165" s="14"/>
      <c r="F3165" s="16"/>
      <c r="G3165" s="16"/>
      <c r="H3165" s="14"/>
      <c r="K3165" s="16"/>
      <c r="L3165" s="16"/>
      <c r="M3165" s="14"/>
    </row>
    <row r="3166">
      <c r="A3166" s="16" t="str">
        <f>IFERROR(__xludf.DUMMYFUNCTION("""COMPUTED_VALUE"""),"Maman Zayanou Harouna")</f>
        <v>Maman Zayanou Harouna</v>
      </c>
      <c r="B3166" s="16"/>
      <c r="C3166" s="14"/>
      <c r="F3166" s="16"/>
      <c r="G3166" s="16"/>
      <c r="H3166" s="14"/>
      <c r="K3166" s="16"/>
      <c r="L3166" s="16"/>
      <c r="M3166" s="14"/>
    </row>
    <row r="3167">
      <c r="A3167" s="16" t="str">
        <f>IFERROR(__xludf.DUMMYFUNCTION("""COMPUTED_VALUE"""),"Maman Zayanou Harouna")</f>
        <v>Maman Zayanou Harouna</v>
      </c>
      <c r="B3167" s="16"/>
      <c r="C3167" s="14"/>
      <c r="F3167" s="16"/>
      <c r="G3167" s="16"/>
      <c r="H3167" s="14"/>
      <c r="K3167" s="16"/>
      <c r="L3167" s="16"/>
      <c r="M3167" s="14"/>
    </row>
    <row r="3168">
      <c r="A3168" s="16" t="str">
        <f>IFERROR(__xludf.DUMMYFUNCTION("""COMPUTED_VALUE"""),"Maman Zayanou Harouna")</f>
        <v>Maman Zayanou Harouna</v>
      </c>
      <c r="B3168" s="16"/>
      <c r="C3168" s="14"/>
      <c r="F3168" s="16"/>
      <c r="G3168" s="16"/>
      <c r="H3168" s="14"/>
      <c r="K3168" s="16"/>
      <c r="L3168" s="16"/>
      <c r="M3168" s="14"/>
    </row>
    <row r="3169">
      <c r="A3169" s="16" t="str">
        <f>IFERROR(__xludf.DUMMYFUNCTION("""COMPUTED_VALUE"""),"Maman Zayanou Harouna")</f>
        <v>Maman Zayanou Harouna</v>
      </c>
      <c r="B3169" s="16"/>
      <c r="C3169" s="14"/>
      <c r="F3169" s="16"/>
      <c r="G3169" s="16"/>
      <c r="H3169" s="14"/>
      <c r="K3169" s="16"/>
      <c r="L3169" s="16"/>
      <c r="M3169" s="14"/>
    </row>
    <row r="3170">
      <c r="A3170" s="16" t="str">
        <f>IFERROR(__xludf.DUMMYFUNCTION("""COMPUTED_VALUE"""),"Kailou Hamidou Rainatou")</f>
        <v>Kailou Hamidou Rainatou</v>
      </c>
      <c r="B3170" s="16"/>
      <c r="C3170" s="14"/>
      <c r="F3170" s="16"/>
      <c r="G3170" s="16"/>
      <c r="H3170" s="14"/>
      <c r="K3170" s="16"/>
      <c r="L3170" s="16"/>
      <c r="M3170" s="14"/>
    </row>
    <row r="3171">
      <c r="A3171" s="16" t="str">
        <f>IFERROR(__xludf.DUMMYFUNCTION("""COMPUTED_VALUE"""),"Kailou Hamidou Rainatou")</f>
        <v>Kailou Hamidou Rainatou</v>
      </c>
      <c r="B3171" s="16"/>
      <c r="C3171" s="14"/>
      <c r="F3171" s="16"/>
      <c r="G3171" s="16"/>
      <c r="H3171" s="14"/>
      <c r="K3171" s="16"/>
      <c r="L3171" s="16"/>
      <c r="M3171" s="14"/>
    </row>
    <row r="3172">
      <c r="A3172" s="16" t="str">
        <f>IFERROR(__xludf.DUMMYFUNCTION("""COMPUTED_VALUE"""),"Kailou Hamidou Rainatou")</f>
        <v>Kailou Hamidou Rainatou</v>
      </c>
      <c r="B3172" s="16"/>
      <c r="C3172" s="14"/>
      <c r="F3172" s="16"/>
      <c r="G3172" s="16"/>
      <c r="H3172" s="14"/>
      <c r="K3172" s="16"/>
      <c r="L3172" s="16"/>
      <c r="M3172" s="14"/>
    </row>
    <row r="3173">
      <c r="A3173" s="16" t="str">
        <f>IFERROR(__xludf.DUMMYFUNCTION("""COMPUTED_VALUE"""),"Kailou Hamidou Rainatou")</f>
        <v>Kailou Hamidou Rainatou</v>
      </c>
      <c r="B3173" s="16"/>
      <c r="C3173" s="14"/>
      <c r="F3173" s="16"/>
      <c r="G3173" s="16"/>
      <c r="H3173" s="14"/>
      <c r="K3173" s="16"/>
      <c r="L3173" s="16"/>
      <c r="M3173" s="14"/>
    </row>
    <row r="3174">
      <c r="A3174" s="16" t="str">
        <f>IFERROR(__xludf.DUMMYFUNCTION("""COMPUTED_VALUE"""),"Kailou Hamidou Rainatou")</f>
        <v>Kailou Hamidou Rainatou</v>
      </c>
      <c r="B3174" s="16"/>
      <c r="C3174" s="14"/>
      <c r="F3174" s="16"/>
      <c r="G3174" s="16"/>
      <c r="H3174" s="14"/>
      <c r="K3174" s="16"/>
      <c r="L3174" s="16"/>
      <c r="M3174" s="14"/>
    </row>
    <row r="3175">
      <c r="A3175" s="16" t="str">
        <f>IFERROR(__xludf.DUMMYFUNCTION("""COMPUTED_VALUE"""),"Mohamed Cherif")</f>
        <v>Mohamed Cherif</v>
      </c>
      <c r="B3175" s="16"/>
      <c r="C3175" s="14"/>
      <c r="F3175" s="16"/>
      <c r="G3175" s="16"/>
      <c r="H3175" s="14"/>
      <c r="K3175" s="16"/>
      <c r="L3175" s="16"/>
      <c r="M3175" s="14"/>
    </row>
    <row r="3176">
      <c r="A3176" s="16" t="str">
        <f>IFERROR(__xludf.DUMMYFUNCTION("""COMPUTED_VALUE"""),"Mohamed Cherif")</f>
        <v>Mohamed Cherif</v>
      </c>
      <c r="B3176" s="16"/>
      <c r="C3176" s="14"/>
      <c r="F3176" s="16"/>
      <c r="G3176" s="16"/>
      <c r="H3176" s="14"/>
      <c r="K3176" s="16"/>
      <c r="L3176" s="16"/>
      <c r="M3176" s="14"/>
    </row>
    <row r="3177">
      <c r="A3177" s="16" t="str">
        <f>IFERROR(__xludf.DUMMYFUNCTION("""COMPUTED_VALUE"""),"Mohamed Cherif")</f>
        <v>Mohamed Cherif</v>
      </c>
      <c r="B3177" s="16"/>
      <c r="C3177" s="14"/>
      <c r="F3177" s="16"/>
      <c r="G3177" s="16"/>
      <c r="H3177" s="14"/>
      <c r="K3177" s="16"/>
      <c r="L3177" s="16"/>
      <c r="M3177" s="14"/>
    </row>
    <row r="3178">
      <c r="A3178" s="16" t="str">
        <f>IFERROR(__xludf.DUMMYFUNCTION("""COMPUTED_VALUE"""),"Achirou Malam Dan Maradi Nassirou")</f>
        <v>Achirou Malam Dan Maradi Nassirou</v>
      </c>
      <c r="B3178" s="16"/>
      <c r="C3178" s="14"/>
      <c r="F3178" s="16"/>
      <c r="G3178" s="16"/>
      <c r="H3178" s="14"/>
      <c r="K3178" s="16"/>
      <c r="L3178" s="16"/>
      <c r="M3178" s="14"/>
    </row>
    <row r="3179">
      <c r="A3179" s="16" t="str">
        <f>IFERROR(__xludf.DUMMYFUNCTION("""COMPUTED_VALUE"""),"Achirou Malam Dan Maradi Nassirou")</f>
        <v>Achirou Malam Dan Maradi Nassirou</v>
      </c>
      <c r="B3179" s="16"/>
      <c r="C3179" s="14"/>
      <c r="F3179" s="16"/>
      <c r="G3179" s="16"/>
      <c r="H3179" s="14"/>
      <c r="K3179" s="16"/>
      <c r="L3179" s="16"/>
      <c r="M3179" s="14"/>
    </row>
    <row r="3180">
      <c r="A3180" s="16" t="str">
        <f>IFERROR(__xludf.DUMMYFUNCTION("""COMPUTED_VALUE"""),"Achirou Malam Dan Maradi Nassirou")</f>
        <v>Achirou Malam Dan Maradi Nassirou</v>
      </c>
      <c r="B3180" s="16"/>
      <c r="C3180" s="14"/>
      <c r="F3180" s="16"/>
      <c r="G3180" s="16"/>
      <c r="H3180" s="14"/>
      <c r="K3180" s="16"/>
      <c r="L3180" s="16"/>
      <c r="M3180" s="14"/>
    </row>
    <row r="3181">
      <c r="A3181" s="16" t="str">
        <f>IFERROR(__xludf.DUMMYFUNCTION("""COMPUTED_VALUE"""),"Achirou Malam Dan Maradi Nassirou")</f>
        <v>Achirou Malam Dan Maradi Nassirou</v>
      </c>
      <c r="B3181" s="16"/>
      <c r="C3181" s="14"/>
      <c r="F3181" s="16"/>
      <c r="G3181" s="16"/>
      <c r="H3181" s="14"/>
      <c r="K3181" s="16"/>
      <c r="L3181" s="16"/>
      <c r="M3181" s="14"/>
    </row>
    <row r="3182">
      <c r="A3182" s="16" t="str">
        <f>IFERROR(__xludf.DUMMYFUNCTION("""COMPUTED_VALUE"""),"Achirou Malam Dan Maradi Nassirou")</f>
        <v>Achirou Malam Dan Maradi Nassirou</v>
      </c>
      <c r="B3182" s="16"/>
      <c r="C3182" s="14"/>
      <c r="F3182" s="16"/>
      <c r="G3182" s="16"/>
      <c r="H3182" s="14"/>
      <c r="K3182" s="16"/>
      <c r="L3182" s="16"/>
      <c r="M3182" s="14"/>
    </row>
    <row r="3183">
      <c r="A3183" s="16" t="str">
        <f>IFERROR(__xludf.DUMMYFUNCTION("""COMPUTED_VALUE"""),"Achirou Malam Dan Maradi Nassirou")</f>
        <v>Achirou Malam Dan Maradi Nassirou</v>
      </c>
      <c r="B3183" s="16"/>
      <c r="C3183" s="14"/>
      <c r="F3183" s="16"/>
      <c r="G3183" s="16"/>
      <c r="H3183" s="14"/>
      <c r="K3183" s="16"/>
      <c r="L3183" s="16"/>
      <c r="M3183" s="14"/>
    </row>
    <row r="3184">
      <c r="A3184" s="16" t="str">
        <f>IFERROR(__xludf.DUMMYFUNCTION("""COMPUTED_VALUE"""),"Achirou Malam Dan Maradi Nassirou")</f>
        <v>Achirou Malam Dan Maradi Nassirou</v>
      </c>
      <c r="B3184" s="16"/>
      <c r="C3184" s="14"/>
      <c r="F3184" s="16"/>
      <c r="G3184" s="16"/>
      <c r="H3184" s="14"/>
      <c r="K3184" s="16"/>
      <c r="L3184" s="16"/>
      <c r="M3184" s="14"/>
    </row>
    <row r="3185">
      <c r="A3185" s="16" t="str">
        <f>IFERROR(__xludf.DUMMYFUNCTION("""COMPUTED_VALUE"""),"Achirou Malam Dan Maradi Nassirou")</f>
        <v>Achirou Malam Dan Maradi Nassirou</v>
      </c>
      <c r="B3185" s="16"/>
      <c r="C3185" s="14"/>
      <c r="F3185" s="16"/>
      <c r="G3185" s="16"/>
      <c r="H3185" s="14"/>
      <c r="K3185" s="16"/>
      <c r="L3185" s="16"/>
      <c r="M3185" s="14"/>
    </row>
    <row r="3186">
      <c r="A3186" s="16" t="str">
        <f>IFERROR(__xludf.DUMMYFUNCTION("""COMPUTED_VALUE"""),"Hamissou Moussa Nana Mariama")</f>
        <v>Hamissou Moussa Nana Mariama</v>
      </c>
      <c r="B3186" s="16"/>
      <c r="C3186" s="14"/>
      <c r="F3186" s="16"/>
      <c r="G3186" s="16"/>
      <c r="H3186" s="14"/>
      <c r="K3186" s="16"/>
      <c r="L3186" s="16"/>
      <c r="M3186" s="14"/>
    </row>
    <row r="3187">
      <c r="A3187" s="16" t="str">
        <f>IFERROR(__xludf.DUMMYFUNCTION("""COMPUTED_VALUE"""),"Hamissou Moussa Nana Mariama")</f>
        <v>Hamissou Moussa Nana Mariama</v>
      </c>
      <c r="B3187" s="16"/>
      <c r="C3187" s="14"/>
      <c r="F3187" s="16"/>
      <c r="G3187" s="16"/>
      <c r="H3187" s="14"/>
      <c r="K3187" s="16"/>
      <c r="L3187" s="16"/>
      <c r="M3187" s="14"/>
    </row>
    <row r="3188">
      <c r="A3188" s="16" t="str">
        <f>IFERROR(__xludf.DUMMYFUNCTION("""COMPUTED_VALUE"""),"Hamissou Moussa Nana Mariama")</f>
        <v>Hamissou Moussa Nana Mariama</v>
      </c>
      <c r="B3188" s="16"/>
      <c r="C3188" s="14"/>
      <c r="F3188" s="16"/>
      <c r="G3188" s="16"/>
      <c r="H3188" s="14"/>
      <c r="K3188" s="16"/>
      <c r="L3188" s="16"/>
      <c r="M3188" s="14"/>
    </row>
    <row r="3189">
      <c r="A3189" s="16" t="str">
        <f>IFERROR(__xludf.DUMMYFUNCTION("""COMPUTED_VALUE"""),"Maman Ado Abdourahamane")</f>
        <v>Maman Ado Abdourahamane</v>
      </c>
      <c r="B3189" s="16"/>
      <c r="C3189" s="14"/>
      <c r="F3189" s="16"/>
      <c r="G3189" s="16"/>
      <c r="H3189" s="14"/>
      <c r="K3189" s="16"/>
      <c r="L3189" s="16"/>
      <c r="M3189" s="14"/>
    </row>
    <row r="3190">
      <c r="A3190" s="16" t="str">
        <f>IFERROR(__xludf.DUMMYFUNCTION("""COMPUTED_VALUE"""),"Maman Ado Abdourahamane")</f>
        <v>Maman Ado Abdourahamane</v>
      </c>
      <c r="B3190" s="16"/>
      <c r="C3190" s="14"/>
      <c r="F3190" s="16"/>
      <c r="G3190" s="16"/>
      <c r="H3190" s="14"/>
      <c r="K3190" s="16"/>
      <c r="L3190" s="16"/>
      <c r="M3190" s="14"/>
    </row>
    <row r="3191">
      <c r="A3191" s="16" t="str">
        <f>IFERROR(__xludf.DUMMYFUNCTION("""COMPUTED_VALUE"""),"Maman Ado Abdourahamane")</f>
        <v>Maman Ado Abdourahamane</v>
      </c>
      <c r="B3191" s="16"/>
      <c r="C3191" s="14"/>
      <c r="F3191" s="16"/>
      <c r="G3191" s="16"/>
      <c r="H3191" s="14"/>
      <c r="K3191" s="16"/>
      <c r="L3191" s="16"/>
      <c r="M3191" s="14"/>
    </row>
    <row r="3192">
      <c r="A3192" s="16" t="str">
        <f>IFERROR(__xludf.DUMMYFUNCTION("""COMPUTED_VALUE"""),"Maman Ado Abdourahamane")</f>
        <v>Maman Ado Abdourahamane</v>
      </c>
      <c r="B3192" s="16"/>
      <c r="C3192" s="14"/>
      <c r="F3192" s="16"/>
      <c r="G3192" s="16"/>
      <c r="H3192" s="14"/>
      <c r="K3192" s="16"/>
      <c r="L3192" s="16"/>
      <c r="M3192" s="14"/>
    </row>
    <row r="3193">
      <c r="A3193" s="16" t="str">
        <f>IFERROR(__xludf.DUMMYFUNCTION("""COMPUTED_VALUE"""),"Elhaji Abdou Leilata")</f>
        <v>Elhaji Abdou Leilata</v>
      </c>
      <c r="B3193" s="16"/>
      <c r="C3193" s="14"/>
      <c r="F3193" s="16"/>
      <c r="G3193" s="16"/>
      <c r="H3193" s="14"/>
      <c r="K3193" s="16"/>
      <c r="L3193" s="16"/>
      <c r="M3193" s="14"/>
    </row>
    <row r="3194">
      <c r="A3194" s="16" t="str">
        <f>IFERROR(__xludf.DUMMYFUNCTION("""COMPUTED_VALUE"""),"Elhaji Abdou Leilata")</f>
        <v>Elhaji Abdou Leilata</v>
      </c>
      <c r="B3194" s="16"/>
      <c r="C3194" s="14"/>
      <c r="F3194" s="16"/>
      <c r="G3194" s="16"/>
      <c r="H3194" s="14"/>
      <c r="K3194" s="16"/>
      <c r="L3194" s="16"/>
      <c r="M3194" s="14"/>
    </row>
    <row r="3195">
      <c r="A3195" s="16" t="str">
        <f>IFERROR(__xludf.DUMMYFUNCTION("""COMPUTED_VALUE"""),"Elhaji Abdou Leilata")</f>
        <v>Elhaji Abdou Leilata</v>
      </c>
      <c r="B3195" s="16"/>
      <c r="C3195" s="14"/>
      <c r="F3195" s="16"/>
      <c r="G3195" s="16"/>
      <c r="H3195" s="14"/>
      <c r="K3195" s="16"/>
      <c r="L3195" s="16"/>
      <c r="M3195" s="14"/>
    </row>
    <row r="3196">
      <c r="A3196" s="16" t="str">
        <f>IFERROR(__xludf.DUMMYFUNCTION("""COMPUTED_VALUE"""),"Elhaji Abdou Leilata")</f>
        <v>Elhaji Abdou Leilata</v>
      </c>
      <c r="B3196" s="16"/>
      <c r="C3196" s="14"/>
      <c r="F3196" s="16"/>
      <c r="G3196" s="16"/>
      <c r="H3196" s="14"/>
      <c r="K3196" s="16"/>
      <c r="L3196" s="16"/>
      <c r="M3196" s="14"/>
    </row>
    <row r="3197">
      <c r="A3197" s="16" t="str">
        <f>IFERROR(__xludf.DUMMYFUNCTION("""COMPUTED_VALUE"""),"Elhaji Abdou Leilata")</f>
        <v>Elhaji Abdou Leilata</v>
      </c>
      <c r="B3197" s="16"/>
      <c r="C3197" s="14"/>
      <c r="F3197" s="16"/>
      <c r="G3197" s="16"/>
      <c r="H3197" s="14"/>
      <c r="K3197" s="16"/>
      <c r="L3197" s="16"/>
      <c r="M3197" s="14"/>
    </row>
    <row r="3198">
      <c r="A3198" s="16" t="str">
        <f>IFERROR(__xludf.DUMMYFUNCTION("""COMPUTED_VALUE"""),"Elhaji Abdou Leilata")</f>
        <v>Elhaji Abdou Leilata</v>
      </c>
      <c r="B3198" s="16"/>
      <c r="C3198" s="14"/>
      <c r="F3198" s="16"/>
      <c r="G3198" s="16"/>
      <c r="H3198" s="14"/>
      <c r="K3198" s="16"/>
      <c r="L3198" s="16"/>
      <c r="M3198" s="14"/>
    </row>
    <row r="3199">
      <c r="A3199" s="16" t="str">
        <f>IFERROR(__xludf.DUMMYFUNCTION("""COMPUTED_VALUE"""),"Aboubacar Hamadou Manga")</f>
        <v>Aboubacar Hamadou Manga</v>
      </c>
      <c r="B3199" s="16"/>
      <c r="C3199" s="14"/>
      <c r="F3199" s="16"/>
      <c r="G3199" s="16"/>
      <c r="H3199" s="14"/>
      <c r="K3199" s="16"/>
      <c r="L3199" s="16"/>
      <c r="M3199" s="14"/>
    </row>
    <row r="3200">
      <c r="A3200" s="16" t="str">
        <f>IFERROR(__xludf.DUMMYFUNCTION("""COMPUTED_VALUE"""),"Aboubacar Hamadou Manga")</f>
        <v>Aboubacar Hamadou Manga</v>
      </c>
      <c r="B3200" s="16"/>
      <c r="C3200" s="14"/>
      <c r="F3200" s="16"/>
      <c r="G3200" s="16"/>
      <c r="H3200" s="14"/>
      <c r="K3200" s="16"/>
      <c r="L3200" s="16"/>
      <c r="M3200" s="14"/>
    </row>
    <row r="3201">
      <c r="A3201" s="16" t="str">
        <f>IFERROR(__xludf.DUMMYFUNCTION("""COMPUTED_VALUE"""),"Saddy Youssouf")</f>
        <v>Saddy Youssouf</v>
      </c>
      <c r="B3201" s="16"/>
      <c r="C3201" s="14"/>
      <c r="F3201" s="16"/>
      <c r="G3201" s="16"/>
      <c r="H3201" s="14"/>
      <c r="K3201" s="16"/>
      <c r="L3201" s="16"/>
      <c r="M3201" s="14"/>
    </row>
    <row r="3202">
      <c r="A3202" s="16" t="str">
        <f>IFERROR(__xludf.DUMMYFUNCTION("""COMPUTED_VALUE"""),"Saddy Youssouf")</f>
        <v>Saddy Youssouf</v>
      </c>
      <c r="B3202" s="16"/>
      <c r="C3202" s="14"/>
      <c r="F3202" s="16"/>
      <c r="G3202" s="16"/>
      <c r="H3202" s="14"/>
      <c r="K3202" s="16"/>
      <c r="L3202" s="16"/>
      <c r="M3202" s="14"/>
    </row>
    <row r="3203">
      <c r="A3203" s="16" t="str">
        <f>IFERROR(__xludf.DUMMYFUNCTION("""COMPUTED_VALUE"""),"Saddy Youssouf")</f>
        <v>Saddy Youssouf</v>
      </c>
      <c r="B3203" s="16"/>
      <c r="C3203" s="14"/>
      <c r="F3203" s="16"/>
      <c r="G3203" s="16"/>
      <c r="H3203" s="14"/>
      <c r="K3203" s="16"/>
      <c r="L3203" s="16"/>
      <c r="M3203" s="14"/>
    </row>
    <row r="3204">
      <c r="A3204" s="16" t="str">
        <f>IFERROR(__xludf.DUMMYFUNCTION("""COMPUTED_VALUE"""),"Hamissou Moussa Nana Mariama")</f>
        <v>Hamissou Moussa Nana Mariama</v>
      </c>
      <c r="B3204" s="16"/>
      <c r="C3204" s="14"/>
      <c r="F3204" s="16"/>
      <c r="G3204" s="16"/>
      <c r="H3204" s="14"/>
      <c r="K3204" s="16"/>
      <c r="L3204" s="16"/>
      <c r="M3204" s="14"/>
    </row>
    <row r="3205">
      <c r="A3205" s="16" t="str">
        <f>IFERROR(__xludf.DUMMYFUNCTION("""COMPUTED_VALUE"""),"Maman Ado Abdourahamane")</f>
        <v>Maman Ado Abdourahamane</v>
      </c>
      <c r="B3205" s="16"/>
      <c r="C3205" s="14"/>
      <c r="F3205" s="16"/>
      <c r="G3205" s="16"/>
      <c r="H3205" s="14"/>
      <c r="K3205" s="16"/>
      <c r="L3205" s="16"/>
      <c r="M3205" s="14"/>
    </row>
    <row r="3206">
      <c r="A3206" s="16" t="str">
        <f>IFERROR(__xludf.DUMMYFUNCTION("""COMPUTED_VALUE"""),"Hamissou Moussa Nana Mariama")</f>
        <v>Hamissou Moussa Nana Mariama</v>
      </c>
      <c r="B3206" s="16"/>
      <c r="C3206" s="14"/>
      <c r="F3206" s="16"/>
      <c r="G3206" s="16"/>
      <c r="H3206" s="14"/>
      <c r="K3206" s="16"/>
      <c r="L3206" s="16"/>
      <c r="M3206" s="14"/>
    </row>
    <row r="3207">
      <c r="A3207" s="16" t="str">
        <f>IFERROR(__xludf.DUMMYFUNCTION("""COMPUTED_VALUE"""),"Maman Ado Abdourahamane")</f>
        <v>Maman Ado Abdourahamane</v>
      </c>
      <c r="B3207" s="16"/>
      <c r="C3207" s="14"/>
      <c r="F3207" s="16"/>
      <c r="G3207" s="16"/>
      <c r="H3207" s="14"/>
      <c r="K3207" s="16"/>
      <c r="L3207" s="16"/>
      <c r="M3207" s="14"/>
    </row>
    <row r="3208">
      <c r="A3208" s="16" t="str">
        <f>IFERROR(__xludf.DUMMYFUNCTION("""COMPUTED_VALUE"""),"Maman Ado Abdourahamane")</f>
        <v>Maman Ado Abdourahamane</v>
      </c>
      <c r="B3208" s="16"/>
      <c r="C3208" s="14"/>
      <c r="F3208" s="16"/>
      <c r="G3208" s="16"/>
      <c r="H3208" s="14"/>
      <c r="K3208" s="16"/>
      <c r="L3208" s="16"/>
      <c r="M3208" s="14"/>
    </row>
    <row r="3209">
      <c r="A3209" s="16" t="str">
        <f>IFERROR(__xludf.DUMMYFUNCTION("""COMPUTED_VALUE"""),"Maman Ado Abdourahamane")</f>
        <v>Maman Ado Abdourahamane</v>
      </c>
      <c r="B3209" s="16"/>
      <c r="C3209" s="14"/>
      <c r="F3209" s="16"/>
      <c r="G3209" s="16"/>
      <c r="H3209" s="14"/>
      <c r="K3209" s="16"/>
      <c r="L3209" s="16"/>
      <c r="M3209" s="14"/>
    </row>
    <row r="3210">
      <c r="A3210" s="16" t="str">
        <f>IFERROR(__xludf.DUMMYFUNCTION("""COMPUTED_VALUE"""),"Elhaji Abdou Leilata")</f>
        <v>Elhaji Abdou Leilata</v>
      </c>
      <c r="B3210" s="16"/>
      <c r="C3210" s="14"/>
      <c r="F3210" s="16"/>
      <c r="G3210" s="16"/>
      <c r="H3210" s="14"/>
      <c r="K3210" s="16"/>
      <c r="L3210" s="16"/>
      <c r="M3210" s="14"/>
    </row>
    <row r="3211">
      <c r="A3211" s="16" t="str">
        <f>IFERROR(__xludf.DUMMYFUNCTION("""COMPUTED_VALUE"""),"Achirou Malam Dan Maradi Nassirou")</f>
        <v>Achirou Malam Dan Maradi Nassirou</v>
      </c>
      <c r="B3211" s="16"/>
      <c r="C3211" s="14"/>
      <c r="F3211" s="16"/>
      <c r="G3211" s="16"/>
      <c r="H3211" s="14"/>
      <c r="K3211" s="16"/>
      <c r="L3211" s="16"/>
      <c r="M3211" s="14"/>
    </row>
    <row r="3212">
      <c r="A3212" s="16" t="str">
        <f>IFERROR(__xludf.DUMMYFUNCTION("""COMPUTED_VALUE"""),"Mohamed Cherif")</f>
        <v>Mohamed Cherif</v>
      </c>
      <c r="B3212" s="16"/>
      <c r="C3212" s="14"/>
      <c r="F3212" s="16"/>
      <c r="G3212" s="16"/>
      <c r="H3212" s="14"/>
      <c r="K3212" s="16"/>
      <c r="L3212" s="16"/>
      <c r="M3212" s="14"/>
    </row>
    <row r="3213">
      <c r="A3213" s="16" t="str">
        <f>IFERROR(__xludf.DUMMYFUNCTION("""COMPUTED_VALUE"""),"Achirou Malam Dan Maradi Nassirou")</f>
        <v>Achirou Malam Dan Maradi Nassirou</v>
      </c>
      <c r="B3213" s="16"/>
      <c r="C3213" s="14"/>
      <c r="F3213" s="16"/>
      <c r="G3213" s="16"/>
      <c r="H3213" s="14"/>
      <c r="K3213" s="16"/>
      <c r="L3213" s="16"/>
      <c r="M3213" s="14"/>
    </row>
    <row r="3214">
      <c r="A3214" s="16" t="str">
        <f>IFERROR(__xludf.DUMMYFUNCTION("""COMPUTED_VALUE"""),"Achirou Malam Dan Maradi Nassirou")</f>
        <v>Achirou Malam Dan Maradi Nassirou</v>
      </c>
      <c r="B3214" s="16"/>
      <c r="C3214" s="14"/>
      <c r="F3214" s="16"/>
      <c r="G3214" s="16"/>
      <c r="H3214" s="14"/>
      <c r="K3214" s="16"/>
      <c r="L3214" s="16"/>
      <c r="M3214" s="14"/>
    </row>
    <row r="3215">
      <c r="A3215" s="16" t="str">
        <f>IFERROR(__xludf.DUMMYFUNCTION("""COMPUTED_VALUE"""),"Mohamed Cherif")</f>
        <v>Mohamed Cherif</v>
      </c>
      <c r="B3215" s="16"/>
      <c r="C3215" s="14"/>
      <c r="F3215" s="16"/>
      <c r="G3215" s="16"/>
      <c r="H3215" s="14"/>
      <c r="K3215" s="16"/>
      <c r="L3215" s="16"/>
      <c r="M3215" s="14"/>
    </row>
    <row r="3216">
      <c r="A3216" s="16" t="str">
        <f>IFERROR(__xludf.DUMMYFUNCTION("""COMPUTED_VALUE"""),"Mohamed Cherif")</f>
        <v>Mohamed Cherif</v>
      </c>
      <c r="B3216" s="16"/>
      <c r="C3216" s="14"/>
      <c r="F3216" s="16"/>
      <c r="G3216" s="16"/>
      <c r="H3216" s="14"/>
      <c r="K3216" s="16"/>
      <c r="L3216" s="16"/>
      <c r="M3216" s="14"/>
    </row>
    <row r="3217">
      <c r="A3217" s="16" t="str">
        <f>IFERROR(__xludf.DUMMYFUNCTION("""COMPUTED_VALUE"""),"Mohamed Cherif")</f>
        <v>Mohamed Cherif</v>
      </c>
      <c r="B3217" s="16"/>
      <c r="C3217" s="14"/>
      <c r="F3217" s="16"/>
      <c r="G3217" s="16"/>
      <c r="H3217" s="14"/>
      <c r="K3217" s="16"/>
      <c r="L3217" s="16"/>
      <c r="M3217" s="14"/>
    </row>
    <row r="3218">
      <c r="A3218" s="16" t="str">
        <f>IFERROR(__xludf.DUMMYFUNCTION("""COMPUTED_VALUE"""),"Ouhoumoudou Djannou Ibrahim")</f>
        <v>Ouhoumoudou Djannou Ibrahim</v>
      </c>
      <c r="B3218" s="16"/>
      <c r="C3218" s="14"/>
      <c r="F3218" s="16"/>
      <c r="G3218" s="16"/>
      <c r="H3218" s="14"/>
      <c r="K3218" s="16"/>
      <c r="L3218" s="16"/>
      <c r="M3218" s="14"/>
    </row>
    <row r="3219">
      <c r="A3219" s="16" t="str">
        <f>IFERROR(__xludf.DUMMYFUNCTION("""COMPUTED_VALUE"""),"Ouhoumoudou Djannou Ibrahim")</f>
        <v>Ouhoumoudou Djannou Ibrahim</v>
      </c>
      <c r="B3219" s="16"/>
      <c r="C3219" s="14"/>
      <c r="F3219" s="16"/>
      <c r="G3219" s="16"/>
      <c r="H3219" s="14"/>
      <c r="K3219" s="16"/>
      <c r="L3219" s="16"/>
      <c r="M3219" s="14"/>
    </row>
    <row r="3220">
      <c r="A3220" s="16" t="str">
        <f>IFERROR(__xludf.DUMMYFUNCTION("""COMPUTED_VALUE"""),"Ouhoumoudou Djannou Ibrahim")</f>
        <v>Ouhoumoudou Djannou Ibrahim</v>
      </c>
      <c r="B3220" s="16"/>
      <c r="C3220" s="14"/>
      <c r="F3220" s="16"/>
      <c r="G3220" s="16"/>
      <c r="H3220" s="14"/>
      <c r="K3220" s="16"/>
      <c r="L3220" s="16"/>
      <c r="M3220" s="14"/>
    </row>
    <row r="3221">
      <c r="A3221" s="16" t="str">
        <f>IFERROR(__xludf.DUMMYFUNCTION("""COMPUTED_VALUE"""),"Ouhoumoudou Djannou Ibrahim")</f>
        <v>Ouhoumoudou Djannou Ibrahim</v>
      </c>
      <c r="B3221" s="16"/>
      <c r="C3221" s="14"/>
      <c r="F3221" s="16"/>
      <c r="G3221" s="16"/>
      <c r="H3221" s="14"/>
      <c r="K3221" s="16"/>
      <c r="L3221" s="16"/>
      <c r="M3221" s="14"/>
    </row>
    <row r="3222">
      <c r="A3222" s="16" t="str">
        <f>IFERROR(__xludf.DUMMYFUNCTION("""COMPUTED_VALUE"""),"Ouhoumoudou Djannou Ibrahim")</f>
        <v>Ouhoumoudou Djannou Ibrahim</v>
      </c>
      <c r="B3222" s="16"/>
      <c r="C3222" s="14"/>
      <c r="F3222" s="16"/>
      <c r="G3222" s="16"/>
      <c r="H3222" s="14"/>
      <c r="K3222" s="16"/>
      <c r="L3222" s="16"/>
      <c r="M3222" s="14"/>
    </row>
    <row r="3223">
      <c r="A3223" s="16" t="str">
        <f>IFERROR(__xludf.DUMMYFUNCTION("""COMPUTED_VALUE"""),"Ouhoumoudou Djannou Ibrahim")</f>
        <v>Ouhoumoudou Djannou Ibrahim</v>
      </c>
      <c r="B3223" s="16"/>
      <c r="C3223" s="14"/>
      <c r="F3223" s="16"/>
      <c r="G3223" s="16"/>
      <c r="H3223" s="14"/>
      <c r="K3223" s="16"/>
      <c r="L3223" s="16"/>
      <c r="M3223" s="14"/>
    </row>
    <row r="3224">
      <c r="A3224" s="16" t="str">
        <f>IFERROR(__xludf.DUMMYFUNCTION("""COMPUTED_VALUE"""),"Ouhoumoudou Djannou Ibrahim")</f>
        <v>Ouhoumoudou Djannou Ibrahim</v>
      </c>
      <c r="B3224" s="16"/>
      <c r="C3224" s="14"/>
      <c r="F3224" s="16"/>
      <c r="G3224" s="16"/>
      <c r="H3224" s="14"/>
      <c r="K3224" s="16"/>
      <c r="L3224" s="16"/>
      <c r="M3224" s="14"/>
    </row>
    <row r="3225">
      <c r="A3225" s="16" t="str">
        <f>IFERROR(__xludf.DUMMYFUNCTION("""COMPUTED_VALUE"""),"Hachimou Rabiou Mamoudou")</f>
        <v>Hachimou Rabiou Mamoudou</v>
      </c>
      <c r="B3225" s="16"/>
      <c r="C3225" s="14"/>
      <c r="F3225" s="16"/>
      <c r="G3225" s="16"/>
      <c r="H3225" s="14"/>
      <c r="K3225" s="16"/>
      <c r="L3225" s="16"/>
      <c r="M3225" s="14"/>
    </row>
    <row r="3226">
      <c r="A3226" s="16" t="str">
        <f>IFERROR(__xludf.DUMMYFUNCTION("""COMPUTED_VALUE"""),"Hachimou Rabiou Mamoudou")</f>
        <v>Hachimou Rabiou Mamoudou</v>
      </c>
      <c r="B3226" s="16"/>
      <c r="C3226" s="14"/>
      <c r="F3226" s="16"/>
      <c r="G3226" s="16"/>
      <c r="H3226" s="14"/>
      <c r="K3226" s="16"/>
      <c r="L3226" s="16"/>
      <c r="M3226" s="14"/>
    </row>
    <row r="3227">
      <c r="A3227" s="16" t="str">
        <f>IFERROR(__xludf.DUMMYFUNCTION("""COMPUTED_VALUE"""),"Hachimou Rabiou Mamoudou")</f>
        <v>Hachimou Rabiou Mamoudou</v>
      </c>
      <c r="B3227" s="16"/>
      <c r="C3227" s="14"/>
      <c r="F3227" s="16"/>
      <c r="G3227" s="16"/>
      <c r="H3227" s="14"/>
      <c r="K3227" s="16"/>
      <c r="L3227" s="16"/>
      <c r="M3227" s="14"/>
    </row>
    <row r="3228">
      <c r="A3228" s="16" t="str">
        <f>IFERROR(__xludf.DUMMYFUNCTION("""COMPUTED_VALUE"""),"Hachimou Rabiou Mamoudou")</f>
        <v>Hachimou Rabiou Mamoudou</v>
      </c>
      <c r="B3228" s="16"/>
      <c r="C3228" s="14"/>
      <c r="F3228" s="16"/>
      <c r="G3228" s="16"/>
      <c r="H3228" s="14"/>
      <c r="K3228" s="16"/>
      <c r="L3228" s="16"/>
      <c r="M3228" s="14"/>
    </row>
    <row r="3229">
      <c r="A3229" s="16" t="str">
        <f>IFERROR(__xludf.DUMMYFUNCTION("""COMPUTED_VALUE"""),"Hachimou Rabiou Mamoudou")</f>
        <v>Hachimou Rabiou Mamoudou</v>
      </c>
      <c r="B3229" s="16"/>
      <c r="C3229" s="14"/>
      <c r="F3229" s="16"/>
      <c r="G3229" s="16"/>
      <c r="H3229" s="14"/>
      <c r="K3229" s="16"/>
      <c r="L3229" s="16"/>
      <c r="M3229" s="14"/>
    </row>
    <row r="3230">
      <c r="A3230" s="16" t="str">
        <f>IFERROR(__xludf.DUMMYFUNCTION("""COMPUTED_VALUE"""),"Hachimou Rabiou Mamoudou")</f>
        <v>Hachimou Rabiou Mamoudou</v>
      </c>
      <c r="B3230" s="16"/>
      <c r="C3230" s="14"/>
      <c r="F3230" s="16"/>
      <c r="G3230" s="16"/>
      <c r="H3230" s="14"/>
      <c r="K3230" s="16"/>
      <c r="L3230" s="16"/>
      <c r="M3230" s="14"/>
    </row>
    <row r="3231">
      <c r="A3231" s="16" t="str">
        <f>IFERROR(__xludf.DUMMYFUNCTION("""COMPUTED_VALUE"""),"Hadjara Abdourahamane Tambari")</f>
        <v>Hadjara Abdourahamane Tambari</v>
      </c>
      <c r="B3231" s="16"/>
      <c r="C3231" s="14"/>
      <c r="F3231" s="16"/>
      <c r="G3231" s="16"/>
      <c r="H3231" s="14"/>
      <c r="K3231" s="16"/>
      <c r="L3231" s="16"/>
      <c r="M3231" s="14"/>
    </row>
    <row r="3232">
      <c r="A3232" s="16" t="str">
        <f>IFERROR(__xludf.DUMMYFUNCTION("""COMPUTED_VALUE"""),"Kailou Hamidou Rainatou")</f>
        <v>Kailou Hamidou Rainatou</v>
      </c>
      <c r="B3232" s="16"/>
      <c r="C3232" s="14"/>
      <c r="F3232" s="16"/>
      <c r="G3232" s="16"/>
      <c r="H3232" s="14"/>
      <c r="K3232" s="16"/>
      <c r="L3232" s="16"/>
      <c r="M3232" s="14"/>
    </row>
    <row r="3233">
      <c r="A3233" s="16" t="str">
        <f>IFERROR(__xludf.DUMMYFUNCTION("""COMPUTED_VALUE"""),"Aboubacar Hamadou Manga")</f>
        <v>Aboubacar Hamadou Manga</v>
      </c>
      <c r="B3233" s="16"/>
      <c r="C3233" s="14"/>
      <c r="F3233" s="16"/>
      <c r="G3233" s="16"/>
      <c r="H3233" s="14"/>
      <c r="K3233" s="16"/>
      <c r="L3233" s="16"/>
      <c r="M3233" s="14"/>
    </row>
    <row r="3234">
      <c r="A3234" s="16" t="str">
        <f>IFERROR(__xludf.DUMMYFUNCTION("""COMPUTED_VALUE"""),"Aboubacar Hamadou Manga")</f>
        <v>Aboubacar Hamadou Manga</v>
      </c>
      <c r="B3234" s="16"/>
      <c r="C3234" s="14"/>
      <c r="F3234" s="16"/>
      <c r="G3234" s="16"/>
      <c r="H3234" s="14"/>
      <c r="K3234" s="16"/>
      <c r="L3234" s="16"/>
      <c r="M3234" s="14"/>
    </row>
    <row r="3235">
      <c r="A3235" s="16" t="str">
        <f>IFERROR(__xludf.DUMMYFUNCTION("""COMPUTED_VALUE"""),"Aboubacar Hamadou Manga")</f>
        <v>Aboubacar Hamadou Manga</v>
      </c>
      <c r="B3235" s="16"/>
      <c r="C3235" s="14"/>
      <c r="F3235" s="16"/>
      <c r="G3235" s="16"/>
      <c r="H3235" s="14"/>
      <c r="K3235" s="16"/>
      <c r="L3235" s="16"/>
      <c r="M3235" s="14"/>
    </row>
    <row r="3236">
      <c r="A3236" s="16" t="str">
        <f>IFERROR(__xludf.DUMMYFUNCTION("""COMPUTED_VALUE"""),"Elhaji Abdou Leilata")</f>
        <v>Elhaji Abdou Leilata</v>
      </c>
      <c r="B3236" s="16"/>
      <c r="C3236" s="14"/>
      <c r="F3236" s="16"/>
      <c r="G3236" s="16"/>
      <c r="H3236" s="14"/>
      <c r="K3236" s="16"/>
      <c r="L3236" s="16"/>
      <c r="M3236" s="14"/>
    </row>
    <row r="3237">
      <c r="A3237" s="16" t="str">
        <f>IFERROR(__xludf.DUMMYFUNCTION("""COMPUTED_VALUE"""),"Elhaji Abdou Leilata")</f>
        <v>Elhaji Abdou Leilata</v>
      </c>
      <c r="B3237" s="16"/>
      <c r="C3237" s="14"/>
      <c r="F3237" s="16"/>
      <c r="G3237" s="16"/>
      <c r="H3237" s="14"/>
      <c r="K3237" s="16"/>
      <c r="L3237" s="16"/>
      <c r="M3237" s="14"/>
    </row>
    <row r="3238">
      <c r="A3238" s="16" t="str">
        <f>IFERROR(__xludf.DUMMYFUNCTION("""COMPUTED_VALUE"""),"Abdoul Razak Mahamane Boukari")</f>
        <v>Abdoul Razak Mahamane Boukari</v>
      </c>
      <c r="B3238" s="16"/>
      <c r="C3238" s="14"/>
      <c r="F3238" s="16"/>
      <c r="G3238" s="16"/>
      <c r="H3238" s="14"/>
      <c r="K3238" s="16"/>
      <c r="L3238" s="16"/>
      <c r="M3238" s="14"/>
    </row>
    <row r="3239">
      <c r="A3239" s="16" t="str">
        <f>IFERROR(__xludf.DUMMYFUNCTION("""COMPUTED_VALUE"""),"Abdoul Razak Mahamane Boukari")</f>
        <v>Abdoul Razak Mahamane Boukari</v>
      </c>
      <c r="B3239" s="16"/>
      <c r="C3239" s="14"/>
      <c r="F3239" s="16"/>
      <c r="G3239" s="16"/>
      <c r="H3239" s="14"/>
      <c r="K3239" s="16"/>
      <c r="L3239" s="16"/>
      <c r="M3239" s="14"/>
    </row>
    <row r="3240">
      <c r="A3240" s="16" t="str">
        <f>IFERROR(__xludf.DUMMYFUNCTION("""COMPUTED_VALUE"""),"Abdoul Razak Mahamane Boukari")</f>
        <v>Abdoul Razak Mahamane Boukari</v>
      </c>
      <c r="B3240" s="16"/>
      <c r="C3240" s="14"/>
      <c r="F3240" s="16"/>
      <c r="G3240" s="16"/>
      <c r="H3240" s="14"/>
      <c r="K3240" s="16"/>
      <c r="L3240" s="16"/>
      <c r="M3240" s="14"/>
    </row>
    <row r="3241">
      <c r="A3241" s="16" t="str">
        <f>IFERROR(__xludf.DUMMYFUNCTION("""COMPUTED_VALUE"""),"Elhaji Abdou Leilata")</f>
        <v>Elhaji Abdou Leilata</v>
      </c>
      <c r="B3241" s="16"/>
      <c r="C3241" s="14"/>
      <c r="F3241" s="16"/>
      <c r="G3241" s="16"/>
      <c r="H3241" s="14"/>
      <c r="K3241" s="16"/>
      <c r="L3241" s="16"/>
      <c r="M3241" s="14"/>
    </row>
    <row r="3242">
      <c r="A3242" s="16" t="str">
        <f>IFERROR(__xludf.DUMMYFUNCTION("""COMPUTED_VALUE"""),"Abdoul Razak Mahamane Boukari")</f>
        <v>Abdoul Razak Mahamane Boukari</v>
      </c>
      <c r="B3242" s="16"/>
      <c r="C3242" s="14"/>
      <c r="F3242" s="16"/>
      <c r="G3242" s="16"/>
      <c r="H3242" s="14"/>
      <c r="K3242" s="16"/>
      <c r="L3242" s="16"/>
      <c r="M3242" s="14"/>
    </row>
    <row r="3243">
      <c r="A3243" s="16" t="str">
        <f>IFERROR(__xludf.DUMMYFUNCTION("""COMPUTED_VALUE"""),"Abdoul Razak Mahamane Boukari")</f>
        <v>Abdoul Razak Mahamane Boukari</v>
      </c>
      <c r="B3243" s="16"/>
      <c r="C3243" s="14"/>
      <c r="F3243" s="16"/>
      <c r="G3243" s="16"/>
      <c r="H3243" s="14"/>
      <c r="K3243" s="16"/>
      <c r="L3243" s="16"/>
      <c r="M3243" s="14"/>
    </row>
    <row r="3244">
      <c r="A3244" s="16" t="str">
        <f>IFERROR(__xludf.DUMMYFUNCTION("""COMPUTED_VALUE"""),"Abdoul Razak Mahamane Boukari")</f>
        <v>Abdoul Razak Mahamane Boukari</v>
      </c>
      <c r="B3244" s="16"/>
      <c r="C3244" s="14"/>
      <c r="F3244" s="16"/>
      <c r="G3244" s="16"/>
      <c r="H3244" s="14"/>
      <c r="K3244" s="16"/>
      <c r="L3244" s="16"/>
      <c r="M3244" s="14"/>
    </row>
    <row r="3245">
      <c r="A3245" s="16" t="str">
        <f>IFERROR(__xludf.DUMMYFUNCTION("""COMPUTED_VALUE"""),"Abdoul Razak Mahamane Boukari")</f>
        <v>Abdoul Razak Mahamane Boukari</v>
      </c>
      <c r="B3245" s="16"/>
      <c r="C3245" s="14"/>
      <c r="F3245" s="16"/>
      <c r="G3245" s="16"/>
      <c r="H3245" s="14"/>
      <c r="K3245" s="16"/>
      <c r="L3245" s="16"/>
      <c r="M3245" s="14"/>
    </row>
    <row r="3246">
      <c r="A3246" s="16" t="str">
        <f>IFERROR(__xludf.DUMMYFUNCTION("""COMPUTED_VALUE"""),"Ibrahim Dan Habou Larwana")</f>
        <v>Ibrahim Dan Habou Larwana</v>
      </c>
      <c r="B3246" s="16"/>
      <c r="C3246" s="14"/>
      <c r="F3246" s="16"/>
      <c r="G3246" s="16"/>
      <c r="H3246" s="14"/>
      <c r="K3246" s="16"/>
      <c r="L3246" s="16"/>
      <c r="M3246" s="14"/>
    </row>
    <row r="3247">
      <c r="A3247" s="16" t="str">
        <f>IFERROR(__xludf.DUMMYFUNCTION("""COMPUTED_VALUE"""),"Ibrahim Dan Habou Larwana")</f>
        <v>Ibrahim Dan Habou Larwana</v>
      </c>
      <c r="B3247" s="16"/>
      <c r="C3247" s="14"/>
      <c r="F3247" s="16"/>
      <c r="G3247" s="16"/>
      <c r="H3247" s="14"/>
      <c r="K3247" s="16"/>
      <c r="L3247" s="16"/>
      <c r="M3247" s="14"/>
    </row>
    <row r="3248">
      <c r="A3248" s="16" t="str">
        <f>IFERROR(__xludf.DUMMYFUNCTION("""COMPUTED_VALUE"""),"Ibrahim Dan Habou Larwana")</f>
        <v>Ibrahim Dan Habou Larwana</v>
      </c>
      <c r="B3248" s="16"/>
      <c r="C3248" s="14"/>
      <c r="F3248" s="16"/>
      <c r="G3248" s="16"/>
      <c r="H3248" s="14"/>
      <c r="K3248" s="16"/>
      <c r="L3248" s="16"/>
      <c r="M3248" s="14"/>
    </row>
    <row r="3249">
      <c r="A3249" s="16" t="str">
        <f>IFERROR(__xludf.DUMMYFUNCTION("""COMPUTED_VALUE"""),"Ibrahim Dan Habou Larwana")</f>
        <v>Ibrahim Dan Habou Larwana</v>
      </c>
      <c r="B3249" s="16"/>
      <c r="C3249" s="14"/>
      <c r="F3249" s="16"/>
      <c r="G3249" s="16"/>
      <c r="H3249" s="14"/>
      <c r="K3249" s="16"/>
      <c r="L3249" s="16"/>
      <c r="M3249" s="14"/>
    </row>
    <row r="3250">
      <c r="A3250" s="16" t="str">
        <f>IFERROR(__xludf.DUMMYFUNCTION("""COMPUTED_VALUE"""),"Ibrahim Dan Habou Larwana")</f>
        <v>Ibrahim Dan Habou Larwana</v>
      </c>
      <c r="B3250" s="16"/>
      <c r="C3250" s="14"/>
      <c r="F3250" s="16"/>
      <c r="G3250" s="16"/>
      <c r="H3250" s="14"/>
      <c r="K3250" s="16"/>
      <c r="L3250" s="16"/>
      <c r="M3250" s="14"/>
    </row>
    <row r="3251">
      <c r="A3251" s="16" t="str">
        <f>IFERROR(__xludf.DUMMYFUNCTION("""COMPUTED_VALUE"""),"Ibrahim Dan Habou Larwana")</f>
        <v>Ibrahim Dan Habou Larwana</v>
      </c>
      <c r="B3251" s="16"/>
      <c r="C3251" s="14"/>
      <c r="F3251" s="16"/>
      <c r="G3251" s="16"/>
      <c r="H3251" s="14"/>
      <c r="K3251" s="16"/>
      <c r="L3251" s="16"/>
      <c r="M3251" s="14"/>
    </row>
    <row r="3252">
      <c r="A3252" s="16" t="str">
        <f>IFERROR(__xludf.DUMMYFUNCTION("""COMPUTED_VALUE"""),"Ibrahim Dan Habou Larwana")</f>
        <v>Ibrahim Dan Habou Larwana</v>
      </c>
      <c r="B3252" s="16"/>
      <c r="C3252" s="14"/>
      <c r="F3252" s="16"/>
      <c r="G3252" s="16"/>
      <c r="H3252" s="14"/>
      <c r="K3252" s="16"/>
      <c r="L3252" s="16"/>
      <c r="M3252" s="14"/>
    </row>
    <row r="3253">
      <c r="A3253" s="16" t="str">
        <f>IFERROR(__xludf.DUMMYFUNCTION("""COMPUTED_VALUE"""),"Razinatou Salissou")</f>
        <v>Razinatou Salissou</v>
      </c>
      <c r="B3253" s="16"/>
      <c r="C3253" s="14"/>
      <c r="F3253" s="16"/>
      <c r="G3253" s="16"/>
      <c r="H3253" s="14"/>
      <c r="K3253" s="16"/>
      <c r="L3253" s="16"/>
      <c r="M3253" s="14"/>
    </row>
    <row r="3254">
      <c r="A3254" s="16" t="str">
        <f>IFERROR(__xludf.DUMMYFUNCTION("""COMPUTED_VALUE"""),"Razinatou Salissou")</f>
        <v>Razinatou Salissou</v>
      </c>
      <c r="B3254" s="16"/>
      <c r="C3254" s="14"/>
      <c r="F3254" s="16"/>
      <c r="G3254" s="16"/>
      <c r="H3254" s="14"/>
      <c r="K3254" s="16"/>
      <c r="L3254" s="16"/>
      <c r="M3254" s="14"/>
    </row>
    <row r="3255">
      <c r="A3255" s="16" t="str">
        <f>IFERROR(__xludf.DUMMYFUNCTION("""COMPUTED_VALUE"""),"Razinatou Salissou")</f>
        <v>Razinatou Salissou</v>
      </c>
      <c r="B3255" s="16"/>
      <c r="C3255" s="14"/>
      <c r="F3255" s="16"/>
      <c r="G3255" s="16"/>
      <c r="H3255" s="14"/>
      <c r="K3255" s="16"/>
      <c r="L3255" s="16"/>
      <c r="M3255" s="14"/>
    </row>
    <row r="3256">
      <c r="A3256" s="16" t="str">
        <f>IFERROR(__xludf.DUMMYFUNCTION("""COMPUTED_VALUE"""),"Razinatou Salissou")</f>
        <v>Razinatou Salissou</v>
      </c>
      <c r="B3256" s="16"/>
      <c r="C3256" s="14"/>
      <c r="F3256" s="16"/>
      <c r="G3256" s="16"/>
      <c r="H3256" s="14"/>
      <c r="K3256" s="16"/>
      <c r="L3256" s="16"/>
      <c r="M3256" s="14"/>
    </row>
    <row r="3257">
      <c r="A3257" s="16" t="str">
        <f>IFERROR(__xludf.DUMMYFUNCTION("""COMPUTED_VALUE"""),"Adamou Halidou Daouda")</f>
        <v>Adamou Halidou Daouda</v>
      </c>
      <c r="B3257" s="16"/>
      <c r="C3257" s="14"/>
      <c r="F3257" s="16"/>
      <c r="G3257" s="16"/>
      <c r="H3257" s="14"/>
      <c r="K3257" s="16"/>
      <c r="L3257" s="16"/>
      <c r="M3257" s="14"/>
    </row>
    <row r="3258">
      <c r="A3258" s="16" t="str">
        <f>IFERROR(__xludf.DUMMYFUNCTION("""COMPUTED_VALUE"""),"Adamou Halidou Daouda")</f>
        <v>Adamou Halidou Daouda</v>
      </c>
      <c r="B3258" s="16"/>
      <c r="C3258" s="14"/>
      <c r="F3258" s="16"/>
      <c r="G3258" s="16"/>
      <c r="H3258" s="14"/>
      <c r="K3258" s="16"/>
      <c r="L3258" s="16"/>
      <c r="M3258" s="14"/>
    </row>
    <row r="3259">
      <c r="A3259" s="16" t="str">
        <f>IFERROR(__xludf.DUMMYFUNCTION("""COMPUTED_VALUE"""),"Adamou Halidou Daouda")</f>
        <v>Adamou Halidou Daouda</v>
      </c>
      <c r="B3259" s="16"/>
      <c r="C3259" s="14"/>
      <c r="F3259" s="16"/>
      <c r="G3259" s="16"/>
      <c r="H3259" s="14"/>
      <c r="K3259" s="16"/>
      <c r="L3259" s="16"/>
      <c r="M3259" s="14"/>
    </row>
    <row r="3260">
      <c r="A3260" s="16" t="str">
        <f>IFERROR(__xludf.DUMMYFUNCTION("""COMPUTED_VALUE"""),"Adamou Halidou Daouda")</f>
        <v>Adamou Halidou Daouda</v>
      </c>
      <c r="B3260" s="16"/>
      <c r="C3260" s="14"/>
      <c r="F3260" s="16"/>
      <c r="G3260" s="16"/>
      <c r="H3260" s="14"/>
      <c r="K3260" s="16"/>
      <c r="L3260" s="16"/>
      <c r="M3260" s="14"/>
    </row>
    <row r="3261">
      <c r="A3261" s="16" t="str">
        <f>IFERROR(__xludf.DUMMYFUNCTION("""COMPUTED_VALUE"""),"Adamou Halidou Daouda")</f>
        <v>Adamou Halidou Daouda</v>
      </c>
      <c r="B3261" s="16"/>
      <c r="C3261" s="14"/>
      <c r="F3261" s="16"/>
      <c r="G3261" s="16"/>
      <c r="H3261" s="14"/>
      <c r="K3261" s="16"/>
      <c r="L3261" s="16"/>
      <c r="M3261" s="14"/>
    </row>
    <row r="3262">
      <c r="A3262" s="16" t="str">
        <f>IFERROR(__xludf.DUMMYFUNCTION("""COMPUTED_VALUE"""),"Adamou Halidou Daouda")</f>
        <v>Adamou Halidou Daouda</v>
      </c>
      <c r="B3262" s="16"/>
      <c r="C3262" s="14"/>
      <c r="F3262" s="16"/>
      <c r="G3262" s="16"/>
      <c r="H3262" s="14"/>
      <c r="K3262" s="16"/>
      <c r="L3262" s="16"/>
      <c r="M3262" s="14"/>
    </row>
    <row r="3263">
      <c r="A3263" s="16" t="str">
        <f>IFERROR(__xludf.DUMMYFUNCTION("""COMPUTED_VALUE"""),"Adamou Halidou Daouda")</f>
        <v>Adamou Halidou Daouda</v>
      </c>
      <c r="B3263" s="16"/>
      <c r="C3263" s="14"/>
      <c r="F3263" s="16"/>
      <c r="G3263" s="16"/>
      <c r="H3263" s="14"/>
      <c r="K3263" s="16"/>
      <c r="L3263" s="16"/>
      <c r="M3263" s="14"/>
    </row>
    <row r="3264">
      <c r="A3264" s="16" t="str">
        <f>IFERROR(__xludf.DUMMYFUNCTION("""COMPUTED_VALUE"""),"ALASSANE TAWEY AWALOU")</f>
        <v>ALASSANE TAWEY AWALOU</v>
      </c>
      <c r="B3264" s="16"/>
      <c r="C3264" s="14"/>
      <c r="F3264" s="16"/>
      <c r="G3264" s="16"/>
      <c r="H3264" s="14"/>
      <c r="K3264" s="16"/>
      <c r="L3264" s="16"/>
      <c r="M3264" s="14"/>
    </row>
    <row r="3265">
      <c r="A3265" s="16" t="str">
        <f>IFERROR(__xludf.DUMMYFUNCTION("""COMPUTED_VALUE"""),"ALASSANE TAWEY AWALOU")</f>
        <v>ALASSANE TAWEY AWALOU</v>
      </c>
      <c r="B3265" s="16"/>
      <c r="C3265" s="14"/>
      <c r="F3265" s="16"/>
      <c r="G3265" s="16"/>
      <c r="H3265" s="14"/>
      <c r="K3265" s="16"/>
      <c r="L3265" s="16"/>
      <c r="M3265" s="14"/>
    </row>
    <row r="3266">
      <c r="A3266" s="16" t="str">
        <f>IFERROR(__xludf.DUMMYFUNCTION("""COMPUTED_VALUE"""),"ALASSANE TAWEY AWALOU")</f>
        <v>ALASSANE TAWEY AWALOU</v>
      </c>
      <c r="B3266" s="16"/>
      <c r="C3266" s="14"/>
      <c r="F3266" s="16"/>
      <c r="G3266" s="16"/>
      <c r="H3266" s="14"/>
      <c r="K3266" s="16"/>
      <c r="L3266" s="16"/>
      <c r="M3266" s="14"/>
    </row>
    <row r="3267">
      <c r="A3267" s="16" t="str">
        <f>IFERROR(__xludf.DUMMYFUNCTION("""COMPUTED_VALUE"""),"ALASSANE TAWEY AWALOU")</f>
        <v>ALASSANE TAWEY AWALOU</v>
      </c>
      <c r="B3267" s="16"/>
      <c r="C3267" s="14"/>
      <c r="F3267" s="16"/>
      <c r="G3267" s="16"/>
      <c r="H3267" s="14"/>
      <c r="K3267" s="16"/>
      <c r="L3267" s="16"/>
      <c r="M3267" s="14"/>
    </row>
    <row r="3268">
      <c r="A3268" s="16" t="str">
        <f>IFERROR(__xludf.DUMMYFUNCTION("""COMPUTED_VALUE"""),"ALASSANE TAWEY AWALOU")</f>
        <v>ALASSANE TAWEY AWALOU</v>
      </c>
      <c r="B3268" s="16"/>
      <c r="C3268" s="14"/>
      <c r="F3268" s="16"/>
      <c r="G3268" s="16"/>
      <c r="H3268" s="14"/>
      <c r="K3268" s="16"/>
      <c r="L3268" s="16"/>
      <c r="M3268" s="14"/>
    </row>
    <row r="3269">
      <c r="A3269" s="16" t="str">
        <f>IFERROR(__xludf.DUMMYFUNCTION("""COMPUTED_VALUE"""),"ALASSANE TAWEY AWALOU")</f>
        <v>ALASSANE TAWEY AWALOU</v>
      </c>
      <c r="B3269" s="16"/>
      <c r="C3269" s="14"/>
      <c r="F3269" s="16"/>
      <c r="G3269" s="16"/>
      <c r="H3269" s="14"/>
      <c r="K3269" s="16"/>
      <c r="L3269" s="16"/>
      <c r="M3269" s="14"/>
    </row>
    <row r="3270">
      <c r="A3270" s="16" t="str">
        <f>IFERROR(__xludf.DUMMYFUNCTION("""COMPUTED_VALUE"""),"ALASSANE TAWEY AWALOU")</f>
        <v>ALASSANE TAWEY AWALOU</v>
      </c>
      <c r="B3270" s="16"/>
      <c r="C3270" s="14"/>
      <c r="F3270" s="16"/>
      <c r="G3270" s="16"/>
      <c r="H3270" s="14"/>
      <c r="K3270" s="16"/>
      <c r="L3270" s="16"/>
      <c r="M3270" s="14"/>
    </row>
    <row r="3271">
      <c r="A3271" s="16" t="str">
        <f>IFERROR(__xludf.DUMMYFUNCTION("""COMPUTED_VALUE"""),"Gaoh Maazou")</f>
        <v>Gaoh Maazou</v>
      </c>
      <c r="B3271" s="16"/>
      <c r="C3271" s="14"/>
      <c r="F3271" s="16"/>
      <c r="G3271" s="16"/>
      <c r="H3271" s="14"/>
      <c r="K3271" s="16"/>
      <c r="L3271" s="16"/>
      <c r="M3271" s="14"/>
    </row>
    <row r="3272">
      <c r="A3272" s="16" t="str">
        <f>IFERROR(__xludf.DUMMYFUNCTION("""COMPUTED_VALUE"""),"Gaoh Maazou")</f>
        <v>Gaoh Maazou</v>
      </c>
      <c r="B3272" s="16"/>
      <c r="C3272" s="14"/>
      <c r="F3272" s="16"/>
      <c r="G3272" s="16"/>
      <c r="H3272" s="14"/>
      <c r="K3272" s="16"/>
      <c r="L3272" s="16"/>
      <c r="M3272" s="14"/>
    </row>
    <row r="3273">
      <c r="A3273" s="16" t="str">
        <f>IFERROR(__xludf.DUMMYFUNCTION("""COMPUTED_VALUE"""),"Gaoh Maazou")</f>
        <v>Gaoh Maazou</v>
      </c>
      <c r="B3273" s="16"/>
      <c r="C3273" s="14"/>
      <c r="F3273" s="16"/>
      <c r="G3273" s="16"/>
      <c r="H3273" s="14"/>
      <c r="K3273" s="16"/>
      <c r="L3273" s="16"/>
      <c r="M3273" s="14"/>
    </row>
    <row r="3274">
      <c r="A3274" s="16" t="str">
        <f>IFERROR(__xludf.DUMMYFUNCTION("""COMPUTED_VALUE"""),"Gaoh Maazou")</f>
        <v>Gaoh Maazou</v>
      </c>
      <c r="B3274" s="16"/>
      <c r="C3274" s="14"/>
      <c r="F3274" s="16"/>
      <c r="G3274" s="16"/>
      <c r="H3274" s="14"/>
      <c r="K3274" s="16"/>
      <c r="L3274" s="16"/>
      <c r="M3274" s="14"/>
    </row>
    <row r="3275">
      <c r="A3275" s="16" t="str">
        <f>IFERROR(__xludf.DUMMYFUNCTION("""COMPUTED_VALUE"""),"Yacouba Idé dit Lumana")</f>
        <v>Yacouba Idé dit Lumana</v>
      </c>
      <c r="B3275" s="16"/>
      <c r="C3275" s="14"/>
      <c r="F3275" s="16"/>
      <c r="G3275" s="16"/>
      <c r="H3275" s="14"/>
      <c r="K3275" s="16"/>
      <c r="L3275" s="16"/>
      <c r="M3275" s="14"/>
    </row>
    <row r="3276">
      <c r="A3276" s="16" t="str">
        <f>IFERROR(__xludf.DUMMYFUNCTION("""COMPUTED_VALUE"""),"Yacouba Idé dit Lumana")</f>
        <v>Yacouba Idé dit Lumana</v>
      </c>
      <c r="B3276" s="16"/>
      <c r="C3276" s="14"/>
      <c r="F3276" s="16"/>
      <c r="G3276" s="16"/>
      <c r="H3276" s="14"/>
      <c r="K3276" s="16"/>
      <c r="L3276" s="16"/>
      <c r="M3276" s="14"/>
    </row>
    <row r="3277">
      <c r="A3277" s="16" t="str">
        <f>IFERROR(__xludf.DUMMYFUNCTION("""COMPUTED_VALUE"""),"Yacouba Idé dit Lumana")</f>
        <v>Yacouba Idé dit Lumana</v>
      </c>
      <c r="B3277" s="16"/>
      <c r="C3277" s="14"/>
      <c r="F3277" s="16"/>
      <c r="G3277" s="16"/>
      <c r="H3277" s="14"/>
      <c r="K3277" s="16"/>
      <c r="L3277" s="16"/>
      <c r="M3277" s="14"/>
    </row>
    <row r="3278">
      <c r="A3278" s="16" t="str">
        <f>IFERROR(__xludf.DUMMYFUNCTION("""COMPUTED_VALUE"""),"Yacouba Idé dit Lumana")</f>
        <v>Yacouba Idé dit Lumana</v>
      </c>
      <c r="B3278" s="16"/>
      <c r="C3278" s="14"/>
      <c r="F3278" s="16"/>
      <c r="G3278" s="16"/>
      <c r="H3278" s="14"/>
      <c r="K3278" s="16"/>
      <c r="L3278" s="16"/>
      <c r="M3278" s="14"/>
    </row>
    <row r="3279">
      <c r="A3279" s="16" t="str">
        <f>IFERROR(__xludf.DUMMYFUNCTION("""COMPUTED_VALUE"""),"Yacouba Idé dit Lumana")</f>
        <v>Yacouba Idé dit Lumana</v>
      </c>
      <c r="B3279" s="16"/>
      <c r="C3279" s="14"/>
      <c r="F3279" s="16"/>
      <c r="G3279" s="16"/>
      <c r="H3279" s="14"/>
      <c r="K3279" s="16"/>
      <c r="L3279" s="16"/>
      <c r="M3279" s="14"/>
    </row>
    <row r="3280">
      <c r="A3280" s="16" t="str">
        <f>IFERROR(__xludf.DUMMYFUNCTION("""COMPUTED_VALUE"""),"Yacouba Idé dit Lumana")</f>
        <v>Yacouba Idé dit Lumana</v>
      </c>
      <c r="B3280" s="16"/>
      <c r="C3280" s="14"/>
      <c r="F3280" s="16"/>
      <c r="G3280" s="16"/>
      <c r="H3280" s="14"/>
      <c r="K3280" s="16"/>
      <c r="L3280" s="16"/>
      <c r="M3280" s="14"/>
    </row>
    <row r="3281">
      <c r="A3281" s="16" t="str">
        <f>IFERROR(__xludf.DUMMYFUNCTION("""COMPUTED_VALUE"""),"Asmaou Tanko Issa")</f>
        <v>Asmaou Tanko Issa</v>
      </c>
      <c r="B3281" s="16"/>
      <c r="C3281" s="14"/>
      <c r="F3281" s="16"/>
      <c r="G3281" s="16"/>
      <c r="H3281" s="14"/>
      <c r="K3281" s="16"/>
      <c r="L3281" s="16"/>
      <c r="M3281" s="14"/>
    </row>
    <row r="3282">
      <c r="A3282" s="16" t="str">
        <f>IFERROR(__xludf.DUMMYFUNCTION("""COMPUTED_VALUE"""),"Asmaou Tanko Issa")</f>
        <v>Asmaou Tanko Issa</v>
      </c>
      <c r="B3282" s="16"/>
      <c r="C3282" s="14"/>
      <c r="F3282" s="16"/>
      <c r="G3282" s="16"/>
      <c r="H3282" s="14"/>
      <c r="K3282" s="16"/>
      <c r="L3282" s="16"/>
      <c r="M3282" s="14"/>
    </row>
    <row r="3283">
      <c r="A3283" s="16" t="str">
        <f>IFERROR(__xludf.DUMMYFUNCTION("""COMPUTED_VALUE"""),"Asmaou Tanko Issa")</f>
        <v>Asmaou Tanko Issa</v>
      </c>
      <c r="B3283" s="16"/>
      <c r="C3283" s="14"/>
      <c r="F3283" s="16"/>
      <c r="G3283" s="16"/>
      <c r="H3283" s="14"/>
      <c r="K3283" s="16"/>
      <c r="L3283" s="16"/>
      <c r="M3283" s="14"/>
    </row>
    <row r="3284">
      <c r="A3284" s="16" t="str">
        <f>IFERROR(__xludf.DUMMYFUNCTION("""COMPUTED_VALUE"""),"Asmaou Tanko Issa")</f>
        <v>Asmaou Tanko Issa</v>
      </c>
      <c r="B3284" s="16"/>
      <c r="C3284" s="14"/>
      <c r="F3284" s="16"/>
      <c r="G3284" s="16"/>
      <c r="H3284" s="14"/>
      <c r="K3284" s="16"/>
      <c r="L3284" s="16"/>
      <c r="M3284" s="14"/>
    </row>
    <row r="3285">
      <c r="A3285" s="16" t="str">
        <f>IFERROR(__xludf.DUMMYFUNCTION("""COMPUTED_VALUE"""),"Asmaou Tanko Issa")</f>
        <v>Asmaou Tanko Issa</v>
      </c>
      <c r="B3285" s="16"/>
      <c r="C3285" s="14"/>
      <c r="F3285" s="16"/>
      <c r="G3285" s="16"/>
      <c r="H3285" s="14"/>
      <c r="K3285" s="16"/>
      <c r="L3285" s="16"/>
      <c r="M3285" s="14"/>
    </row>
    <row r="3286">
      <c r="A3286" s="16" t="str">
        <f>IFERROR(__xludf.DUMMYFUNCTION("""COMPUTED_VALUE"""),"Gaoh Maazou")</f>
        <v>Gaoh Maazou</v>
      </c>
      <c r="B3286" s="16"/>
      <c r="C3286" s="14"/>
      <c r="F3286" s="16"/>
      <c r="G3286" s="16"/>
      <c r="H3286" s="14"/>
      <c r="K3286" s="16"/>
      <c r="L3286" s="16"/>
      <c r="M3286" s="14"/>
    </row>
    <row r="3287">
      <c r="A3287" s="16" t="str">
        <f>IFERROR(__xludf.DUMMYFUNCTION("""COMPUTED_VALUE"""),"Gaoh Maazou")</f>
        <v>Gaoh Maazou</v>
      </c>
      <c r="B3287" s="16"/>
      <c r="C3287" s="14"/>
      <c r="F3287" s="16"/>
      <c r="G3287" s="16"/>
      <c r="H3287" s="14"/>
      <c r="K3287" s="16"/>
      <c r="L3287" s="16"/>
      <c r="M3287" s="14"/>
    </row>
    <row r="3288">
      <c r="A3288" s="16" t="str">
        <f>IFERROR(__xludf.DUMMYFUNCTION("""COMPUTED_VALUE"""),"Gaoh Maazou")</f>
        <v>Gaoh Maazou</v>
      </c>
      <c r="B3288" s="16"/>
      <c r="C3288" s="14"/>
      <c r="F3288" s="16"/>
      <c r="G3288" s="16"/>
      <c r="H3288" s="14"/>
      <c r="K3288" s="16"/>
      <c r="L3288" s="16"/>
      <c r="M3288" s="14"/>
    </row>
    <row r="3289">
      <c r="A3289" s="16" t="str">
        <f>IFERROR(__xludf.DUMMYFUNCTION("""COMPUTED_VALUE"""),"Gaoh Maazou")</f>
        <v>Gaoh Maazou</v>
      </c>
      <c r="B3289" s="16"/>
      <c r="C3289" s="14"/>
      <c r="F3289" s="16"/>
      <c r="G3289" s="16"/>
      <c r="H3289" s="14"/>
      <c r="K3289" s="16"/>
      <c r="L3289" s="16"/>
      <c r="M3289" s="14"/>
    </row>
    <row r="3290">
      <c r="A3290" s="16" t="str">
        <f>IFERROR(__xludf.DUMMYFUNCTION("""COMPUTED_VALUE"""),"Gaoh Maazou")</f>
        <v>Gaoh Maazou</v>
      </c>
      <c r="B3290" s="16"/>
      <c r="C3290" s="14"/>
      <c r="F3290" s="16"/>
      <c r="G3290" s="16"/>
      <c r="H3290" s="14"/>
      <c r="K3290" s="16"/>
      <c r="L3290" s="16"/>
      <c r="M3290" s="14"/>
    </row>
    <row r="3291">
      <c r="A3291" s="16" t="str">
        <f>IFERROR(__xludf.DUMMYFUNCTION("""COMPUTED_VALUE"""),"Kimba Issa Mamoudou")</f>
        <v>Kimba Issa Mamoudou</v>
      </c>
      <c r="B3291" s="16"/>
      <c r="C3291" s="14"/>
      <c r="F3291" s="16"/>
      <c r="G3291" s="16"/>
      <c r="H3291" s="14"/>
      <c r="K3291" s="16"/>
      <c r="L3291" s="16"/>
      <c r="M3291" s="14"/>
    </row>
    <row r="3292">
      <c r="A3292" s="16" t="str">
        <f>IFERROR(__xludf.DUMMYFUNCTION("""COMPUTED_VALUE"""),"Kimba Issa Mamoudou")</f>
        <v>Kimba Issa Mamoudou</v>
      </c>
      <c r="B3292" s="16"/>
      <c r="C3292" s="14"/>
      <c r="F3292" s="16"/>
      <c r="G3292" s="16"/>
      <c r="H3292" s="14"/>
      <c r="K3292" s="16"/>
      <c r="L3292" s="16"/>
      <c r="M3292" s="14"/>
    </row>
    <row r="3293">
      <c r="A3293" s="16" t="str">
        <f>IFERROR(__xludf.DUMMYFUNCTION("""COMPUTED_VALUE"""),"Kimba Issa Mamoudou")</f>
        <v>Kimba Issa Mamoudou</v>
      </c>
      <c r="B3293" s="16"/>
      <c r="C3293" s="14"/>
      <c r="F3293" s="16"/>
      <c r="G3293" s="16"/>
      <c r="H3293" s="14"/>
      <c r="K3293" s="16"/>
      <c r="L3293" s="16"/>
      <c r="M3293" s="14"/>
    </row>
    <row r="3294">
      <c r="A3294" s="16" t="str">
        <f>IFERROR(__xludf.DUMMYFUNCTION("""COMPUTED_VALUE"""),"Kimba Issa Mamoudou")</f>
        <v>Kimba Issa Mamoudou</v>
      </c>
      <c r="B3294" s="16"/>
      <c r="C3294" s="14"/>
      <c r="F3294" s="16"/>
      <c r="G3294" s="16"/>
      <c r="H3294" s="14"/>
      <c r="K3294" s="16"/>
      <c r="L3294" s="16"/>
      <c r="M3294" s="14"/>
    </row>
    <row r="3295">
      <c r="A3295" s="16" t="str">
        <f>IFERROR(__xludf.DUMMYFUNCTION("""COMPUTED_VALUE"""),"Kimba Issa Mamoudou")</f>
        <v>Kimba Issa Mamoudou</v>
      </c>
      <c r="B3295" s="16"/>
      <c r="C3295" s="14"/>
      <c r="F3295" s="16"/>
      <c r="G3295" s="16"/>
      <c r="H3295" s="14"/>
      <c r="K3295" s="16"/>
      <c r="L3295" s="16"/>
      <c r="M3295" s="14"/>
    </row>
    <row r="3296">
      <c r="A3296" s="16" t="str">
        <f>IFERROR(__xludf.DUMMYFUNCTION("""COMPUTED_VALUE"""),"Kimba Issa Mamoudou")</f>
        <v>Kimba Issa Mamoudou</v>
      </c>
      <c r="B3296" s="16"/>
      <c r="C3296" s="14"/>
      <c r="F3296" s="16"/>
      <c r="G3296" s="16"/>
      <c r="H3296" s="14"/>
      <c r="K3296" s="16"/>
      <c r="L3296" s="16"/>
      <c r="M3296" s="14"/>
    </row>
    <row r="3297">
      <c r="A3297" s="16" t="str">
        <f>IFERROR(__xludf.DUMMYFUNCTION("""COMPUTED_VALUE"""),"Kimba Issa Mamoudou")</f>
        <v>Kimba Issa Mamoudou</v>
      </c>
      <c r="B3297" s="16"/>
      <c r="C3297" s="14"/>
      <c r="F3297" s="16"/>
      <c r="G3297" s="16"/>
      <c r="H3297" s="14"/>
      <c r="K3297" s="16"/>
      <c r="L3297" s="16"/>
      <c r="M3297" s="14"/>
    </row>
    <row r="3298">
      <c r="A3298" s="16" t="str">
        <f>IFERROR(__xludf.DUMMYFUNCTION("""COMPUTED_VALUE"""),"Kimba Issa Mamoudou")</f>
        <v>Kimba Issa Mamoudou</v>
      </c>
      <c r="B3298" s="16"/>
      <c r="C3298" s="14"/>
      <c r="F3298" s="16"/>
      <c r="G3298" s="16"/>
      <c r="H3298" s="14"/>
      <c r="K3298" s="16"/>
      <c r="L3298" s="16"/>
      <c r="M3298" s="14"/>
    </row>
    <row r="3299">
      <c r="A3299" s="16" t="str">
        <f>IFERROR(__xludf.DUMMYFUNCTION("""COMPUTED_VALUE"""),"Kimba Issa Mamoudou")</f>
        <v>Kimba Issa Mamoudou</v>
      </c>
      <c r="B3299" s="16"/>
      <c r="C3299" s="14"/>
      <c r="F3299" s="16"/>
      <c r="G3299" s="16"/>
      <c r="H3299" s="14"/>
      <c r="K3299" s="16"/>
      <c r="L3299" s="16"/>
      <c r="M3299" s="14"/>
    </row>
    <row r="3300">
      <c r="A3300" s="16" t="str">
        <f>IFERROR(__xludf.DUMMYFUNCTION("""COMPUTED_VALUE"""),"Kimba Issa Mamoudou")</f>
        <v>Kimba Issa Mamoudou</v>
      </c>
      <c r="B3300" s="16"/>
      <c r="C3300" s="14"/>
      <c r="F3300" s="16"/>
      <c r="G3300" s="16"/>
      <c r="H3300" s="14"/>
      <c r="K3300" s="16"/>
      <c r="L3300" s="16"/>
      <c r="M3300" s="14"/>
    </row>
    <row r="3301">
      <c r="A3301" s="16" t="str">
        <f>IFERROR(__xludf.DUMMYFUNCTION("""COMPUTED_VALUE"""),"Kimba Issa Mamoudou")</f>
        <v>Kimba Issa Mamoudou</v>
      </c>
      <c r="B3301" s="16"/>
      <c r="C3301" s="14"/>
      <c r="F3301" s="16"/>
      <c r="G3301" s="16"/>
      <c r="H3301" s="14"/>
      <c r="K3301" s="16"/>
      <c r="L3301" s="16"/>
      <c r="M3301" s="14"/>
    </row>
    <row r="3302">
      <c r="A3302" s="16" t="str">
        <f>IFERROR(__xludf.DUMMYFUNCTION("""COMPUTED_VALUE"""),"Moussa Ide Ibrahim")</f>
        <v>Moussa Ide Ibrahim</v>
      </c>
      <c r="B3302" s="16"/>
      <c r="C3302" s="14"/>
      <c r="F3302" s="16"/>
      <c r="G3302" s="16"/>
      <c r="H3302" s="14"/>
      <c r="K3302" s="16"/>
      <c r="L3302" s="16"/>
      <c r="M3302" s="14"/>
    </row>
    <row r="3303">
      <c r="A3303" s="16" t="str">
        <f>IFERROR(__xludf.DUMMYFUNCTION("""COMPUTED_VALUE"""),"Moussa Ide Ibrahim")</f>
        <v>Moussa Ide Ibrahim</v>
      </c>
      <c r="B3303" s="16"/>
      <c r="C3303" s="14"/>
      <c r="F3303" s="16"/>
      <c r="G3303" s="16"/>
      <c r="H3303" s="14"/>
      <c r="K3303" s="16"/>
      <c r="L3303" s="16"/>
      <c r="M3303" s="14"/>
    </row>
    <row r="3304">
      <c r="A3304" s="16" t="str">
        <f>IFERROR(__xludf.DUMMYFUNCTION("""COMPUTED_VALUE"""),"Moussa Ide Ibrahim")</f>
        <v>Moussa Ide Ibrahim</v>
      </c>
      <c r="B3304" s="16"/>
      <c r="C3304" s="14"/>
      <c r="F3304" s="16"/>
      <c r="G3304" s="16"/>
      <c r="H3304" s="14"/>
      <c r="K3304" s="16"/>
      <c r="L3304" s="16"/>
      <c r="M3304" s="14"/>
    </row>
    <row r="3305">
      <c r="A3305" s="16" t="str">
        <f>IFERROR(__xludf.DUMMYFUNCTION("""COMPUTED_VALUE"""),"Moussa Ide Ibrahim")</f>
        <v>Moussa Ide Ibrahim</v>
      </c>
      <c r="B3305" s="16"/>
      <c r="C3305" s="14"/>
      <c r="F3305" s="16"/>
      <c r="G3305" s="16"/>
      <c r="H3305" s="14"/>
      <c r="K3305" s="16"/>
      <c r="L3305" s="16"/>
      <c r="M3305" s="14"/>
    </row>
    <row r="3306">
      <c r="A3306" s="16" t="str">
        <f>IFERROR(__xludf.DUMMYFUNCTION("""COMPUTED_VALUE"""),"Moussa Ide Ibrahim")</f>
        <v>Moussa Ide Ibrahim</v>
      </c>
      <c r="B3306" s="16"/>
      <c r="C3306" s="14"/>
      <c r="F3306" s="16"/>
      <c r="G3306" s="16"/>
      <c r="H3306" s="14"/>
      <c r="K3306" s="16"/>
      <c r="L3306" s="16"/>
      <c r="M3306" s="14"/>
    </row>
    <row r="3307">
      <c r="A3307" s="16" t="str">
        <f>IFERROR(__xludf.DUMMYFUNCTION("""COMPUTED_VALUE"""),"Moussa Ide Ibrahim")</f>
        <v>Moussa Ide Ibrahim</v>
      </c>
      <c r="B3307" s="16"/>
      <c r="C3307" s="14"/>
      <c r="F3307" s="16"/>
      <c r="G3307" s="16"/>
      <c r="H3307" s="14"/>
      <c r="K3307" s="16"/>
      <c r="L3307" s="16"/>
      <c r="M3307" s="14"/>
    </row>
    <row r="3308">
      <c r="A3308" s="16" t="str">
        <f>IFERROR(__xludf.DUMMYFUNCTION("""COMPUTED_VALUE"""),"Moussa Ide Ibrahim")</f>
        <v>Moussa Ide Ibrahim</v>
      </c>
      <c r="B3308" s="16"/>
      <c r="C3308" s="14"/>
      <c r="F3308" s="16"/>
      <c r="G3308" s="16"/>
      <c r="H3308" s="14"/>
      <c r="K3308" s="16"/>
      <c r="L3308" s="16"/>
      <c r="M3308" s="14"/>
    </row>
    <row r="3309">
      <c r="A3309" s="16" t="str">
        <f>IFERROR(__xludf.DUMMYFUNCTION("""COMPUTED_VALUE"""),"Moussa Ide Ibrahim")</f>
        <v>Moussa Ide Ibrahim</v>
      </c>
      <c r="B3309" s="16"/>
      <c r="C3309" s="14"/>
      <c r="F3309" s="16"/>
      <c r="G3309" s="16"/>
      <c r="H3309" s="14"/>
      <c r="K3309" s="16"/>
      <c r="L3309" s="16"/>
      <c r="M3309" s="14"/>
    </row>
    <row r="3310">
      <c r="A3310" s="16" t="str">
        <f>IFERROR(__xludf.DUMMYFUNCTION("""COMPUTED_VALUE"""),"Moussa Ide Ibrahim")</f>
        <v>Moussa Ide Ibrahim</v>
      </c>
      <c r="B3310" s="16"/>
      <c r="C3310" s="14"/>
      <c r="F3310" s="16"/>
      <c r="G3310" s="16"/>
      <c r="H3310" s="14"/>
      <c r="K3310" s="16"/>
      <c r="L3310" s="16"/>
      <c r="M3310" s="14"/>
    </row>
    <row r="3311">
      <c r="A3311" s="16" t="str">
        <f>IFERROR(__xludf.DUMMYFUNCTION("""COMPUTED_VALUE"""),"Moussa Ide Ibrahim")</f>
        <v>Moussa Ide Ibrahim</v>
      </c>
      <c r="B3311" s="16"/>
      <c r="C3311" s="14"/>
      <c r="F3311" s="16"/>
      <c r="G3311" s="16"/>
      <c r="H3311" s="14"/>
      <c r="K3311" s="16"/>
      <c r="L3311" s="16"/>
      <c r="M3311" s="14"/>
    </row>
    <row r="3312">
      <c r="A3312" s="16" t="str">
        <f>IFERROR(__xludf.DUMMYFUNCTION("""COMPUTED_VALUE"""),"Moussa Ide Ibrahim")</f>
        <v>Moussa Ide Ibrahim</v>
      </c>
      <c r="B3312" s="16"/>
      <c r="C3312" s="14"/>
      <c r="F3312" s="16"/>
      <c r="G3312" s="16"/>
      <c r="H3312" s="14"/>
      <c r="K3312" s="16"/>
      <c r="L3312" s="16"/>
      <c r="M3312" s="14"/>
    </row>
    <row r="3313">
      <c r="A3313" s="16" t="str">
        <f>IFERROR(__xludf.DUMMYFUNCTION("""COMPUTED_VALUE"""),"Kimba Issa Mamoudou")</f>
        <v>Kimba Issa Mamoudou</v>
      </c>
      <c r="B3313" s="16"/>
      <c r="C3313" s="14"/>
      <c r="F3313" s="16"/>
      <c r="G3313" s="16"/>
      <c r="H3313" s="14"/>
      <c r="K3313" s="16"/>
      <c r="L3313" s="16"/>
      <c r="M3313" s="14"/>
    </row>
    <row r="3314">
      <c r="A3314" s="16" t="str">
        <f>IFERROR(__xludf.DUMMYFUNCTION("""COMPUTED_VALUE"""),"Moussa Ide Ibrahim")</f>
        <v>Moussa Ide Ibrahim</v>
      </c>
      <c r="B3314" s="16"/>
      <c r="C3314" s="14"/>
      <c r="F3314" s="16"/>
      <c r="G3314" s="16"/>
      <c r="H3314" s="14"/>
      <c r="K3314" s="16"/>
      <c r="L3314" s="16"/>
      <c r="M3314" s="14"/>
    </row>
    <row r="3315">
      <c r="A3315" s="16" t="str">
        <f>IFERROR(__xludf.DUMMYFUNCTION("""COMPUTED_VALUE"""),"Moussa Ide Ibrahim")</f>
        <v>Moussa Ide Ibrahim</v>
      </c>
      <c r="B3315" s="16"/>
      <c r="C3315" s="14"/>
      <c r="F3315" s="16"/>
      <c r="G3315" s="16"/>
      <c r="H3315" s="14"/>
      <c r="K3315" s="16"/>
      <c r="L3315" s="16"/>
      <c r="M3315" s="14"/>
    </row>
    <row r="3316">
      <c r="A3316" s="16" t="str">
        <f>IFERROR(__xludf.DUMMYFUNCTION("""COMPUTED_VALUE"""),"Hachimou Rabiou Mamoudou")</f>
        <v>Hachimou Rabiou Mamoudou</v>
      </c>
      <c r="B3316" s="16"/>
      <c r="C3316" s="14"/>
      <c r="F3316" s="16"/>
      <c r="G3316" s="16"/>
      <c r="H3316" s="14"/>
      <c r="K3316" s="16"/>
      <c r="L3316" s="16"/>
      <c r="M3316" s="14"/>
    </row>
    <row r="3317">
      <c r="A3317" s="16" t="str">
        <f>IFERROR(__xludf.DUMMYFUNCTION("""COMPUTED_VALUE"""),"Hachimou Rabiou Mamoudou")</f>
        <v>Hachimou Rabiou Mamoudou</v>
      </c>
      <c r="B3317" s="16"/>
      <c r="C3317" s="14"/>
      <c r="F3317" s="16"/>
      <c r="G3317" s="16"/>
      <c r="H3317" s="14"/>
      <c r="K3317" s="16"/>
      <c r="L3317" s="16"/>
      <c r="M3317" s="14"/>
    </row>
    <row r="3318">
      <c r="A3318" s="16" t="str">
        <f>IFERROR(__xludf.DUMMYFUNCTION("""COMPUTED_VALUE"""),"Hachimou Rabiou Mamoudou")</f>
        <v>Hachimou Rabiou Mamoudou</v>
      </c>
      <c r="B3318" s="16"/>
      <c r="C3318" s="14"/>
      <c r="F3318" s="16"/>
      <c r="G3318" s="16"/>
      <c r="H3318" s="14"/>
      <c r="K3318" s="16"/>
      <c r="L3318" s="16"/>
      <c r="M3318" s="14"/>
    </row>
    <row r="3319">
      <c r="A3319" s="16" t="str">
        <f>IFERROR(__xludf.DUMMYFUNCTION("""COMPUTED_VALUE"""),"Hachimou Rabiou Mamoudou")</f>
        <v>Hachimou Rabiou Mamoudou</v>
      </c>
      <c r="B3319" s="16"/>
      <c r="C3319" s="14"/>
      <c r="F3319" s="16"/>
      <c r="G3319" s="16"/>
      <c r="H3319" s="14"/>
      <c r="K3319" s="16"/>
      <c r="L3319" s="16"/>
      <c r="M3319" s="14"/>
    </row>
    <row r="3320">
      <c r="A3320" s="16" t="str">
        <f>IFERROR(__xludf.DUMMYFUNCTION("""COMPUTED_VALUE"""),"Hachimou Rabiou Mamoudou")</f>
        <v>Hachimou Rabiou Mamoudou</v>
      </c>
      <c r="B3320" s="16"/>
      <c r="C3320" s="14"/>
      <c r="F3320" s="16"/>
      <c r="G3320" s="16"/>
      <c r="H3320" s="14"/>
      <c r="K3320" s="16"/>
      <c r="L3320" s="16"/>
      <c r="M3320" s="14"/>
    </row>
    <row r="3321">
      <c r="A3321" s="16" t="str">
        <f>IFERROR(__xludf.DUMMYFUNCTION("""COMPUTED_VALUE"""),"Hachimou Rabiou Mamoudou")</f>
        <v>Hachimou Rabiou Mamoudou</v>
      </c>
      <c r="B3321" s="16"/>
      <c r="C3321" s="14"/>
      <c r="F3321" s="16"/>
      <c r="G3321" s="16"/>
      <c r="H3321" s="14"/>
      <c r="K3321" s="16"/>
      <c r="L3321" s="16"/>
      <c r="M3321" s="14"/>
    </row>
    <row r="3322">
      <c r="A3322" s="16" t="str">
        <f>IFERROR(__xludf.DUMMYFUNCTION("""COMPUTED_VALUE"""),"Ouhoumoudou Djannou Ibrahim")</f>
        <v>Ouhoumoudou Djannou Ibrahim</v>
      </c>
      <c r="B3322" s="16"/>
      <c r="C3322" s="14"/>
      <c r="F3322" s="16"/>
      <c r="G3322" s="16"/>
      <c r="H3322" s="14"/>
      <c r="K3322" s="16"/>
      <c r="L3322" s="16"/>
      <c r="M3322" s="14"/>
    </row>
    <row r="3323">
      <c r="A3323" s="16" t="str">
        <f>IFERROR(__xludf.DUMMYFUNCTION("""COMPUTED_VALUE"""),"Ouhoumoudou Djannou Ibrahim")</f>
        <v>Ouhoumoudou Djannou Ibrahim</v>
      </c>
      <c r="B3323" s="16"/>
      <c r="C3323" s="14"/>
      <c r="F3323" s="16"/>
      <c r="G3323" s="16"/>
      <c r="H3323" s="14"/>
      <c r="K3323" s="16"/>
      <c r="L3323" s="16"/>
      <c r="M3323" s="14"/>
    </row>
    <row r="3324">
      <c r="A3324" s="16" t="str">
        <f>IFERROR(__xludf.DUMMYFUNCTION("""COMPUTED_VALUE"""),"Ouhoumoudou Djannou Ibrahim")</f>
        <v>Ouhoumoudou Djannou Ibrahim</v>
      </c>
      <c r="B3324" s="16"/>
      <c r="C3324" s="14"/>
      <c r="F3324" s="16"/>
      <c r="G3324" s="16"/>
      <c r="H3324" s="14"/>
      <c r="K3324" s="16"/>
      <c r="L3324" s="16"/>
      <c r="M3324" s="14"/>
    </row>
    <row r="3325">
      <c r="A3325" s="16" t="str">
        <f>IFERROR(__xludf.DUMMYFUNCTION("""COMPUTED_VALUE"""),"Ouhoumoudou Djannou Ibrahim")</f>
        <v>Ouhoumoudou Djannou Ibrahim</v>
      </c>
      <c r="B3325" s="16"/>
      <c r="C3325" s="14"/>
      <c r="F3325" s="16"/>
      <c r="G3325" s="16"/>
      <c r="H3325" s="14"/>
      <c r="K3325" s="16"/>
      <c r="L3325" s="16"/>
      <c r="M3325" s="14"/>
    </row>
    <row r="3326">
      <c r="A3326" s="16" t="str">
        <f>IFERROR(__xludf.DUMMYFUNCTION("""COMPUTED_VALUE"""),"Ouhoumoudou Djannou Ibrahim")</f>
        <v>Ouhoumoudou Djannou Ibrahim</v>
      </c>
      <c r="B3326" s="16"/>
      <c r="C3326" s="14"/>
      <c r="F3326" s="16"/>
      <c r="G3326" s="16"/>
      <c r="H3326" s="14"/>
      <c r="K3326" s="16"/>
      <c r="L3326" s="16"/>
      <c r="M3326" s="14"/>
    </row>
    <row r="3327">
      <c r="A3327" s="16" t="str">
        <f>IFERROR(__xludf.DUMMYFUNCTION("""COMPUTED_VALUE"""),"Ouhoumoudou Djannou Ibrahim")</f>
        <v>Ouhoumoudou Djannou Ibrahim</v>
      </c>
      <c r="B3327" s="16"/>
      <c r="C3327" s="14"/>
      <c r="F3327" s="16"/>
      <c r="G3327" s="16"/>
      <c r="H3327" s="14"/>
      <c r="K3327" s="16"/>
      <c r="L3327" s="16"/>
      <c r="M3327" s="14"/>
    </row>
    <row r="3328">
      <c r="A3328" s="16" t="str">
        <f>IFERROR(__xludf.DUMMYFUNCTION("""COMPUTED_VALUE"""),"Adamou Halidou Daouda")</f>
        <v>Adamou Halidou Daouda</v>
      </c>
      <c r="B3328" s="16"/>
      <c r="C3328" s="14"/>
      <c r="F3328" s="16"/>
      <c r="G3328" s="16"/>
      <c r="H3328" s="14"/>
      <c r="K3328" s="16"/>
      <c r="L3328" s="16"/>
      <c r="M3328" s="14"/>
    </row>
    <row r="3329">
      <c r="A3329" s="16" t="str">
        <f>IFERROR(__xludf.DUMMYFUNCTION("""COMPUTED_VALUE"""),"Adamou Halidou Daouda")</f>
        <v>Adamou Halidou Daouda</v>
      </c>
      <c r="B3329" s="16"/>
      <c r="C3329" s="14"/>
      <c r="F3329" s="16"/>
      <c r="G3329" s="16"/>
      <c r="H3329" s="14"/>
      <c r="K3329" s="16"/>
      <c r="L3329" s="16"/>
      <c r="M3329" s="14"/>
    </row>
    <row r="3330">
      <c r="A3330" s="16" t="str">
        <f>IFERROR(__xludf.DUMMYFUNCTION("""COMPUTED_VALUE"""),"Adamou Halidou Daouda")</f>
        <v>Adamou Halidou Daouda</v>
      </c>
      <c r="B3330" s="16"/>
      <c r="C3330" s="14"/>
      <c r="F3330" s="16"/>
      <c r="G3330" s="16"/>
      <c r="H3330" s="14"/>
      <c r="K3330" s="16"/>
      <c r="L3330" s="16"/>
      <c r="M3330" s="14"/>
    </row>
    <row r="3331">
      <c r="A3331" s="16" t="str">
        <f>IFERROR(__xludf.DUMMYFUNCTION("""COMPUTED_VALUE"""),"Adamou Halidou Daouda")</f>
        <v>Adamou Halidou Daouda</v>
      </c>
      <c r="B3331" s="16"/>
      <c r="C3331" s="14"/>
      <c r="F3331" s="16"/>
      <c r="G3331" s="16"/>
      <c r="H3331" s="14"/>
      <c r="K3331" s="16"/>
      <c r="L3331" s="16"/>
      <c r="M3331" s="14"/>
    </row>
    <row r="3332">
      <c r="A3332" s="16" t="str">
        <f>IFERROR(__xludf.DUMMYFUNCTION("""COMPUTED_VALUE"""),"Abdoul Razak Mahamane Boukari")</f>
        <v>Abdoul Razak Mahamane Boukari</v>
      </c>
      <c r="B3332" s="16"/>
      <c r="C3332" s="14"/>
      <c r="F3332" s="16"/>
      <c r="G3332" s="16"/>
      <c r="H3332" s="14"/>
      <c r="K3332" s="16"/>
      <c r="L3332" s="16"/>
      <c r="M3332" s="14"/>
    </row>
    <row r="3333">
      <c r="A3333" s="16" t="str">
        <f>IFERROR(__xludf.DUMMYFUNCTION("""COMPUTED_VALUE"""),"Abdoul Razak Mahamane Boukari")</f>
        <v>Abdoul Razak Mahamane Boukari</v>
      </c>
      <c r="B3333" s="16"/>
      <c r="C3333" s="14"/>
      <c r="F3333" s="16"/>
      <c r="G3333" s="16"/>
      <c r="H3333" s="14"/>
      <c r="K3333" s="16"/>
      <c r="L3333" s="16"/>
      <c r="M3333" s="14"/>
    </row>
    <row r="3334">
      <c r="A3334" s="16" t="str">
        <f>IFERROR(__xludf.DUMMYFUNCTION("""COMPUTED_VALUE"""),"Abdoul Razak Mahamane Boukari")</f>
        <v>Abdoul Razak Mahamane Boukari</v>
      </c>
      <c r="B3334" s="16"/>
      <c r="C3334" s="14"/>
      <c r="F3334" s="16"/>
      <c r="G3334" s="16"/>
      <c r="H3334" s="14"/>
      <c r="K3334" s="16"/>
      <c r="L3334" s="16"/>
      <c r="M3334" s="14"/>
    </row>
    <row r="3335">
      <c r="A3335" s="16" t="str">
        <f>IFERROR(__xludf.DUMMYFUNCTION("""COMPUTED_VALUE"""),"Abdoul Razak Mahamane Boukari")</f>
        <v>Abdoul Razak Mahamane Boukari</v>
      </c>
      <c r="B3335" s="16"/>
      <c r="C3335" s="14"/>
      <c r="F3335" s="16"/>
      <c r="G3335" s="16"/>
      <c r="H3335" s="14"/>
      <c r="K3335" s="16"/>
      <c r="L3335" s="16"/>
      <c r="M3335" s="14"/>
    </row>
    <row r="3336">
      <c r="A3336" s="16" t="str">
        <f>IFERROR(__xludf.DUMMYFUNCTION("""COMPUTED_VALUE"""),"Abdoul Razak Mahamane Boukari")</f>
        <v>Abdoul Razak Mahamane Boukari</v>
      </c>
      <c r="B3336" s="16"/>
      <c r="C3336" s="14"/>
      <c r="F3336" s="16"/>
      <c r="G3336" s="16"/>
      <c r="H3336" s="14"/>
      <c r="K3336" s="16"/>
      <c r="L3336" s="16"/>
      <c r="M3336" s="14"/>
    </row>
    <row r="3337">
      <c r="A3337" s="16" t="str">
        <f>IFERROR(__xludf.DUMMYFUNCTION("""COMPUTED_VALUE"""),"Aicha Noma")</f>
        <v>Aicha Noma</v>
      </c>
      <c r="B3337" s="16"/>
      <c r="C3337" s="14"/>
      <c r="F3337" s="16"/>
      <c r="G3337" s="16"/>
      <c r="H3337" s="14"/>
      <c r="K3337" s="16"/>
      <c r="L3337" s="16"/>
      <c r="M3337" s="14"/>
    </row>
    <row r="3338">
      <c r="A3338" s="16" t="str">
        <f>IFERROR(__xludf.DUMMYFUNCTION("""COMPUTED_VALUE"""),"ALASSANE TAWEY AWALOU")</f>
        <v>ALASSANE TAWEY AWALOU</v>
      </c>
      <c r="B3338" s="16"/>
      <c r="C3338" s="14"/>
      <c r="F3338" s="16"/>
      <c r="G3338" s="16"/>
      <c r="H3338" s="14"/>
      <c r="K3338" s="16"/>
      <c r="L3338" s="16"/>
      <c r="M3338" s="14"/>
    </row>
    <row r="3339">
      <c r="A3339" s="16" t="str">
        <f>IFERROR(__xludf.DUMMYFUNCTION("""COMPUTED_VALUE"""),"ALASSANE TAWEY AWALOU")</f>
        <v>ALASSANE TAWEY AWALOU</v>
      </c>
      <c r="B3339" s="16"/>
      <c r="C3339" s="14"/>
      <c r="F3339" s="16"/>
      <c r="G3339" s="16"/>
      <c r="H3339" s="14"/>
      <c r="K3339" s="16"/>
      <c r="L3339" s="16"/>
      <c r="M3339" s="14"/>
    </row>
    <row r="3340">
      <c r="A3340" s="16" t="str">
        <f>IFERROR(__xludf.DUMMYFUNCTION("""COMPUTED_VALUE"""),"ALASSANE TAWEY AWALOU")</f>
        <v>ALASSANE TAWEY AWALOU</v>
      </c>
      <c r="B3340" s="16"/>
      <c r="C3340" s="14"/>
      <c r="F3340" s="16"/>
      <c r="G3340" s="16"/>
      <c r="H3340" s="14"/>
      <c r="K3340" s="16"/>
      <c r="L3340" s="16"/>
      <c r="M3340" s="14"/>
    </row>
    <row r="3341">
      <c r="A3341" s="16" t="str">
        <f>IFERROR(__xludf.DUMMYFUNCTION("""COMPUTED_VALUE"""),"ALASSANE TAWEY AWALOU")</f>
        <v>ALASSANE TAWEY AWALOU</v>
      </c>
      <c r="B3341" s="16"/>
      <c r="C3341" s="14"/>
      <c r="F3341" s="16"/>
      <c r="G3341" s="16"/>
      <c r="H3341" s="14"/>
      <c r="K3341" s="16"/>
      <c r="L3341" s="16"/>
      <c r="M3341" s="14"/>
    </row>
    <row r="3342">
      <c r="A3342" s="16" t="str">
        <f>IFERROR(__xludf.DUMMYFUNCTION("""COMPUTED_VALUE"""),"Amadou Hamidou Abdoul Karim")</f>
        <v>Amadou Hamidou Abdoul Karim</v>
      </c>
      <c r="B3342" s="16"/>
      <c r="C3342" s="14"/>
      <c r="F3342" s="16"/>
      <c r="G3342" s="16"/>
      <c r="H3342" s="14"/>
      <c r="K3342" s="16"/>
      <c r="L3342" s="16"/>
      <c r="M3342" s="14"/>
    </row>
    <row r="3343">
      <c r="A3343" s="16" t="str">
        <f>IFERROR(__xludf.DUMMYFUNCTION("""COMPUTED_VALUE"""),"Amadou Hamidou Abdoul Karim")</f>
        <v>Amadou Hamidou Abdoul Karim</v>
      </c>
      <c r="B3343" s="16"/>
      <c r="C3343" s="14"/>
      <c r="F3343" s="16"/>
      <c r="G3343" s="16"/>
      <c r="H3343" s="14"/>
      <c r="K3343" s="16"/>
      <c r="L3343" s="16"/>
      <c r="M3343" s="14"/>
    </row>
    <row r="3344">
      <c r="A3344" s="16" t="str">
        <f>IFERROR(__xludf.DUMMYFUNCTION("""COMPUTED_VALUE"""),"Amadou Hamidou Abdoul Karim")</f>
        <v>Amadou Hamidou Abdoul Karim</v>
      </c>
      <c r="B3344" s="16"/>
      <c r="C3344" s="14"/>
      <c r="F3344" s="16"/>
      <c r="G3344" s="16"/>
      <c r="H3344" s="14"/>
      <c r="K3344" s="16"/>
      <c r="L3344" s="16"/>
      <c r="M3344" s="14"/>
    </row>
    <row r="3345">
      <c r="A3345" s="16" t="str">
        <f>IFERROR(__xludf.DUMMYFUNCTION("""COMPUTED_VALUE"""),"Amadou Hamidou Abdoul Karim")</f>
        <v>Amadou Hamidou Abdoul Karim</v>
      </c>
      <c r="B3345" s="16"/>
      <c r="C3345" s="14"/>
      <c r="F3345" s="16"/>
      <c r="G3345" s="16"/>
      <c r="H3345" s="14"/>
      <c r="K3345" s="16"/>
      <c r="L3345" s="16"/>
      <c r="M3345" s="14"/>
    </row>
    <row r="3346">
      <c r="A3346" s="16" t="str">
        <f>IFERROR(__xludf.DUMMYFUNCTION("""COMPUTED_VALUE"""),"Amadou Hamidou Abdoul Karim")</f>
        <v>Amadou Hamidou Abdoul Karim</v>
      </c>
      <c r="B3346" s="16"/>
      <c r="C3346" s="14"/>
      <c r="F3346" s="16"/>
      <c r="G3346" s="16"/>
      <c r="H3346" s="14"/>
      <c r="K3346" s="16"/>
      <c r="L3346" s="16"/>
      <c r="M3346" s="14"/>
    </row>
    <row r="3347">
      <c r="A3347" s="16" t="str">
        <f>IFERROR(__xludf.DUMMYFUNCTION("""COMPUTED_VALUE"""),"Amadou Hamidou Abdoul Karim")</f>
        <v>Amadou Hamidou Abdoul Karim</v>
      </c>
      <c r="B3347" s="16"/>
      <c r="C3347" s="14"/>
      <c r="F3347" s="16"/>
      <c r="G3347" s="16"/>
      <c r="H3347" s="14"/>
      <c r="K3347" s="16"/>
      <c r="L3347" s="16"/>
      <c r="M3347" s="14"/>
    </row>
    <row r="3348">
      <c r="A3348" s="16" t="str">
        <f>IFERROR(__xludf.DUMMYFUNCTION("""COMPUTED_VALUE"""),"Amadou Hamidou Abdoul Karim")</f>
        <v>Amadou Hamidou Abdoul Karim</v>
      </c>
      <c r="B3348" s="16"/>
      <c r="C3348" s="14"/>
      <c r="F3348" s="16"/>
      <c r="G3348" s="16"/>
      <c r="H3348" s="14"/>
      <c r="K3348" s="16"/>
      <c r="L3348" s="16"/>
      <c r="M3348" s="14"/>
    </row>
    <row r="3349">
      <c r="A3349" s="16" t="str">
        <f>IFERROR(__xludf.DUMMYFUNCTION("""COMPUTED_VALUE"""),"Amadou Hamidou Abdoul Karim")</f>
        <v>Amadou Hamidou Abdoul Karim</v>
      </c>
      <c r="B3349" s="16"/>
      <c r="C3349" s="14"/>
      <c r="F3349" s="16"/>
      <c r="G3349" s="16"/>
      <c r="H3349" s="14"/>
      <c r="K3349" s="16"/>
      <c r="L3349" s="16"/>
      <c r="M3349" s="14"/>
    </row>
    <row r="3350">
      <c r="A3350" s="16" t="str">
        <f>IFERROR(__xludf.DUMMYFUNCTION("""COMPUTED_VALUE"""),"Amadou Hamidou Abdoul Karim")</f>
        <v>Amadou Hamidou Abdoul Karim</v>
      </c>
      <c r="B3350" s="16"/>
      <c r="C3350" s="14"/>
      <c r="F3350" s="16"/>
      <c r="G3350" s="16"/>
      <c r="H3350" s="14"/>
      <c r="K3350" s="16"/>
      <c r="L3350" s="16"/>
      <c r="M3350" s="14"/>
    </row>
    <row r="3351">
      <c r="A3351" s="16" t="str">
        <f>IFERROR(__xludf.DUMMYFUNCTION("""COMPUTED_VALUE"""),"Amadou Hamidou Abdoul Karim")</f>
        <v>Amadou Hamidou Abdoul Karim</v>
      </c>
      <c r="B3351" s="16"/>
      <c r="C3351" s="14"/>
      <c r="F3351" s="16"/>
      <c r="G3351" s="16"/>
      <c r="H3351" s="14"/>
      <c r="K3351" s="16"/>
      <c r="L3351" s="16"/>
      <c r="M3351" s="14"/>
    </row>
    <row r="3352">
      <c r="A3352" s="16" t="str">
        <f>IFERROR(__xludf.DUMMYFUNCTION("""COMPUTED_VALUE"""),"Amadou Hamidou Abdoul Karim")</f>
        <v>Amadou Hamidou Abdoul Karim</v>
      </c>
      <c r="B3352" s="16"/>
      <c r="C3352" s="14"/>
      <c r="F3352" s="16"/>
      <c r="G3352" s="16"/>
      <c r="H3352" s="14"/>
      <c r="K3352" s="16"/>
      <c r="L3352" s="16"/>
      <c r="M3352" s="14"/>
    </row>
    <row r="3353">
      <c r="A3353" s="16" t="str">
        <f>IFERROR(__xludf.DUMMYFUNCTION("""COMPUTED_VALUE"""),"Amadou Hamidou Abdoul Karim")</f>
        <v>Amadou Hamidou Abdoul Karim</v>
      </c>
      <c r="B3353" s="16"/>
      <c r="C3353" s="14"/>
      <c r="F3353" s="16"/>
      <c r="G3353" s="16"/>
      <c r="H3353" s="14"/>
      <c r="K3353" s="16"/>
      <c r="L3353" s="16"/>
      <c r="M3353" s="14"/>
    </row>
    <row r="3354">
      <c r="A3354" s="16" t="str">
        <f>IFERROR(__xludf.DUMMYFUNCTION("""COMPUTED_VALUE"""),"Larabou Chamsoudine")</f>
        <v>Larabou Chamsoudine</v>
      </c>
      <c r="B3354" s="16"/>
      <c r="C3354" s="14"/>
      <c r="F3354" s="16"/>
      <c r="G3354" s="16"/>
      <c r="H3354" s="14"/>
      <c r="K3354" s="16"/>
      <c r="L3354" s="16"/>
      <c r="M3354" s="14"/>
    </row>
    <row r="3355">
      <c r="A3355" s="16" t="str">
        <f>IFERROR(__xludf.DUMMYFUNCTION("""COMPUTED_VALUE"""),"Larabou Chamsoudine")</f>
        <v>Larabou Chamsoudine</v>
      </c>
      <c r="B3355" s="16"/>
      <c r="C3355" s="14"/>
      <c r="F3355" s="16"/>
      <c r="G3355" s="16"/>
      <c r="H3355" s="14"/>
      <c r="K3355" s="16"/>
      <c r="L3355" s="16"/>
      <c r="M3355" s="14"/>
    </row>
    <row r="3356">
      <c r="A3356" s="16" t="str">
        <f>IFERROR(__xludf.DUMMYFUNCTION("""COMPUTED_VALUE"""),"Kadidja Issaka Hamidou")</f>
        <v>Kadidja Issaka Hamidou</v>
      </c>
      <c r="B3356" s="16"/>
      <c r="C3356" s="14"/>
      <c r="F3356" s="16"/>
      <c r="G3356" s="16"/>
      <c r="H3356" s="14"/>
      <c r="K3356" s="16"/>
      <c r="L3356" s="16"/>
      <c r="M3356" s="14"/>
    </row>
    <row r="3357">
      <c r="A3357" s="16" t="str">
        <f>IFERROR(__xludf.DUMMYFUNCTION("""COMPUTED_VALUE"""),"Larabou Chamsoudine")</f>
        <v>Larabou Chamsoudine</v>
      </c>
      <c r="B3357" s="16"/>
      <c r="C3357" s="14"/>
      <c r="F3357" s="16"/>
      <c r="G3357" s="16"/>
      <c r="H3357" s="14"/>
      <c r="K3357" s="16"/>
      <c r="L3357" s="16"/>
      <c r="M3357" s="14"/>
    </row>
    <row r="3358">
      <c r="A3358" s="16" t="str">
        <f>IFERROR(__xludf.DUMMYFUNCTION("""COMPUTED_VALUE"""),"Kadidja Issaka Hamidou")</f>
        <v>Kadidja Issaka Hamidou</v>
      </c>
      <c r="B3358" s="16"/>
      <c r="C3358" s="14"/>
      <c r="F3358" s="16"/>
      <c r="G3358" s="16"/>
      <c r="H3358" s="14"/>
      <c r="K3358" s="16"/>
      <c r="L3358" s="16"/>
      <c r="M3358" s="14"/>
    </row>
    <row r="3359">
      <c r="A3359" s="16" t="str">
        <f>IFERROR(__xludf.DUMMYFUNCTION("""COMPUTED_VALUE"""),"Larabou Chamsoudine")</f>
        <v>Larabou Chamsoudine</v>
      </c>
      <c r="B3359" s="16"/>
      <c r="C3359" s="14"/>
      <c r="F3359" s="16"/>
      <c r="G3359" s="16"/>
      <c r="H3359" s="14"/>
      <c r="K3359" s="16"/>
      <c r="L3359" s="16"/>
      <c r="M3359" s="14"/>
    </row>
    <row r="3360">
      <c r="A3360" s="16" t="str">
        <f>IFERROR(__xludf.DUMMYFUNCTION("""COMPUTED_VALUE"""),"Larabou Chamsoudine")</f>
        <v>Larabou Chamsoudine</v>
      </c>
      <c r="B3360" s="16"/>
      <c r="C3360" s="14"/>
      <c r="F3360" s="16"/>
      <c r="G3360" s="16"/>
      <c r="H3360" s="14"/>
      <c r="K3360" s="16"/>
      <c r="L3360" s="16"/>
      <c r="M3360" s="14"/>
    </row>
    <row r="3361">
      <c r="A3361" s="16" t="str">
        <f>IFERROR(__xludf.DUMMYFUNCTION("""COMPUTED_VALUE"""),"Kadidja Issaka Hamidou")</f>
        <v>Kadidja Issaka Hamidou</v>
      </c>
      <c r="B3361" s="16"/>
      <c r="C3361" s="14"/>
      <c r="F3361" s="16"/>
      <c r="G3361" s="16"/>
      <c r="H3361" s="14"/>
      <c r="K3361" s="16"/>
      <c r="L3361" s="16"/>
      <c r="M3361" s="14"/>
    </row>
    <row r="3362">
      <c r="A3362" s="16" t="str">
        <f>IFERROR(__xludf.DUMMYFUNCTION("""COMPUTED_VALUE"""),"Larabou Chamsoudine")</f>
        <v>Larabou Chamsoudine</v>
      </c>
      <c r="B3362" s="16"/>
      <c r="C3362" s="14"/>
      <c r="F3362" s="16"/>
      <c r="G3362" s="16"/>
      <c r="H3362" s="14"/>
      <c r="K3362" s="16"/>
      <c r="L3362" s="16"/>
      <c r="M3362" s="14"/>
    </row>
    <row r="3363">
      <c r="A3363" s="16" t="str">
        <f>IFERROR(__xludf.DUMMYFUNCTION("""COMPUTED_VALUE"""),"Kadidja Issaka Hamidou")</f>
        <v>Kadidja Issaka Hamidou</v>
      </c>
      <c r="B3363" s="16"/>
      <c r="C3363" s="14"/>
      <c r="F3363" s="16"/>
      <c r="G3363" s="16"/>
      <c r="H3363" s="14"/>
      <c r="K3363" s="16"/>
      <c r="L3363" s="16"/>
      <c r="M3363" s="14"/>
    </row>
    <row r="3364">
      <c r="A3364" s="16" t="str">
        <f>IFERROR(__xludf.DUMMYFUNCTION("""COMPUTED_VALUE"""),"Ibrahim Dan Habou Larwana")</f>
        <v>Ibrahim Dan Habou Larwana</v>
      </c>
      <c r="B3364" s="16"/>
      <c r="C3364" s="14"/>
      <c r="F3364" s="16"/>
      <c r="G3364" s="16"/>
      <c r="H3364" s="14"/>
      <c r="K3364" s="16"/>
      <c r="L3364" s="16"/>
      <c r="M3364" s="14"/>
    </row>
    <row r="3365">
      <c r="A3365" s="16" t="str">
        <f>IFERROR(__xludf.DUMMYFUNCTION("""COMPUTED_VALUE"""),"Ibrahim Dan Habou Larwana")</f>
        <v>Ibrahim Dan Habou Larwana</v>
      </c>
      <c r="B3365" s="16"/>
      <c r="C3365" s="14"/>
      <c r="F3365" s="16"/>
      <c r="G3365" s="16"/>
      <c r="H3365" s="14"/>
      <c r="K3365" s="16"/>
      <c r="L3365" s="16"/>
      <c r="M3365" s="14"/>
    </row>
    <row r="3366">
      <c r="A3366" s="16" t="str">
        <f>IFERROR(__xludf.DUMMYFUNCTION("""COMPUTED_VALUE"""),"Ibrahim Dan Habou Larwana")</f>
        <v>Ibrahim Dan Habou Larwana</v>
      </c>
      <c r="B3366" s="16"/>
      <c r="C3366" s="14"/>
      <c r="F3366" s="16"/>
      <c r="G3366" s="16"/>
      <c r="H3366" s="14"/>
      <c r="K3366" s="16"/>
      <c r="L3366" s="16"/>
      <c r="M3366" s="14"/>
    </row>
    <row r="3367">
      <c r="A3367" s="16" t="str">
        <f>IFERROR(__xludf.DUMMYFUNCTION("""COMPUTED_VALUE"""),"Ibrahim Dan Habou Larwana")</f>
        <v>Ibrahim Dan Habou Larwana</v>
      </c>
      <c r="B3367" s="16"/>
      <c r="C3367" s="14"/>
      <c r="F3367" s="16"/>
      <c r="G3367" s="16"/>
      <c r="H3367" s="14"/>
      <c r="K3367" s="16"/>
      <c r="L3367" s="16"/>
      <c r="M3367" s="14"/>
    </row>
    <row r="3368">
      <c r="A3368" s="16" t="str">
        <f>IFERROR(__xludf.DUMMYFUNCTION("""COMPUTED_VALUE"""),"Ibrahim Dan Habou Larwana")</f>
        <v>Ibrahim Dan Habou Larwana</v>
      </c>
      <c r="B3368" s="16"/>
      <c r="C3368" s="14"/>
      <c r="F3368" s="16"/>
      <c r="G3368" s="16"/>
      <c r="H3368" s="14"/>
      <c r="K3368" s="16"/>
      <c r="L3368" s="16"/>
      <c r="M3368" s="14"/>
    </row>
    <row r="3369">
      <c r="A3369" s="16" t="str">
        <f>IFERROR(__xludf.DUMMYFUNCTION("""COMPUTED_VALUE"""),"Razinatou Salissou")</f>
        <v>Razinatou Salissou</v>
      </c>
      <c r="B3369" s="16"/>
      <c r="C3369" s="14"/>
      <c r="F3369" s="16"/>
      <c r="G3369" s="16"/>
      <c r="H3369" s="14"/>
      <c r="K3369" s="16"/>
      <c r="L3369" s="16"/>
      <c r="M3369" s="14"/>
    </row>
    <row r="3370">
      <c r="A3370" s="16" t="str">
        <f>IFERROR(__xludf.DUMMYFUNCTION("""COMPUTED_VALUE"""),"Razinatou Salissou")</f>
        <v>Razinatou Salissou</v>
      </c>
      <c r="B3370" s="16"/>
      <c r="C3370" s="14"/>
      <c r="F3370" s="16"/>
      <c r="G3370" s="16"/>
      <c r="H3370" s="14"/>
      <c r="K3370" s="16"/>
      <c r="L3370" s="16"/>
      <c r="M3370" s="14"/>
    </row>
    <row r="3371">
      <c r="A3371" s="16" t="str">
        <f>IFERROR(__xludf.DUMMYFUNCTION("""COMPUTED_VALUE"""),"Razinatou Salissou")</f>
        <v>Razinatou Salissou</v>
      </c>
      <c r="B3371" s="16"/>
      <c r="C3371" s="14"/>
      <c r="F3371" s="16"/>
      <c r="G3371" s="16"/>
      <c r="H3371" s="14"/>
      <c r="K3371" s="16"/>
      <c r="L3371" s="16"/>
      <c r="M3371" s="14"/>
    </row>
    <row r="3372">
      <c r="A3372" s="16" t="str">
        <f>IFERROR(__xludf.DUMMYFUNCTION("""COMPUTED_VALUE"""),"Razinatou Salissou")</f>
        <v>Razinatou Salissou</v>
      </c>
      <c r="B3372" s="16"/>
      <c r="C3372" s="14"/>
      <c r="F3372" s="16"/>
      <c r="G3372" s="16"/>
      <c r="H3372" s="14"/>
      <c r="K3372" s="16"/>
      <c r="L3372" s="16"/>
      <c r="M3372" s="14"/>
    </row>
    <row r="3373">
      <c r="A3373" s="16" t="str">
        <f>IFERROR(__xludf.DUMMYFUNCTION("""COMPUTED_VALUE"""),"Razinatou Salissou")</f>
        <v>Razinatou Salissou</v>
      </c>
      <c r="B3373" s="16"/>
      <c r="C3373" s="14"/>
      <c r="F3373" s="16"/>
      <c r="G3373" s="16"/>
      <c r="H3373" s="14"/>
      <c r="K3373" s="16"/>
      <c r="L3373" s="16"/>
      <c r="M3373" s="14"/>
    </row>
    <row r="3374">
      <c r="A3374" s="16" t="str">
        <f>IFERROR(__xludf.DUMMYFUNCTION("""COMPUTED_VALUE"""),"Razinatou Salissou")</f>
        <v>Razinatou Salissou</v>
      </c>
      <c r="B3374" s="16"/>
      <c r="C3374" s="14"/>
      <c r="F3374" s="16"/>
      <c r="G3374" s="16"/>
      <c r="H3374" s="14"/>
      <c r="K3374" s="16"/>
      <c r="L3374" s="16"/>
      <c r="M3374" s="14"/>
    </row>
    <row r="3375">
      <c r="A3375" s="16" t="str">
        <f>IFERROR(__xludf.DUMMYFUNCTION("""COMPUTED_VALUE"""),"Razinatou Salissou")</f>
        <v>Razinatou Salissou</v>
      </c>
      <c r="B3375" s="16"/>
      <c r="C3375" s="14"/>
      <c r="F3375" s="16"/>
      <c r="G3375" s="16"/>
      <c r="H3375" s="14"/>
      <c r="K3375" s="16"/>
      <c r="L3375" s="16"/>
      <c r="M3375" s="14"/>
    </row>
    <row r="3376">
      <c r="A3376" s="16" t="str">
        <f>IFERROR(__xludf.DUMMYFUNCTION("""COMPUTED_VALUE"""),"Asmaou Tanko Issa")</f>
        <v>Asmaou Tanko Issa</v>
      </c>
      <c r="B3376" s="16"/>
      <c r="C3376" s="14"/>
      <c r="F3376" s="16"/>
      <c r="G3376" s="16"/>
      <c r="H3376" s="14"/>
      <c r="K3376" s="16"/>
      <c r="L3376" s="16"/>
      <c r="M3376" s="14"/>
    </row>
    <row r="3377">
      <c r="A3377" s="16" t="str">
        <f>IFERROR(__xludf.DUMMYFUNCTION("""COMPUTED_VALUE"""),"Asmaou Tanko Issa")</f>
        <v>Asmaou Tanko Issa</v>
      </c>
      <c r="B3377" s="16"/>
      <c r="C3377" s="14"/>
      <c r="F3377" s="16"/>
      <c r="G3377" s="16"/>
      <c r="H3377" s="14"/>
      <c r="K3377" s="16"/>
      <c r="L3377" s="16"/>
      <c r="M3377" s="14"/>
    </row>
    <row r="3378">
      <c r="A3378" s="16" t="str">
        <f>IFERROR(__xludf.DUMMYFUNCTION("""COMPUTED_VALUE"""),"Asmaou Tanko Issa")</f>
        <v>Asmaou Tanko Issa</v>
      </c>
      <c r="B3378" s="16"/>
      <c r="C3378" s="14"/>
      <c r="F3378" s="16"/>
      <c r="G3378" s="16"/>
      <c r="H3378" s="14"/>
      <c r="K3378" s="16"/>
      <c r="L3378" s="16"/>
      <c r="M3378" s="14"/>
    </row>
    <row r="3379">
      <c r="A3379" s="16" t="str">
        <f>IFERROR(__xludf.DUMMYFUNCTION("""COMPUTED_VALUE"""),"Gaoh Maazou")</f>
        <v>Gaoh Maazou</v>
      </c>
      <c r="B3379" s="16"/>
      <c r="C3379" s="14"/>
      <c r="F3379" s="16"/>
      <c r="G3379" s="16"/>
      <c r="H3379" s="14"/>
      <c r="K3379" s="16"/>
      <c r="L3379" s="16"/>
      <c r="M3379" s="14"/>
    </row>
    <row r="3380">
      <c r="A3380" s="16" t="str">
        <f>IFERROR(__xludf.DUMMYFUNCTION("""COMPUTED_VALUE"""),"Gaoh Maazou")</f>
        <v>Gaoh Maazou</v>
      </c>
      <c r="B3380" s="16"/>
      <c r="C3380" s="14"/>
      <c r="F3380" s="16"/>
      <c r="G3380" s="16"/>
      <c r="H3380" s="14"/>
      <c r="K3380" s="16"/>
      <c r="L3380" s="16"/>
      <c r="M3380" s="14"/>
    </row>
    <row r="3381">
      <c r="A3381" s="16" t="str">
        <f>IFERROR(__xludf.DUMMYFUNCTION("""COMPUTED_VALUE"""),"Gaoh Maazou")</f>
        <v>Gaoh Maazou</v>
      </c>
      <c r="B3381" s="16"/>
      <c r="C3381" s="14"/>
      <c r="F3381" s="16"/>
      <c r="G3381" s="16"/>
      <c r="H3381" s="14"/>
      <c r="K3381" s="16"/>
      <c r="L3381" s="16"/>
      <c r="M3381" s="14"/>
    </row>
    <row r="3382">
      <c r="A3382" s="16" t="str">
        <f>IFERROR(__xludf.DUMMYFUNCTION("""COMPUTED_VALUE"""),"Yacouba Idé dit Lumana")</f>
        <v>Yacouba Idé dit Lumana</v>
      </c>
      <c r="B3382" s="16"/>
      <c r="C3382" s="14"/>
      <c r="F3382" s="16"/>
      <c r="G3382" s="16"/>
      <c r="H3382" s="14"/>
      <c r="K3382" s="16"/>
      <c r="L3382" s="16"/>
      <c r="M3382" s="14"/>
    </row>
    <row r="3383">
      <c r="A3383" s="16" t="str">
        <f>IFERROR(__xludf.DUMMYFUNCTION("""COMPUTED_VALUE"""),"Yacouba Idé dit Lumana")</f>
        <v>Yacouba Idé dit Lumana</v>
      </c>
      <c r="B3383" s="16"/>
      <c r="C3383" s="14"/>
      <c r="F3383" s="16"/>
      <c r="G3383" s="16"/>
      <c r="H3383" s="14"/>
      <c r="K3383" s="16"/>
      <c r="L3383" s="16"/>
      <c r="M3383" s="14"/>
    </row>
    <row r="3384">
      <c r="A3384" s="16" t="str">
        <f>IFERROR(__xludf.DUMMYFUNCTION("""COMPUTED_VALUE"""),"Yacouba Idé dit Lumana")</f>
        <v>Yacouba Idé dit Lumana</v>
      </c>
      <c r="B3384" s="16"/>
      <c r="C3384" s="14"/>
      <c r="F3384" s="16"/>
      <c r="G3384" s="16"/>
      <c r="H3384" s="14"/>
      <c r="K3384" s="16"/>
      <c r="L3384" s="16"/>
      <c r="M3384" s="14"/>
    </row>
    <row r="3385">
      <c r="A3385" s="16" t="str">
        <f>IFERROR(__xludf.DUMMYFUNCTION("""COMPUTED_VALUE"""),"Yacouba Idé dit Lumana")</f>
        <v>Yacouba Idé dit Lumana</v>
      </c>
      <c r="B3385" s="16"/>
      <c r="C3385" s="14"/>
      <c r="F3385" s="16"/>
      <c r="G3385" s="16"/>
      <c r="H3385" s="14"/>
      <c r="K3385" s="16"/>
      <c r="L3385" s="16"/>
      <c r="M3385" s="14"/>
    </row>
    <row r="3386">
      <c r="A3386" s="16" t="str">
        <f>IFERROR(__xludf.DUMMYFUNCTION("""COMPUTED_VALUE"""),"Maman Ado Abdourahamane")</f>
        <v>Maman Ado Abdourahamane</v>
      </c>
      <c r="B3386" s="16"/>
      <c r="C3386" s="14"/>
      <c r="F3386" s="16"/>
      <c r="G3386" s="16"/>
      <c r="H3386" s="14"/>
      <c r="K3386" s="16"/>
      <c r="L3386" s="16"/>
      <c r="M3386" s="14"/>
    </row>
    <row r="3387">
      <c r="A3387" s="16" t="str">
        <f>IFERROR(__xludf.DUMMYFUNCTION("""COMPUTED_VALUE"""),"Maman Ado Abdourahamane")</f>
        <v>Maman Ado Abdourahamane</v>
      </c>
      <c r="B3387" s="16"/>
      <c r="C3387" s="14"/>
      <c r="F3387" s="16"/>
      <c r="G3387" s="16"/>
      <c r="H3387" s="14"/>
      <c r="K3387" s="16"/>
      <c r="L3387" s="16"/>
      <c r="M3387" s="14"/>
    </row>
    <row r="3388">
      <c r="A3388" s="16" t="str">
        <f>IFERROR(__xludf.DUMMYFUNCTION("""COMPUTED_VALUE"""),"Maman Ado Abdourahamane")</f>
        <v>Maman Ado Abdourahamane</v>
      </c>
      <c r="B3388" s="16"/>
      <c r="C3388" s="14"/>
      <c r="F3388" s="16"/>
      <c r="G3388" s="16"/>
      <c r="H3388" s="14"/>
      <c r="K3388" s="16"/>
      <c r="L3388" s="16"/>
      <c r="M3388" s="14"/>
    </row>
    <row r="3389">
      <c r="A3389" s="16" t="str">
        <f>IFERROR(__xludf.DUMMYFUNCTION("""COMPUTED_VALUE"""),"Maman Ado Abdourahamane")</f>
        <v>Maman Ado Abdourahamane</v>
      </c>
      <c r="B3389" s="16"/>
      <c r="C3389" s="14"/>
      <c r="F3389" s="16"/>
      <c r="G3389" s="16"/>
      <c r="H3389" s="14"/>
      <c r="K3389" s="16"/>
      <c r="L3389" s="16"/>
      <c r="M3389" s="14"/>
    </row>
    <row r="3390">
      <c r="A3390" s="16" t="str">
        <f>IFERROR(__xludf.DUMMYFUNCTION("""COMPUTED_VALUE"""),"Maman Ado Abdourahamane")</f>
        <v>Maman Ado Abdourahamane</v>
      </c>
      <c r="B3390" s="16"/>
      <c r="C3390" s="14"/>
      <c r="F3390" s="16"/>
      <c r="G3390" s="16"/>
      <c r="H3390" s="14"/>
      <c r="K3390" s="16"/>
      <c r="L3390" s="16"/>
      <c r="M3390" s="14"/>
    </row>
    <row r="3391">
      <c r="A3391" s="16" t="str">
        <f>IFERROR(__xludf.DUMMYFUNCTION("""COMPUTED_VALUE"""),"Achirou Malam Dan Maradi Nassirou")</f>
        <v>Achirou Malam Dan Maradi Nassirou</v>
      </c>
      <c r="B3391" s="16"/>
      <c r="C3391" s="14"/>
      <c r="F3391" s="16"/>
      <c r="G3391" s="16"/>
      <c r="H3391" s="14"/>
      <c r="K3391" s="16"/>
      <c r="L3391" s="16"/>
      <c r="M3391" s="14"/>
    </row>
    <row r="3392">
      <c r="A3392" s="16" t="str">
        <f>IFERROR(__xludf.DUMMYFUNCTION("""COMPUTED_VALUE"""),"Achirou Malam Dan Maradi Nassirou")</f>
        <v>Achirou Malam Dan Maradi Nassirou</v>
      </c>
      <c r="B3392" s="16"/>
      <c r="C3392" s="14"/>
      <c r="F3392" s="16"/>
      <c r="G3392" s="16"/>
      <c r="H3392" s="14"/>
      <c r="K3392" s="16"/>
      <c r="L3392" s="16"/>
      <c r="M3392" s="14"/>
    </row>
    <row r="3393">
      <c r="A3393" s="16" t="str">
        <f>IFERROR(__xludf.DUMMYFUNCTION("""COMPUTED_VALUE"""),"Achirou Malam Dan Maradi Nassirou")</f>
        <v>Achirou Malam Dan Maradi Nassirou</v>
      </c>
      <c r="B3393" s="16"/>
      <c r="C3393" s="14"/>
      <c r="F3393" s="16"/>
      <c r="G3393" s="16"/>
      <c r="H3393" s="14"/>
      <c r="K3393" s="16"/>
      <c r="L3393" s="16"/>
      <c r="M3393" s="14"/>
    </row>
    <row r="3394">
      <c r="A3394" s="16" t="str">
        <f>IFERROR(__xludf.DUMMYFUNCTION("""COMPUTED_VALUE"""),"Achirou Malam Dan Maradi Nassirou")</f>
        <v>Achirou Malam Dan Maradi Nassirou</v>
      </c>
      <c r="B3394" s="16"/>
      <c r="C3394" s="14"/>
      <c r="F3394" s="16"/>
      <c r="G3394" s="16"/>
      <c r="H3394" s="14"/>
      <c r="K3394" s="16"/>
      <c r="L3394" s="16"/>
      <c r="M3394" s="14"/>
    </row>
    <row r="3395">
      <c r="A3395" s="16" t="str">
        <f>IFERROR(__xludf.DUMMYFUNCTION("""COMPUTED_VALUE"""),"Achirou Malam Dan Maradi Nassirou")</f>
        <v>Achirou Malam Dan Maradi Nassirou</v>
      </c>
      <c r="B3395" s="16"/>
      <c r="C3395" s="14"/>
      <c r="F3395" s="16"/>
      <c r="G3395" s="16"/>
      <c r="H3395" s="14"/>
      <c r="K3395" s="16"/>
      <c r="L3395" s="16"/>
      <c r="M3395" s="14"/>
    </row>
    <row r="3396">
      <c r="A3396" s="16" t="str">
        <f>IFERROR(__xludf.DUMMYFUNCTION("""COMPUTED_VALUE"""),"Achirou Malam Dan Maradi Nassirou")</f>
        <v>Achirou Malam Dan Maradi Nassirou</v>
      </c>
      <c r="B3396" s="16"/>
      <c r="C3396" s="14"/>
      <c r="F3396" s="16"/>
      <c r="G3396" s="16"/>
      <c r="H3396" s="14"/>
      <c r="K3396" s="16"/>
      <c r="L3396" s="16"/>
      <c r="M3396" s="14"/>
    </row>
    <row r="3397">
      <c r="A3397" s="16" t="str">
        <f>IFERROR(__xludf.DUMMYFUNCTION("""COMPUTED_VALUE"""),"Achirou Malam Dan Maradi Nassirou")</f>
        <v>Achirou Malam Dan Maradi Nassirou</v>
      </c>
      <c r="B3397" s="16"/>
      <c r="C3397" s="14"/>
      <c r="F3397" s="16"/>
      <c r="G3397" s="16"/>
      <c r="H3397" s="14"/>
      <c r="K3397" s="16"/>
      <c r="L3397" s="16"/>
      <c r="M3397" s="14"/>
    </row>
    <row r="3398">
      <c r="A3398" s="16" t="str">
        <f>IFERROR(__xludf.DUMMYFUNCTION("""COMPUTED_VALUE"""),"Mohamed Cherif")</f>
        <v>Mohamed Cherif</v>
      </c>
      <c r="B3398" s="16"/>
      <c r="C3398" s="14"/>
      <c r="F3398" s="16"/>
      <c r="G3398" s="16"/>
      <c r="H3398" s="14"/>
      <c r="K3398" s="16"/>
      <c r="L3398" s="16"/>
      <c r="M3398" s="14"/>
    </row>
    <row r="3399">
      <c r="A3399" s="16" t="str">
        <f>IFERROR(__xludf.DUMMYFUNCTION("""COMPUTED_VALUE"""),"Mohamed Cherif")</f>
        <v>Mohamed Cherif</v>
      </c>
      <c r="B3399" s="16"/>
      <c r="C3399" s="14"/>
      <c r="F3399" s="16"/>
      <c r="G3399" s="16"/>
      <c r="H3399" s="14"/>
      <c r="K3399" s="16"/>
      <c r="L3399" s="16"/>
      <c r="M3399" s="14"/>
    </row>
    <row r="3400">
      <c r="A3400" s="16" t="str">
        <f>IFERROR(__xludf.DUMMYFUNCTION("""COMPUTED_VALUE"""),"Mohamed Cherif")</f>
        <v>Mohamed Cherif</v>
      </c>
      <c r="B3400" s="16"/>
      <c r="C3400" s="14"/>
      <c r="F3400" s="16"/>
      <c r="G3400" s="16"/>
      <c r="H3400" s="14"/>
      <c r="K3400" s="16"/>
      <c r="L3400" s="16"/>
      <c r="M3400" s="14"/>
    </row>
    <row r="3401">
      <c r="A3401" s="16" t="str">
        <f>IFERROR(__xludf.DUMMYFUNCTION("""COMPUTED_VALUE"""),"Mohamed Cherif")</f>
        <v>Mohamed Cherif</v>
      </c>
      <c r="B3401" s="16"/>
      <c r="C3401" s="14"/>
      <c r="F3401" s="16"/>
      <c r="G3401" s="16"/>
      <c r="H3401" s="14"/>
      <c r="K3401" s="16"/>
      <c r="L3401" s="16"/>
      <c r="M3401" s="14"/>
    </row>
    <row r="3402">
      <c r="A3402" s="16" t="str">
        <f>IFERROR(__xludf.DUMMYFUNCTION("""COMPUTED_VALUE"""),"Mohamed Cherif")</f>
        <v>Mohamed Cherif</v>
      </c>
      <c r="B3402" s="16"/>
      <c r="C3402" s="14"/>
      <c r="F3402" s="16"/>
      <c r="G3402" s="16"/>
      <c r="H3402" s="14"/>
      <c r="K3402" s="16"/>
      <c r="L3402" s="16"/>
      <c r="M3402" s="14"/>
    </row>
    <row r="3403">
      <c r="A3403" s="16" t="str">
        <f>IFERROR(__xludf.DUMMYFUNCTION("""COMPUTED_VALUE"""),"Kailou Hamidou Rainatou")</f>
        <v>Kailou Hamidou Rainatou</v>
      </c>
      <c r="B3403" s="16"/>
      <c r="C3403" s="14"/>
      <c r="F3403" s="16"/>
      <c r="G3403" s="16"/>
      <c r="H3403" s="14"/>
      <c r="K3403" s="16"/>
      <c r="L3403" s="16"/>
      <c r="M3403" s="14"/>
    </row>
    <row r="3404">
      <c r="A3404" s="16" t="str">
        <f>IFERROR(__xludf.DUMMYFUNCTION("""COMPUTED_VALUE"""),"Aboubacar Hamadou Manga")</f>
        <v>Aboubacar Hamadou Manga</v>
      </c>
      <c r="B3404" s="16"/>
      <c r="C3404" s="14"/>
      <c r="F3404" s="16"/>
      <c r="G3404" s="16"/>
      <c r="H3404" s="14"/>
      <c r="K3404" s="16"/>
      <c r="L3404" s="16"/>
      <c r="M3404" s="14"/>
    </row>
    <row r="3405">
      <c r="A3405" s="16" t="str">
        <f>IFERROR(__xludf.DUMMYFUNCTION("""COMPUTED_VALUE"""),"Aboubacar Hamadou Manga")</f>
        <v>Aboubacar Hamadou Manga</v>
      </c>
      <c r="B3405" s="16"/>
      <c r="C3405" s="14"/>
      <c r="F3405" s="16"/>
      <c r="G3405" s="16"/>
      <c r="H3405" s="14"/>
      <c r="K3405" s="16"/>
      <c r="L3405" s="16"/>
      <c r="M3405" s="14"/>
    </row>
    <row r="3406">
      <c r="A3406" s="16" t="str">
        <f>IFERROR(__xludf.DUMMYFUNCTION("""COMPUTED_VALUE"""),"Aboubacar Hamadou Manga")</f>
        <v>Aboubacar Hamadou Manga</v>
      </c>
      <c r="B3406" s="16"/>
      <c r="C3406" s="14"/>
      <c r="F3406" s="16"/>
      <c r="G3406" s="16"/>
      <c r="H3406" s="14"/>
      <c r="K3406" s="16"/>
      <c r="L3406" s="16"/>
      <c r="M3406" s="14"/>
    </row>
    <row r="3407">
      <c r="A3407" s="16" t="str">
        <f>IFERROR(__xludf.DUMMYFUNCTION("""COMPUTED_VALUE"""),"Aboubacar Hamadou Manga")</f>
        <v>Aboubacar Hamadou Manga</v>
      </c>
      <c r="B3407" s="16"/>
      <c r="C3407" s="14"/>
      <c r="F3407" s="16"/>
      <c r="G3407" s="16"/>
      <c r="H3407" s="14"/>
      <c r="K3407" s="16"/>
      <c r="L3407" s="16"/>
      <c r="M3407" s="14"/>
    </row>
    <row r="3408">
      <c r="A3408" s="16" t="str">
        <f>IFERROR(__xludf.DUMMYFUNCTION("""COMPUTED_VALUE"""),"Kailou Hamidou Rainatou")</f>
        <v>Kailou Hamidou Rainatou</v>
      </c>
      <c r="B3408" s="16"/>
      <c r="C3408" s="14"/>
      <c r="F3408" s="16"/>
      <c r="G3408" s="16"/>
      <c r="H3408" s="14"/>
      <c r="K3408" s="16"/>
      <c r="L3408" s="16"/>
      <c r="M3408" s="14"/>
    </row>
    <row r="3409">
      <c r="A3409" s="16" t="str">
        <f>IFERROR(__xludf.DUMMYFUNCTION("""COMPUTED_VALUE"""),"Mohamadou Amadou")</f>
        <v>Mohamadou Amadou</v>
      </c>
      <c r="B3409" s="16"/>
      <c r="C3409" s="14"/>
      <c r="F3409" s="16"/>
      <c r="G3409" s="16"/>
      <c r="H3409" s="14"/>
      <c r="K3409" s="16"/>
      <c r="L3409" s="16"/>
      <c r="M3409" s="14"/>
    </row>
    <row r="3410">
      <c r="A3410" s="16" t="str">
        <f>IFERROR(__xludf.DUMMYFUNCTION("""COMPUTED_VALUE"""),"Rabi Boubacar Younoussa")</f>
        <v>Rabi Boubacar Younoussa</v>
      </c>
      <c r="B3410" s="16"/>
      <c r="C3410" s="14"/>
      <c r="F3410" s="16"/>
      <c r="G3410" s="16"/>
      <c r="H3410" s="14"/>
      <c r="K3410" s="16"/>
      <c r="L3410" s="16"/>
      <c r="M3410" s="14"/>
    </row>
    <row r="3411">
      <c r="A3411" s="16" t="str">
        <f>IFERROR(__xludf.DUMMYFUNCTION("""COMPUTED_VALUE"""),"Abdoul Salami Ibrahim")</f>
        <v>Abdoul Salami Ibrahim</v>
      </c>
      <c r="B3411" s="16"/>
      <c r="C3411" s="14"/>
      <c r="F3411" s="16"/>
      <c r="G3411" s="16"/>
      <c r="H3411" s="14"/>
      <c r="K3411" s="16"/>
      <c r="L3411" s="16"/>
      <c r="M3411" s="14"/>
    </row>
    <row r="3412">
      <c r="A3412" s="16" t="str">
        <f>IFERROR(__xludf.DUMMYFUNCTION("""COMPUTED_VALUE"""),"Mohamadou Amadou")</f>
        <v>Mohamadou Amadou</v>
      </c>
      <c r="B3412" s="16"/>
      <c r="C3412" s="14"/>
      <c r="F3412" s="16"/>
      <c r="G3412" s="16"/>
      <c r="H3412" s="14"/>
      <c r="K3412" s="16"/>
      <c r="L3412" s="16"/>
      <c r="M3412" s="14"/>
    </row>
    <row r="3413">
      <c r="A3413" s="16" t="str">
        <f>IFERROR(__xludf.DUMMYFUNCTION("""COMPUTED_VALUE"""),"Abdoul Salami Ibrahim")</f>
        <v>Abdoul Salami Ibrahim</v>
      </c>
      <c r="B3413" s="16"/>
      <c r="C3413" s="14"/>
      <c r="F3413" s="16"/>
      <c r="G3413" s="16"/>
      <c r="H3413" s="14"/>
      <c r="K3413" s="16"/>
      <c r="L3413" s="16"/>
      <c r="M3413" s="14"/>
    </row>
    <row r="3414">
      <c r="A3414" s="16" t="str">
        <f>IFERROR(__xludf.DUMMYFUNCTION("""COMPUTED_VALUE"""),"Mohamadou Amadou")</f>
        <v>Mohamadou Amadou</v>
      </c>
      <c r="B3414" s="16"/>
      <c r="C3414" s="14"/>
      <c r="F3414" s="16"/>
      <c r="G3414" s="16"/>
      <c r="H3414" s="14"/>
      <c r="K3414" s="16"/>
      <c r="L3414" s="16"/>
      <c r="M3414" s="14"/>
    </row>
    <row r="3415">
      <c r="A3415" s="16" t="str">
        <f>IFERROR(__xludf.DUMMYFUNCTION("""COMPUTED_VALUE"""),"Abdoul Salami Ibrahim")</f>
        <v>Abdoul Salami Ibrahim</v>
      </c>
      <c r="B3415" s="16"/>
      <c r="C3415" s="14"/>
      <c r="F3415" s="16"/>
      <c r="G3415" s="16"/>
      <c r="H3415" s="14"/>
      <c r="K3415" s="16"/>
      <c r="L3415" s="16"/>
      <c r="M3415" s="14"/>
    </row>
    <row r="3416">
      <c r="A3416" s="16" t="str">
        <f>IFERROR(__xludf.DUMMYFUNCTION("""COMPUTED_VALUE"""),"Mohamadou Amadou")</f>
        <v>Mohamadou Amadou</v>
      </c>
      <c r="B3416" s="16"/>
      <c r="C3416" s="14"/>
      <c r="F3416" s="16"/>
      <c r="G3416" s="16"/>
      <c r="H3416" s="14"/>
      <c r="K3416" s="16"/>
      <c r="L3416" s="16"/>
      <c r="M3416" s="14"/>
    </row>
    <row r="3417">
      <c r="A3417" s="16" t="str">
        <f>IFERROR(__xludf.DUMMYFUNCTION("""COMPUTED_VALUE"""),"Abdoul Salami Ibrahim")</f>
        <v>Abdoul Salami Ibrahim</v>
      </c>
      <c r="B3417" s="16"/>
      <c r="C3417" s="14"/>
      <c r="F3417" s="16"/>
      <c r="G3417" s="16"/>
      <c r="H3417" s="14"/>
      <c r="K3417" s="16"/>
      <c r="L3417" s="16"/>
      <c r="M3417" s="14"/>
    </row>
    <row r="3418">
      <c r="A3418" s="16" t="str">
        <f>IFERROR(__xludf.DUMMYFUNCTION("""COMPUTED_VALUE"""),"Abdoul Salami Ibrahim")</f>
        <v>Abdoul Salami Ibrahim</v>
      </c>
      <c r="B3418" s="16"/>
      <c r="C3418" s="14"/>
      <c r="F3418" s="16"/>
      <c r="G3418" s="16"/>
      <c r="H3418" s="14"/>
      <c r="K3418" s="16"/>
      <c r="L3418" s="16"/>
      <c r="M3418" s="14"/>
    </row>
    <row r="3419">
      <c r="A3419" s="16" t="str">
        <f>IFERROR(__xludf.DUMMYFUNCTION("""COMPUTED_VALUE"""),"Mohamadou Amadou")</f>
        <v>Mohamadou Amadou</v>
      </c>
      <c r="B3419" s="16"/>
      <c r="C3419" s="14"/>
      <c r="F3419" s="16"/>
      <c r="G3419" s="16"/>
      <c r="H3419" s="14"/>
      <c r="K3419" s="16"/>
      <c r="L3419" s="16"/>
      <c r="M3419" s="14"/>
    </row>
    <row r="3420">
      <c r="A3420" s="16" t="str">
        <f>IFERROR(__xludf.DUMMYFUNCTION("""COMPUTED_VALUE"""),"Mohamadou Amadou")</f>
        <v>Mohamadou Amadou</v>
      </c>
      <c r="B3420" s="16"/>
      <c r="C3420" s="14"/>
      <c r="F3420" s="16"/>
      <c r="G3420" s="16"/>
      <c r="H3420" s="14"/>
      <c r="K3420" s="16"/>
      <c r="L3420" s="16"/>
      <c r="M3420" s="14"/>
    </row>
    <row r="3421">
      <c r="A3421" s="16" t="str">
        <f>IFERROR(__xludf.DUMMYFUNCTION("""COMPUTED_VALUE"""),"Abdoul Salami Ibrahim")</f>
        <v>Abdoul Salami Ibrahim</v>
      </c>
      <c r="B3421" s="16"/>
      <c r="C3421" s="14"/>
      <c r="F3421" s="16"/>
      <c r="G3421" s="16"/>
      <c r="H3421" s="14"/>
      <c r="K3421" s="16"/>
      <c r="L3421" s="16"/>
      <c r="M3421" s="14"/>
    </row>
    <row r="3422">
      <c r="A3422" s="16" t="str">
        <f>IFERROR(__xludf.DUMMYFUNCTION("""COMPUTED_VALUE"""),"Mohamadou Amadou")</f>
        <v>Mohamadou Amadou</v>
      </c>
      <c r="B3422" s="16"/>
      <c r="C3422" s="14"/>
      <c r="F3422" s="16"/>
      <c r="G3422" s="16"/>
      <c r="H3422" s="14"/>
      <c r="K3422" s="16"/>
      <c r="L3422" s="16"/>
      <c r="M3422" s="14"/>
    </row>
    <row r="3423">
      <c r="A3423" s="16" t="str">
        <f>IFERROR(__xludf.DUMMYFUNCTION("""COMPUTED_VALUE"""),"Mohamadou Amadou")</f>
        <v>Mohamadou Amadou</v>
      </c>
      <c r="B3423" s="16"/>
      <c r="C3423" s="14"/>
      <c r="F3423" s="16"/>
      <c r="G3423" s="16"/>
      <c r="H3423" s="14"/>
      <c r="K3423" s="16"/>
      <c r="L3423" s="16"/>
      <c r="M3423" s="14"/>
    </row>
    <row r="3424">
      <c r="A3424" s="16" t="str">
        <f>IFERROR(__xludf.DUMMYFUNCTION("""COMPUTED_VALUE"""),"Abdoul Salami Ibrahim")</f>
        <v>Abdoul Salami Ibrahim</v>
      </c>
      <c r="B3424" s="16"/>
      <c r="C3424" s="14"/>
      <c r="F3424" s="16"/>
      <c r="G3424" s="16"/>
      <c r="H3424" s="14"/>
      <c r="K3424" s="16"/>
      <c r="L3424" s="16"/>
      <c r="M3424" s="14"/>
    </row>
    <row r="3425">
      <c r="A3425" s="16" t="str">
        <f>IFERROR(__xludf.DUMMYFUNCTION("""COMPUTED_VALUE"""),"Mohamadou Amadou")</f>
        <v>Mohamadou Amadou</v>
      </c>
      <c r="B3425" s="16"/>
      <c r="C3425" s="14"/>
      <c r="F3425" s="16"/>
      <c r="G3425" s="16"/>
      <c r="H3425" s="14"/>
      <c r="K3425" s="16"/>
      <c r="L3425" s="16"/>
      <c r="M3425" s="14"/>
    </row>
    <row r="3426">
      <c r="A3426" s="16" t="str">
        <f>IFERROR(__xludf.DUMMYFUNCTION("""COMPUTED_VALUE"""),"Abdoul Salami Ibrahim")</f>
        <v>Abdoul Salami Ibrahim</v>
      </c>
      <c r="B3426" s="16"/>
      <c r="C3426" s="14"/>
      <c r="F3426" s="16"/>
      <c r="G3426" s="16"/>
      <c r="H3426" s="14"/>
      <c r="K3426" s="16"/>
      <c r="L3426" s="16"/>
      <c r="M3426" s="14"/>
    </row>
    <row r="3427">
      <c r="A3427" s="16" t="str">
        <f>IFERROR(__xludf.DUMMYFUNCTION("""COMPUTED_VALUE"""),"Mohamadou Amadou")</f>
        <v>Mohamadou Amadou</v>
      </c>
      <c r="B3427" s="16"/>
      <c r="C3427" s="14"/>
      <c r="F3427" s="16"/>
      <c r="G3427" s="16"/>
      <c r="H3427" s="14"/>
      <c r="K3427" s="16"/>
      <c r="L3427" s="16"/>
      <c r="M3427" s="14"/>
    </row>
    <row r="3428">
      <c r="A3428" s="16" t="str">
        <f>IFERROR(__xludf.DUMMYFUNCTION("""COMPUTED_VALUE"""),"Mohamadou Amadou")</f>
        <v>Mohamadou Amadou</v>
      </c>
      <c r="B3428" s="16"/>
      <c r="C3428" s="14"/>
      <c r="F3428" s="16"/>
      <c r="G3428" s="16"/>
      <c r="H3428" s="14"/>
      <c r="K3428" s="16"/>
      <c r="L3428" s="16"/>
      <c r="M3428" s="14"/>
    </row>
    <row r="3429">
      <c r="A3429" s="16" t="str">
        <f>IFERROR(__xludf.DUMMYFUNCTION("""COMPUTED_VALUE"""),"Mohamadou Amadou")</f>
        <v>Mohamadou Amadou</v>
      </c>
      <c r="B3429" s="16"/>
      <c r="C3429" s="14"/>
      <c r="F3429" s="16"/>
      <c r="G3429" s="16"/>
      <c r="H3429" s="14"/>
      <c r="K3429" s="16"/>
      <c r="L3429" s="16"/>
      <c r="M3429" s="14"/>
    </row>
    <row r="3430">
      <c r="A3430" s="16" t="str">
        <f>IFERROR(__xludf.DUMMYFUNCTION("""COMPUTED_VALUE"""),"Inoussa Balkissou")</f>
        <v>Inoussa Balkissou</v>
      </c>
      <c r="B3430" s="16"/>
      <c r="C3430" s="14"/>
      <c r="F3430" s="16"/>
      <c r="G3430" s="16"/>
      <c r="H3430" s="14"/>
      <c r="K3430" s="16"/>
      <c r="L3430" s="16"/>
      <c r="M3430" s="14"/>
    </row>
    <row r="3431">
      <c r="A3431" s="16" t="str">
        <f>IFERROR(__xludf.DUMMYFUNCTION("""COMPUTED_VALUE"""),"Inoussa Balkissou")</f>
        <v>Inoussa Balkissou</v>
      </c>
      <c r="B3431" s="16"/>
      <c r="C3431" s="14"/>
      <c r="F3431" s="16"/>
      <c r="G3431" s="16"/>
      <c r="H3431" s="14"/>
      <c r="K3431" s="16"/>
      <c r="L3431" s="16"/>
      <c r="M3431" s="14"/>
    </row>
    <row r="3432">
      <c r="A3432" s="16" t="str">
        <f>IFERROR(__xludf.DUMMYFUNCTION("""COMPUTED_VALUE"""),"Inoussa Balkissou")</f>
        <v>Inoussa Balkissou</v>
      </c>
      <c r="B3432" s="16"/>
      <c r="C3432" s="14"/>
      <c r="F3432" s="16"/>
      <c r="G3432" s="16"/>
      <c r="H3432" s="14"/>
      <c r="K3432" s="16"/>
      <c r="L3432" s="16"/>
      <c r="M3432" s="14"/>
    </row>
    <row r="3433">
      <c r="A3433" s="16" t="str">
        <f>IFERROR(__xludf.DUMMYFUNCTION("""COMPUTED_VALUE"""),"Inoussa Balkissou")</f>
        <v>Inoussa Balkissou</v>
      </c>
      <c r="B3433" s="16"/>
      <c r="C3433" s="14"/>
      <c r="F3433" s="16"/>
      <c r="G3433" s="16"/>
      <c r="H3433" s="14"/>
      <c r="K3433" s="16"/>
      <c r="L3433" s="16"/>
      <c r="M3433" s="14"/>
    </row>
    <row r="3434">
      <c r="A3434" s="16" t="str">
        <f>IFERROR(__xludf.DUMMYFUNCTION("""COMPUTED_VALUE"""),"Inoussa Balkissou")</f>
        <v>Inoussa Balkissou</v>
      </c>
      <c r="B3434" s="16"/>
      <c r="C3434" s="14"/>
      <c r="F3434" s="16"/>
      <c r="G3434" s="16"/>
      <c r="H3434" s="14"/>
      <c r="K3434" s="16"/>
      <c r="L3434" s="16"/>
      <c r="M3434" s="14"/>
    </row>
    <row r="3435">
      <c r="A3435" s="16" t="str">
        <f>IFERROR(__xludf.DUMMYFUNCTION("""COMPUTED_VALUE"""),"Inoussa Balkissou")</f>
        <v>Inoussa Balkissou</v>
      </c>
      <c r="B3435" s="16"/>
      <c r="C3435" s="14"/>
      <c r="F3435" s="16"/>
      <c r="G3435" s="16"/>
      <c r="H3435" s="14"/>
      <c r="K3435" s="16"/>
      <c r="L3435" s="16"/>
      <c r="M3435" s="14"/>
    </row>
    <row r="3436">
      <c r="A3436" s="16" t="str">
        <f>IFERROR(__xludf.DUMMYFUNCTION("""COMPUTED_VALUE"""),"Inoussa Balkissou")</f>
        <v>Inoussa Balkissou</v>
      </c>
      <c r="B3436" s="16"/>
      <c r="C3436" s="14"/>
      <c r="F3436" s="16"/>
      <c r="G3436" s="16"/>
      <c r="H3436" s="14"/>
      <c r="K3436" s="16"/>
      <c r="L3436" s="16"/>
      <c r="M3436" s="14"/>
    </row>
    <row r="3437">
      <c r="A3437" s="16" t="str">
        <f>IFERROR(__xludf.DUMMYFUNCTION("""COMPUTED_VALUE"""),"Amadou Tidjani Ousmane")</f>
        <v>Amadou Tidjani Ousmane</v>
      </c>
      <c r="B3437" s="16"/>
      <c r="C3437" s="14"/>
      <c r="F3437" s="16"/>
      <c r="G3437" s="16"/>
      <c r="H3437" s="14"/>
      <c r="K3437" s="16"/>
      <c r="L3437" s="16"/>
      <c r="M3437" s="14"/>
    </row>
    <row r="3438">
      <c r="A3438" s="16" t="str">
        <f>IFERROR(__xludf.DUMMYFUNCTION("""COMPUTED_VALUE"""),"Kaltoume Kimba")</f>
        <v>Kaltoume Kimba</v>
      </c>
      <c r="B3438" s="16"/>
      <c r="C3438" s="14"/>
      <c r="F3438" s="16"/>
      <c r="G3438" s="16"/>
      <c r="H3438" s="14"/>
      <c r="K3438" s="16"/>
      <c r="L3438" s="16"/>
      <c r="M3438" s="14"/>
    </row>
    <row r="3439">
      <c r="A3439" s="16" t="str">
        <f>IFERROR(__xludf.DUMMYFUNCTION("""COMPUTED_VALUE"""),"Kaltoume Kimba")</f>
        <v>Kaltoume Kimba</v>
      </c>
      <c r="B3439" s="16"/>
      <c r="C3439" s="14"/>
      <c r="F3439" s="16"/>
      <c r="G3439" s="16"/>
      <c r="H3439" s="14"/>
      <c r="K3439" s="16"/>
      <c r="L3439" s="16"/>
      <c r="M3439" s="14"/>
    </row>
    <row r="3440">
      <c r="A3440" s="16" t="str">
        <f>IFERROR(__xludf.DUMMYFUNCTION("""COMPUTED_VALUE"""),"Kaltoume Kimba")</f>
        <v>Kaltoume Kimba</v>
      </c>
      <c r="B3440" s="16"/>
      <c r="C3440" s="14"/>
      <c r="F3440" s="16"/>
      <c r="G3440" s="16"/>
      <c r="H3440" s="14"/>
      <c r="K3440" s="16"/>
      <c r="L3440" s="16"/>
      <c r="M3440" s="14"/>
    </row>
    <row r="3441">
      <c r="A3441" s="16" t="str">
        <f>IFERROR(__xludf.DUMMYFUNCTION("""COMPUTED_VALUE"""),"Kaltoume Kimba")</f>
        <v>Kaltoume Kimba</v>
      </c>
      <c r="B3441" s="16"/>
      <c r="C3441" s="14"/>
      <c r="F3441" s="16"/>
      <c r="G3441" s="16"/>
      <c r="H3441" s="14"/>
      <c r="K3441" s="16"/>
      <c r="L3441" s="16"/>
      <c r="M3441" s="14"/>
    </row>
    <row r="3442">
      <c r="A3442" s="16" t="str">
        <f>IFERROR(__xludf.DUMMYFUNCTION("""COMPUTED_VALUE"""),"Kaltoume Kimba")</f>
        <v>Kaltoume Kimba</v>
      </c>
      <c r="B3442" s="16"/>
      <c r="C3442" s="14"/>
      <c r="F3442" s="16"/>
      <c r="G3442" s="16"/>
      <c r="H3442" s="14"/>
      <c r="K3442" s="16"/>
      <c r="L3442" s="16"/>
      <c r="M3442" s="14"/>
    </row>
    <row r="3443">
      <c r="A3443" s="16" t="str">
        <f>IFERROR(__xludf.DUMMYFUNCTION("""COMPUTED_VALUE"""),"Kaltoume Kimba")</f>
        <v>Kaltoume Kimba</v>
      </c>
      <c r="B3443" s="16"/>
      <c r="C3443" s="14"/>
      <c r="F3443" s="16"/>
      <c r="G3443" s="16"/>
      <c r="H3443" s="14"/>
      <c r="K3443" s="16"/>
      <c r="L3443" s="16"/>
      <c r="M3443" s="14"/>
    </row>
    <row r="3444">
      <c r="A3444" s="16" t="str">
        <f>IFERROR(__xludf.DUMMYFUNCTION("""COMPUTED_VALUE"""),"Kaltoume Kimba")</f>
        <v>Kaltoume Kimba</v>
      </c>
      <c r="B3444" s="16"/>
      <c r="C3444" s="14"/>
      <c r="F3444" s="16"/>
      <c r="G3444" s="16"/>
      <c r="H3444" s="14"/>
      <c r="K3444" s="16"/>
      <c r="L3444" s="16"/>
      <c r="M3444" s="14"/>
    </row>
    <row r="3445">
      <c r="A3445" s="16" t="str">
        <f>IFERROR(__xludf.DUMMYFUNCTION("""COMPUTED_VALUE"""),"Kaltoume Kimba")</f>
        <v>Kaltoume Kimba</v>
      </c>
      <c r="B3445" s="16"/>
      <c r="C3445" s="14"/>
      <c r="F3445" s="16"/>
      <c r="G3445" s="16"/>
      <c r="H3445" s="14"/>
      <c r="K3445" s="16"/>
      <c r="L3445" s="16"/>
      <c r="M3445" s="14"/>
    </row>
    <row r="3446">
      <c r="A3446" s="16" t="str">
        <f>IFERROR(__xludf.DUMMYFUNCTION("""COMPUTED_VALUE"""),"Kaltoume Kimba")</f>
        <v>Kaltoume Kimba</v>
      </c>
      <c r="B3446" s="16"/>
      <c r="C3446" s="14"/>
      <c r="F3446" s="16"/>
      <c r="G3446" s="16"/>
      <c r="H3446" s="14"/>
      <c r="K3446" s="16"/>
      <c r="L3446" s="16"/>
      <c r="M3446" s="14"/>
    </row>
    <row r="3447">
      <c r="A3447" s="16" t="str">
        <f>IFERROR(__xludf.DUMMYFUNCTION("""COMPUTED_VALUE"""),"Achirou kane Abdoul Nasser")</f>
        <v>Achirou kane Abdoul Nasser</v>
      </c>
      <c r="B3447" s="16"/>
      <c r="C3447" s="14"/>
      <c r="F3447" s="16"/>
      <c r="G3447" s="16"/>
      <c r="H3447" s="14"/>
      <c r="K3447" s="16"/>
      <c r="L3447" s="16"/>
      <c r="M3447" s="14"/>
    </row>
    <row r="3448">
      <c r="A3448" s="16" t="str">
        <f>IFERROR(__xludf.DUMMYFUNCTION("""COMPUTED_VALUE"""),"Achirou kane Abdoul Nasser")</f>
        <v>Achirou kane Abdoul Nasser</v>
      </c>
      <c r="B3448" s="16"/>
      <c r="C3448" s="14"/>
      <c r="F3448" s="16"/>
      <c r="G3448" s="16"/>
      <c r="H3448" s="14"/>
      <c r="K3448" s="16"/>
      <c r="L3448" s="16"/>
      <c r="M3448" s="14"/>
    </row>
    <row r="3449">
      <c r="A3449" s="16" t="str">
        <f>IFERROR(__xludf.DUMMYFUNCTION("""COMPUTED_VALUE"""),"Achirou kane Abdoul Nasser")</f>
        <v>Achirou kane Abdoul Nasser</v>
      </c>
      <c r="B3449" s="16"/>
      <c r="C3449" s="14"/>
      <c r="F3449" s="16"/>
      <c r="G3449" s="16"/>
      <c r="H3449" s="14"/>
      <c r="K3449" s="16"/>
      <c r="L3449" s="16"/>
      <c r="M3449" s="14"/>
    </row>
    <row r="3450">
      <c r="A3450" s="16" t="str">
        <f>IFERROR(__xludf.DUMMYFUNCTION("""COMPUTED_VALUE"""),"Achirou kane Abdoul Nasser")</f>
        <v>Achirou kane Abdoul Nasser</v>
      </c>
      <c r="B3450" s="16"/>
      <c r="C3450" s="14"/>
      <c r="F3450" s="16"/>
      <c r="G3450" s="16"/>
      <c r="H3450" s="14"/>
      <c r="K3450" s="16"/>
      <c r="L3450" s="16"/>
      <c r="M3450" s="14"/>
    </row>
    <row r="3451">
      <c r="A3451" s="16" t="str">
        <f>IFERROR(__xludf.DUMMYFUNCTION("""COMPUTED_VALUE"""),"Achirou kane Abdoul Nasser")</f>
        <v>Achirou kane Abdoul Nasser</v>
      </c>
      <c r="B3451" s="16"/>
      <c r="C3451" s="14"/>
      <c r="F3451" s="16"/>
      <c r="G3451" s="16"/>
      <c r="H3451" s="14"/>
      <c r="K3451" s="16"/>
      <c r="L3451" s="16"/>
      <c r="M3451" s="14"/>
    </row>
    <row r="3452">
      <c r="A3452" s="16" t="str">
        <f>IFERROR(__xludf.DUMMYFUNCTION("""COMPUTED_VALUE"""),"Achirou kane Abdoul Nasser")</f>
        <v>Achirou kane Abdoul Nasser</v>
      </c>
      <c r="B3452" s="16"/>
      <c r="C3452" s="14"/>
      <c r="F3452" s="16"/>
      <c r="G3452" s="16"/>
      <c r="H3452" s="14"/>
      <c r="K3452" s="16"/>
      <c r="L3452" s="16"/>
      <c r="M3452" s="14"/>
    </row>
    <row r="3453">
      <c r="A3453" s="16" t="str">
        <f>IFERROR(__xludf.DUMMYFUNCTION("""COMPUTED_VALUE"""),"Achirou kane Abdoul Nasser")</f>
        <v>Achirou kane Abdoul Nasser</v>
      </c>
      <c r="B3453" s="16"/>
      <c r="C3453" s="14"/>
      <c r="F3453" s="16"/>
      <c r="G3453" s="16"/>
      <c r="H3453" s="14"/>
      <c r="K3453" s="16"/>
      <c r="L3453" s="16"/>
      <c r="M3453" s="14"/>
    </row>
    <row r="3454">
      <c r="A3454" s="16" t="str">
        <f>IFERROR(__xludf.DUMMYFUNCTION("""COMPUTED_VALUE"""),"Achirou kane Abdoul Nasser")</f>
        <v>Achirou kane Abdoul Nasser</v>
      </c>
      <c r="B3454" s="16"/>
      <c r="C3454" s="14"/>
      <c r="F3454" s="16"/>
      <c r="G3454" s="16"/>
      <c r="H3454" s="14"/>
      <c r="K3454" s="16"/>
      <c r="L3454" s="16"/>
      <c r="M3454" s="14"/>
    </row>
    <row r="3455">
      <c r="A3455" s="16" t="str">
        <f>IFERROR(__xludf.DUMMYFUNCTION("""COMPUTED_VALUE"""),"Achirou kane Abdoul Nasser")</f>
        <v>Achirou kane Abdoul Nasser</v>
      </c>
      <c r="B3455" s="16"/>
      <c r="C3455" s="14"/>
      <c r="F3455" s="16"/>
      <c r="G3455" s="16"/>
      <c r="H3455" s="14"/>
      <c r="K3455" s="16"/>
      <c r="L3455" s="16"/>
      <c r="M3455" s="14"/>
    </row>
    <row r="3456">
      <c r="A3456" s="16" t="str">
        <f>IFERROR(__xludf.DUMMYFUNCTION("""COMPUTED_VALUE"""),"Achirou kane Abdoul Nasser")</f>
        <v>Achirou kane Abdoul Nasser</v>
      </c>
      <c r="B3456" s="16"/>
      <c r="C3456" s="14"/>
      <c r="F3456" s="16"/>
      <c r="G3456" s="16"/>
      <c r="H3456" s="14"/>
      <c r="K3456" s="16"/>
      <c r="L3456" s="16"/>
      <c r="M3456" s="14"/>
    </row>
    <row r="3457">
      <c r="A3457" s="16" t="str">
        <f>IFERROR(__xludf.DUMMYFUNCTION("""COMPUTED_VALUE"""),"Binta Maikano Mahamane")</f>
        <v>Binta Maikano Mahamane</v>
      </c>
      <c r="B3457" s="16"/>
      <c r="C3457" s="14"/>
      <c r="F3457" s="16"/>
      <c r="G3457" s="16"/>
      <c r="H3457" s="14"/>
      <c r="K3457" s="16"/>
      <c r="L3457" s="16"/>
      <c r="M3457" s="14"/>
    </row>
    <row r="3458">
      <c r="A3458" s="16" t="str">
        <f>IFERROR(__xludf.DUMMYFUNCTION("""COMPUTED_VALUE"""),"Binta Maikano Mahamane")</f>
        <v>Binta Maikano Mahamane</v>
      </c>
      <c r="B3458" s="16"/>
      <c r="C3458" s="14"/>
      <c r="F3458" s="16"/>
      <c r="G3458" s="16"/>
      <c r="H3458" s="14"/>
      <c r="K3458" s="16"/>
      <c r="L3458" s="16"/>
      <c r="M3458" s="14"/>
    </row>
    <row r="3459">
      <c r="A3459" s="16" t="str">
        <f>IFERROR(__xludf.DUMMYFUNCTION("""COMPUTED_VALUE"""),"Binta Maikano Mahamane")</f>
        <v>Binta Maikano Mahamane</v>
      </c>
      <c r="B3459" s="16"/>
      <c r="C3459" s="14"/>
      <c r="F3459" s="16"/>
      <c r="G3459" s="16"/>
      <c r="H3459" s="14"/>
      <c r="K3459" s="16"/>
      <c r="L3459" s="16"/>
      <c r="M3459" s="14"/>
    </row>
    <row r="3460">
      <c r="A3460" s="16" t="str">
        <f>IFERROR(__xludf.DUMMYFUNCTION("""COMPUTED_VALUE"""),"Amadou Tidjani Ousmane")</f>
        <v>Amadou Tidjani Ousmane</v>
      </c>
      <c r="B3460" s="16"/>
      <c r="C3460" s="14"/>
      <c r="F3460" s="16"/>
      <c r="G3460" s="16"/>
      <c r="H3460" s="14"/>
      <c r="K3460" s="16"/>
      <c r="L3460" s="16"/>
      <c r="M3460" s="14"/>
    </row>
    <row r="3461">
      <c r="A3461" s="16" t="str">
        <f>IFERROR(__xludf.DUMMYFUNCTION("""COMPUTED_VALUE"""),"Amadou Tidjani Ousmane")</f>
        <v>Amadou Tidjani Ousmane</v>
      </c>
      <c r="B3461" s="16"/>
      <c r="C3461" s="14"/>
      <c r="F3461" s="16"/>
      <c r="G3461" s="16"/>
      <c r="H3461" s="14"/>
      <c r="K3461" s="16"/>
      <c r="L3461" s="16"/>
      <c r="M3461" s="14"/>
    </row>
    <row r="3462">
      <c r="A3462" s="16" t="str">
        <f>IFERROR(__xludf.DUMMYFUNCTION("""COMPUTED_VALUE"""),"Amadou Tidjani Ousmane")</f>
        <v>Amadou Tidjani Ousmane</v>
      </c>
      <c r="B3462" s="16"/>
      <c r="C3462" s="14"/>
      <c r="F3462" s="16"/>
      <c r="G3462" s="16"/>
      <c r="H3462" s="14"/>
      <c r="K3462" s="16"/>
      <c r="L3462" s="16"/>
      <c r="M3462" s="14"/>
    </row>
    <row r="3463">
      <c r="A3463" s="16" t="str">
        <f>IFERROR(__xludf.DUMMYFUNCTION("""COMPUTED_VALUE"""),"Amadou Tidjani Ousmane")</f>
        <v>Amadou Tidjani Ousmane</v>
      </c>
      <c r="B3463" s="16"/>
      <c r="C3463" s="14"/>
      <c r="F3463" s="16"/>
      <c r="G3463" s="16"/>
      <c r="H3463" s="14"/>
      <c r="K3463" s="16"/>
      <c r="L3463" s="16"/>
      <c r="M3463" s="14"/>
    </row>
    <row r="3464">
      <c r="A3464" s="16" t="str">
        <f>IFERROR(__xludf.DUMMYFUNCTION("""COMPUTED_VALUE"""),"Amadou Tidjani Ousmane")</f>
        <v>Amadou Tidjani Ousmane</v>
      </c>
      <c r="B3464" s="16"/>
      <c r="C3464" s="14"/>
      <c r="F3464" s="16"/>
      <c r="G3464" s="16"/>
      <c r="H3464" s="14"/>
      <c r="K3464" s="16"/>
      <c r="L3464" s="16"/>
      <c r="M3464" s="14"/>
    </row>
    <row r="3465">
      <c r="A3465" s="16" t="str">
        <f>IFERROR(__xludf.DUMMYFUNCTION("""COMPUTED_VALUE"""),"Amadou Tidjani Ousmane")</f>
        <v>Amadou Tidjani Ousmane</v>
      </c>
      <c r="B3465" s="16"/>
      <c r="C3465" s="14"/>
      <c r="F3465" s="16"/>
      <c r="G3465" s="16"/>
      <c r="H3465" s="14"/>
      <c r="K3465" s="16"/>
      <c r="L3465" s="16"/>
      <c r="M3465" s="14"/>
    </row>
    <row r="3466">
      <c r="A3466" s="16" t="str">
        <f>IFERROR(__xludf.DUMMYFUNCTION("""COMPUTED_VALUE"""),"Amadou Tidjani Ousmane")</f>
        <v>Amadou Tidjani Ousmane</v>
      </c>
      <c r="B3466" s="16"/>
      <c r="C3466" s="14"/>
      <c r="F3466" s="16"/>
      <c r="G3466" s="16"/>
      <c r="H3466" s="14"/>
      <c r="K3466" s="16"/>
      <c r="L3466" s="16"/>
      <c r="M3466" s="14"/>
    </row>
    <row r="3467">
      <c r="A3467" s="16" t="str">
        <f>IFERROR(__xludf.DUMMYFUNCTION("""COMPUTED_VALUE"""),"Amadou Tidjani Ousmane")</f>
        <v>Amadou Tidjani Ousmane</v>
      </c>
      <c r="B3467" s="16"/>
      <c r="C3467" s="14"/>
      <c r="F3467" s="16"/>
      <c r="G3467" s="16"/>
      <c r="H3467" s="14"/>
      <c r="K3467" s="16"/>
      <c r="L3467" s="16"/>
      <c r="M3467" s="14"/>
    </row>
    <row r="3468">
      <c r="A3468" s="16" t="str">
        <f>IFERROR(__xludf.DUMMYFUNCTION("""COMPUTED_VALUE"""),"Amadou Tidjani Ousmane")</f>
        <v>Amadou Tidjani Ousmane</v>
      </c>
      <c r="B3468" s="16"/>
      <c r="C3468" s="14"/>
      <c r="F3468" s="16"/>
      <c r="G3468" s="16"/>
      <c r="H3468" s="14"/>
      <c r="K3468" s="16"/>
      <c r="L3468" s="16"/>
      <c r="M3468" s="14"/>
    </row>
    <row r="3469">
      <c r="A3469" s="16" t="str">
        <f>IFERROR(__xludf.DUMMYFUNCTION("""COMPUTED_VALUE"""),"Amadou Tidjani Ousmane")</f>
        <v>Amadou Tidjani Ousmane</v>
      </c>
      <c r="B3469" s="16"/>
      <c r="C3469" s="14"/>
      <c r="F3469" s="16"/>
      <c r="G3469" s="16"/>
      <c r="H3469" s="14"/>
      <c r="K3469" s="16"/>
      <c r="L3469" s="16"/>
      <c r="M3469" s="14"/>
    </row>
    <row r="3470">
      <c r="A3470" s="16" t="str">
        <f>IFERROR(__xludf.DUMMYFUNCTION("""COMPUTED_VALUE"""),"Amadou Tidjani Ousmane")</f>
        <v>Amadou Tidjani Ousmane</v>
      </c>
      <c r="B3470" s="16"/>
      <c r="C3470" s="14"/>
      <c r="F3470" s="16"/>
      <c r="G3470" s="16"/>
      <c r="H3470" s="14"/>
      <c r="K3470" s="16"/>
      <c r="L3470" s="16"/>
      <c r="M3470" s="14"/>
    </row>
    <row r="3471">
      <c r="A3471" s="16" t="str">
        <f>IFERROR(__xludf.DUMMYFUNCTION("""COMPUTED_VALUE"""),"Amadou Tidjani Ousmane")</f>
        <v>Amadou Tidjani Ousmane</v>
      </c>
      <c r="B3471" s="16"/>
      <c r="C3471" s="14"/>
      <c r="F3471" s="16"/>
      <c r="G3471" s="16"/>
      <c r="H3471" s="14"/>
      <c r="K3471" s="16"/>
      <c r="L3471" s="16"/>
      <c r="M3471" s="14"/>
    </row>
    <row r="3472">
      <c r="A3472" s="16" t="str">
        <f>IFERROR(__xludf.DUMMYFUNCTION("""COMPUTED_VALUE"""),"Amadou Tidjani Ousmane")</f>
        <v>Amadou Tidjani Ousmane</v>
      </c>
      <c r="B3472" s="16"/>
      <c r="C3472" s="14"/>
      <c r="F3472" s="16"/>
      <c r="G3472" s="16"/>
      <c r="H3472" s="14"/>
      <c r="K3472" s="16"/>
      <c r="L3472" s="16"/>
      <c r="M3472" s="14"/>
    </row>
    <row r="3473">
      <c r="A3473" s="16" t="str">
        <f>IFERROR(__xludf.DUMMYFUNCTION("""COMPUTED_VALUE"""),"Amadou Tidjani Ousmane")</f>
        <v>Amadou Tidjani Ousmane</v>
      </c>
      <c r="B3473" s="16"/>
      <c r="C3473" s="14"/>
      <c r="F3473" s="16"/>
      <c r="G3473" s="16"/>
      <c r="H3473" s="14"/>
      <c r="K3473" s="16"/>
      <c r="L3473" s="16"/>
      <c r="M3473" s="14"/>
    </row>
    <row r="3474">
      <c r="A3474" s="16" t="str">
        <f>IFERROR(__xludf.DUMMYFUNCTION("""COMPUTED_VALUE"""),"Amadou Tidjani Ousmane")</f>
        <v>Amadou Tidjani Ousmane</v>
      </c>
      <c r="B3474" s="16"/>
      <c r="C3474" s="14"/>
      <c r="F3474" s="16"/>
      <c r="G3474" s="16"/>
      <c r="H3474" s="14"/>
      <c r="K3474" s="16"/>
      <c r="L3474" s="16"/>
      <c r="M3474" s="14"/>
    </row>
    <row r="3475">
      <c r="A3475" s="16" t="str">
        <f>IFERROR(__xludf.DUMMYFUNCTION("""COMPUTED_VALUE"""),"Amadou Tidjani Ousmane")</f>
        <v>Amadou Tidjani Ousmane</v>
      </c>
      <c r="B3475" s="16"/>
      <c r="C3475" s="14"/>
      <c r="F3475" s="16"/>
      <c r="G3475" s="16"/>
      <c r="H3475" s="14"/>
      <c r="K3475" s="16"/>
      <c r="L3475" s="16"/>
      <c r="M3475" s="14"/>
    </row>
    <row r="3476">
      <c r="A3476" s="16" t="str">
        <f>IFERROR(__xludf.DUMMYFUNCTION("""COMPUTED_VALUE"""),"Amadou Tidjani Ousmane")</f>
        <v>Amadou Tidjani Ousmane</v>
      </c>
      <c r="B3476" s="16"/>
      <c r="C3476" s="14"/>
      <c r="F3476" s="16"/>
      <c r="G3476" s="16"/>
      <c r="H3476" s="14"/>
      <c r="K3476" s="16"/>
      <c r="L3476" s="16"/>
      <c r="M3476" s="14"/>
    </row>
    <row r="3477">
      <c r="A3477" s="16" t="str">
        <f>IFERROR(__xludf.DUMMYFUNCTION("""COMPUTED_VALUE"""),"Amadou Tidjani Ousmane")</f>
        <v>Amadou Tidjani Ousmane</v>
      </c>
      <c r="B3477" s="16"/>
      <c r="C3477" s="14"/>
      <c r="F3477" s="16"/>
      <c r="G3477" s="16"/>
      <c r="H3477" s="14"/>
      <c r="K3477" s="16"/>
      <c r="L3477" s="16"/>
      <c r="M3477" s="14"/>
    </row>
    <row r="3478">
      <c r="A3478" s="16" t="str">
        <f>IFERROR(__xludf.DUMMYFUNCTION("""COMPUTED_VALUE"""),"Amadou Tidjani Ousmane")</f>
        <v>Amadou Tidjani Ousmane</v>
      </c>
      <c r="B3478" s="16"/>
      <c r="C3478" s="14"/>
      <c r="F3478" s="16"/>
      <c r="G3478" s="16"/>
      <c r="H3478" s="14"/>
      <c r="K3478" s="16"/>
      <c r="L3478" s="16"/>
      <c r="M3478" s="14"/>
    </row>
    <row r="3479">
      <c r="A3479" s="16" t="str">
        <f>IFERROR(__xludf.DUMMYFUNCTION("""COMPUTED_VALUE"""),"Amadou Tidjani Ousmane")</f>
        <v>Amadou Tidjani Ousmane</v>
      </c>
      <c r="B3479" s="16"/>
      <c r="C3479" s="14"/>
      <c r="F3479" s="16"/>
      <c r="G3479" s="16"/>
      <c r="H3479" s="14"/>
      <c r="K3479" s="16"/>
      <c r="L3479" s="16"/>
      <c r="M3479" s="14"/>
    </row>
    <row r="3480">
      <c r="A3480" s="16" t="str">
        <f>IFERROR(__xludf.DUMMYFUNCTION("""COMPUTED_VALUE"""),"Younoussi Bilan Djamila")</f>
        <v>Younoussi Bilan Djamila</v>
      </c>
      <c r="B3480" s="16"/>
      <c r="C3480" s="14"/>
      <c r="F3480" s="16"/>
      <c r="G3480" s="16"/>
      <c r="H3480" s="14"/>
      <c r="K3480" s="16"/>
      <c r="L3480" s="16"/>
      <c r="M3480" s="14"/>
    </row>
    <row r="3481">
      <c r="A3481" s="16" t="str">
        <f>IFERROR(__xludf.DUMMYFUNCTION("""COMPUTED_VALUE"""),"Younoussi Bilan Djamila")</f>
        <v>Younoussi Bilan Djamila</v>
      </c>
      <c r="B3481" s="16"/>
      <c r="C3481" s="14"/>
      <c r="F3481" s="16"/>
      <c r="G3481" s="16"/>
      <c r="H3481" s="14"/>
      <c r="K3481" s="16"/>
      <c r="L3481" s="16"/>
      <c r="M3481" s="14"/>
    </row>
    <row r="3482">
      <c r="A3482" s="16" t="str">
        <f>IFERROR(__xludf.DUMMYFUNCTION("""COMPUTED_VALUE"""),"Zakari Aboubacar")</f>
        <v>Zakari Aboubacar</v>
      </c>
      <c r="B3482" s="16"/>
      <c r="C3482" s="14"/>
      <c r="F3482" s="16"/>
      <c r="G3482" s="16"/>
      <c r="H3482" s="14"/>
      <c r="K3482" s="16"/>
      <c r="L3482" s="16"/>
      <c r="M3482" s="14"/>
    </row>
    <row r="3483">
      <c r="A3483" s="16" t="str">
        <f>IFERROR(__xludf.DUMMYFUNCTION("""COMPUTED_VALUE"""),"Zakari Aboubacar")</f>
        <v>Zakari Aboubacar</v>
      </c>
      <c r="B3483" s="16"/>
      <c r="C3483" s="14"/>
      <c r="F3483" s="16"/>
      <c r="G3483" s="16"/>
      <c r="H3483" s="14"/>
      <c r="K3483" s="16"/>
      <c r="L3483" s="16"/>
      <c r="M3483" s="14"/>
    </row>
    <row r="3484">
      <c r="A3484" s="16" t="str">
        <f>IFERROR(__xludf.DUMMYFUNCTION("""COMPUTED_VALUE"""),"Zakari Aboubacar")</f>
        <v>Zakari Aboubacar</v>
      </c>
      <c r="B3484" s="16"/>
      <c r="C3484" s="14"/>
      <c r="F3484" s="16"/>
      <c r="G3484" s="16"/>
      <c r="H3484" s="14"/>
      <c r="K3484" s="16"/>
      <c r="L3484" s="16"/>
      <c r="M3484" s="14"/>
    </row>
    <row r="3485">
      <c r="A3485" s="16" t="str">
        <f>IFERROR(__xludf.DUMMYFUNCTION("""COMPUTED_VALUE"""),"Zakari Aboubacar")</f>
        <v>Zakari Aboubacar</v>
      </c>
      <c r="B3485" s="16"/>
      <c r="C3485" s="14"/>
      <c r="F3485" s="16"/>
      <c r="G3485" s="16"/>
      <c r="H3485" s="14"/>
      <c r="K3485" s="16"/>
      <c r="L3485" s="16"/>
      <c r="M3485" s="14"/>
    </row>
    <row r="3486">
      <c r="A3486" s="16" t="str">
        <f>IFERROR(__xludf.DUMMYFUNCTION("""COMPUTED_VALUE"""),"Zakari Aboubacar")</f>
        <v>Zakari Aboubacar</v>
      </c>
      <c r="B3486" s="16"/>
      <c r="C3486" s="14"/>
      <c r="F3486" s="16"/>
      <c r="G3486" s="16"/>
      <c r="H3486" s="14"/>
      <c r="K3486" s="16"/>
      <c r="L3486" s="16"/>
      <c r="M3486" s="14"/>
    </row>
    <row r="3487">
      <c r="A3487" s="16" t="str">
        <f>IFERROR(__xludf.DUMMYFUNCTION("""COMPUTED_VALUE"""),"Zakari Aboubacar")</f>
        <v>Zakari Aboubacar</v>
      </c>
      <c r="B3487" s="16"/>
      <c r="C3487" s="14"/>
      <c r="F3487" s="16"/>
      <c r="G3487" s="16"/>
      <c r="H3487" s="14"/>
      <c r="K3487" s="16"/>
      <c r="L3487" s="16"/>
      <c r="M3487" s="14"/>
    </row>
    <row r="3488">
      <c r="A3488" s="16" t="str">
        <f>IFERROR(__xludf.DUMMYFUNCTION("""COMPUTED_VALUE"""),"Moumouni Adamou Yahaya")</f>
        <v>Moumouni Adamou Yahaya</v>
      </c>
      <c r="B3488" s="16"/>
      <c r="C3488" s="14"/>
      <c r="F3488" s="16"/>
      <c r="G3488" s="16"/>
      <c r="H3488" s="14"/>
      <c r="K3488" s="16"/>
      <c r="L3488" s="16"/>
      <c r="M3488" s="14"/>
    </row>
    <row r="3489">
      <c r="A3489" s="16" t="str">
        <f>IFERROR(__xludf.DUMMYFUNCTION("""COMPUTED_VALUE"""),"Moumouni Adamou Yahaya")</f>
        <v>Moumouni Adamou Yahaya</v>
      </c>
      <c r="B3489" s="16"/>
      <c r="C3489" s="14"/>
      <c r="F3489" s="16"/>
      <c r="G3489" s="16"/>
      <c r="H3489" s="14"/>
      <c r="K3489" s="16"/>
      <c r="L3489" s="16"/>
      <c r="M3489" s="14"/>
    </row>
    <row r="3490">
      <c r="A3490" s="16" t="str">
        <f>IFERROR(__xludf.DUMMYFUNCTION("""COMPUTED_VALUE"""),"Moumouni Adamou Yahaya")</f>
        <v>Moumouni Adamou Yahaya</v>
      </c>
      <c r="B3490" s="16"/>
      <c r="C3490" s="14"/>
      <c r="F3490" s="16"/>
      <c r="G3490" s="16"/>
      <c r="H3490" s="14"/>
      <c r="K3490" s="16"/>
      <c r="L3490" s="16"/>
      <c r="M3490" s="14"/>
    </row>
    <row r="3491">
      <c r="A3491" s="16" t="str">
        <f>IFERROR(__xludf.DUMMYFUNCTION("""COMPUTED_VALUE"""),"Moumouni Adamou Yahaya")</f>
        <v>Moumouni Adamou Yahaya</v>
      </c>
      <c r="B3491" s="16"/>
      <c r="C3491" s="14"/>
      <c r="F3491" s="16"/>
      <c r="G3491" s="16"/>
      <c r="H3491" s="14"/>
      <c r="K3491" s="16"/>
      <c r="L3491" s="16"/>
      <c r="M3491" s="14"/>
    </row>
    <row r="3492">
      <c r="A3492" s="16" t="str">
        <f>IFERROR(__xludf.DUMMYFUNCTION("""COMPUTED_VALUE"""),"Moumouni Adamou Yahaya")</f>
        <v>Moumouni Adamou Yahaya</v>
      </c>
      <c r="B3492" s="16"/>
      <c r="C3492" s="14"/>
      <c r="F3492" s="16"/>
      <c r="G3492" s="16"/>
      <c r="H3492" s="14"/>
      <c r="K3492" s="16"/>
      <c r="L3492" s="16"/>
      <c r="M3492" s="14"/>
    </row>
    <row r="3493">
      <c r="A3493" s="16" t="str">
        <f>IFERROR(__xludf.DUMMYFUNCTION("""COMPUTED_VALUE"""),"Moumouni Adamou Yahaya")</f>
        <v>Moumouni Adamou Yahaya</v>
      </c>
      <c r="B3493" s="16"/>
      <c r="C3493" s="14"/>
      <c r="F3493" s="16"/>
      <c r="G3493" s="16"/>
      <c r="H3493" s="14"/>
      <c r="K3493" s="16"/>
      <c r="L3493" s="16"/>
      <c r="M3493" s="14"/>
    </row>
    <row r="3494">
      <c r="A3494" s="16" t="str">
        <f>IFERROR(__xludf.DUMMYFUNCTION("""COMPUTED_VALUE"""),"Moumouni Adamou Yahaya")</f>
        <v>Moumouni Adamou Yahaya</v>
      </c>
      <c r="B3494" s="16"/>
      <c r="C3494" s="14"/>
      <c r="F3494" s="16"/>
      <c r="G3494" s="16"/>
      <c r="H3494" s="14"/>
      <c r="K3494" s="16"/>
      <c r="L3494" s="16"/>
      <c r="M3494" s="14"/>
    </row>
    <row r="3495">
      <c r="A3495" s="16" t="str">
        <f>IFERROR(__xludf.DUMMYFUNCTION("""COMPUTED_VALUE"""),"Moumouni Adamou Yahaya")</f>
        <v>Moumouni Adamou Yahaya</v>
      </c>
      <c r="B3495" s="16"/>
      <c r="C3495" s="14"/>
      <c r="F3495" s="16"/>
      <c r="G3495" s="16"/>
      <c r="H3495" s="14"/>
      <c r="K3495" s="16"/>
      <c r="L3495" s="16"/>
      <c r="M3495" s="14"/>
    </row>
    <row r="3496">
      <c r="A3496" s="16" t="str">
        <f>IFERROR(__xludf.DUMMYFUNCTION("""COMPUTED_VALUE"""),"Moumouni Adamou Yahaya")</f>
        <v>Moumouni Adamou Yahaya</v>
      </c>
      <c r="B3496" s="16"/>
      <c r="C3496" s="14"/>
      <c r="F3496" s="16"/>
      <c r="G3496" s="16"/>
      <c r="H3496" s="14"/>
      <c r="K3496" s="16"/>
      <c r="L3496" s="16"/>
      <c r="M3496" s="14"/>
    </row>
    <row r="3497">
      <c r="A3497" s="16" t="str">
        <f>IFERROR(__xludf.DUMMYFUNCTION("""COMPUTED_VALUE"""),"Moumouni Adamou Yahaya")</f>
        <v>Moumouni Adamou Yahaya</v>
      </c>
      <c r="B3497" s="16"/>
      <c r="C3497" s="14"/>
      <c r="F3497" s="16"/>
      <c r="G3497" s="16"/>
      <c r="H3497" s="14"/>
      <c r="K3497" s="16"/>
      <c r="L3497" s="16"/>
      <c r="M3497" s="14"/>
    </row>
    <row r="3498">
      <c r="A3498" s="16" t="str">
        <f>IFERROR(__xludf.DUMMYFUNCTION("""COMPUTED_VALUE"""),"Moumouni Adamou Yahaya")</f>
        <v>Moumouni Adamou Yahaya</v>
      </c>
      <c r="B3498" s="16"/>
      <c r="C3498" s="14"/>
      <c r="F3498" s="16"/>
      <c r="G3498" s="16"/>
      <c r="H3498" s="14"/>
      <c r="K3498" s="16"/>
      <c r="L3498" s="16"/>
      <c r="M3498" s="14"/>
    </row>
    <row r="3499">
      <c r="A3499" s="16" t="str">
        <f>IFERROR(__xludf.DUMMYFUNCTION("""COMPUTED_VALUE"""),"Mathieu Alphonse Rachida Juliette")</f>
        <v>Mathieu Alphonse Rachida Juliette</v>
      </c>
      <c r="B3499" s="16"/>
      <c r="C3499" s="14"/>
      <c r="F3499" s="16"/>
      <c r="G3499" s="16"/>
      <c r="H3499" s="14"/>
      <c r="K3499" s="16"/>
      <c r="L3499" s="16"/>
      <c r="M3499" s="14"/>
    </row>
    <row r="3500">
      <c r="A3500" s="16" t="str">
        <f>IFERROR(__xludf.DUMMYFUNCTION("""COMPUTED_VALUE"""),"Moumouni Adamou Yahaya")</f>
        <v>Moumouni Adamou Yahaya</v>
      </c>
      <c r="B3500" s="16"/>
      <c r="C3500" s="14"/>
      <c r="F3500" s="16"/>
      <c r="G3500" s="16"/>
      <c r="H3500" s="14"/>
      <c r="K3500" s="16"/>
      <c r="L3500" s="16"/>
      <c r="M3500" s="14"/>
    </row>
    <row r="3501">
      <c r="A3501" s="16" t="str">
        <f>IFERROR(__xludf.DUMMYFUNCTION("""COMPUTED_VALUE"""),"Mathieu Alphonse Rachida Juliette")</f>
        <v>Mathieu Alphonse Rachida Juliette</v>
      </c>
      <c r="B3501" s="16"/>
      <c r="C3501" s="14"/>
      <c r="F3501" s="16"/>
      <c r="G3501" s="16"/>
      <c r="H3501" s="14"/>
      <c r="K3501" s="16"/>
      <c r="L3501" s="16"/>
      <c r="M3501" s="14"/>
    </row>
    <row r="3502">
      <c r="A3502" s="16" t="str">
        <f>IFERROR(__xludf.DUMMYFUNCTION("""COMPUTED_VALUE"""),"Mathieu Alphonse Rachida Juliette")</f>
        <v>Mathieu Alphonse Rachida Juliette</v>
      </c>
      <c r="B3502" s="16"/>
      <c r="C3502" s="14"/>
      <c r="F3502" s="16"/>
      <c r="G3502" s="16"/>
      <c r="H3502" s="14"/>
      <c r="K3502" s="16"/>
      <c r="L3502" s="16"/>
      <c r="M3502" s="14"/>
    </row>
    <row r="3503">
      <c r="A3503" s="16" t="str">
        <f>IFERROR(__xludf.DUMMYFUNCTION("""COMPUTED_VALUE"""),"Mathieu Alphonse Rachida Juliette")</f>
        <v>Mathieu Alphonse Rachida Juliette</v>
      </c>
      <c r="B3503" s="16"/>
      <c r="C3503" s="14"/>
      <c r="F3503" s="16"/>
      <c r="G3503" s="16"/>
      <c r="H3503" s="14"/>
      <c r="K3503" s="16"/>
      <c r="L3503" s="16"/>
      <c r="M3503" s="14"/>
    </row>
    <row r="3504">
      <c r="A3504" s="16" t="str">
        <f>IFERROR(__xludf.DUMMYFUNCTION("""COMPUTED_VALUE"""),"Mathieu Alphonse Rachida Juliette")</f>
        <v>Mathieu Alphonse Rachida Juliette</v>
      </c>
      <c r="B3504" s="16"/>
      <c r="C3504" s="14"/>
      <c r="F3504" s="16"/>
      <c r="G3504" s="16"/>
      <c r="H3504" s="14"/>
      <c r="K3504" s="16"/>
      <c r="L3504" s="16"/>
      <c r="M3504" s="14"/>
    </row>
    <row r="3505">
      <c r="A3505" s="16" t="str">
        <f>IFERROR(__xludf.DUMMYFUNCTION("""COMPUTED_VALUE"""),"Mathieu Alphonse Rachida Juliette")</f>
        <v>Mathieu Alphonse Rachida Juliette</v>
      </c>
      <c r="B3505" s="16"/>
      <c r="C3505" s="14"/>
      <c r="F3505" s="16"/>
      <c r="G3505" s="16"/>
      <c r="H3505" s="14"/>
      <c r="K3505" s="16"/>
      <c r="L3505" s="16"/>
      <c r="M3505" s="14"/>
    </row>
    <row r="3506">
      <c r="A3506" s="16" t="str">
        <f>IFERROR(__xludf.DUMMYFUNCTION("""COMPUTED_VALUE"""),"Mathieu Alphonse Rachida Juliette")</f>
        <v>Mathieu Alphonse Rachida Juliette</v>
      </c>
      <c r="B3506" s="16"/>
      <c r="C3506" s="14"/>
      <c r="F3506" s="16"/>
      <c r="G3506" s="16"/>
      <c r="H3506" s="14"/>
      <c r="K3506" s="16"/>
      <c r="L3506" s="16"/>
      <c r="M3506" s="14"/>
    </row>
    <row r="3507">
      <c r="A3507" s="16" t="str">
        <f>IFERROR(__xludf.DUMMYFUNCTION("""COMPUTED_VALUE"""),"Mathieu Alphonse Rachida Juliette")</f>
        <v>Mathieu Alphonse Rachida Juliette</v>
      </c>
      <c r="B3507" s="16"/>
      <c r="C3507" s="14"/>
      <c r="F3507" s="16"/>
      <c r="G3507" s="16"/>
      <c r="H3507" s="14"/>
      <c r="K3507" s="16"/>
      <c r="L3507" s="16"/>
      <c r="M3507" s="14"/>
    </row>
    <row r="3508">
      <c r="A3508" s="16" t="str">
        <f>IFERROR(__xludf.DUMMYFUNCTION("""COMPUTED_VALUE"""),"Mathieu Alphonse Rachida Juliette")</f>
        <v>Mathieu Alphonse Rachida Juliette</v>
      </c>
      <c r="B3508" s="16"/>
      <c r="C3508" s="14"/>
      <c r="F3508" s="16"/>
      <c r="G3508" s="16"/>
      <c r="H3508" s="14"/>
      <c r="K3508" s="16"/>
      <c r="L3508" s="16"/>
      <c r="M3508" s="14"/>
    </row>
    <row r="3509">
      <c r="A3509" s="16" t="str">
        <f>IFERROR(__xludf.DUMMYFUNCTION("""COMPUTED_VALUE"""),"Mathieu Alphonse Rachida Juliette")</f>
        <v>Mathieu Alphonse Rachida Juliette</v>
      </c>
      <c r="B3509" s="16"/>
      <c r="C3509" s="14"/>
      <c r="F3509" s="16"/>
      <c r="G3509" s="16"/>
      <c r="H3509" s="14"/>
      <c r="K3509" s="16"/>
      <c r="L3509" s="16"/>
      <c r="M3509" s="14"/>
    </row>
    <row r="3510">
      <c r="A3510" s="16" t="str">
        <f>IFERROR(__xludf.DUMMYFUNCTION("""COMPUTED_VALUE"""),"Maman Zayanou Harouna")</f>
        <v>Maman Zayanou Harouna</v>
      </c>
      <c r="B3510" s="16"/>
      <c r="C3510" s="14"/>
      <c r="F3510" s="16"/>
      <c r="G3510" s="16"/>
      <c r="H3510" s="14"/>
      <c r="K3510" s="16"/>
      <c r="L3510" s="16"/>
      <c r="M3510" s="14"/>
    </row>
    <row r="3511">
      <c r="A3511" s="16" t="str">
        <f>IFERROR(__xludf.DUMMYFUNCTION("""COMPUTED_VALUE"""),"Maman Zayanou Harouna")</f>
        <v>Maman Zayanou Harouna</v>
      </c>
      <c r="B3511" s="16"/>
      <c r="C3511" s="14"/>
      <c r="F3511" s="16"/>
      <c r="G3511" s="16"/>
      <c r="H3511" s="14"/>
      <c r="K3511" s="16"/>
      <c r="L3511" s="16"/>
      <c r="M3511" s="14"/>
    </row>
    <row r="3512">
      <c r="A3512" s="16" t="str">
        <f>IFERROR(__xludf.DUMMYFUNCTION("""COMPUTED_VALUE"""),"Maman Zayanou Harouna")</f>
        <v>Maman Zayanou Harouna</v>
      </c>
      <c r="B3512" s="16"/>
      <c r="C3512" s="14"/>
      <c r="F3512" s="16"/>
      <c r="G3512" s="16"/>
      <c r="H3512" s="14"/>
      <c r="K3512" s="16"/>
      <c r="L3512" s="16"/>
      <c r="M3512" s="14"/>
    </row>
    <row r="3513">
      <c r="A3513" s="16" t="str">
        <f>IFERROR(__xludf.DUMMYFUNCTION("""COMPUTED_VALUE"""),"Maman Zayanou Harouna")</f>
        <v>Maman Zayanou Harouna</v>
      </c>
      <c r="B3513" s="16"/>
      <c r="C3513" s="14"/>
      <c r="F3513" s="16"/>
      <c r="G3513" s="16"/>
      <c r="H3513" s="14"/>
      <c r="K3513" s="16"/>
      <c r="L3513" s="16"/>
      <c r="M3513" s="14"/>
    </row>
    <row r="3514">
      <c r="A3514" s="16" t="str">
        <f>IFERROR(__xludf.DUMMYFUNCTION("""COMPUTED_VALUE"""),"Maman Zayanou Harouna")</f>
        <v>Maman Zayanou Harouna</v>
      </c>
      <c r="B3514" s="16"/>
      <c r="C3514" s="14"/>
      <c r="F3514" s="16"/>
      <c r="G3514" s="16"/>
      <c r="H3514" s="14"/>
      <c r="K3514" s="16"/>
      <c r="L3514" s="16"/>
      <c r="M3514" s="14"/>
    </row>
    <row r="3515">
      <c r="A3515" s="16" t="str">
        <f>IFERROR(__xludf.DUMMYFUNCTION("""COMPUTED_VALUE"""),"Maman Zayanou Harouna")</f>
        <v>Maman Zayanou Harouna</v>
      </c>
      <c r="B3515" s="16"/>
      <c r="C3515" s="14"/>
      <c r="F3515" s="16"/>
      <c r="G3515" s="16"/>
      <c r="H3515" s="14"/>
      <c r="K3515" s="16"/>
      <c r="L3515" s="16"/>
      <c r="M3515" s="14"/>
    </row>
    <row r="3516">
      <c r="A3516" s="16" t="str">
        <f>IFERROR(__xludf.DUMMYFUNCTION("""COMPUTED_VALUE"""),"Maman Zayanou Harouna")</f>
        <v>Maman Zayanou Harouna</v>
      </c>
      <c r="B3516" s="16"/>
      <c r="C3516" s="14"/>
      <c r="F3516" s="16"/>
      <c r="G3516" s="16"/>
      <c r="H3516" s="14"/>
      <c r="K3516" s="16"/>
      <c r="L3516" s="16"/>
      <c r="M3516" s="14"/>
    </row>
    <row r="3517">
      <c r="A3517" s="16" t="str">
        <f>IFERROR(__xludf.DUMMYFUNCTION("""COMPUTED_VALUE"""),"Maman Zayanou Harouna")</f>
        <v>Maman Zayanou Harouna</v>
      </c>
      <c r="B3517" s="16"/>
      <c r="C3517" s="14"/>
      <c r="F3517" s="16"/>
      <c r="G3517" s="16"/>
      <c r="H3517" s="14"/>
      <c r="K3517" s="16"/>
      <c r="L3517" s="16"/>
      <c r="M3517" s="14"/>
    </row>
    <row r="3518">
      <c r="A3518" s="16" t="str">
        <f>IFERROR(__xludf.DUMMYFUNCTION("""COMPUTED_VALUE"""),"Maman Zayanou Harouna")</f>
        <v>Maman Zayanou Harouna</v>
      </c>
      <c r="B3518" s="16"/>
      <c r="C3518" s="14"/>
      <c r="F3518" s="16"/>
      <c r="G3518" s="16"/>
      <c r="H3518" s="14"/>
      <c r="K3518" s="16"/>
      <c r="L3518" s="16"/>
      <c r="M3518" s="14"/>
    </row>
    <row r="3519">
      <c r="A3519" s="16" t="str">
        <f>IFERROR(__xludf.DUMMYFUNCTION("""COMPUTED_VALUE"""),"Maman Zayanou Harouna")</f>
        <v>Maman Zayanou Harouna</v>
      </c>
      <c r="B3519" s="16"/>
      <c r="C3519" s="14"/>
      <c r="F3519" s="16"/>
      <c r="G3519" s="16"/>
      <c r="H3519" s="14"/>
      <c r="K3519" s="16"/>
      <c r="L3519" s="16"/>
      <c r="M3519" s="14"/>
    </row>
    <row r="3520">
      <c r="A3520" s="16" t="str">
        <f>IFERROR(__xludf.DUMMYFUNCTION("""COMPUTED_VALUE"""),"Maman Zayanou Harouna")</f>
        <v>Maman Zayanou Harouna</v>
      </c>
      <c r="B3520" s="16"/>
      <c r="C3520" s="14"/>
      <c r="F3520" s="16"/>
      <c r="G3520" s="16"/>
      <c r="H3520" s="14"/>
      <c r="K3520" s="16"/>
      <c r="L3520" s="16"/>
      <c r="M3520" s="14"/>
    </row>
    <row r="3521">
      <c r="A3521" s="16" t="str">
        <f>IFERROR(__xludf.DUMMYFUNCTION("""COMPUTED_VALUE"""),"Maman Zayanou Harouna")</f>
        <v>Maman Zayanou Harouna</v>
      </c>
      <c r="B3521" s="16"/>
      <c r="C3521" s="14"/>
      <c r="F3521" s="16"/>
      <c r="G3521" s="16"/>
      <c r="H3521" s="14"/>
      <c r="K3521" s="16"/>
      <c r="L3521" s="16"/>
      <c r="M3521" s="14"/>
    </row>
    <row r="3522">
      <c r="A3522" s="16" t="str">
        <f>IFERROR(__xludf.DUMMYFUNCTION("""COMPUTED_VALUE"""),"Maman Zayanou Harouna")</f>
        <v>Maman Zayanou Harouna</v>
      </c>
      <c r="B3522" s="16"/>
      <c r="C3522" s="14"/>
      <c r="F3522" s="16"/>
      <c r="G3522" s="16"/>
      <c r="H3522" s="14"/>
      <c r="K3522" s="16"/>
      <c r="L3522" s="16"/>
      <c r="M3522" s="14"/>
    </row>
    <row r="3523">
      <c r="A3523" s="16" t="str">
        <f>IFERROR(__xludf.DUMMYFUNCTION("""COMPUTED_VALUE"""),"Moumouni Adamou Yahaya")</f>
        <v>Moumouni Adamou Yahaya</v>
      </c>
      <c r="B3523" s="16"/>
      <c r="C3523" s="14"/>
      <c r="F3523" s="16"/>
      <c r="G3523" s="16"/>
      <c r="H3523" s="14"/>
      <c r="K3523" s="16"/>
      <c r="L3523" s="16"/>
      <c r="M3523" s="14"/>
    </row>
    <row r="3524">
      <c r="A3524" s="16" t="str">
        <f>IFERROR(__xludf.DUMMYFUNCTION("""COMPUTED_VALUE"""),"Sani Moussa Aboubacar")</f>
        <v>Sani Moussa Aboubacar</v>
      </c>
      <c r="B3524" s="16"/>
      <c r="C3524" s="14"/>
      <c r="F3524" s="16"/>
      <c r="G3524" s="16"/>
      <c r="H3524" s="14"/>
      <c r="K3524" s="16"/>
      <c r="L3524" s="16"/>
      <c r="M3524" s="14"/>
    </row>
    <row r="3525">
      <c r="A3525" s="16" t="str">
        <f>IFERROR(__xludf.DUMMYFUNCTION("""COMPUTED_VALUE"""),"Sani Moussa Aboubacar")</f>
        <v>Sani Moussa Aboubacar</v>
      </c>
      <c r="B3525" s="16"/>
      <c r="C3525" s="14"/>
      <c r="F3525" s="16"/>
      <c r="G3525" s="16"/>
      <c r="H3525" s="14"/>
      <c r="K3525" s="16"/>
      <c r="L3525" s="16"/>
      <c r="M3525" s="14"/>
    </row>
    <row r="3526">
      <c r="A3526" s="16" t="str">
        <f>IFERROR(__xludf.DUMMYFUNCTION("""COMPUTED_VALUE"""),"Sani Moussa Aboubacar")</f>
        <v>Sani Moussa Aboubacar</v>
      </c>
      <c r="B3526" s="16"/>
      <c r="C3526" s="14"/>
      <c r="F3526" s="16"/>
      <c r="G3526" s="16"/>
      <c r="H3526" s="14"/>
      <c r="K3526" s="16"/>
      <c r="L3526" s="16"/>
      <c r="M3526" s="14"/>
    </row>
    <row r="3527">
      <c r="A3527" s="16" t="str">
        <f>IFERROR(__xludf.DUMMYFUNCTION("""COMPUTED_VALUE"""),"Sani Moussa Aboubacar")</f>
        <v>Sani Moussa Aboubacar</v>
      </c>
      <c r="B3527" s="16"/>
      <c r="C3527" s="14"/>
      <c r="F3527" s="16"/>
      <c r="G3527" s="16"/>
      <c r="H3527" s="14"/>
      <c r="K3527" s="16"/>
      <c r="L3527" s="16"/>
      <c r="M3527" s="14"/>
    </row>
    <row r="3528">
      <c r="A3528" s="16" t="str">
        <f>IFERROR(__xludf.DUMMYFUNCTION("""COMPUTED_VALUE"""),"Sani Moussa Aboubacar")</f>
        <v>Sani Moussa Aboubacar</v>
      </c>
      <c r="B3528" s="16"/>
      <c r="C3528" s="14"/>
      <c r="F3528" s="16"/>
      <c r="G3528" s="16"/>
      <c r="H3528" s="14"/>
      <c r="K3528" s="16"/>
      <c r="L3528" s="16"/>
      <c r="M3528" s="14"/>
    </row>
    <row r="3529">
      <c r="A3529" s="16" t="str">
        <f>IFERROR(__xludf.DUMMYFUNCTION("""COMPUTED_VALUE"""),"Sani Moussa Aboubacar")</f>
        <v>Sani Moussa Aboubacar</v>
      </c>
      <c r="B3529" s="16"/>
      <c r="C3529" s="14"/>
      <c r="F3529" s="16"/>
      <c r="G3529" s="16"/>
      <c r="H3529" s="14"/>
      <c r="K3529" s="16"/>
      <c r="L3529" s="16"/>
      <c r="M3529" s="14"/>
    </row>
    <row r="3530">
      <c r="A3530" s="16" t="str">
        <f>IFERROR(__xludf.DUMMYFUNCTION("""COMPUTED_VALUE"""),"Sani Moussa Aboubacar")</f>
        <v>Sani Moussa Aboubacar</v>
      </c>
      <c r="B3530" s="16"/>
      <c r="C3530" s="14"/>
      <c r="F3530" s="16"/>
      <c r="G3530" s="16"/>
      <c r="H3530" s="14"/>
      <c r="K3530" s="16"/>
      <c r="L3530" s="16"/>
      <c r="M3530" s="14"/>
    </row>
    <row r="3531">
      <c r="A3531" s="16" t="str">
        <f>IFERROR(__xludf.DUMMYFUNCTION("""COMPUTED_VALUE"""),"Sani Moussa Aboubacar")</f>
        <v>Sani Moussa Aboubacar</v>
      </c>
      <c r="B3531" s="16"/>
      <c r="C3531" s="14"/>
      <c r="F3531" s="16"/>
      <c r="G3531" s="16"/>
      <c r="H3531" s="14"/>
      <c r="K3531" s="16"/>
      <c r="L3531" s="16"/>
      <c r="M3531" s="14"/>
    </row>
    <row r="3532">
      <c r="A3532" s="16" t="str">
        <f>IFERROR(__xludf.DUMMYFUNCTION("""COMPUTED_VALUE"""),"Sani Moussa Aboubacar")</f>
        <v>Sani Moussa Aboubacar</v>
      </c>
      <c r="B3532" s="16"/>
      <c r="C3532" s="14"/>
      <c r="F3532" s="16"/>
      <c r="G3532" s="16"/>
      <c r="H3532" s="14"/>
      <c r="K3532" s="16"/>
      <c r="L3532" s="16"/>
      <c r="M3532" s="14"/>
    </row>
    <row r="3533">
      <c r="A3533" s="16" t="str">
        <f>IFERROR(__xludf.DUMMYFUNCTION("""COMPUTED_VALUE"""),"Sani Moussa Aboubacar")</f>
        <v>Sani Moussa Aboubacar</v>
      </c>
      <c r="B3533" s="16"/>
      <c r="C3533" s="14"/>
      <c r="F3533" s="16"/>
      <c r="G3533" s="16"/>
      <c r="H3533" s="14"/>
      <c r="K3533" s="16"/>
      <c r="L3533" s="16"/>
      <c r="M3533" s="14"/>
    </row>
    <row r="3534">
      <c r="A3534" s="16" t="str">
        <f>IFERROR(__xludf.DUMMYFUNCTION("""COMPUTED_VALUE"""),"Sani Moussa Aboubacar")</f>
        <v>Sani Moussa Aboubacar</v>
      </c>
      <c r="B3534" s="16"/>
      <c r="C3534" s="14"/>
      <c r="F3534" s="16"/>
      <c r="G3534" s="16"/>
      <c r="H3534" s="14"/>
      <c r="K3534" s="16"/>
      <c r="L3534" s="16"/>
      <c r="M3534" s="14"/>
    </row>
    <row r="3535">
      <c r="A3535" s="16" t="str">
        <f>IFERROR(__xludf.DUMMYFUNCTION("""COMPUTED_VALUE"""),"Sani Moussa Aboubacar")</f>
        <v>Sani Moussa Aboubacar</v>
      </c>
      <c r="B3535" s="16"/>
      <c r="C3535" s="14"/>
      <c r="F3535" s="16"/>
      <c r="G3535" s="16"/>
      <c r="H3535" s="14"/>
      <c r="K3535" s="16"/>
      <c r="L3535" s="16"/>
      <c r="M3535" s="14"/>
    </row>
    <row r="3536">
      <c r="A3536" s="16" t="str">
        <f>IFERROR(__xludf.DUMMYFUNCTION("""COMPUTED_VALUE"""),"Issoufou Amadou Aichatou")</f>
        <v>Issoufou Amadou Aichatou</v>
      </c>
      <c r="B3536" s="16"/>
      <c r="C3536" s="14"/>
      <c r="F3536" s="16"/>
      <c r="G3536" s="16"/>
      <c r="H3536" s="14"/>
      <c r="K3536" s="16"/>
      <c r="L3536" s="16"/>
      <c r="M3536" s="14"/>
    </row>
    <row r="3537">
      <c r="A3537" s="16" t="str">
        <f>IFERROR(__xludf.DUMMYFUNCTION("""COMPUTED_VALUE"""),"Issoufou Amadou Aichatou")</f>
        <v>Issoufou Amadou Aichatou</v>
      </c>
      <c r="B3537" s="16"/>
      <c r="C3537" s="14"/>
      <c r="F3537" s="16"/>
      <c r="G3537" s="16"/>
      <c r="H3537" s="14"/>
      <c r="K3537" s="16"/>
      <c r="L3537" s="16"/>
      <c r="M3537" s="14"/>
    </row>
    <row r="3538">
      <c r="A3538" s="16" t="str">
        <f>IFERROR(__xludf.DUMMYFUNCTION("""COMPUTED_VALUE"""),"Issoufou Amadou Aichatou")</f>
        <v>Issoufou Amadou Aichatou</v>
      </c>
      <c r="B3538" s="16"/>
      <c r="C3538" s="14"/>
      <c r="F3538" s="16"/>
      <c r="G3538" s="16"/>
      <c r="H3538" s="14"/>
      <c r="K3538" s="16"/>
      <c r="L3538" s="16"/>
      <c r="M3538" s="14"/>
    </row>
    <row r="3539">
      <c r="A3539" s="16" t="str">
        <f>IFERROR(__xludf.DUMMYFUNCTION("""COMPUTED_VALUE"""),"Sani Moussa Aboubacar")</f>
        <v>Sani Moussa Aboubacar</v>
      </c>
      <c r="B3539" s="16"/>
      <c r="C3539" s="14"/>
      <c r="F3539" s="16"/>
      <c r="G3539" s="16"/>
      <c r="H3539" s="14"/>
      <c r="K3539" s="16"/>
      <c r="L3539" s="16"/>
      <c r="M3539" s="14"/>
    </row>
    <row r="3540">
      <c r="A3540" s="16" t="str">
        <f>IFERROR(__xludf.DUMMYFUNCTION("""COMPUTED_VALUE"""),"Haladou Boukar")</f>
        <v>Haladou Boukar</v>
      </c>
      <c r="B3540" s="16"/>
      <c r="C3540" s="14"/>
      <c r="F3540" s="16"/>
      <c r="G3540" s="16"/>
      <c r="H3540" s="14"/>
      <c r="K3540" s="16"/>
      <c r="L3540" s="16"/>
      <c r="M3540" s="14"/>
    </row>
    <row r="3541">
      <c r="A3541" s="16" t="str">
        <f>IFERROR(__xludf.DUMMYFUNCTION("""COMPUTED_VALUE"""),"Haladou Boukar")</f>
        <v>Haladou Boukar</v>
      </c>
      <c r="B3541" s="16"/>
      <c r="C3541" s="14"/>
      <c r="F3541" s="16"/>
      <c r="G3541" s="16"/>
      <c r="H3541" s="14"/>
      <c r="K3541" s="16"/>
      <c r="L3541" s="16"/>
      <c r="M3541" s="14"/>
    </row>
    <row r="3542">
      <c r="A3542" s="16" t="str">
        <f>IFERROR(__xludf.DUMMYFUNCTION("""COMPUTED_VALUE"""),"Haladou Boukar")</f>
        <v>Haladou Boukar</v>
      </c>
      <c r="B3542" s="16"/>
      <c r="C3542" s="14"/>
      <c r="F3542" s="16"/>
      <c r="G3542" s="16"/>
      <c r="H3542" s="14"/>
      <c r="K3542" s="16"/>
      <c r="L3542" s="16"/>
      <c r="M3542" s="14"/>
    </row>
    <row r="3543">
      <c r="A3543" s="16" t="str">
        <f>IFERROR(__xludf.DUMMYFUNCTION("""COMPUTED_VALUE"""),"Haladou Boukar")</f>
        <v>Haladou Boukar</v>
      </c>
      <c r="B3543" s="16"/>
      <c r="C3543" s="14"/>
      <c r="F3543" s="16"/>
      <c r="G3543" s="16"/>
      <c r="H3543" s="14"/>
      <c r="K3543" s="16"/>
      <c r="L3543" s="16"/>
      <c r="M3543" s="14"/>
    </row>
    <row r="3544">
      <c r="A3544" s="16" t="str">
        <f>IFERROR(__xludf.DUMMYFUNCTION("""COMPUTED_VALUE"""),"Haladou Boukar")</f>
        <v>Haladou Boukar</v>
      </c>
      <c r="B3544" s="16"/>
      <c r="C3544" s="14"/>
      <c r="F3544" s="16"/>
      <c r="G3544" s="16"/>
      <c r="H3544" s="14"/>
      <c r="K3544" s="16"/>
      <c r="L3544" s="16"/>
      <c r="M3544" s="14"/>
    </row>
    <row r="3545">
      <c r="A3545" s="16" t="str">
        <f>IFERROR(__xludf.DUMMYFUNCTION("""COMPUTED_VALUE"""),"Haladou Boukar")</f>
        <v>Haladou Boukar</v>
      </c>
      <c r="B3545" s="16"/>
      <c r="C3545" s="14"/>
      <c r="F3545" s="16"/>
      <c r="G3545" s="16"/>
      <c r="H3545" s="14"/>
      <c r="K3545" s="16"/>
      <c r="L3545" s="16"/>
      <c r="M3545" s="14"/>
    </row>
    <row r="3546">
      <c r="A3546" s="16" t="str">
        <f>IFERROR(__xludf.DUMMYFUNCTION("""COMPUTED_VALUE"""),"Haladou Boukar")</f>
        <v>Haladou Boukar</v>
      </c>
      <c r="B3546" s="16"/>
      <c r="C3546" s="14"/>
      <c r="F3546" s="16"/>
      <c r="G3546" s="16"/>
      <c r="H3546" s="14"/>
      <c r="K3546" s="16"/>
      <c r="L3546" s="16"/>
      <c r="M3546" s="14"/>
    </row>
    <row r="3547">
      <c r="A3547" s="16" t="str">
        <f>IFERROR(__xludf.DUMMYFUNCTION("""COMPUTED_VALUE"""),"Haladou Boukar")</f>
        <v>Haladou Boukar</v>
      </c>
      <c r="B3547" s="16"/>
      <c r="C3547" s="14"/>
      <c r="F3547" s="16"/>
      <c r="G3547" s="16"/>
      <c r="H3547" s="14"/>
      <c r="K3547" s="16"/>
      <c r="L3547" s="16"/>
      <c r="M3547" s="14"/>
    </row>
    <row r="3548">
      <c r="A3548" s="16" t="str">
        <f>IFERROR(__xludf.DUMMYFUNCTION("""COMPUTED_VALUE"""),"Haladou Boukar")</f>
        <v>Haladou Boukar</v>
      </c>
      <c r="B3548" s="16"/>
      <c r="C3548" s="14"/>
      <c r="F3548" s="16"/>
      <c r="G3548" s="16"/>
      <c r="H3548" s="14"/>
      <c r="K3548" s="16"/>
      <c r="L3548" s="16"/>
      <c r="M3548" s="14"/>
    </row>
    <row r="3549">
      <c r="A3549" s="16" t="str">
        <f>IFERROR(__xludf.DUMMYFUNCTION("""COMPUTED_VALUE"""),"Haladou Boukar")</f>
        <v>Haladou Boukar</v>
      </c>
      <c r="B3549" s="16"/>
      <c r="C3549" s="14"/>
      <c r="F3549" s="16"/>
      <c r="G3549" s="16"/>
      <c r="H3549" s="14"/>
      <c r="K3549" s="16"/>
      <c r="L3549" s="16"/>
      <c r="M3549" s="14"/>
    </row>
    <row r="3550">
      <c r="A3550" s="16" t="str">
        <f>IFERROR(__xludf.DUMMYFUNCTION("""COMPUTED_VALUE"""),"Haladou Boukar")</f>
        <v>Haladou Boukar</v>
      </c>
      <c r="B3550" s="16"/>
      <c r="C3550" s="14"/>
      <c r="F3550" s="16"/>
      <c r="G3550" s="16"/>
      <c r="H3550" s="14"/>
      <c r="K3550" s="16"/>
      <c r="L3550" s="16"/>
      <c r="M3550" s="14"/>
    </row>
    <row r="3551">
      <c r="A3551" s="16" t="str">
        <f>IFERROR(__xludf.DUMMYFUNCTION("""COMPUTED_VALUE"""),"Haladou Boukar")</f>
        <v>Haladou Boukar</v>
      </c>
      <c r="B3551" s="16"/>
      <c r="C3551" s="14"/>
      <c r="F3551" s="16"/>
      <c r="G3551" s="16"/>
      <c r="H3551" s="14"/>
      <c r="K3551" s="16"/>
      <c r="L3551" s="16"/>
      <c r="M3551" s="14"/>
    </row>
    <row r="3552">
      <c r="A3552" s="16" t="str">
        <f>IFERROR(__xludf.DUMMYFUNCTION("""COMPUTED_VALUE"""),"Haladou Boukar")</f>
        <v>Haladou Boukar</v>
      </c>
      <c r="B3552" s="16"/>
      <c r="C3552" s="14"/>
      <c r="F3552" s="16"/>
      <c r="G3552" s="16"/>
      <c r="H3552" s="14"/>
      <c r="K3552" s="16"/>
      <c r="L3552" s="16"/>
      <c r="M3552" s="14"/>
    </row>
    <row r="3553">
      <c r="A3553" s="16" t="str">
        <f>IFERROR(__xludf.DUMMYFUNCTION("""COMPUTED_VALUE"""),"Haladou Boukar")</f>
        <v>Haladou Boukar</v>
      </c>
      <c r="B3553" s="16"/>
      <c r="C3553" s="14"/>
      <c r="F3553" s="16"/>
      <c r="G3553" s="16"/>
      <c r="H3553" s="14"/>
      <c r="K3553" s="16"/>
      <c r="L3553" s="16"/>
      <c r="M3553" s="14"/>
    </row>
    <row r="3554">
      <c r="A3554" s="16" t="str">
        <f>IFERROR(__xludf.DUMMYFUNCTION("""COMPUTED_VALUE"""),"Haladou Boukar")</f>
        <v>Haladou Boukar</v>
      </c>
      <c r="B3554" s="16"/>
      <c r="C3554" s="14"/>
      <c r="F3554" s="16"/>
      <c r="G3554" s="16"/>
      <c r="H3554" s="14"/>
      <c r="K3554" s="16"/>
      <c r="L3554" s="16"/>
      <c r="M3554" s="14"/>
    </row>
    <row r="3555">
      <c r="A3555" s="16" t="str">
        <f>IFERROR(__xludf.DUMMYFUNCTION("""COMPUTED_VALUE"""),"Haladou Boukar")</f>
        <v>Haladou Boukar</v>
      </c>
      <c r="B3555" s="16"/>
      <c r="C3555" s="14"/>
      <c r="F3555" s="16"/>
      <c r="G3555" s="16"/>
      <c r="H3555" s="14"/>
      <c r="K3555" s="16"/>
      <c r="L3555" s="16"/>
      <c r="M3555" s="14"/>
    </row>
    <row r="3556">
      <c r="A3556" s="16" t="str">
        <f>IFERROR(__xludf.DUMMYFUNCTION("""COMPUTED_VALUE"""),"Haladou Boukar")</f>
        <v>Haladou Boukar</v>
      </c>
      <c r="B3556" s="16"/>
      <c r="C3556" s="14"/>
      <c r="F3556" s="16"/>
      <c r="G3556" s="16"/>
      <c r="H3556" s="14"/>
      <c r="K3556" s="16"/>
      <c r="L3556" s="16"/>
      <c r="M3556" s="14"/>
    </row>
    <row r="3557">
      <c r="A3557" s="16" t="str">
        <f>IFERROR(__xludf.DUMMYFUNCTION("""COMPUTED_VALUE"""),"Haladou Boukar")</f>
        <v>Haladou Boukar</v>
      </c>
      <c r="B3557" s="16"/>
      <c r="C3557" s="14"/>
      <c r="F3557" s="16"/>
      <c r="G3557" s="16"/>
      <c r="H3557" s="14"/>
      <c r="K3557" s="16"/>
      <c r="L3557" s="16"/>
      <c r="M3557" s="14"/>
    </row>
    <row r="3558">
      <c r="A3558" s="16" t="str">
        <f>IFERROR(__xludf.DUMMYFUNCTION("""COMPUTED_VALUE"""),"Haladou Boukar")</f>
        <v>Haladou Boukar</v>
      </c>
      <c r="B3558" s="16"/>
      <c r="C3558" s="14"/>
      <c r="F3558" s="16"/>
      <c r="G3558" s="16"/>
      <c r="H3558" s="14"/>
      <c r="K3558" s="16"/>
      <c r="L3558" s="16"/>
      <c r="M3558" s="14"/>
    </row>
    <row r="3559">
      <c r="A3559" s="16" t="str">
        <f>IFERROR(__xludf.DUMMYFUNCTION("""COMPUTED_VALUE"""),"Haladou Boukar")</f>
        <v>Haladou Boukar</v>
      </c>
      <c r="B3559" s="16"/>
      <c r="C3559" s="14"/>
      <c r="F3559" s="16"/>
      <c r="G3559" s="16"/>
      <c r="H3559" s="14"/>
      <c r="K3559" s="16"/>
      <c r="L3559" s="16"/>
      <c r="M3559" s="14"/>
    </row>
    <row r="3560">
      <c r="A3560" s="16"/>
      <c r="B3560" s="16"/>
      <c r="C3560" s="14"/>
      <c r="F3560" s="16"/>
      <c r="G3560" s="16"/>
      <c r="H3560" s="14"/>
      <c r="K3560" s="16"/>
      <c r="L3560" s="16"/>
      <c r="M3560" s="14"/>
    </row>
    <row r="3561">
      <c r="A3561" s="16"/>
      <c r="B3561" s="16"/>
      <c r="C3561" s="14"/>
      <c r="F3561" s="16"/>
      <c r="G3561" s="16"/>
      <c r="H3561" s="14"/>
      <c r="K3561" s="16"/>
      <c r="L3561" s="16"/>
      <c r="M3561" s="14"/>
    </row>
    <row r="3562">
      <c r="A3562" s="16"/>
      <c r="B3562" s="16"/>
      <c r="C3562" s="14"/>
      <c r="F3562" s="16"/>
      <c r="G3562" s="16"/>
      <c r="H3562" s="14"/>
      <c r="K3562" s="16"/>
      <c r="L3562" s="16"/>
      <c r="M3562" s="14"/>
    </row>
    <row r="3563">
      <c r="A3563" s="16"/>
      <c r="B3563" s="16"/>
      <c r="C3563" s="14"/>
      <c r="F3563" s="16"/>
      <c r="G3563" s="16"/>
      <c r="H3563" s="14"/>
      <c r="K3563" s="16"/>
      <c r="L3563" s="16"/>
      <c r="M3563" s="14"/>
    </row>
    <row r="3564">
      <c r="A3564" s="16"/>
      <c r="B3564" s="16"/>
      <c r="C3564" s="14"/>
      <c r="F3564" s="16"/>
      <c r="G3564" s="16"/>
      <c r="H3564" s="14"/>
      <c r="K3564" s="16"/>
      <c r="L3564" s="16"/>
      <c r="M3564" s="14"/>
    </row>
    <row r="3565">
      <c r="A3565" s="16"/>
      <c r="B3565" s="16"/>
      <c r="C3565" s="14"/>
      <c r="F3565" s="16"/>
      <c r="G3565" s="16"/>
      <c r="H3565" s="14"/>
      <c r="K3565" s="16"/>
      <c r="L3565" s="16"/>
      <c r="M3565" s="14"/>
    </row>
    <row r="3566">
      <c r="A3566" s="16"/>
      <c r="B3566" s="16"/>
      <c r="C3566" s="14"/>
      <c r="F3566" s="16"/>
      <c r="G3566" s="16"/>
      <c r="H3566" s="14"/>
      <c r="K3566" s="16"/>
      <c r="L3566" s="16"/>
      <c r="M3566" s="14"/>
    </row>
    <row r="3567">
      <c r="A3567" s="16"/>
      <c r="B3567" s="16"/>
      <c r="C3567" s="14"/>
      <c r="F3567" s="16"/>
      <c r="G3567" s="16"/>
      <c r="H3567" s="14"/>
      <c r="K3567" s="16"/>
      <c r="L3567" s="16"/>
      <c r="M3567" s="14"/>
    </row>
    <row r="3568">
      <c r="A3568" s="16"/>
      <c r="B3568" s="16"/>
      <c r="C3568" s="14"/>
      <c r="F3568" s="16"/>
      <c r="G3568" s="16"/>
      <c r="H3568" s="14"/>
      <c r="K3568" s="16"/>
      <c r="L3568" s="16"/>
      <c r="M3568" s="14"/>
    </row>
    <row r="3569">
      <c r="A3569" s="16"/>
      <c r="B3569" s="16"/>
      <c r="C3569" s="14"/>
      <c r="F3569" s="16"/>
      <c r="G3569" s="16"/>
      <c r="H3569" s="14"/>
      <c r="K3569" s="16"/>
      <c r="L3569" s="16"/>
      <c r="M3569" s="14"/>
    </row>
    <row r="3570">
      <c r="A3570" s="16"/>
      <c r="B3570" s="16"/>
      <c r="C3570" s="14"/>
      <c r="F3570" s="16"/>
      <c r="G3570" s="16"/>
      <c r="H3570" s="14"/>
      <c r="K3570" s="16"/>
      <c r="L3570" s="16"/>
      <c r="M3570" s="14"/>
    </row>
    <row r="3571">
      <c r="A3571" s="16"/>
      <c r="B3571" s="16"/>
      <c r="C3571" s="14"/>
      <c r="F3571" s="16"/>
      <c r="G3571" s="16"/>
      <c r="H3571" s="14"/>
      <c r="K3571" s="16"/>
      <c r="L3571" s="16"/>
      <c r="M3571" s="14"/>
    </row>
    <row r="3572">
      <c r="A3572" s="16"/>
      <c r="B3572" s="16"/>
      <c r="C3572" s="14"/>
      <c r="F3572" s="16"/>
      <c r="G3572" s="16"/>
      <c r="H3572" s="14"/>
      <c r="K3572" s="16"/>
      <c r="L3572" s="16"/>
      <c r="M3572" s="14"/>
    </row>
    <row r="3573">
      <c r="A3573" s="16"/>
      <c r="B3573" s="16"/>
      <c r="C3573" s="14"/>
      <c r="F3573" s="16"/>
      <c r="G3573" s="16"/>
      <c r="H3573" s="14"/>
      <c r="K3573" s="16"/>
      <c r="L3573" s="16"/>
      <c r="M3573" s="14"/>
    </row>
    <row r="3574">
      <c r="A3574" s="16"/>
      <c r="B3574" s="16"/>
      <c r="C3574" s="14"/>
      <c r="F3574" s="16"/>
      <c r="G3574" s="16"/>
      <c r="H3574" s="14"/>
      <c r="K3574" s="16"/>
      <c r="L3574" s="16"/>
      <c r="M3574" s="14"/>
    </row>
    <row r="3575">
      <c r="A3575" s="16"/>
      <c r="B3575" s="16"/>
      <c r="C3575" s="14"/>
      <c r="F3575" s="16"/>
      <c r="G3575" s="16"/>
      <c r="H3575" s="14"/>
      <c r="K3575" s="16"/>
      <c r="L3575" s="16"/>
      <c r="M3575" s="14"/>
    </row>
    <row r="3576">
      <c r="A3576" s="16"/>
      <c r="B3576" s="16"/>
      <c r="C3576" s="14"/>
      <c r="F3576" s="16"/>
      <c r="G3576" s="16"/>
      <c r="H3576" s="14"/>
      <c r="K3576" s="16"/>
      <c r="L3576" s="16"/>
      <c r="M3576" s="14"/>
    </row>
    <row r="3577">
      <c r="A3577" s="16"/>
      <c r="B3577" s="16"/>
      <c r="C3577" s="14"/>
      <c r="F3577" s="16"/>
      <c r="G3577" s="16"/>
      <c r="H3577" s="14"/>
      <c r="K3577" s="16"/>
      <c r="L3577" s="16"/>
      <c r="M3577" s="14"/>
    </row>
    <row r="3578">
      <c r="A3578" s="16"/>
      <c r="B3578" s="16"/>
      <c r="C3578" s="14"/>
      <c r="F3578" s="16"/>
      <c r="G3578" s="16"/>
      <c r="H3578" s="14"/>
      <c r="K3578" s="16"/>
      <c r="L3578" s="16"/>
      <c r="M3578" s="14"/>
    </row>
    <row r="3579">
      <c r="A3579" s="16"/>
      <c r="B3579" s="16"/>
      <c r="C3579" s="14"/>
      <c r="F3579" s="16"/>
      <c r="G3579" s="16"/>
      <c r="H3579" s="14"/>
      <c r="K3579" s="16"/>
      <c r="L3579" s="16"/>
      <c r="M3579" s="14"/>
    </row>
    <row r="3580">
      <c r="A3580" s="16"/>
      <c r="B3580" s="16"/>
      <c r="C3580" s="14"/>
      <c r="F3580" s="16"/>
      <c r="G3580" s="16"/>
      <c r="H3580" s="14"/>
      <c r="K3580" s="16"/>
      <c r="L3580" s="16"/>
      <c r="M3580" s="14"/>
    </row>
    <row r="3581">
      <c r="A3581" s="16"/>
      <c r="B3581" s="16"/>
      <c r="C3581" s="14"/>
      <c r="F3581" s="16"/>
      <c r="G3581" s="16"/>
      <c r="H3581" s="14"/>
      <c r="K3581" s="16"/>
      <c r="L3581" s="16"/>
      <c r="M3581" s="14"/>
    </row>
    <row r="3582">
      <c r="A3582" s="16"/>
      <c r="B3582" s="16"/>
      <c r="C3582" s="14"/>
      <c r="F3582" s="16"/>
      <c r="G3582" s="16"/>
      <c r="H3582" s="14"/>
      <c r="K3582" s="16"/>
      <c r="L3582" s="16"/>
      <c r="M3582" s="14"/>
    </row>
    <row r="3583">
      <c r="A3583" s="16"/>
      <c r="B3583" s="16"/>
      <c r="C3583" s="14"/>
      <c r="F3583" s="16"/>
      <c r="G3583" s="16"/>
      <c r="H3583" s="14"/>
      <c r="K3583" s="16"/>
      <c r="L3583" s="16"/>
      <c r="M3583" s="14"/>
    </row>
    <row r="3584">
      <c r="A3584" s="16"/>
      <c r="B3584" s="16"/>
      <c r="C3584" s="14"/>
      <c r="F3584" s="16"/>
      <c r="G3584" s="16"/>
      <c r="H3584" s="14"/>
      <c r="K3584" s="16"/>
      <c r="L3584" s="16"/>
      <c r="M3584" s="14"/>
    </row>
    <row r="3585">
      <c r="A3585" s="16"/>
      <c r="B3585" s="16"/>
      <c r="C3585" s="14"/>
      <c r="F3585" s="16"/>
      <c r="G3585" s="16"/>
      <c r="H3585" s="14"/>
      <c r="K3585" s="16"/>
      <c r="L3585" s="16"/>
      <c r="M3585" s="14"/>
    </row>
    <row r="3586">
      <c r="A3586" s="16"/>
      <c r="B3586" s="16"/>
      <c r="C3586" s="14"/>
      <c r="F3586" s="16"/>
      <c r="G3586" s="16"/>
      <c r="H3586" s="14"/>
      <c r="K3586" s="16"/>
      <c r="L3586" s="16"/>
      <c r="M3586" s="14"/>
    </row>
    <row r="3587">
      <c r="A3587" s="16"/>
      <c r="B3587" s="16"/>
      <c r="C3587" s="14"/>
      <c r="F3587" s="16"/>
      <c r="G3587" s="16"/>
      <c r="H3587" s="14"/>
      <c r="K3587" s="16"/>
      <c r="L3587" s="16"/>
      <c r="M3587" s="14"/>
    </row>
    <row r="3588">
      <c r="A3588" s="16"/>
      <c r="B3588" s="16"/>
      <c r="C3588" s="14"/>
      <c r="F3588" s="16"/>
      <c r="G3588" s="16"/>
      <c r="H3588" s="14"/>
      <c r="K3588" s="16"/>
      <c r="L3588" s="16"/>
      <c r="M3588" s="14"/>
    </row>
    <row r="3589">
      <c r="A3589" s="16"/>
      <c r="B3589" s="16"/>
      <c r="C3589" s="14"/>
      <c r="F3589" s="16"/>
      <c r="G3589" s="16"/>
      <c r="H3589" s="14"/>
      <c r="K3589" s="16"/>
      <c r="L3589" s="16"/>
      <c r="M3589" s="14"/>
    </row>
    <row r="3590">
      <c r="A3590" s="16"/>
      <c r="B3590" s="16"/>
      <c r="C3590" s="14"/>
      <c r="F3590" s="16"/>
      <c r="G3590" s="16"/>
      <c r="H3590" s="14"/>
      <c r="K3590" s="16"/>
      <c r="L3590" s="16"/>
      <c r="M3590" s="14"/>
    </row>
    <row r="3591">
      <c r="A3591" s="16"/>
      <c r="B3591" s="16"/>
      <c r="C3591" s="14"/>
      <c r="F3591" s="16"/>
      <c r="G3591" s="16"/>
      <c r="H3591" s="14"/>
      <c r="K3591" s="16"/>
      <c r="L3591" s="16"/>
      <c r="M3591" s="14"/>
    </row>
    <row r="3592">
      <c r="A3592" s="16"/>
      <c r="B3592" s="16"/>
      <c r="C3592" s="14"/>
      <c r="F3592" s="16"/>
      <c r="G3592" s="16"/>
      <c r="H3592" s="14"/>
      <c r="K3592" s="16"/>
      <c r="L3592" s="16"/>
      <c r="M3592" s="14"/>
    </row>
    <row r="3593">
      <c r="A3593" s="16"/>
      <c r="B3593" s="16"/>
      <c r="C3593" s="14"/>
      <c r="F3593" s="16"/>
      <c r="G3593" s="16"/>
      <c r="H3593" s="14"/>
      <c r="K3593" s="16"/>
      <c r="L3593" s="16"/>
      <c r="M3593" s="14"/>
    </row>
    <row r="3594">
      <c r="A3594" s="16"/>
      <c r="B3594" s="16"/>
      <c r="C3594" s="14"/>
      <c r="F3594" s="16"/>
      <c r="G3594" s="16"/>
      <c r="H3594" s="14"/>
      <c r="K3594" s="16"/>
      <c r="L3594" s="16"/>
      <c r="M3594" s="14"/>
    </row>
    <row r="3595">
      <c r="A3595" s="16"/>
      <c r="B3595" s="16"/>
      <c r="C3595" s="14"/>
      <c r="F3595" s="16"/>
      <c r="G3595" s="16"/>
      <c r="H3595" s="14"/>
      <c r="K3595" s="16"/>
      <c r="L3595" s="16"/>
      <c r="M3595" s="14"/>
    </row>
    <row r="3596">
      <c r="A3596" s="16"/>
      <c r="B3596" s="16"/>
      <c r="C3596" s="14"/>
      <c r="F3596" s="16"/>
      <c r="G3596" s="16"/>
      <c r="H3596" s="14"/>
      <c r="K3596" s="16"/>
      <c r="L3596" s="16"/>
      <c r="M3596" s="14"/>
    </row>
    <row r="3597">
      <c r="A3597" s="16"/>
      <c r="B3597" s="16"/>
      <c r="C3597" s="14"/>
      <c r="F3597" s="16"/>
      <c r="G3597" s="16"/>
      <c r="H3597" s="14"/>
      <c r="K3597" s="16"/>
      <c r="L3597" s="16"/>
      <c r="M3597" s="14"/>
    </row>
    <row r="3598">
      <c r="A3598" s="16"/>
      <c r="B3598" s="16"/>
      <c r="C3598" s="14"/>
      <c r="F3598" s="16"/>
      <c r="G3598" s="16"/>
      <c r="H3598" s="14"/>
      <c r="K3598" s="16"/>
      <c r="L3598" s="16"/>
      <c r="M3598" s="14"/>
    </row>
    <row r="3599">
      <c r="A3599" s="16"/>
      <c r="B3599" s="16"/>
      <c r="C3599" s="14"/>
      <c r="F3599" s="16"/>
      <c r="G3599" s="16"/>
      <c r="H3599" s="14"/>
      <c r="K3599" s="16"/>
      <c r="L3599" s="16"/>
      <c r="M3599" s="14"/>
    </row>
    <row r="3600">
      <c r="A3600" s="16"/>
      <c r="B3600" s="16"/>
      <c r="C3600" s="14"/>
      <c r="F3600" s="16"/>
      <c r="G3600" s="16"/>
      <c r="H3600" s="14"/>
      <c r="K3600" s="16"/>
      <c r="L3600" s="16"/>
      <c r="M3600" s="14"/>
    </row>
    <row r="3601">
      <c r="A3601" s="16"/>
      <c r="B3601" s="16"/>
      <c r="C3601" s="14"/>
      <c r="F3601" s="16"/>
      <c r="G3601" s="16"/>
      <c r="H3601" s="14"/>
      <c r="K3601" s="16"/>
      <c r="L3601" s="16"/>
      <c r="M3601" s="14"/>
    </row>
    <row r="3602">
      <c r="A3602" s="16"/>
      <c r="B3602" s="16"/>
      <c r="C3602" s="14"/>
      <c r="F3602" s="16"/>
      <c r="G3602" s="16"/>
      <c r="H3602" s="14"/>
      <c r="K3602" s="16"/>
      <c r="L3602" s="16"/>
      <c r="M3602" s="14"/>
    </row>
    <row r="3603">
      <c r="A3603" s="16"/>
      <c r="B3603" s="16"/>
      <c r="C3603" s="14"/>
      <c r="F3603" s="16"/>
      <c r="G3603" s="16"/>
      <c r="H3603" s="14"/>
      <c r="K3603" s="16"/>
      <c r="L3603" s="16"/>
      <c r="M3603" s="14"/>
    </row>
    <row r="3604">
      <c r="A3604" s="16"/>
      <c r="B3604" s="16"/>
      <c r="C3604" s="14"/>
      <c r="F3604" s="16"/>
      <c r="G3604" s="16"/>
      <c r="H3604" s="14"/>
      <c r="K3604" s="16"/>
      <c r="L3604" s="16"/>
      <c r="M3604" s="14"/>
    </row>
    <row r="3605">
      <c r="A3605" s="16"/>
      <c r="B3605" s="16"/>
      <c r="C3605" s="14"/>
      <c r="F3605" s="16"/>
      <c r="G3605" s="16"/>
      <c r="H3605" s="14"/>
      <c r="K3605" s="16"/>
      <c r="L3605" s="16"/>
      <c r="M3605" s="14"/>
    </row>
    <row r="3606">
      <c r="A3606" s="16"/>
      <c r="B3606" s="16"/>
      <c r="C3606" s="14"/>
      <c r="F3606" s="16"/>
      <c r="G3606" s="16"/>
      <c r="H3606" s="14"/>
      <c r="K3606" s="16"/>
      <c r="L3606" s="16"/>
      <c r="M3606" s="14"/>
    </row>
    <row r="3607">
      <c r="A3607" s="16"/>
      <c r="B3607" s="16"/>
      <c r="C3607" s="14"/>
      <c r="F3607" s="16"/>
      <c r="G3607" s="16"/>
      <c r="H3607" s="14"/>
      <c r="K3607" s="16"/>
      <c r="L3607" s="16"/>
      <c r="M3607" s="14"/>
    </row>
    <row r="3608">
      <c r="A3608" s="16"/>
      <c r="B3608" s="16"/>
      <c r="C3608" s="14"/>
      <c r="F3608" s="16"/>
      <c r="G3608" s="16"/>
      <c r="H3608" s="14"/>
      <c r="K3608" s="16"/>
      <c r="L3608" s="16"/>
      <c r="M3608" s="14"/>
    </row>
    <row r="3609">
      <c r="A3609" s="16"/>
      <c r="B3609" s="16"/>
      <c r="C3609" s="14"/>
      <c r="F3609" s="16"/>
      <c r="G3609" s="16"/>
      <c r="H3609" s="14"/>
      <c r="K3609" s="16"/>
      <c r="L3609" s="16"/>
      <c r="M3609" s="14"/>
    </row>
    <row r="3610">
      <c r="A3610" s="16"/>
      <c r="B3610" s="16"/>
      <c r="C3610" s="14"/>
      <c r="F3610" s="16"/>
      <c r="G3610" s="16"/>
      <c r="H3610" s="14"/>
      <c r="K3610" s="16"/>
      <c r="L3610" s="16"/>
      <c r="M3610" s="14"/>
    </row>
    <row r="3611">
      <c r="A3611" s="16"/>
      <c r="B3611" s="16"/>
      <c r="C3611" s="14"/>
      <c r="F3611" s="16"/>
      <c r="G3611" s="16"/>
      <c r="H3611" s="14"/>
      <c r="K3611" s="16"/>
      <c r="L3611" s="16"/>
      <c r="M3611" s="14"/>
    </row>
    <row r="3612">
      <c r="A3612" s="16"/>
      <c r="B3612" s="16"/>
      <c r="C3612" s="14"/>
      <c r="F3612" s="16"/>
      <c r="G3612" s="16"/>
      <c r="H3612" s="14"/>
      <c r="K3612" s="16"/>
      <c r="L3612" s="16"/>
      <c r="M3612" s="14"/>
    </row>
    <row r="3613">
      <c r="A3613" s="16"/>
      <c r="B3613" s="16"/>
      <c r="C3613" s="14"/>
      <c r="F3613" s="16"/>
      <c r="G3613" s="16"/>
      <c r="H3613" s="14"/>
      <c r="K3613" s="16"/>
      <c r="L3613" s="16"/>
      <c r="M3613" s="14"/>
    </row>
    <row r="3614">
      <c r="A3614" s="16"/>
      <c r="B3614" s="16"/>
      <c r="C3614" s="14"/>
      <c r="F3614" s="16"/>
      <c r="G3614" s="16"/>
      <c r="H3614" s="14"/>
      <c r="K3614" s="16"/>
      <c r="L3614" s="16"/>
      <c r="M3614" s="14"/>
    </row>
    <row r="3615">
      <c r="A3615" s="16"/>
      <c r="B3615" s="16"/>
      <c r="C3615" s="14"/>
      <c r="F3615" s="16"/>
      <c r="G3615" s="16"/>
      <c r="H3615" s="14"/>
      <c r="K3615" s="16"/>
      <c r="L3615" s="16"/>
      <c r="M3615" s="14"/>
    </row>
    <row r="3616">
      <c r="A3616" s="16"/>
      <c r="B3616" s="16"/>
      <c r="C3616" s="14"/>
      <c r="F3616" s="16"/>
      <c r="G3616" s="16"/>
      <c r="H3616" s="14"/>
      <c r="K3616" s="16"/>
      <c r="L3616" s="16"/>
      <c r="M3616" s="14"/>
    </row>
    <row r="3617">
      <c r="A3617" s="16"/>
      <c r="B3617" s="16"/>
      <c r="C3617" s="14"/>
      <c r="F3617" s="16"/>
      <c r="G3617" s="16"/>
      <c r="H3617" s="14"/>
      <c r="K3617" s="16"/>
      <c r="L3617" s="16"/>
      <c r="M3617" s="14"/>
    </row>
    <row r="3618">
      <c r="A3618" s="16"/>
      <c r="B3618" s="16"/>
      <c r="C3618" s="14"/>
      <c r="F3618" s="16"/>
      <c r="G3618" s="16"/>
      <c r="H3618" s="14"/>
      <c r="K3618" s="16"/>
      <c r="L3618" s="16"/>
      <c r="M3618" s="14"/>
    </row>
    <row r="3619">
      <c r="A3619" s="16"/>
      <c r="B3619" s="16"/>
      <c r="C3619" s="14"/>
      <c r="F3619" s="16"/>
      <c r="G3619" s="16"/>
      <c r="H3619" s="14"/>
      <c r="K3619" s="16"/>
      <c r="L3619" s="16"/>
      <c r="M3619" s="14"/>
    </row>
    <row r="3620">
      <c r="A3620" s="16"/>
      <c r="B3620" s="16"/>
      <c r="C3620" s="14"/>
      <c r="F3620" s="16"/>
      <c r="G3620" s="16"/>
      <c r="H3620" s="14"/>
      <c r="K3620" s="16"/>
      <c r="L3620" s="16"/>
      <c r="M3620" s="14"/>
    </row>
    <row r="3621">
      <c r="A3621" s="16"/>
      <c r="B3621" s="16"/>
      <c r="C3621" s="14"/>
      <c r="F3621" s="16"/>
      <c r="G3621" s="16"/>
      <c r="H3621" s="14"/>
      <c r="K3621" s="16"/>
      <c r="L3621" s="16"/>
      <c r="M3621" s="14"/>
    </row>
    <row r="3622">
      <c r="A3622" s="16"/>
      <c r="B3622" s="16"/>
      <c r="C3622" s="14"/>
      <c r="F3622" s="16"/>
      <c r="G3622" s="16"/>
      <c r="H3622" s="14"/>
      <c r="K3622" s="16"/>
      <c r="L3622" s="16"/>
      <c r="M3622" s="14"/>
    </row>
    <row r="3623">
      <c r="A3623" s="16"/>
      <c r="B3623" s="16"/>
      <c r="C3623" s="14"/>
      <c r="F3623" s="16"/>
      <c r="G3623" s="16"/>
      <c r="H3623" s="14"/>
      <c r="K3623" s="16"/>
      <c r="L3623" s="16"/>
      <c r="M3623" s="14"/>
    </row>
    <row r="3624">
      <c r="A3624" s="16"/>
      <c r="B3624" s="16"/>
      <c r="C3624" s="14"/>
      <c r="F3624" s="16"/>
      <c r="G3624" s="16"/>
      <c r="H3624" s="14"/>
      <c r="K3624" s="16"/>
      <c r="L3624" s="16"/>
      <c r="M3624" s="14"/>
    </row>
    <row r="3625">
      <c r="A3625" s="16"/>
      <c r="B3625" s="16"/>
      <c r="C3625" s="14"/>
      <c r="F3625" s="16"/>
      <c r="G3625" s="16"/>
      <c r="H3625" s="14"/>
      <c r="K3625" s="16"/>
      <c r="L3625" s="16"/>
      <c r="M3625" s="14"/>
    </row>
    <row r="3626">
      <c r="A3626" s="16"/>
      <c r="B3626" s="16"/>
      <c r="C3626" s="14"/>
      <c r="F3626" s="16"/>
      <c r="G3626" s="16"/>
      <c r="H3626" s="14"/>
      <c r="K3626" s="16"/>
      <c r="L3626" s="16"/>
      <c r="M3626" s="14"/>
    </row>
    <row r="3627">
      <c r="A3627" s="16"/>
      <c r="B3627" s="16"/>
      <c r="C3627" s="14"/>
      <c r="F3627" s="16"/>
      <c r="G3627" s="16"/>
      <c r="H3627" s="14"/>
      <c r="K3627" s="16"/>
      <c r="L3627" s="16"/>
      <c r="M3627" s="14"/>
    </row>
    <row r="3628">
      <c r="A3628" s="16"/>
      <c r="B3628" s="16"/>
      <c r="C3628" s="14"/>
      <c r="F3628" s="16"/>
      <c r="G3628" s="16"/>
      <c r="H3628" s="14"/>
      <c r="K3628" s="16"/>
      <c r="L3628" s="16"/>
      <c r="M3628" s="14"/>
    </row>
    <row r="3629">
      <c r="A3629" s="16"/>
      <c r="B3629" s="16"/>
      <c r="C3629" s="14"/>
      <c r="F3629" s="16"/>
      <c r="G3629" s="16"/>
      <c r="H3629" s="14"/>
      <c r="K3629" s="16"/>
      <c r="L3629" s="16"/>
      <c r="M3629" s="14"/>
    </row>
    <row r="3630">
      <c r="A3630" s="16"/>
      <c r="B3630" s="16"/>
      <c r="C3630" s="14"/>
      <c r="F3630" s="16"/>
      <c r="G3630" s="16"/>
      <c r="H3630" s="14"/>
      <c r="K3630" s="16"/>
      <c r="L3630" s="16"/>
      <c r="M3630" s="14"/>
    </row>
    <row r="3631">
      <c r="A3631" s="16"/>
      <c r="B3631" s="16"/>
      <c r="C3631" s="14"/>
      <c r="F3631" s="16"/>
      <c r="G3631" s="16"/>
      <c r="H3631" s="14"/>
      <c r="K3631" s="16"/>
      <c r="L3631" s="16"/>
      <c r="M3631" s="14"/>
    </row>
    <row r="3632">
      <c r="A3632" s="16"/>
      <c r="B3632" s="16"/>
      <c r="C3632" s="14"/>
      <c r="F3632" s="16"/>
      <c r="G3632" s="16"/>
      <c r="H3632" s="14"/>
      <c r="K3632" s="16"/>
      <c r="L3632" s="16"/>
      <c r="M3632" s="14"/>
    </row>
    <row r="3633">
      <c r="A3633" s="16"/>
      <c r="B3633" s="16"/>
      <c r="C3633" s="14"/>
      <c r="F3633" s="16"/>
      <c r="G3633" s="16"/>
      <c r="H3633" s="14"/>
      <c r="K3633" s="16"/>
      <c r="L3633" s="16"/>
      <c r="M3633" s="14"/>
    </row>
    <row r="3634">
      <c r="A3634" s="16"/>
      <c r="B3634" s="16"/>
      <c r="C3634" s="14"/>
      <c r="F3634" s="16"/>
      <c r="G3634" s="16"/>
      <c r="H3634" s="14"/>
      <c r="K3634" s="16"/>
      <c r="L3634" s="16"/>
      <c r="M3634" s="14"/>
    </row>
    <row r="3635">
      <c r="A3635" s="16"/>
      <c r="B3635" s="16"/>
      <c r="C3635" s="14"/>
      <c r="F3635" s="16"/>
      <c r="G3635" s="16"/>
      <c r="H3635" s="14"/>
      <c r="K3635" s="16"/>
      <c r="L3635" s="16"/>
      <c r="M3635" s="14"/>
    </row>
    <row r="3636">
      <c r="A3636" s="16"/>
      <c r="B3636" s="16"/>
      <c r="C3636" s="14"/>
      <c r="F3636" s="16"/>
      <c r="G3636" s="16"/>
      <c r="H3636" s="14"/>
      <c r="K3636" s="16"/>
      <c r="L3636" s="16"/>
      <c r="M3636" s="14"/>
    </row>
    <row r="3637">
      <c r="A3637" s="16"/>
      <c r="B3637" s="16"/>
      <c r="C3637" s="14"/>
      <c r="F3637" s="16"/>
      <c r="G3637" s="16"/>
      <c r="H3637" s="14"/>
      <c r="K3637" s="16"/>
      <c r="L3637" s="16"/>
      <c r="M3637" s="14"/>
    </row>
    <row r="3638">
      <c r="A3638" s="16"/>
      <c r="B3638" s="16"/>
      <c r="C3638" s="14"/>
      <c r="F3638" s="16"/>
      <c r="G3638" s="16"/>
      <c r="H3638" s="14"/>
      <c r="K3638" s="16"/>
      <c r="L3638" s="16"/>
      <c r="M3638" s="14"/>
    </row>
    <row r="3639">
      <c r="A3639" s="16"/>
      <c r="B3639" s="16"/>
      <c r="C3639" s="14"/>
      <c r="F3639" s="16"/>
      <c r="G3639" s="16"/>
      <c r="H3639" s="14"/>
      <c r="K3639" s="16"/>
      <c r="L3639" s="16"/>
      <c r="M3639" s="14"/>
    </row>
    <row r="3640">
      <c r="A3640" s="16"/>
      <c r="B3640" s="16"/>
      <c r="C3640" s="14"/>
      <c r="F3640" s="16"/>
      <c r="G3640" s="16"/>
      <c r="H3640" s="14"/>
      <c r="K3640" s="16"/>
      <c r="L3640" s="16"/>
      <c r="M3640" s="14"/>
    </row>
    <row r="3641">
      <c r="A3641" s="16"/>
      <c r="B3641" s="16"/>
      <c r="C3641" s="14"/>
      <c r="F3641" s="16"/>
      <c r="G3641" s="16"/>
      <c r="H3641" s="14"/>
      <c r="K3641" s="16"/>
      <c r="L3641" s="16"/>
      <c r="M3641" s="14"/>
    </row>
    <row r="3642">
      <c r="A3642" s="16"/>
      <c r="B3642" s="16"/>
      <c r="C3642" s="14"/>
      <c r="F3642" s="16"/>
      <c r="G3642" s="16"/>
      <c r="H3642" s="14"/>
      <c r="K3642" s="16"/>
      <c r="L3642" s="16"/>
      <c r="M3642" s="14"/>
    </row>
    <row r="3643">
      <c r="A3643" s="16"/>
      <c r="B3643" s="16"/>
      <c r="C3643" s="14"/>
      <c r="F3643" s="16"/>
      <c r="G3643" s="16"/>
      <c r="H3643" s="14"/>
      <c r="K3643" s="16"/>
      <c r="L3643" s="16"/>
      <c r="M3643" s="14"/>
    </row>
    <row r="3644">
      <c r="A3644" s="16"/>
      <c r="B3644" s="16"/>
      <c r="C3644" s="14"/>
      <c r="F3644" s="16"/>
      <c r="G3644" s="16"/>
      <c r="H3644" s="14"/>
      <c r="K3644" s="16"/>
      <c r="L3644" s="16"/>
      <c r="M3644" s="14"/>
    </row>
    <row r="3645">
      <c r="A3645" s="16"/>
      <c r="B3645" s="16"/>
      <c r="C3645" s="14"/>
      <c r="F3645" s="16"/>
      <c r="G3645" s="16"/>
      <c r="H3645" s="14"/>
      <c r="K3645" s="16"/>
      <c r="L3645" s="16"/>
      <c r="M3645" s="14"/>
    </row>
    <row r="3646">
      <c r="A3646" s="16"/>
      <c r="B3646" s="16"/>
      <c r="C3646" s="14"/>
      <c r="F3646" s="16"/>
      <c r="G3646" s="16"/>
      <c r="H3646" s="14"/>
      <c r="K3646" s="16"/>
      <c r="L3646" s="16"/>
      <c r="M3646" s="14"/>
    </row>
    <row r="3647">
      <c r="A3647" s="16"/>
      <c r="B3647" s="16"/>
      <c r="C3647" s="14"/>
      <c r="F3647" s="16"/>
      <c r="G3647" s="16"/>
      <c r="H3647" s="14"/>
      <c r="K3647" s="16"/>
      <c r="L3647" s="16"/>
      <c r="M3647" s="14"/>
    </row>
    <row r="3648">
      <c r="A3648" s="16"/>
      <c r="B3648" s="16"/>
      <c r="C3648" s="14"/>
      <c r="F3648" s="16"/>
      <c r="G3648" s="16"/>
      <c r="H3648" s="14"/>
      <c r="K3648" s="16"/>
      <c r="L3648" s="16"/>
      <c r="M3648" s="14"/>
    </row>
    <row r="3649">
      <c r="A3649" s="16"/>
      <c r="B3649" s="16"/>
      <c r="C3649" s="14"/>
      <c r="F3649" s="16"/>
      <c r="G3649" s="16"/>
      <c r="H3649" s="14"/>
      <c r="K3649" s="16"/>
      <c r="L3649" s="16"/>
      <c r="M3649" s="14"/>
    </row>
    <row r="3650">
      <c r="A3650" s="16"/>
      <c r="B3650" s="16"/>
      <c r="C3650" s="14"/>
      <c r="F3650" s="16"/>
      <c r="G3650" s="16"/>
      <c r="H3650" s="14"/>
      <c r="K3650" s="16"/>
      <c r="L3650" s="16"/>
      <c r="M3650" s="14"/>
    </row>
    <row r="3651">
      <c r="A3651" s="16"/>
      <c r="B3651" s="16"/>
      <c r="C3651" s="14"/>
      <c r="F3651" s="16"/>
      <c r="G3651" s="16"/>
      <c r="H3651" s="14"/>
      <c r="K3651" s="16"/>
      <c r="L3651" s="16"/>
      <c r="M3651" s="14"/>
    </row>
    <row r="3652">
      <c r="A3652" s="16"/>
      <c r="B3652" s="16"/>
      <c r="C3652" s="14"/>
      <c r="F3652" s="16"/>
      <c r="G3652" s="16"/>
      <c r="H3652" s="14"/>
      <c r="K3652" s="16"/>
      <c r="L3652" s="16"/>
      <c r="M3652" s="14"/>
    </row>
    <row r="3653">
      <c r="A3653" s="16"/>
      <c r="B3653" s="16"/>
      <c r="C3653" s="14"/>
      <c r="F3653" s="16"/>
      <c r="G3653" s="16"/>
      <c r="H3653" s="14"/>
      <c r="K3653" s="16"/>
      <c r="L3653" s="16"/>
      <c r="M3653" s="14"/>
    </row>
    <row r="3654">
      <c r="A3654" s="16"/>
      <c r="B3654" s="16"/>
      <c r="C3654" s="14"/>
      <c r="F3654" s="16"/>
      <c r="G3654" s="16"/>
      <c r="H3654" s="14"/>
      <c r="K3654" s="16"/>
      <c r="L3654" s="16"/>
      <c r="M3654" s="14"/>
    </row>
    <row r="3655">
      <c r="A3655" s="16"/>
      <c r="B3655" s="16"/>
      <c r="C3655" s="14"/>
      <c r="F3655" s="16"/>
      <c r="G3655" s="16"/>
      <c r="H3655" s="14"/>
      <c r="K3655" s="16"/>
      <c r="L3655" s="16"/>
      <c r="M3655" s="14"/>
    </row>
    <row r="3656">
      <c r="A3656" s="16"/>
      <c r="B3656" s="16"/>
      <c r="C3656" s="14"/>
      <c r="F3656" s="16"/>
      <c r="G3656" s="16"/>
      <c r="H3656" s="14"/>
      <c r="K3656" s="16"/>
      <c r="L3656" s="16"/>
      <c r="M3656" s="14"/>
    </row>
    <row r="3657">
      <c r="A3657" s="16"/>
      <c r="B3657" s="16"/>
      <c r="C3657" s="14"/>
      <c r="F3657" s="16"/>
      <c r="G3657" s="16"/>
      <c r="H3657" s="14"/>
      <c r="K3657" s="16"/>
      <c r="L3657" s="16"/>
      <c r="M3657" s="14"/>
    </row>
    <row r="3658">
      <c r="A3658" s="16"/>
      <c r="B3658" s="16"/>
      <c r="C3658" s="14"/>
      <c r="F3658" s="16"/>
      <c r="G3658" s="16"/>
      <c r="H3658" s="14"/>
      <c r="K3658" s="16"/>
      <c r="L3658" s="16"/>
      <c r="M3658" s="14"/>
    </row>
    <row r="3659">
      <c r="A3659" s="16"/>
      <c r="B3659" s="16"/>
      <c r="C3659" s="14"/>
      <c r="F3659" s="16"/>
      <c r="G3659" s="16"/>
      <c r="H3659" s="14"/>
      <c r="K3659" s="16"/>
      <c r="L3659" s="16"/>
      <c r="M3659" s="14"/>
    </row>
    <row r="3660">
      <c r="A3660" s="16"/>
      <c r="B3660" s="16"/>
      <c r="C3660" s="14"/>
      <c r="F3660" s="16"/>
      <c r="G3660" s="16"/>
      <c r="H3660" s="14"/>
      <c r="K3660" s="16"/>
      <c r="L3660" s="16"/>
      <c r="M3660" s="14"/>
    </row>
    <row r="3661">
      <c r="A3661" s="16"/>
      <c r="B3661" s="16"/>
      <c r="C3661" s="14"/>
      <c r="F3661" s="16"/>
      <c r="G3661" s="16"/>
      <c r="H3661" s="14"/>
      <c r="K3661" s="16"/>
      <c r="L3661" s="16"/>
      <c r="M3661" s="14"/>
    </row>
    <row r="3662">
      <c r="A3662" s="16"/>
      <c r="B3662" s="16"/>
      <c r="C3662" s="14"/>
      <c r="F3662" s="16"/>
      <c r="G3662" s="16"/>
      <c r="H3662" s="14"/>
      <c r="K3662" s="16"/>
      <c r="L3662" s="16"/>
      <c r="M3662" s="14"/>
    </row>
    <row r="3663">
      <c r="A3663" s="16"/>
      <c r="B3663" s="16"/>
      <c r="C3663" s="14"/>
      <c r="F3663" s="16"/>
      <c r="G3663" s="16"/>
      <c r="H3663" s="14"/>
      <c r="K3663" s="16"/>
      <c r="L3663" s="16"/>
      <c r="M3663" s="14"/>
    </row>
    <row r="3664">
      <c r="A3664" s="16"/>
      <c r="B3664" s="16"/>
      <c r="C3664" s="14"/>
      <c r="F3664" s="16"/>
      <c r="G3664" s="16"/>
      <c r="H3664" s="14"/>
      <c r="K3664" s="16"/>
      <c r="L3664" s="16"/>
      <c r="M3664" s="14"/>
    </row>
    <row r="3665">
      <c r="A3665" s="16"/>
      <c r="B3665" s="16"/>
      <c r="C3665" s="14"/>
      <c r="F3665" s="16"/>
      <c r="G3665" s="16"/>
      <c r="H3665" s="14"/>
      <c r="K3665" s="16"/>
      <c r="L3665" s="16"/>
      <c r="M3665" s="14"/>
    </row>
    <row r="3666">
      <c r="A3666" s="16"/>
      <c r="B3666" s="16"/>
      <c r="C3666" s="14"/>
      <c r="F3666" s="16"/>
      <c r="G3666" s="16"/>
      <c r="H3666" s="14"/>
      <c r="K3666" s="16"/>
      <c r="L3666" s="16"/>
      <c r="M3666" s="14"/>
    </row>
    <row r="3667">
      <c r="A3667" s="16"/>
      <c r="B3667" s="16"/>
      <c r="C3667" s="14"/>
      <c r="F3667" s="16"/>
      <c r="G3667" s="16"/>
      <c r="H3667" s="14"/>
      <c r="K3667" s="16"/>
      <c r="L3667" s="16"/>
      <c r="M3667" s="14"/>
    </row>
    <row r="3668">
      <c r="A3668" s="16"/>
      <c r="B3668" s="16"/>
      <c r="C3668" s="14"/>
      <c r="F3668" s="16"/>
      <c r="G3668" s="16"/>
      <c r="H3668" s="14"/>
      <c r="K3668" s="16"/>
      <c r="L3668" s="16"/>
      <c r="M3668" s="14"/>
    </row>
    <row r="3669">
      <c r="A3669" s="16"/>
      <c r="B3669" s="16"/>
      <c r="C3669" s="14"/>
      <c r="F3669" s="16"/>
      <c r="G3669" s="16"/>
      <c r="H3669" s="14"/>
      <c r="K3669" s="16"/>
      <c r="L3669" s="16"/>
      <c r="M3669" s="14"/>
    </row>
    <row r="3670">
      <c r="A3670" s="16"/>
      <c r="B3670" s="16"/>
      <c r="C3670" s="14"/>
      <c r="F3670" s="16"/>
      <c r="G3670" s="16"/>
      <c r="H3670" s="14"/>
      <c r="K3670" s="16"/>
      <c r="L3670" s="16"/>
      <c r="M3670" s="14"/>
    </row>
    <row r="3671">
      <c r="A3671" s="16"/>
      <c r="B3671" s="16"/>
      <c r="C3671" s="14"/>
      <c r="F3671" s="16"/>
      <c r="G3671" s="16"/>
      <c r="H3671" s="14"/>
      <c r="K3671" s="16"/>
      <c r="L3671" s="16"/>
      <c r="M3671" s="14"/>
    </row>
    <row r="3672">
      <c r="A3672" s="16"/>
      <c r="B3672" s="16"/>
      <c r="C3672" s="14"/>
      <c r="F3672" s="16"/>
      <c r="G3672" s="16"/>
      <c r="H3672" s="14"/>
      <c r="K3672" s="16"/>
      <c r="L3672" s="16"/>
      <c r="M3672" s="14"/>
    </row>
    <row r="3673">
      <c r="A3673" s="16"/>
      <c r="B3673" s="16"/>
      <c r="C3673" s="14"/>
      <c r="F3673" s="16"/>
      <c r="G3673" s="16"/>
      <c r="H3673" s="14"/>
      <c r="K3673" s="16"/>
      <c r="L3673" s="16"/>
      <c r="M3673" s="14"/>
    </row>
    <row r="3674">
      <c r="A3674" s="16"/>
      <c r="B3674" s="16"/>
      <c r="C3674" s="14"/>
      <c r="F3674" s="16"/>
      <c r="G3674" s="16"/>
      <c r="H3674" s="14"/>
      <c r="K3674" s="16"/>
      <c r="L3674" s="16"/>
      <c r="M3674" s="14"/>
    </row>
    <row r="3675">
      <c r="A3675" s="16"/>
      <c r="B3675" s="16"/>
      <c r="C3675" s="14"/>
      <c r="F3675" s="16"/>
      <c r="G3675" s="16"/>
      <c r="H3675" s="14"/>
      <c r="K3675" s="16"/>
      <c r="L3675" s="16"/>
      <c r="M3675" s="14"/>
    </row>
    <row r="3676">
      <c r="A3676" s="16"/>
      <c r="B3676" s="16"/>
      <c r="C3676" s="14"/>
      <c r="F3676" s="16"/>
      <c r="G3676" s="16"/>
      <c r="H3676" s="14"/>
      <c r="K3676" s="16"/>
      <c r="L3676" s="16"/>
      <c r="M3676" s="14"/>
    </row>
    <row r="3677">
      <c r="A3677" s="16"/>
      <c r="B3677" s="16"/>
      <c r="C3677" s="14"/>
      <c r="F3677" s="16"/>
      <c r="G3677" s="16"/>
      <c r="H3677" s="14"/>
      <c r="K3677" s="16"/>
      <c r="L3677" s="16"/>
      <c r="M3677" s="14"/>
    </row>
    <row r="3678">
      <c r="A3678" s="16"/>
      <c r="B3678" s="16"/>
      <c r="C3678" s="14"/>
      <c r="F3678" s="16"/>
      <c r="G3678" s="16"/>
      <c r="H3678" s="14"/>
      <c r="K3678" s="16"/>
      <c r="L3678" s="16"/>
      <c r="M3678" s="14"/>
    </row>
    <row r="3679">
      <c r="A3679" s="16"/>
      <c r="B3679" s="16"/>
      <c r="C3679" s="14"/>
      <c r="F3679" s="16"/>
      <c r="G3679" s="16"/>
      <c r="H3679" s="14"/>
      <c r="K3679" s="16"/>
      <c r="L3679" s="16"/>
      <c r="M3679" s="14"/>
    </row>
    <row r="3680">
      <c r="A3680" s="16"/>
      <c r="B3680" s="16"/>
      <c r="C3680" s="14"/>
      <c r="F3680" s="16"/>
      <c r="G3680" s="16"/>
      <c r="H3680" s="14"/>
      <c r="K3680" s="16"/>
      <c r="L3680" s="16"/>
      <c r="M3680" s="14"/>
    </row>
    <row r="3681">
      <c r="A3681" s="16"/>
      <c r="B3681" s="16"/>
      <c r="C3681" s="14"/>
      <c r="F3681" s="16"/>
      <c r="G3681" s="16"/>
      <c r="H3681" s="14"/>
      <c r="K3681" s="16"/>
      <c r="L3681" s="16"/>
      <c r="M3681" s="14"/>
    </row>
    <row r="3682">
      <c r="A3682" s="16"/>
      <c r="B3682" s="16"/>
      <c r="C3682" s="14"/>
      <c r="F3682" s="16"/>
      <c r="G3682" s="16"/>
      <c r="H3682" s="14"/>
      <c r="K3682" s="16"/>
      <c r="L3682" s="16"/>
      <c r="M3682" s="14"/>
    </row>
    <row r="3683">
      <c r="A3683" s="16"/>
      <c r="B3683" s="16"/>
      <c r="C3683" s="14"/>
      <c r="F3683" s="16"/>
      <c r="G3683" s="16"/>
      <c r="H3683" s="14"/>
      <c r="K3683" s="16"/>
      <c r="L3683" s="16"/>
      <c r="M3683" s="14"/>
    </row>
    <row r="3684">
      <c r="A3684" s="16"/>
      <c r="B3684" s="16"/>
      <c r="C3684" s="14"/>
      <c r="F3684" s="16"/>
      <c r="G3684" s="16"/>
      <c r="H3684" s="14"/>
      <c r="K3684" s="16"/>
      <c r="L3684" s="16"/>
      <c r="M3684" s="14"/>
    </row>
    <row r="3685">
      <c r="A3685" s="16"/>
      <c r="B3685" s="16"/>
      <c r="C3685" s="14"/>
      <c r="F3685" s="16"/>
      <c r="G3685" s="16"/>
      <c r="H3685" s="14"/>
      <c r="K3685" s="16"/>
      <c r="L3685" s="16"/>
      <c r="M3685" s="14"/>
    </row>
    <row r="3686">
      <c r="A3686" s="16"/>
      <c r="B3686" s="16"/>
      <c r="C3686" s="14"/>
      <c r="F3686" s="16"/>
      <c r="G3686" s="16"/>
      <c r="H3686" s="14"/>
      <c r="K3686" s="16"/>
      <c r="L3686" s="16"/>
      <c r="M3686" s="14"/>
    </row>
    <row r="3687">
      <c r="A3687" s="16"/>
      <c r="B3687" s="16"/>
      <c r="C3687" s="14"/>
      <c r="F3687" s="16"/>
      <c r="G3687" s="16"/>
      <c r="H3687" s="14"/>
      <c r="K3687" s="16"/>
      <c r="L3687" s="16"/>
      <c r="M3687" s="14"/>
    </row>
    <row r="3688">
      <c r="A3688" s="16"/>
      <c r="B3688" s="16"/>
      <c r="C3688" s="14"/>
      <c r="F3688" s="16"/>
      <c r="G3688" s="16"/>
      <c r="H3688" s="14"/>
      <c r="K3688" s="16"/>
      <c r="L3688" s="16"/>
      <c r="M3688" s="14"/>
    </row>
    <row r="3689">
      <c r="A3689" s="16"/>
      <c r="B3689" s="16"/>
      <c r="C3689" s="14"/>
      <c r="F3689" s="16"/>
      <c r="G3689" s="16"/>
      <c r="H3689" s="14"/>
      <c r="K3689" s="16"/>
      <c r="L3689" s="16"/>
      <c r="M3689" s="14"/>
    </row>
    <row r="3690">
      <c r="A3690" s="16"/>
      <c r="B3690" s="16"/>
      <c r="C3690" s="14"/>
      <c r="F3690" s="16"/>
      <c r="G3690" s="16"/>
      <c r="H3690" s="14"/>
      <c r="K3690" s="16"/>
      <c r="L3690" s="16"/>
      <c r="M3690" s="14"/>
    </row>
    <row r="3691">
      <c r="A3691" s="16"/>
      <c r="B3691" s="16"/>
      <c r="C3691" s="14"/>
      <c r="F3691" s="16"/>
      <c r="G3691" s="16"/>
      <c r="H3691" s="14"/>
      <c r="K3691" s="16"/>
      <c r="L3691" s="16"/>
      <c r="M3691" s="14"/>
    </row>
    <row r="3692">
      <c r="A3692" s="16"/>
      <c r="B3692" s="16"/>
      <c r="C3692" s="14"/>
      <c r="F3692" s="16"/>
      <c r="G3692" s="16"/>
      <c r="H3692" s="14"/>
      <c r="K3692" s="16"/>
      <c r="L3692" s="16"/>
      <c r="M3692" s="14"/>
    </row>
    <row r="3693">
      <c r="A3693" s="16"/>
      <c r="B3693" s="16"/>
      <c r="C3693" s="14"/>
      <c r="F3693" s="16"/>
      <c r="G3693" s="16"/>
      <c r="H3693" s="14"/>
      <c r="K3693" s="16"/>
      <c r="L3693" s="16"/>
      <c r="M3693" s="14"/>
    </row>
    <row r="3694">
      <c r="A3694" s="16"/>
      <c r="B3694" s="16"/>
      <c r="C3694" s="14"/>
      <c r="F3694" s="16"/>
      <c r="G3694" s="16"/>
      <c r="H3694" s="14"/>
      <c r="K3694" s="16"/>
      <c r="L3694" s="16"/>
      <c r="M3694" s="14"/>
    </row>
    <row r="3695">
      <c r="A3695" s="16"/>
      <c r="B3695" s="16"/>
      <c r="C3695" s="14"/>
      <c r="F3695" s="16"/>
      <c r="G3695" s="16"/>
      <c r="H3695" s="14"/>
      <c r="K3695" s="16"/>
      <c r="L3695" s="16"/>
      <c r="M3695" s="14"/>
    </row>
    <row r="3696">
      <c r="A3696" s="16"/>
      <c r="B3696" s="16"/>
      <c r="C3696" s="14"/>
      <c r="F3696" s="16"/>
      <c r="G3696" s="16"/>
      <c r="H3696" s="14"/>
      <c r="K3696" s="16"/>
      <c r="L3696" s="16"/>
      <c r="M3696" s="14"/>
    </row>
    <row r="3697">
      <c r="A3697" s="16"/>
      <c r="B3697" s="16"/>
      <c r="C3697" s="14"/>
      <c r="F3697" s="16"/>
      <c r="G3697" s="16"/>
      <c r="H3697" s="14"/>
      <c r="K3697" s="16"/>
      <c r="L3697" s="16"/>
      <c r="M3697" s="14"/>
    </row>
    <row r="3698">
      <c r="A3698" s="16"/>
      <c r="B3698" s="16"/>
      <c r="C3698" s="14"/>
      <c r="F3698" s="16"/>
      <c r="G3698" s="16"/>
      <c r="H3698" s="14"/>
      <c r="K3698" s="16"/>
      <c r="L3698" s="16"/>
      <c r="M3698" s="14"/>
    </row>
    <row r="3699">
      <c r="A3699" s="16"/>
      <c r="B3699" s="16"/>
      <c r="C3699" s="14"/>
      <c r="F3699" s="16"/>
      <c r="G3699" s="16"/>
      <c r="H3699" s="14"/>
      <c r="K3699" s="16"/>
      <c r="L3699" s="16"/>
      <c r="M3699" s="14"/>
    </row>
    <row r="3700">
      <c r="A3700" s="16"/>
      <c r="B3700" s="16"/>
      <c r="C3700" s="14"/>
      <c r="F3700" s="16"/>
      <c r="G3700" s="16"/>
      <c r="H3700" s="14"/>
      <c r="K3700" s="16"/>
      <c r="L3700" s="16"/>
      <c r="M3700" s="14"/>
    </row>
    <row r="3701">
      <c r="A3701" s="16"/>
      <c r="B3701" s="16"/>
      <c r="C3701" s="14"/>
      <c r="F3701" s="16"/>
      <c r="G3701" s="16"/>
      <c r="H3701" s="14"/>
      <c r="K3701" s="16"/>
      <c r="L3701" s="16"/>
      <c r="M3701" s="14"/>
    </row>
    <row r="3702">
      <c r="A3702" s="16"/>
      <c r="B3702" s="16"/>
      <c r="C3702" s="14"/>
      <c r="F3702" s="16"/>
      <c r="G3702" s="16"/>
      <c r="H3702" s="14"/>
      <c r="K3702" s="16"/>
      <c r="L3702" s="16"/>
      <c r="M3702" s="14"/>
    </row>
    <row r="3703">
      <c r="A3703" s="16"/>
      <c r="B3703" s="16"/>
      <c r="C3703" s="14"/>
      <c r="F3703" s="16"/>
      <c r="G3703" s="16"/>
      <c r="H3703" s="14"/>
      <c r="K3703" s="16"/>
      <c r="L3703" s="16"/>
      <c r="M3703" s="14"/>
    </row>
    <row r="3704">
      <c r="A3704" s="16"/>
      <c r="B3704" s="16"/>
      <c r="C3704" s="14"/>
      <c r="F3704" s="16"/>
      <c r="G3704" s="16"/>
      <c r="H3704" s="14"/>
      <c r="K3704" s="16"/>
      <c r="L3704" s="16"/>
      <c r="M3704" s="14"/>
    </row>
    <row r="3705">
      <c r="A3705" s="16"/>
      <c r="B3705" s="16"/>
      <c r="C3705" s="14"/>
      <c r="F3705" s="16"/>
      <c r="G3705" s="16"/>
      <c r="H3705" s="14"/>
      <c r="K3705" s="16"/>
      <c r="L3705" s="16"/>
      <c r="M3705" s="14"/>
    </row>
    <row r="3706">
      <c r="A3706" s="16"/>
      <c r="B3706" s="16"/>
      <c r="C3706" s="14"/>
      <c r="F3706" s="16"/>
      <c r="G3706" s="16"/>
      <c r="H3706" s="14"/>
      <c r="K3706" s="16"/>
      <c r="L3706" s="16"/>
      <c r="M3706" s="14"/>
    </row>
    <row r="3707">
      <c r="A3707" s="16"/>
      <c r="B3707" s="16"/>
      <c r="C3707" s="14"/>
      <c r="F3707" s="16"/>
      <c r="G3707" s="16"/>
      <c r="H3707" s="14"/>
      <c r="K3707" s="16"/>
      <c r="L3707" s="16"/>
      <c r="M3707" s="14"/>
    </row>
    <row r="3708">
      <c r="A3708" s="16"/>
      <c r="B3708" s="16"/>
      <c r="C3708" s="14"/>
      <c r="F3708" s="16"/>
      <c r="G3708" s="16"/>
      <c r="H3708" s="14"/>
      <c r="K3708" s="16"/>
      <c r="L3708" s="16"/>
      <c r="M3708" s="14"/>
    </row>
    <row r="3709">
      <c r="A3709" s="16"/>
      <c r="B3709" s="16"/>
      <c r="C3709" s="14"/>
      <c r="F3709" s="16"/>
      <c r="G3709" s="16"/>
      <c r="H3709" s="14"/>
      <c r="K3709" s="16"/>
      <c r="L3709" s="16"/>
      <c r="M3709" s="14"/>
    </row>
    <row r="3710">
      <c r="A3710" s="16"/>
      <c r="B3710" s="16"/>
      <c r="C3710" s="14"/>
      <c r="F3710" s="16"/>
      <c r="G3710" s="16"/>
      <c r="H3710" s="14"/>
      <c r="K3710" s="16"/>
      <c r="L3710" s="16"/>
      <c r="M3710" s="14"/>
    </row>
    <row r="3711">
      <c r="A3711" s="16"/>
      <c r="B3711" s="16"/>
      <c r="C3711" s="14"/>
      <c r="F3711" s="16"/>
      <c r="G3711" s="16"/>
      <c r="H3711" s="14"/>
      <c r="K3711" s="16"/>
      <c r="L3711" s="16"/>
      <c r="M3711" s="14"/>
    </row>
    <row r="3712">
      <c r="A3712" s="16"/>
      <c r="B3712" s="16"/>
      <c r="C3712" s="14"/>
      <c r="F3712" s="16"/>
      <c r="G3712" s="16"/>
      <c r="H3712" s="14"/>
      <c r="K3712" s="16"/>
      <c r="L3712" s="16"/>
      <c r="M3712" s="14"/>
    </row>
    <row r="3713">
      <c r="A3713" s="16"/>
      <c r="B3713" s="16"/>
      <c r="C3713" s="14"/>
      <c r="F3713" s="16"/>
      <c r="G3713" s="16"/>
      <c r="H3713" s="14"/>
      <c r="K3713" s="16"/>
      <c r="L3713" s="16"/>
      <c r="M3713" s="14"/>
    </row>
    <row r="3714">
      <c r="A3714" s="16"/>
      <c r="B3714" s="16"/>
      <c r="C3714" s="14"/>
      <c r="F3714" s="16"/>
      <c r="G3714" s="16"/>
      <c r="H3714" s="14"/>
      <c r="K3714" s="16"/>
      <c r="L3714" s="16"/>
      <c r="M3714" s="14"/>
    </row>
    <row r="3715">
      <c r="A3715" s="16"/>
      <c r="B3715" s="16"/>
      <c r="C3715" s="14"/>
      <c r="F3715" s="16"/>
      <c r="G3715" s="16"/>
      <c r="H3715" s="14"/>
      <c r="K3715" s="16"/>
      <c r="L3715" s="16"/>
      <c r="M3715" s="14"/>
    </row>
    <row r="3716">
      <c r="A3716" s="16"/>
      <c r="B3716" s="16"/>
      <c r="C3716" s="14"/>
      <c r="F3716" s="16"/>
      <c r="G3716" s="16"/>
      <c r="H3716" s="14"/>
      <c r="K3716" s="16"/>
      <c r="L3716" s="16"/>
      <c r="M3716" s="14"/>
    </row>
    <row r="3717">
      <c r="A3717" s="16"/>
      <c r="B3717" s="16"/>
      <c r="C3717" s="14"/>
      <c r="F3717" s="16"/>
      <c r="G3717" s="16"/>
      <c r="H3717" s="14"/>
      <c r="K3717" s="16"/>
      <c r="L3717" s="16"/>
      <c r="M3717" s="14"/>
    </row>
    <row r="3718">
      <c r="A3718" s="16"/>
      <c r="B3718" s="16"/>
      <c r="C3718" s="14"/>
      <c r="F3718" s="16"/>
      <c r="G3718" s="16"/>
      <c r="H3718" s="14"/>
      <c r="K3718" s="16"/>
      <c r="L3718" s="16"/>
      <c r="M3718" s="14"/>
    </row>
    <row r="3719">
      <c r="A3719" s="16"/>
      <c r="B3719" s="16"/>
      <c r="C3719" s="14"/>
      <c r="F3719" s="16"/>
      <c r="G3719" s="16"/>
      <c r="H3719" s="14"/>
      <c r="K3719" s="16"/>
      <c r="L3719" s="16"/>
      <c r="M3719" s="14"/>
    </row>
    <row r="3720">
      <c r="A3720" s="16"/>
      <c r="B3720" s="16"/>
      <c r="C3720" s="14"/>
      <c r="F3720" s="16"/>
      <c r="G3720" s="16"/>
      <c r="H3720" s="14"/>
      <c r="K3720" s="16"/>
      <c r="L3720" s="16"/>
      <c r="M3720" s="14"/>
    </row>
    <row r="3721">
      <c r="A3721" s="16"/>
      <c r="B3721" s="16"/>
      <c r="C3721" s="14"/>
      <c r="F3721" s="16"/>
      <c r="G3721" s="16"/>
      <c r="H3721" s="14"/>
      <c r="K3721" s="16"/>
      <c r="L3721" s="16"/>
      <c r="M3721" s="14"/>
    </row>
    <row r="3722">
      <c r="A3722" s="16"/>
      <c r="B3722" s="16"/>
      <c r="C3722" s="14"/>
      <c r="F3722" s="16"/>
      <c r="G3722" s="16"/>
      <c r="H3722" s="14"/>
      <c r="K3722" s="16"/>
      <c r="L3722" s="16"/>
      <c r="M3722" s="14"/>
    </row>
    <row r="3723">
      <c r="A3723" s="16"/>
      <c r="B3723" s="16"/>
      <c r="C3723" s="14"/>
      <c r="F3723" s="16"/>
      <c r="G3723" s="16"/>
      <c r="H3723" s="14"/>
      <c r="K3723" s="16"/>
      <c r="L3723" s="16"/>
      <c r="M3723" s="14"/>
    </row>
    <row r="3724">
      <c r="A3724" s="16"/>
      <c r="B3724" s="16"/>
      <c r="C3724" s="14"/>
      <c r="F3724" s="16"/>
      <c r="G3724" s="16"/>
      <c r="H3724" s="14"/>
      <c r="K3724" s="16"/>
      <c r="L3724" s="16"/>
      <c r="M3724" s="14"/>
    </row>
    <row r="3725">
      <c r="A3725" s="16"/>
      <c r="B3725" s="16"/>
      <c r="C3725" s="14"/>
      <c r="F3725" s="16"/>
      <c r="G3725" s="16"/>
      <c r="H3725" s="14"/>
      <c r="K3725" s="16"/>
      <c r="L3725" s="16"/>
      <c r="M3725" s="14"/>
    </row>
    <row r="3726">
      <c r="A3726" s="16"/>
      <c r="B3726" s="16"/>
      <c r="C3726" s="14"/>
      <c r="F3726" s="16"/>
      <c r="G3726" s="16"/>
      <c r="H3726" s="14"/>
      <c r="K3726" s="16"/>
      <c r="L3726" s="16"/>
      <c r="M3726" s="14"/>
    </row>
    <row r="3727">
      <c r="A3727" s="16"/>
      <c r="B3727" s="16"/>
      <c r="C3727" s="14"/>
      <c r="F3727" s="16"/>
      <c r="G3727" s="16"/>
      <c r="H3727" s="14"/>
      <c r="K3727" s="16"/>
      <c r="L3727" s="16"/>
      <c r="M3727" s="14"/>
    </row>
    <row r="3728">
      <c r="A3728" s="16"/>
      <c r="B3728" s="16"/>
      <c r="C3728" s="14"/>
      <c r="F3728" s="16"/>
      <c r="G3728" s="16"/>
      <c r="H3728" s="14"/>
      <c r="K3728" s="16"/>
      <c r="L3728" s="16"/>
      <c r="M3728" s="14"/>
    </row>
    <row r="3729">
      <c r="A3729" s="16"/>
      <c r="B3729" s="16"/>
      <c r="C3729" s="14"/>
      <c r="F3729" s="16"/>
      <c r="G3729" s="16"/>
      <c r="H3729" s="14"/>
      <c r="K3729" s="16"/>
      <c r="L3729" s="16"/>
      <c r="M3729" s="14"/>
    </row>
    <row r="3730">
      <c r="A3730" s="16"/>
      <c r="B3730" s="16"/>
      <c r="C3730" s="14"/>
      <c r="F3730" s="16"/>
      <c r="G3730" s="16"/>
      <c r="H3730" s="14"/>
      <c r="K3730" s="16"/>
      <c r="L3730" s="16"/>
      <c r="M3730" s="14"/>
    </row>
    <row r="3731">
      <c r="A3731" s="16"/>
      <c r="B3731" s="16"/>
      <c r="C3731" s="14"/>
      <c r="F3731" s="16"/>
      <c r="G3731" s="16"/>
      <c r="H3731" s="14"/>
      <c r="K3731" s="16"/>
      <c r="L3731" s="16"/>
      <c r="M3731" s="14"/>
    </row>
    <row r="3732">
      <c r="A3732" s="16"/>
      <c r="B3732" s="16"/>
      <c r="C3732" s="14"/>
      <c r="F3732" s="16"/>
      <c r="G3732" s="16"/>
      <c r="H3732" s="14"/>
      <c r="K3732" s="16"/>
      <c r="L3732" s="16"/>
      <c r="M3732" s="14"/>
    </row>
    <row r="3733">
      <c r="A3733" s="16"/>
      <c r="B3733" s="16"/>
      <c r="C3733" s="14"/>
      <c r="F3733" s="16"/>
      <c r="G3733" s="16"/>
      <c r="H3733" s="14"/>
      <c r="K3733" s="16"/>
      <c r="L3733" s="16"/>
      <c r="M3733" s="14"/>
    </row>
    <row r="3734">
      <c r="A3734" s="16"/>
      <c r="B3734" s="16"/>
      <c r="C3734" s="14"/>
      <c r="F3734" s="16"/>
      <c r="G3734" s="16"/>
      <c r="H3734" s="14"/>
      <c r="K3734" s="16"/>
      <c r="L3734" s="16"/>
      <c r="M3734" s="14"/>
    </row>
    <row r="3735">
      <c r="A3735" s="16"/>
      <c r="B3735" s="16"/>
      <c r="C3735" s="14"/>
      <c r="F3735" s="16"/>
      <c r="G3735" s="16"/>
      <c r="H3735" s="14"/>
      <c r="K3735" s="16"/>
      <c r="L3735" s="16"/>
      <c r="M3735" s="14"/>
    </row>
    <row r="3736">
      <c r="A3736" s="16"/>
      <c r="B3736" s="16"/>
      <c r="C3736" s="14"/>
      <c r="F3736" s="16"/>
      <c r="G3736" s="16"/>
      <c r="H3736" s="14"/>
      <c r="K3736" s="16"/>
      <c r="L3736" s="16"/>
      <c r="M3736" s="14"/>
    </row>
    <row r="3737">
      <c r="A3737" s="16"/>
      <c r="B3737" s="16"/>
      <c r="C3737" s="14"/>
      <c r="F3737" s="16"/>
      <c r="G3737" s="16"/>
      <c r="H3737" s="14"/>
      <c r="K3737" s="16"/>
      <c r="L3737" s="16"/>
      <c r="M3737" s="14"/>
    </row>
    <row r="3738">
      <c r="A3738" s="16"/>
      <c r="B3738" s="16"/>
      <c r="C3738" s="14"/>
      <c r="F3738" s="16"/>
      <c r="G3738" s="16"/>
      <c r="H3738" s="14"/>
      <c r="K3738" s="16"/>
      <c r="L3738" s="16"/>
      <c r="M3738" s="14"/>
    </row>
    <row r="3739">
      <c r="A3739" s="16"/>
      <c r="B3739" s="16"/>
      <c r="C3739" s="14"/>
      <c r="F3739" s="16"/>
      <c r="G3739" s="16"/>
      <c r="H3739" s="14"/>
      <c r="K3739" s="16"/>
      <c r="L3739" s="16"/>
      <c r="M3739" s="14"/>
    </row>
    <row r="3740">
      <c r="A3740" s="16"/>
      <c r="B3740" s="16"/>
      <c r="C3740" s="14"/>
      <c r="F3740" s="16"/>
      <c r="G3740" s="16"/>
      <c r="H3740" s="14"/>
      <c r="K3740" s="16"/>
      <c r="L3740" s="16"/>
      <c r="M3740" s="14"/>
    </row>
    <row r="3741">
      <c r="A3741" s="16"/>
      <c r="B3741" s="16"/>
      <c r="C3741" s="14"/>
      <c r="F3741" s="16"/>
      <c r="G3741" s="16"/>
      <c r="H3741" s="14"/>
      <c r="K3741" s="16"/>
      <c r="L3741" s="16"/>
      <c r="M3741" s="14"/>
    </row>
    <row r="3742">
      <c r="A3742" s="16"/>
      <c r="B3742" s="16"/>
      <c r="C3742" s="14"/>
      <c r="F3742" s="16"/>
      <c r="G3742" s="16"/>
      <c r="H3742" s="14"/>
      <c r="K3742" s="16"/>
      <c r="L3742" s="16"/>
      <c r="M3742" s="14"/>
    </row>
    <row r="3743">
      <c r="A3743" s="16"/>
      <c r="B3743" s="16"/>
      <c r="C3743" s="14"/>
      <c r="F3743" s="16"/>
      <c r="G3743" s="16"/>
      <c r="H3743" s="14"/>
      <c r="K3743" s="16"/>
      <c r="L3743" s="16"/>
      <c r="M3743" s="14"/>
    </row>
    <row r="3744">
      <c r="A3744" s="16"/>
      <c r="B3744" s="16"/>
      <c r="C3744" s="14"/>
      <c r="F3744" s="16"/>
      <c r="G3744" s="16"/>
      <c r="H3744" s="14"/>
      <c r="K3744" s="16"/>
      <c r="L3744" s="16"/>
      <c r="M3744" s="14"/>
    </row>
    <row r="3745">
      <c r="A3745" s="16"/>
      <c r="B3745" s="16"/>
      <c r="C3745" s="14"/>
      <c r="F3745" s="16"/>
      <c r="G3745" s="16"/>
      <c r="H3745" s="14"/>
      <c r="K3745" s="16"/>
      <c r="L3745" s="16"/>
      <c r="M3745" s="14"/>
    </row>
    <row r="3746">
      <c r="A3746" s="16"/>
      <c r="B3746" s="16"/>
      <c r="C3746" s="14"/>
      <c r="F3746" s="16"/>
      <c r="G3746" s="16"/>
      <c r="H3746" s="14"/>
      <c r="K3746" s="16"/>
      <c r="L3746" s="16"/>
      <c r="M3746" s="14"/>
    </row>
    <row r="3747">
      <c r="A3747" s="16"/>
      <c r="B3747" s="16"/>
      <c r="C3747" s="14"/>
      <c r="F3747" s="16"/>
      <c r="G3747" s="16"/>
      <c r="H3747" s="14"/>
      <c r="K3747" s="16"/>
      <c r="L3747" s="16"/>
      <c r="M3747" s="14"/>
    </row>
    <row r="3748">
      <c r="A3748" s="16"/>
      <c r="B3748" s="16"/>
      <c r="C3748" s="14"/>
      <c r="F3748" s="16"/>
      <c r="G3748" s="16"/>
      <c r="H3748" s="14"/>
      <c r="K3748" s="16"/>
      <c r="L3748" s="16"/>
      <c r="M3748" s="14"/>
    </row>
    <row r="3749">
      <c r="A3749" s="16"/>
      <c r="B3749" s="16"/>
      <c r="C3749" s="14"/>
      <c r="F3749" s="16"/>
      <c r="G3749" s="16"/>
      <c r="H3749" s="14"/>
      <c r="K3749" s="16"/>
      <c r="L3749" s="16"/>
      <c r="M3749" s="14"/>
    </row>
    <row r="3750">
      <c r="A3750" s="16"/>
      <c r="B3750" s="16"/>
      <c r="C3750" s="14"/>
      <c r="F3750" s="16"/>
      <c r="G3750" s="16"/>
      <c r="H3750" s="14"/>
      <c r="K3750" s="16"/>
      <c r="L3750" s="16"/>
      <c r="M3750" s="14"/>
    </row>
    <row r="3751">
      <c r="A3751" s="16"/>
      <c r="B3751" s="16"/>
      <c r="C3751" s="14"/>
      <c r="F3751" s="16"/>
      <c r="G3751" s="16"/>
      <c r="H3751" s="14"/>
      <c r="K3751" s="16"/>
      <c r="L3751" s="16"/>
      <c r="M3751" s="14"/>
    </row>
    <row r="3752">
      <c r="A3752" s="16"/>
      <c r="B3752" s="16"/>
      <c r="C3752" s="14"/>
      <c r="F3752" s="16"/>
      <c r="G3752" s="16"/>
      <c r="H3752" s="14"/>
      <c r="K3752" s="16"/>
      <c r="L3752" s="16"/>
      <c r="M3752" s="14"/>
    </row>
    <row r="3753">
      <c r="A3753" s="16"/>
      <c r="B3753" s="16"/>
      <c r="C3753" s="14"/>
      <c r="F3753" s="16"/>
      <c r="G3753" s="16"/>
      <c r="H3753" s="14"/>
      <c r="K3753" s="16"/>
      <c r="L3753" s="16"/>
      <c r="M3753" s="14"/>
    </row>
    <row r="3754">
      <c r="A3754" s="16"/>
      <c r="B3754" s="16"/>
      <c r="C3754" s="14"/>
      <c r="F3754" s="16"/>
      <c r="G3754" s="16"/>
      <c r="H3754" s="14"/>
      <c r="K3754" s="16"/>
      <c r="L3754" s="16"/>
      <c r="M3754" s="14"/>
    </row>
    <row r="3755">
      <c r="A3755" s="16"/>
      <c r="B3755" s="16"/>
      <c r="C3755" s="14"/>
      <c r="F3755" s="16"/>
      <c r="G3755" s="16"/>
      <c r="H3755" s="14"/>
      <c r="K3755" s="16"/>
      <c r="L3755" s="16"/>
      <c r="M3755" s="14"/>
    </row>
    <row r="3756">
      <c r="A3756" s="16"/>
      <c r="B3756" s="16"/>
      <c r="C3756" s="14"/>
      <c r="F3756" s="16"/>
      <c r="G3756" s="16"/>
      <c r="H3756" s="14"/>
      <c r="K3756" s="16"/>
      <c r="L3756" s="16"/>
      <c r="M3756" s="14"/>
    </row>
    <row r="3757">
      <c r="A3757" s="16"/>
      <c r="B3757" s="16"/>
      <c r="C3757" s="14"/>
      <c r="F3757" s="16"/>
      <c r="G3757" s="16"/>
      <c r="H3757" s="14"/>
      <c r="K3757" s="16"/>
      <c r="L3757" s="16"/>
      <c r="M3757" s="14"/>
    </row>
    <row r="3758">
      <c r="A3758" s="16"/>
      <c r="B3758" s="16"/>
      <c r="C3758" s="14"/>
      <c r="F3758" s="16"/>
      <c r="G3758" s="16"/>
      <c r="H3758" s="14"/>
      <c r="K3758" s="16"/>
      <c r="L3758" s="16"/>
      <c r="M3758" s="14"/>
    </row>
    <row r="3759">
      <c r="A3759" s="16"/>
      <c r="B3759" s="16"/>
      <c r="C3759" s="14"/>
      <c r="F3759" s="16"/>
      <c r="G3759" s="16"/>
      <c r="H3759" s="14"/>
      <c r="K3759" s="16"/>
      <c r="L3759" s="16"/>
      <c r="M3759" s="14"/>
    </row>
    <row r="3760">
      <c r="A3760" s="16"/>
      <c r="B3760" s="16"/>
      <c r="C3760" s="14"/>
      <c r="F3760" s="16"/>
      <c r="G3760" s="16"/>
      <c r="H3760" s="14"/>
      <c r="K3760" s="16"/>
      <c r="L3760" s="16"/>
      <c r="M3760" s="14"/>
    </row>
    <row r="3761">
      <c r="A3761" s="16"/>
      <c r="B3761" s="16"/>
      <c r="C3761" s="14"/>
      <c r="F3761" s="16"/>
      <c r="G3761" s="16"/>
      <c r="H3761" s="14"/>
      <c r="K3761" s="16"/>
      <c r="L3761" s="16"/>
      <c r="M3761" s="14"/>
    </row>
    <row r="3762">
      <c r="A3762" s="16"/>
      <c r="B3762" s="16"/>
      <c r="C3762" s="14"/>
      <c r="F3762" s="16"/>
      <c r="G3762" s="16"/>
      <c r="H3762" s="14"/>
      <c r="K3762" s="16"/>
      <c r="L3762" s="16"/>
      <c r="M3762" s="14"/>
    </row>
    <row r="3763">
      <c r="A3763" s="16"/>
      <c r="B3763" s="16"/>
      <c r="C3763" s="14"/>
      <c r="F3763" s="16"/>
      <c r="G3763" s="16"/>
      <c r="H3763" s="14"/>
      <c r="K3763" s="16"/>
      <c r="L3763" s="16"/>
      <c r="M3763" s="14"/>
    </row>
    <row r="3764">
      <c r="A3764" s="16"/>
      <c r="B3764" s="16"/>
      <c r="C3764" s="14"/>
      <c r="F3764" s="16"/>
      <c r="G3764" s="16"/>
      <c r="H3764" s="14"/>
      <c r="K3764" s="16"/>
      <c r="L3764" s="16"/>
      <c r="M3764" s="14"/>
    </row>
    <row r="3765">
      <c r="A3765" s="16"/>
      <c r="B3765" s="16"/>
      <c r="C3765" s="14"/>
      <c r="F3765" s="16"/>
      <c r="G3765" s="16"/>
      <c r="H3765" s="14"/>
      <c r="K3765" s="16"/>
      <c r="L3765" s="16"/>
      <c r="M3765" s="14"/>
    </row>
    <row r="3766">
      <c r="A3766" s="16"/>
      <c r="B3766" s="16"/>
      <c r="C3766" s="14"/>
      <c r="F3766" s="16"/>
      <c r="G3766" s="16"/>
      <c r="H3766" s="14"/>
      <c r="K3766" s="16"/>
      <c r="L3766" s="16"/>
      <c r="M3766" s="14"/>
    </row>
    <row r="3767">
      <c r="A3767" s="16"/>
      <c r="B3767" s="16"/>
      <c r="C3767" s="14"/>
      <c r="F3767" s="16"/>
      <c r="G3767" s="16"/>
      <c r="H3767" s="14"/>
      <c r="K3767" s="16"/>
      <c r="L3767" s="16"/>
      <c r="M3767" s="14"/>
    </row>
    <row r="3768">
      <c r="A3768" s="16"/>
      <c r="B3768" s="16"/>
      <c r="C3768" s="14"/>
      <c r="F3768" s="16"/>
      <c r="G3768" s="16"/>
      <c r="H3768" s="14"/>
      <c r="K3768" s="16"/>
      <c r="L3768" s="16"/>
      <c r="M3768" s="14"/>
    </row>
    <row r="3769">
      <c r="A3769" s="16"/>
      <c r="B3769" s="16"/>
      <c r="C3769" s="14"/>
      <c r="F3769" s="16"/>
      <c r="G3769" s="16"/>
      <c r="H3769" s="14"/>
      <c r="K3769" s="16"/>
      <c r="L3769" s="16"/>
      <c r="M3769" s="14"/>
    </row>
    <row r="3770">
      <c r="A3770" s="16"/>
      <c r="B3770" s="16"/>
      <c r="C3770" s="14"/>
      <c r="F3770" s="16"/>
      <c r="G3770" s="16"/>
      <c r="H3770" s="14"/>
      <c r="K3770" s="16"/>
      <c r="L3770" s="16"/>
      <c r="M3770" s="14"/>
    </row>
    <row r="3771">
      <c r="A3771" s="16"/>
      <c r="B3771" s="16"/>
      <c r="C3771" s="14"/>
      <c r="F3771" s="16"/>
      <c r="G3771" s="16"/>
      <c r="H3771" s="14"/>
      <c r="K3771" s="16"/>
      <c r="L3771" s="16"/>
      <c r="M3771" s="14"/>
    </row>
    <row r="3772">
      <c r="A3772" s="16"/>
      <c r="B3772" s="16"/>
      <c r="C3772" s="14"/>
      <c r="F3772" s="16"/>
      <c r="G3772" s="16"/>
      <c r="H3772" s="14"/>
      <c r="K3772" s="16"/>
      <c r="L3772" s="16"/>
      <c r="M3772" s="14"/>
    </row>
    <row r="3773">
      <c r="A3773" s="16"/>
      <c r="B3773" s="16"/>
      <c r="C3773" s="14"/>
      <c r="F3773" s="16"/>
      <c r="G3773" s="16"/>
      <c r="H3773" s="14"/>
      <c r="K3773" s="16"/>
      <c r="L3773" s="16"/>
      <c r="M3773" s="14"/>
    </row>
    <row r="3774">
      <c r="A3774" s="16"/>
      <c r="B3774" s="16"/>
      <c r="C3774" s="14"/>
      <c r="F3774" s="16"/>
      <c r="G3774" s="16"/>
      <c r="H3774" s="14"/>
      <c r="K3774" s="16"/>
      <c r="L3774" s="16"/>
      <c r="M3774" s="14"/>
    </row>
    <row r="3775">
      <c r="A3775" s="16"/>
      <c r="B3775" s="16"/>
      <c r="C3775" s="14"/>
      <c r="F3775" s="16"/>
      <c r="G3775" s="16"/>
      <c r="H3775" s="14"/>
      <c r="K3775" s="16"/>
      <c r="L3775" s="16"/>
      <c r="M3775" s="14"/>
    </row>
    <row r="3776">
      <c r="A3776" s="16"/>
      <c r="B3776" s="16"/>
      <c r="C3776" s="14"/>
      <c r="F3776" s="16"/>
      <c r="G3776" s="16"/>
      <c r="H3776" s="14"/>
      <c r="K3776" s="16"/>
      <c r="L3776" s="16"/>
      <c r="M3776" s="14"/>
    </row>
    <row r="3777">
      <c r="A3777" s="16"/>
      <c r="B3777" s="16"/>
      <c r="C3777" s="14"/>
      <c r="F3777" s="16"/>
      <c r="G3777" s="16"/>
      <c r="H3777" s="14"/>
      <c r="K3777" s="16"/>
      <c r="L3777" s="16"/>
      <c r="M3777" s="14"/>
    </row>
    <row r="3778">
      <c r="A3778" s="16"/>
      <c r="B3778" s="16"/>
      <c r="C3778" s="14"/>
      <c r="F3778" s="16"/>
      <c r="G3778" s="16"/>
      <c r="H3778" s="14"/>
      <c r="K3778" s="16"/>
      <c r="L3778" s="16"/>
      <c r="M3778" s="14"/>
    </row>
    <row r="3779">
      <c r="A3779" s="16"/>
      <c r="B3779" s="16"/>
      <c r="C3779" s="14"/>
      <c r="F3779" s="16"/>
      <c r="G3779" s="16"/>
      <c r="H3779" s="14"/>
      <c r="K3779" s="16"/>
      <c r="L3779" s="16"/>
      <c r="M3779" s="14"/>
    </row>
    <row r="3780">
      <c r="A3780" s="16"/>
      <c r="B3780" s="16"/>
      <c r="C3780" s="14"/>
      <c r="F3780" s="16"/>
      <c r="G3780" s="16"/>
      <c r="H3780" s="14"/>
      <c r="K3780" s="16"/>
      <c r="L3780" s="16"/>
      <c r="M3780" s="14"/>
    </row>
    <row r="3781">
      <c r="A3781" s="16"/>
      <c r="B3781" s="16"/>
      <c r="C3781" s="14"/>
      <c r="F3781" s="16"/>
      <c r="G3781" s="16"/>
      <c r="H3781" s="14"/>
      <c r="K3781" s="16"/>
      <c r="L3781" s="16"/>
      <c r="M3781" s="14"/>
    </row>
    <row r="3782">
      <c r="A3782" s="16"/>
      <c r="B3782" s="16"/>
      <c r="C3782" s="14"/>
      <c r="F3782" s="16"/>
      <c r="G3782" s="16"/>
      <c r="H3782" s="14"/>
      <c r="K3782" s="16"/>
      <c r="L3782" s="16"/>
      <c r="M3782" s="14"/>
    </row>
    <row r="3783">
      <c r="A3783" s="16"/>
      <c r="B3783" s="16"/>
      <c r="C3783" s="14"/>
      <c r="F3783" s="16"/>
      <c r="G3783" s="16"/>
      <c r="H3783" s="14"/>
      <c r="K3783" s="16"/>
      <c r="L3783" s="16"/>
      <c r="M3783" s="14"/>
    </row>
    <row r="3784">
      <c r="A3784" s="16"/>
      <c r="B3784" s="16"/>
      <c r="C3784" s="14"/>
      <c r="F3784" s="16"/>
      <c r="G3784" s="16"/>
      <c r="H3784" s="14"/>
      <c r="K3784" s="16"/>
      <c r="L3784" s="16"/>
      <c r="M3784" s="14"/>
    </row>
    <row r="3785">
      <c r="A3785" s="16"/>
      <c r="B3785" s="16"/>
      <c r="C3785" s="14"/>
      <c r="F3785" s="16"/>
      <c r="G3785" s="16"/>
      <c r="H3785" s="14"/>
      <c r="K3785" s="16"/>
      <c r="L3785" s="16"/>
      <c r="M3785" s="14"/>
    </row>
    <row r="3786">
      <c r="A3786" s="16"/>
      <c r="B3786" s="16"/>
      <c r="C3786" s="14"/>
      <c r="F3786" s="16"/>
      <c r="G3786" s="16"/>
      <c r="H3786" s="14"/>
      <c r="K3786" s="16"/>
      <c r="L3786" s="16"/>
      <c r="M3786" s="14"/>
    </row>
    <row r="3787">
      <c r="A3787" s="16"/>
      <c r="B3787" s="16"/>
      <c r="C3787" s="14"/>
      <c r="F3787" s="16"/>
      <c r="G3787" s="16"/>
      <c r="H3787" s="14"/>
      <c r="K3787" s="16"/>
      <c r="L3787" s="16"/>
      <c r="M3787" s="14"/>
    </row>
    <row r="3788">
      <c r="A3788" s="16"/>
      <c r="B3788" s="16"/>
      <c r="C3788" s="14"/>
      <c r="F3788" s="16"/>
      <c r="G3788" s="16"/>
      <c r="H3788" s="14"/>
      <c r="K3788" s="16"/>
      <c r="L3788" s="16"/>
      <c r="M3788" s="14"/>
    </row>
    <row r="3789">
      <c r="A3789" s="16"/>
      <c r="B3789" s="16"/>
      <c r="C3789" s="14"/>
      <c r="F3789" s="16"/>
      <c r="G3789" s="16"/>
      <c r="H3789" s="14"/>
      <c r="K3789" s="16"/>
      <c r="L3789" s="16"/>
      <c r="M3789" s="14"/>
    </row>
    <row r="3790">
      <c r="A3790" s="16"/>
      <c r="B3790" s="16"/>
      <c r="C3790" s="14"/>
      <c r="F3790" s="16"/>
      <c r="G3790" s="16"/>
      <c r="H3790" s="14"/>
      <c r="K3790" s="16"/>
      <c r="L3790" s="16"/>
      <c r="M3790" s="14"/>
    </row>
    <row r="3791">
      <c r="A3791" s="16"/>
      <c r="B3791" s="16"/>
      <c r="C3791" s="14"/>
      <c r="F3791" s="16"/>
      <c r="G3791" s="16"/>
      <c r="H3791" s="14"/>
      <c r="K3791" s="16"/>
      <c r="L3791" s="16"/>
      <c r="M3791" s="14"/>
    </row>
    <row r="3792">
      <c r="A3792" s="16"/>
      <c r="B3792" s="16"/>
      <c r="C3792" s="14"/>
      <c r="F3792" s="16"/>
      <c r="G3792" s="16"/>
      <c r="H3792" s="14"/>
      <c r="K3792" s="16"/>
      <c r="L3792" s="16"/>
      <c r="M3792" s="14"/>
    </row>
    <row r="3793">
      <c r="A3793" s="16"/>
      <c r="B3793" s="16"/>
      <c r="C3793" s="14"/>
      <c r="F3793" s="16"/>
      <c r="G3793" s="16"/>
      <c r="H3793" s="14"/>
      <c r="K3793" s="16"/>
      <c r="L3793" s="16"/>
      <c r="M3793" s="14"/>
    </row>
    <row r="3794">
      <c r="A3794" s="16"/>
      <c r="B3794" s="16"/>
      <c r="C3794" s="14"/>
      <c r="F3794" s="16"/>
      <c r="G3794" s="16"/>
      <c r="H3794" s="14"/>
      <c r="K3794" s="16"/>
      <c r="L3794" s="16"/>
      <c r="M3794" s="14"/>
    </row>
    <row r="3795">
      <c r="A3795" s="16"/>
      <c r="B3795" s="16"/>
      <c r="C3795" s="14"/>
      <c r="F3795" s="16"/>
      <c r="G3795" s="16"/>
      <c r="H3795" s="14"/>
      <c r="K3795" s="16"/>
      <c r="L3795" s="16"/>
      <c r="M3795" s="14"/>
    </row>
    <row r="3796">
      <c r="A3796" s="16"/>
      <c r="B3796" s="16"/>
      <c r="C3796" s="14"/>
      <c r="F3796" s="16"/>
      <c r="G3796" s="16"/>
      <c r="H3796" s="14"/>
      <c r="K3796" s="16"/>
      <c r="L3796" s="16"/>
      <c r="M3796" s="14"/>
    </row>
    <row r="3797">
      <c r="A3797" s="16"/>
      <c r="B3797" s="16"/>
      <c r="C3797" s="14"/>
      <c r="F3797" s="16"/>
      <c r="G3797" s="16"/>
      <c r="H3797" s="14"/>
      <c r="K3797" s="16"/>
      <c r="L3797" s="16"/>
      <c r="M3797" s="14"/>
    </row>
    <row r="3798">
      <c r="A3798" s="16"/>
      <c r="B3798" s="16"/>
      <c r="C3798" s="14"/>
      <c r="F3798" s="16"/>
      <c r="G3798" s="16"/>
      <c r="H3798" s="14"/>
      <c r="K3798" s="16"/>
      <c r="L3798" s="16"/>
      <c r="M3798" s="14"/>
    </row>
    <row r="3799">
      <c r="A3799" s="16"/>
      <c r="B3799" s="16"/>
      <c r="C3799" s="14"/>
      <c r="F3799" s="16"/>
      <c r="G3799" s="16"/>
      <c r="H3799" s="14"/>
      <c r="K3799" s="16"/>
      <c r="L3799" s="16"/>
      <c r="M3799" s="14"/>
    </row>
    <row r="3800">
      <c r="A3800" s="16"/>
      <c r="B3800" s="16"/>
      <c r="C3800" s="14"/>
      <c r="F3800" s="16"/>
      <c r="G3800" s="16"/>
      <c r="H3800" s="14"/>
      <c r="K3800" s="16"/>
      <c r="L3800" s="16"/>
      <c r="M3800" s="14"/>
    </row>
    <row r="3801">
      <c r="A3801" s="16"/>
      <c r="B3801" s="16"/>
      <c r="C3801" s="14"/>
      <c r="F3801" s="16"/>
      <c r="G3801" s="16"/>
      <c r="H3801" s="14"/>
      <c r="K3801" s="16"/>
      <c r="L3801" s="16"/>
      <c r="M3801" s="14"/>
    </row>
    <row r="3802">
      <c r="A3802" s="16"/>
      <c r="B3802" s="16"/>
      <c r="C3802" s="14"/>
      <c r="F3802" s="16"/>
      <c r="G3802" s="16"/>
      <c r="H3802" s="14"/>
      <c r="K3802" s="16"/>
      <c r="L3802" s="16"/>
      <c r="M3802" s="14"/>
    </row>
    <row r="3803">
      <c r="A3803" s="16"/>
      <c r="B3803" s="16"/>
      <c r="C3803" s="14"/>
      <c r="F3803" s="16"/>
      <c r="G3803" s="16"/>
      <c r="H3803" s="14"/>
      <c r="K3803" s="16"/>
      <c r="L3803" s="16"/>
      <c r="M3803" s="14"/>
    </row>
    <row r="3804">
      <c r="A3804" s="16"/>
      <c r="B3804" s="16"/>
      <c r="C3804" s="14"/>
      <c r="F3804" s="16"/>
      <c r="G3804" s="16"/>
      <c r="H3804" s="14"/>
      <c r="K3804" s="16"/>
      <c r="L3804" s="16"/>
      <c r="M3804" s="14"/>
    </row>
    <row r="3805">
      <c r="A3805" s="16"/>
      <c r="B3805" s="16"/>
      <c r="C3805" s="14"/>
      <c r="F3805" s="16"/>
      <c r="G3805" s="16"/>
      <c r="H3805" s="14"/>
      <c r="K3805" s="16"/>
      <c r="L3805" s="16"/>
      <c r="M3805" s="14"/>
    </row>
    <row r="3806">
      <c r="A3806" s="16"/>
      <c r="B3806" s="16"/>
      <c r="C3806" s="14"/>
      <c r="F3806" s="16"/>
      <c r="G3806" s="16"/>
      <c r="H3806" s="14"/>
      <c r="K3806" s="16"/>
      <c r="L3806" s="16"/>
      <c r="M3806" s="14"/>
    </row>
    <row r="3807">
      <c r="A3807" s="16"/>
      <c r="B3807" s="16"/>
      <c r="C3807" s="14"/>
      <c r="F3807" s="16"/>
      <c r="G3807" s="16"/>
      <c r="H3807" s="14"/>
      <c r="K3807" s="16"/>
      <c r="L3807" s="16"/>
      <c r="M3807" s="14"/>
    </row>
    <row r="3808">
      <c r="A3808" s="16"/>
      <c r="B3808" s="16"/>
      <c r="C3808" s="14"/>
      <c r="F3808" s="16"/>
      <c r="G3808" s="16"/>
      <c r="H3808" s="14"/>
      <c r="K3808" s="16"/>
      <c r="L3808" s="16"/>
      <c r="M3808" s="14"/>
    </row>
    <row r="3809">
      <c r="A3809" s="16"/>
      <c r="B3809" s="16"/>
      <c r="C3809" s="14"/>
      <c r="F3809" s="16"/>
      <c r="G3809" s="16"/>
      <c r="H3809" s="14"/>
      <c r="K3809" s="16"/>
      <c r="L3809" s="16"/>
      <c r="M3809" s="14"/>
    </row>
    <row r="3810">
      <c r="A3810" s="16"/>
      <c r="B3810" s="16"/>
      <c r="C3810" s="14"/>
      <c r="F3810" s="16"/>
      <c r="G3810" s="16"/>
      <c r="H3810" s="14"/>
      <c r="K3810" s="16"/>
      <c r="L3810" s="16"/>
      <c r="M3810" s="14"/>
    </row>
    <row r="3811">
      <c r="A3811" s="16"/>
      <c r="B3811" s="16"/>
      <c r="C3811" s="14"/>
      <c r="F3811" s="16"/>
      <c r="G3811" s="16"/>
      <c r="H3811" s="14"/>
      <c r="K3811" s="16"/>
      <c r="L3811" s="16"/>
      <c r="M3811" s="14"/>
    </row>
    <row r="3812">
      <c r="A3812" s="16"/>
      <c r="B3812" s="16"/>
      <c r="C3812" s="14"/>
      <c r="F3812" s="16"/>
      <c r="G3812" s="16"/>
      <c r="H3812" s="14"/>
      <c r="K3812" s="16"/>
      <c r="L3812" s="16"/>
      <c r="M3812" s="14"/>
    </row>
    <row r="3813">
      <c r="A3813" s="16"/>
      <c r="B3813" s="16"/>
      <c r="C3813" s="14"/>
      <c r="F3813" s="16"/>
      <c r="G3813" s="16"/>
      <c r="H3813" s="14"/>
      <c r="K3813" s="16"/>
      <c r="L3813" s="16"/>
      <c r="M3813" s="14"/>
    </row>
    <row r="3814">
      <c r="A3814" s="16"/>
      <c r="B3814" s="16"/>
      <c r="C3814" s="14"/>
      <c r="F3814" s="16"/>
      <c r="G3814" s="16"/>
      <c r="H3814" s="14"/>
      <c r="K3814" s="16"/>
      <c r="L3814" s="16"/>
      <c r="M3814" s="14"/>
    </row>
    <row r="3815">
      <c r="A3815" s="16"/>
      <c r="B3815" s="16"/>
      <c r="C3815" s="14"/>
      <c r="F3815" s="16"/>
      <c r="G3815" s="16"/>
      <c r="H3815" s="14"/>
      <c r="K3815" s="16"/>
      <c r="L3815" s="16"/>
      <c r="M3815" s="14"/>
    </row>
    <row r="3816">
      <c r="A3816" s="16"/>
      <c r="B3816" s="16"/>
      <c r="C3816" s="14"/>
      <c r="F3816" s="16"/>
      <c r="G3816" s="16"/>
      <c r="H3816" s="14"/>
      <c r="K3816" s="16"/>
      <c r="L3816" s="16"/>
      <c r="M3816" s="14"/>
    </row>
    <row r="3817">
      <c r="A3817" s="16"/>
      <c r="B3817" s="16"/>
      <c r="C3817" s="14"/>
      <c r="F3817" s="16"/>
      <c r="G3817" s="16"/>
      <c r="H3817" s="14"/>
      <c r="K3817" s="16"/>
      <c r="L3817" s="16"/>
      <c r="M3817" s="14"/>
    </row>
    <row r="3818">
      <c r="A3818" s="16"/>
      <c r="B3818" s="16"/>
      <c r="C3818" s="14"/>
      <c r="F3818" s="16"/>
      <c r="G3818" s="16"/>
      <c r="H3818" s="14"/>
      <c r="K3818" s="16"/>
      <c r="L3818" s="16"/>
      <c r="M3818" s="14"/>
    </row>
    <row r="3819">
      <c r="A3819" s="16"/>
      <c r="B3819" s="16"/>
      <c r="C3819" s="14"/>
      <c r="F3819" s="16"/>
      <c r="G3819" s="16"/>
      <c r="H3819" s="14"/>
      <c r="K3819" s="16"/>
      <c r="L3819" s="16"/>
      <c r="M3819" s="14"/>
    </row>
    <row r="3820">
      <c r="A3820" s="16"/>
      <c r="B3820" s="16"/>
      <c r="C3820" s="14"/>
      <c r="F3820" s="16"/>
      <c r="G3820" s="16"/>
      <c r="H3820" s="14"/>
      <c r="K3820" s="16"/>
      <c r="L3820" s="16"/>
      <c r="M3820" s="14"/>
    </row>
    <row r="3821">
      <c r="A3821" s="16"/>
      <c r="B3821" s="16"/>
      <c r="C3821" s="14"/>
      <c r="F3821" s="16"/>
      <c r="G3821" s="16"/>
      <c r="H3821" s="14"/>
      <c r="K3821" s="16"/>
      <c r="L3821" s="16"/>
      <c r="M3821" s="14"/>
    </row>
    <row r="3822">
      <c r="A3822" s="16"/>
      <c r="B3822" s="16"/>
      <c r="C3822" s="14"/>
      <c r="F3822" s="16"/>
      <c r="G3822" s="16"/>
      <c r="H3822" s="14"/>
      <c r="K3822" s="16"/>
      <c r="L3822" s="16"/>
      <c r="M3822" s="14"/>
    </row>
    <row r="3823">
      <c r="A3823" s="16"/>
      <c r="B3823" s="16"/>
      <c r="C3823" s="14"/>
      <c r="F3823" s="16"/>
      <c r="G3823" s="16"/>
      <c r="H3823" s="14"/>
      <c r="K3823" s="16"/>
      <c r="L3823" s="16"/>
      <c r="M3823" s="14"/>
    </row>
    <row r="3824">
      <c r="A3824" s="16"/>
      <c r="B3824" s="16"/>
      <c r="C3824" s="14"/>
      <c r="F3824" s="16"/>
      <c r="G3824" s="16"/>
      <c r="H3824" s="14"/>
      <c r="K3824" s="16"/>
      <c r="L3824" s="16"/>
      <c r="M3824" s="14"/>
    </row>
    <row r="3825">
      <c r="A3825" s="16"/>
      <c r="B3825" s="16"/>
      <c r="C3825" s="14"/>
      <c r="F3825" s="16"/>
      <c r="G3825" s="16"/>
      <c r="H3825" s="14"/>
      <c r="K3825" s="16"/>
      <c r="L3825" s="16"/>
      <c r="M3825" s="14"/>
    </row>
    <row r="3826">
      <c r="A3826" s="16"/>
      <c r="B3826" s="16"/>
      <c r="C3826" s="14"/>
      <c r="F3826" s="16"/>
      <c r="G3826" s="16"/>
      <c r="H3826" s="14"/>
      <c r="K3826" s="16"/>
      <c r="L3826" s="16"/>
      <c r="M3826" s="14"/>
    </row>
    <row r="3827">
      <c r="A3827" s="16"/>
      <c r="B3827" s="16"/>
      <c r="C3827" s="14"/>
      <c r="F3827" s="16"/>
      <c r="G3827" s="16"/>
      <c r="H3827" s="14"/>
      <c r="K3827" s="16"/>
      <c r="L3827" s="16"/>
      <c r="M3827" s="14"/>
    </row>
    <row r="3828">
      <c r="A3828" s="16"/>
      <c r="B3828" s="16"/>
      <c r="C3828" s="14"/>
      <c r="F3828" s="16"/>
      <c r="G3828" s="16"/>
      <c r="H3828" s="14"/>
      <c r="K3828" s="16"/>
      <c r="L3828" s="16"/>
      <c r="M3828" s="14"/>
    </row>
    <row r="3829">
      <c r="A3829" s="16"/>
      <c r="B3829" s="16"/>
      <c r="C3829" s="14"/>
      <c r="F3829" s="16"/>
      <c r="G3829" s="16"/>
      <c r="H3829" s="14"/>
      <c r="K3829" s="16"/>
      <c r="L3829" s="16"/>
      <c r="M3829" s="14"/>
    </row>
    <row r="3830">
      <c r="A3830" s="16"/>
      <c r="B3830" s="16"/>
      <c r="C3830" s="14"/>
      <c r="F3830" s="16"/>
      <c r="G3830" s="16"/>
      <c r="H3830" s="14"/>
      <c r="K3830" s="16"/>
      <c r="L3830" s="16"/>
      <c r="M3830" s="14"/>
    </row>
    <row r="3831">
      <c r="A3831" s="16"/>
      <c r="B3831" s="16"/>
      <c r="C3831" s="14"/>
      <c r="F3831" s="16"/>
      <c r="G3831" s="16"/>
      <c r="H3831" s="14"/>
      <c r="K3831" s="16"/>
      <c r="L3831" s="16"/>
      <c r="M3831" s="14"/>
    </row>
    <row r="3832">
      <c r="A3832" s="16"/>
      <c r="B3832" s="16"/>
      <c r="C3832" s="14"/>
      <c r="F3832" s="16"/>
      <c r="G3832" s="16"/>
      <c r="H3832" s="14"/>
      <c r="K3832" s="16"/>
      <c r="L3832" s="16"/>
      <c r="M3832" s="14"/>
    </row>
    <row r="3833">
      <c r="A3833" s="16"/>
      <c r="B3833" s="16"/>
      <c r="C3833" s="14"/>
      <c r="F3833" s="16"/>
      <c r="G3833" s="16"/>
      <c r="H3833" s="14"/>
      <c r="K3833" s="16"/>
      <c r="L3833" s="16"/>
      <c r="M3833" s="14"/>
    </row>
    <row r="3834">
      <c r="A3834" s="16"/>
      <c r="B3834" s="16"/>
      <c r="C3834" s="14"/>
      <c r="F3834" s="16"/>
      <c r="G3834" s="16"/>
      <c r="H3834" s="14"/>
      <c r="K3834" s="16"/>
      <c r="L3834" s="16"/>
      <c r="M3834" s="14"/>
    </row>
    <row r="3835">
      <c r="A3835" s="16"/>
      <c r="B3835" s="16"/>
      <c r="C3835" s="14"/>
      <c r="F3835" s="16"/>
      <c r="G3835" s="16"/>
      <c r="H3835" s="14"/>
      <c r="K3835" s="16"/>
      <c r="L3835" s="16"/>
      <c r="M3835" s="14"/>
    </row>
    <row r="3836">
      <c r="A3836" s="16"/>
      <c r="B3836" s="16"/>
      <c r="C3836" s="14"/>
      <c r="F3836" s="16"/>
      <c r="G3836" s="16"/>
      <c r="H3836" s="14"/>
      <c r="K3836" s="16"/>
      <c r="L3836" s="16"/>
      <c r="M3836" s="14"/>
    </row>
    <row r="3837">
      <c r="A3837" s="16"/>
      <c r="B3837" s="16"/>
      <c r="C3837" s="14"/>
      <c r="F3837" s="16"/>
      <c r="G3837" s="16"/>
      <c r="H3837" s="14"/>
      <c r="K3837" s="16"/>
      <c r="L3837" s="16"/>
      <c r="M3837" s="14"/>
    </row>
    <row r="3838">
      <c r="A3838" s="16"/>
      <c r="B3838" s="16"/>
      <c r="C3838" s="14"/>
      <c r="F3838" s="16"/>
      <c r="G3838" s="16"/>
      <c r="H3838" s="14"/>
      <c r="K3838" s="16"/>
      <c r="L3838" s="16"/>
      <c r="M3838" s="14"/>
    </row>
    <row r="3839">
      <c r="A3839" s="16"/>
      <c r="B3839" s="16"/>
      <c r="C3839" s="14"/>
      <c r="F3839" s="16"/>
      <c r="G3839" s="16"/>
      <c r="H3839" s="14"/>
      <c r="K3839" s="16"/>
      <c r="L3839" s="16"/>
      <c r="M3839" s="14"/>
    </row>
    <row r="3840">
      <c r="A3840" s="16"/>
      <c r="B3840" s="16"/>
      <c r="C3840" s="14"/>
      <c r="F3840" s="16"/>
      <c r="G3840" s="16"/>
      <c r="H3840" s="14"/>
      <c r="K3840" s="16"/>
      <c r="L3840" s="16"/>
      <c r="M3840" s="14"/>
    </row>
    <row r="3841">
      <c r="A3841" s="16"/>
      <c r="B3841" s="16"/>
      <c r="C3841" s="14"/>
      <c r="F3841" s="16"/>
      <c r="G3841" s="16"/>
      <c r="H3841" s="14"/>
      <c r="K3841" s="16"/>
      <c r="L3841" s="16"/>
      <c r="M3841" s="14"/>
    </row>
    <row r="3842">
      <c r="A3842" s="16"/>
      <c r="B3842" s="16"/>
      <c r="C3842" s="14"/>
      <c r="F3842" s="16"/>
      <c r="G3842" s="16"/>
      <c r="H3842" s="14"/>
      <c r="K3842" s="16"/>
      <c r="L3842" s="16"/>
      <c r="M3842" s="14"/>
    </row>
    <row r="3843">
      <c r="A3843" s="16"/>
      <c r="B3843" s="16"/>
      <c r="C3843" s="14"/>
      <c r="F3843" s="16"/>
      <c r="G3843" s="16"/>
      <c r="H3843" s="14"/>
      <c r="K3843" s="16"/>
      <c r="L3843" s="16"/>
      <c r="M3843" s="14"/>
    </row>
    <row r="3844">
      <c r="A3844" s="16"/>
      <c r="B3844" s="16"/>
      <c r="C3844" s="14"/>
      <c r="F3844" s="16"/>
      <c r="G3844" s="16"/>
      <c r="H3844" s="14"/>
      <c r="K3844" s="16"/>
      <c r="L3844" s="16"/>
      <c r="M3844" s="14"/>
    </row>
    <row r="3845">
      <c r="A3845" s="16"/>
      <c r="B3845" s="16"/>
      <c r="C3845" s="14"/>
      <c r="F3845" s="16"/>
      <c r="G3845" s="16"/>
      <c r="H3845" s="14"/>
      <c r="K3845" s="16"/>
      <c r="L3845" s="16"/>
      <c r="M3845" s="14"/>
    </row>
    <row r="3846">
      <c r="A3846" s="16"/>
      <c r="B3846" s="16"/>
      <c r="C3846" s="14"/>
      <c r="F3846" s="16"/>
      <c r="G3846" s="16"/>
      <c r="H3846" s="14"/>
      <c r="K3846" s="16"/>
      <c r="L3846" s="16"/>
      <c r="M3846" s="14"/>
    </row>
    <row r="3847">
      <c r="A3847" s="16"/>
      <c r="B3847" s="16"/>
      <c r="C3847" s="14"/>
      <c r="F3847" s="16"/>
      <c r="G3847" s="16"/>
      <c r="H3847" s="14"/>
      <c r="K3847" s="16"/>
      <c r="L3847" s="16"/>
      <c r="M3847" s="14"/>
    </row>
    <row r="3848">
      <c r="A3848" s="16"/>
      <c r="B3848" s="16"/>
      <c r="C3848" s="14"/>
      <c r="F3848" s="16"/>
      <c r="G3848" s="16"/>
      <c r="H3848" s="14"/>
      <c r="K3848" s="16"/>
      <c r="L3848" s="16"/>
      <c r="M3848" s="14"/>
    </row>
    <row r="3849">
      <c r="A3849" s="16"/>
      <c r="B3849" s="16"/>
      <c r="C3849" s="14"/>
      <c r="F3849" s="16"/>
      <c r="G3849" s="16"/>
      <c r="H3849" s="14"/>
      <c r="K3849" s="16"/>
      <c r="L3849" s="16"/>
      <c r="M3849" s="14"/>
    </row>
    <row r="3850">
      <c r="A3850" s="16"/>
      <c r="B3850" s="16"/>
      <c r="C3850" s="14"/>
      <c r="F3850" s="16"/>
      <c r="G3850" s="16"/>
      <c r="H3850" s="14"/>
      <c r="K3850" s="16"/>
      <c r="L3850" s="16"/>
      <c r="M3850" s="14"/>
    </row>
    <row r="3851">
      <c r="A3851" s="16"/>
      <c r="B3851" s="16"/>
      <c r="C3851" s="14"/>
      <c r="F3851" s="16"/>
      <c r="G3851" s="16"/>
      <c r="H3851" s="14"/>
      <c r="K3851" s="16"/>
      <c r="L3851" s="16"/>
      <c r="M3851" s="14"/>
    </row>
    <row r="3852">
      <c r="A3852" s="16"/>
      <c r="B3852" s="16"/>
      <c r="C3852" s="14"/>
      <c r="F3852" s="16"/>
      <c r="G3852" s="16"/>
      <c r="H3852" s="14"/>
      <c r="K3852" s="16"/>
      <c r="L3852" s="16"/>
      <c r="M3852" s="14"/>
    </row>
    <row r="3853">
      <c r="A3853" s="16"/>
      <c r="B3853" s="16"/>
      <c r="C3853" s="14"/>
      <c r="F3853" s="16"/>
      <c r="G3853" s="16"/>
      <c r="H3853" s="14"/>
      <c r="K3853" s="16"/>
      <c r="L3853" s="16"/>
      <c r="M3853" s="14"/>
    </row>
    <row r="3854">
      <c r="A3854" s="16"/>
      <c r="B3854" s="16"/>
      <c r="C3854" s="14"/>
      <c r="F3854" s="16"/>
      <c r="G3854" s="16"/>
      <c r="H3854" s="14"/>
      <c r="K3854" s="16"/>
      <c r="L3854" s="16"/>
      <c r="M3854" s="14"/>
    </row>
    <row r="3855">
      <c r="A3855" s="16"/>
      <c r="B3855" s="16"/>
      <c r="C3855" s="14"/>
      <c r="F3855" s="16"/>
      <c r="G3855" s="16"/>
      <c r="H3855" s="14"/>
      <c r="K3855" s="16"/>
      <c r="L3855" s="16"/>
      <c r="M3855" s="14"/>
    </row>
    <row r="3856">
      <c r="A3856" s="16"/>
      <c r="B3856" s="16"/>
      <c r="C3856" s="14"/>
      <c r="F3856" s="16"/>
      <c r="G3856" s="16"/>
      <c r="H3856" s="14"/>
      <c r="K3856" s="16"/>
      <c r="L3856" s="16"/>
      <c r="M3856" s="14"/>
    </row>
    <row r="3857">
      <c r="A3857" s="16"/>
      <c r="B3857" s="16"/>
      <c r="C3857" s="14"/>
      <c r="F3857" s="16"/>
      <c r="G3857" s="16"/>
      <c r="H3857" s="14"/>
      <c r="K3857" s="16"/>
      <c r="L3857" s="16"/>
      <c r="M3857" s="14"/>
    </row>
    <row r="3858">
      <c r="A3858" s="16"/>
      <c r="B3858" s="16"/>
      <c r="C3858" s="14"/>
      <c r="F3858" s="16"/>
      <c r="G3858" s="16"/>
      <c r="H3858" s="14"/>
      <c r="K3858" s="16"/>
      <c r="L3858" s="16"/>
      <c r="M3858" s="14"/>
    </row>
    <row r="3859">
      <c r="A3859" s="16"/>
      <c r="B3859" s="16"/>
      <c r="C3859" s="14"/>
      <c r="F3859" s="16"/>
      <c r="G3859" s="16"/>
      <c r="H3859" s="14"/>
      <c r="K3859" s="16"/>
      <c r="L3859" s="16"/>
      <c r="M3859" s="14"/>
    </row>
    <row r="3860">
      <c r="A3860" s="16"/>
      <c r="B3860" s="16"/>
      <c r="C3860" s="14"/>
      <c r="F3860" s="16"/>
      <c r="G3860" s="16"/>
      <c r="H3860" s="14"/>
      <c r="K3860" s="16"/>
      <c r="L3860" s="16"/>
      <c r="M3860" s="14"/>
    </row>
    <row r="3861">
      <c r="A3861" s="16"/>
      <c r="B3861" s="16"/>
      <c r="C3861" s="14"/>
      <c r="F3861" s="16"/>
      <c r="G3861" s="16"/>
      <c r="H3861" s="14"/>
      <c r="K3861" s="16"/>
      <c r="L3861" s="16"/>
      <c r="M3861" s="14"/>
    </row>
    <row r="3862">
      <c r="A3862" s="16"/>
      <c r="B3862" s="16"/>
      <c r="C3862" s="14"/>
      <c r="F3862" s="16"/>
      <c r="G3862" s="16"/>
      <c r="H3862" s="14"/>
      <c r="K3862" s="16"/>
      <c r="L3862" s="16"/>
      <c r="M3862" s="14"/>
    </row>
    <row r="3863">
      <c r="A3863" s="16"/>
      <c r="B3863" s="16"/>
      <c r="C3863" s="14"/>
      <c r="F3863" s="16"/>
      <c r="G3863" s="16"/>
      <c r="H3863" s="14"/>
      <c r="K3863" s="16"/>
      <c r="L3863" s="16"/>
      <c r="M3863" s="14"/>
    </row>
    <row r="3864">
      <c r="A3864" s="16"/>
      <c r="B3864" s="16"/>
      <c r="C3864" s="14"/>
      <c r="F3864" s="16"/>
      <c r="G3864" s="16"/>
      <c r="H3864" s="14"/>
      <c r="K3864" s="16"/>
      <c r="L3864" s="16"/>
      <c r="M3864" s="14"/>
    </row>
    <row r="3865">
      <c r="A3865" s="16"/>
      <c r="B3865" s="16"/>
      <c r="C3865" s="14"/>
      <c r="F3865" s="16"/>
      <c r="G3865" s="16"/>
      <c r="H3865" s="14"/>
      <c r="K3865" s="16"/>
      <c r="L3865" s="16"/>
      <c r="M3865" s="14"/>
    </row>
    <row r="3866">
      <c r="A3866" s="16"/>
      <c r="B3866" s="16"/>
      <c r="C3866" s="14"/>
      <c r="F3866" s="16"/>
      <c r="G3866" s="16"/>
      <c r="H3866" s="14"/>
      <c r="K3866" s="16"/>
      <c r="L3866" s="16"/>
      <c r="M3866" s="14"/>
    </row>
    <row r="3867">
      <c r="A3867" s="16"/>
      <c r="B3867" s="16"/>
      <c r="C3867" s="14"/>
      <c r="F3867" s="16"/>
      <c r="G3867" s="16"/>
      <c r="H3867" s="14"/>
      <c r="K3867" s="16"/>
      <c r="L3867" s="16"/>
      <c r="M3867" s="14"/>
    </row>
    <row r="3868">
      <c r="A3868" s="16"/>
      <c r="B3868" s="16"/>
      <c r="C3868" s="14"/>
      <c r="F3868" s="16"/>
      <c r="G3868" s="16"/>
      <c r="H3868" s="14"/>
      <c r="K3868" s="16"/>
      <c r="L3868" s="16"/>
      <c r="M3868" s="14"/>
    </row>
    <row r="3869">
      <c r="A3869" s="16"/>
      <c r="B3869" s="16"/>
      <c r="C3869" s="14"/>
      <c r="F3869" s="16"/>
      <c r="G3869" s="16"/>
      <c r="H3869" s="14"/>
      <c r="K3869" s="16"/>
      <c r="L3869" s="16"/>
      <c r="M3869" s="14"/>
    </row>
    <row r="3870">
      <c r="A3870" s="16"/>
      <c r="B3870" s="16"/>
      <c r="C3870" s="14"/>
      <c r="F3870" s="16"/>
      <c r="G3870" s="16"/>
      <c r="H3870" s="14"/>
      <c r="K3870" s="16"/>
      <c r="L3870" s="16"/>
      <c r="M3870" s="14"/>
    </row>
    <row r="3871">
      <c r="A3871" s="16"/>
      <c r="B3871" s="16"/>
      <c r="C3871" s="14"/>
      <c r="F3871" s="16"/>
      <c r="G3871" s="16"/>
      <c r="H3871" s="14"/>
      <c r="K3871" s="16"/>
      <c r="L3871" s="16"/>
      <c r="M3871" s="14"/>
    </row>
    <row r="3872">
      <c r="A3872" s="16"/>
      <c r="B3872" s="16"/>
      <c r="C3872" s="14"/>
      <c r="F3872" s="16"/>
      <c r="G3872" s="16"/>
      <c r="H3872" s="14"/>
      <c r="K3872" s="16"/>
      <c r="L3872" s="16"/>
      <c r="M3872" s="14"/>
    </row>
    <row r="3873">
      <c r="A3873" s="16"/>
      <c r="B3873" s="16"/>
      <c r="C3873" s="14"/>
      <c r="F3873" s="16"/>
      <c r="G3873" s="16"/>
      <c r="H3873" s="14"/>
      <c r="K3873" s="16"/>
      <c r="L3873" s="16"/>
      <c r="M3873" s="14"/>
    </row>
    <row r="3874">
      <c r="A3874" s="16"/>
      <c r="B3874" s="16"/>
      <c r="C3874" s="14"/>
      <c r="F3874" s="16"/>
      <c r="G3874" s="16"/>
      <c r="H3874" s="14"/>
      <c r="K3874" s="16"/>
      <c r="L3874" s="16"/>
      <c r="M3874" s="14"/>
    </row>
    <row r="3875">
      <c r="A3875" s="16"/>
      <c r="B3875" s="16"/>
      <c r="C3875" s="14"/>
      <c r="F3875" s="16"/>
      <c r="G3875" s="16"/>
      <c r="H3875" s="14"/>
      <c r="K3875" s="16"/>
      <c r="L3875" s="16"/>
      <c r="M3875" s="14"/>
    </row>
    <row r="3876">
      <c r="A3876" s="16"/>
      <c r="B3876" s="16"/>
      <c r="C3876" s="14"/>
      <c r="F3876" s="16"/>
      <c r="G3876" s="16"/>
      <c r="H3876" s="14"/>
      <c r="K3876" s="16"/>
      <c r="L3876" s="16"/>
      <c r="M3876" s="14"/>
    </row>
    <row r="3877">
      <c r="A3877" s="16"/>
      <c r="B3877" s="16"/>
      <c r="C3877" s="14"/>
      <c r="F3877" s="16"/>
      <c r="G3877" s="16"/>
      <c r="H3877" s="14"/>
      <c r="K3877" s="16"/>
      <c r="L3877" s="16"/>
      <c r="M3877" s="14"/>
    </row>
    <row r="3878">
      <c r="A3878" s="16"/>
      <c r="B3878" s="16"/>
      <c r="C3878" s="14"/>
      <c r="F3878" s="16"/>
      <c r="G3878" s="16"/>
      <c r="H3878" s="14"/>
      <c r="K3878" s="16"/>
      <c r="L3878" s="16"/>
      <c r="M3878" s="14"/>
    </row>
    <row r="3879">
      <c r="A3879" s="16"/>
      <c r="B3879" s="16"/>
      <c r="C3879" s="14"/>
      <c r="F3879" s="16"/>
      <c r="G3879" s="16"/>
      <c r="H3879" s="14"/>
      <c r="K3879" s="16"/>
      <c r="L3879" s="16"/>
      <c r="M3879" s="14"/>
    </row>
    <row r="3880">
      <c r="A3880" s="16"/>
      <c r="B3880" s="16"/>
      <c r="C3880" s="14"/>
      <c r="F3880" s="16"/>
      <c r="G3880" s="16"/>
      <c r="H3880" s="14"/>
      <c r="K3880" s="16"/>
      <c r="L3880" s="16"/>
      <c r="M3880" s="14"/>
    </row>
    <row r="3881">
      <c r="A3881" s="16"/>
      <c r="B3881" s="16"/>
      <c r="C3881" s="14"/>
      <c r="F3881" s="16"/>
      <c r="G3881" s="16"/>
      <c r="H3881" s="14"/>
      <c r="K3881" s="16"/>
      <c r="L3881" s="16"/>
      <c r="M3881" s="14"/>
    </row>
    <row r="3882">
      <c r="A3882" s="16"/>
      <c r="B3882" s="16"/>
      <c r="C3882" s="14"/>
      <c r="F3882" s="16"/>
      <c r="G3882" s="16"/>
      <c r="H3882" s="14"/>
      <c r="K3882" s="16"/>
      <c r="L3882" s="16"/>
      <c r="M3882" s="14"/>
    </row>
    <row r="3883">
      <c r="A3883" s="16"/>
      <c r="B3883" s="16"/>
      <c r="C3883" s="14"/>
      <c r="F3883" s="16"/>
      <c r="G3883" s="16"/>
      <c r="H3883" s="14"/>
      <c r="K3883" s="16"/>
      <c r="L3883" s="16"/>
      <c r="M3883" s="14"/>
    </row>
    <row r="3884">
      <c r="A3884" s="16"/>
      <c r="B3884" s="16"/>
      <c r="C3884" s="14"/>
      <c r="F3884" s="16"/>
      <c r="G3884" s="16"/>
      <c r="H3884" s="14"/>
      <c r="K3884" s="16"/>
      <c r="L3884" s="16"/>
      <c r="M3884" s="14"/>
    </row>
    <row r="3885">
      <c r="A3885" s="16"/>
      <c r="B3885" s="16"/>
      <c r="C3885" s="14"/>
      <c r="F3885" s="16"/>
      <c r="G3885" s="16"/>
      <c r="H3885" s="14"/>
      <c r="K3885" s="16"/>
      <c r="L3885" s="16"/>
      <c r="M3885" s="14"/>
    </row>
    <row r="3886">
      <c r="A3886" s="16"/>
      <c r="B3886" s="16"/>
      <c r="C3886" s="14"/>
      <c r="F3886" s="16"/>
      <c r="G3886" s="16"/>
      <c r="H3886" s="14"/>
      <c r="K3886" s="16"/>
      <c r="L3886" s="16"/>
      <c r="M3886" s="14"/>
    </row>
    <row r="3887">
      <c r="A3887" s="16"/>
      <c r="B3887" s="16"/>
      <c r="C3887" s="14"/>
      <c r="F3887" s="16"/>
      <c r="G3887" s="16"/>
      <c r="H3887" s="14"/>
      <c r="K3887" s="16"/>
      <c r="L3887" s="16"/>
      <c r="M3887" s="14"/>
    </row>
    <row r="3888">
      <c r="A3888" s="16"/>
      <c r="B3888" s="16"/>
      <c r="C3888" s="14"/>
      <c r="F3888" s="16"/>
      <c r="G3888" s="16"/>
      <c r="H3888" s="14"/>
      <c r="K3888" s="16"/>
      <c r="L3888" s="16"/>
      <c r="M3888" s="14"/>
    </row>
    <row r="3889">
      <c r="A3889" s="16"/>
      <c r="B3889" s="16"/>
      <c r="C3889" s="14"/>
      <c r="F3889" s="16"/>
      <c r="G3889" s="16"/>
      <c r="H3889" s="14"/>
      <c r="K3889" s="16"/>
      <c r="L3889" s="16"/>
      <c r="M3889" s="14"/>
    </row>
    <row r="3890">
      <c r="A3890" s="16"/>
      <c r="B3890" s="16"/>
      <c r="C3890" s="14"/>
      <c r="F3890" s="16"/>
      <c r="G3890" s="16"/>
      <c r="H3890" s="14"/>
      <c r="K3890" s="16"/>
      <c r="L3890" s="16"/>
      <c r="M3890" s="14"/>
    </row>
    <row r="3891">
      <c r="A3891" s="16"/>
      <c r="B3891" s="16"/>
      <c r="C3891" s="14"/>
      <c r="F3891" s="16"/>
      <c r="G3891" s="16"/>
      <c r="H3891" s="14"/>
      <c r="K3891" s="16"/>
      <c r="L3891" s="16"/>
      <c r="M3891" s="14"/>
    </row>
    <row r="3892">
      <c r="A3892" s="16"/>
      <c r="B3892" s="16"/>
      <c r="C3892" s="14"/>
      <c r="F3892" s="16"/>
      <c r="G3892" s="16"/>
      <c r="H3892" s="14"/>
      <c r="K3892" s="16"/>
      <c r="L3892" s="16"/>
      <c r="M3892" s="14"/>
    </row>
    <row r="3893">
      <c r="A3893" s="16"/>
      <c r="B3893" s="16"/>
      <c r="C3893" s="14"/>
      <c r="F3893" s="16"/>
      <c r="G3893" s="16"/>
      <c r="H3893" s="14"/>
      <c r="K3893" s="16"/>
      <c r="L3893" s="16"/>
      <c r="M3893" s="14"/>
    </row>
    <row r="3894">
      <c r="A3894" s="16"/>
      <c r="B3894" s="16"/>
      <c r="C3894" s="14"/>
      <c r="F3894" s="16"/>
      <c r="G3894" s="16"/>
      <c r="H3894" s="14"/>
      <c r="K3894" s="16"/>
      <c r="L3894" s="16"/>
      <c r="M3894" s="14"/>
    </row>
    <row r="3895">
      <c r="A3895" s="16"/>
      <c r="B3895" s="16"/>
      <c r="C3895" s="14"/>
      <c r="F3895" s="16"/>
      <c r="G3895" s="16"/>
      <c r="H3895" s="14"/>
      <c r="K3895" s="16"/>
      <c r="L3895" s="16"/>
      <c r="M3895" s="14"/>
    </row>
    <row r="3896">
      <c r="A3896" s="16"/>
      <c r="B3896" s="16"/>
      <c r="C3896" s="14"/>
      <c r="F3896" s="16"/>
      <c r="G3896" s="16"/>
      <c r="H3896" s="14"/>
      <c r="K3896" s="16"/>
      <c r="L3896" s="16"/>
      <c r="M3896" s="14"/>
    </row>
    <row r="3897">
      <c r="A3897" s="16"/>
      <c r="B3897" s="16"/>
      <c r="C3897" s="14"/>
      <c r="F3897" s="16"/>
      <c r="G3897" s="16"/>
      <c r="H3897" s="14"/>
      <c r="K3897" s="16"/>
      <c r="L3897" s="16"/>
      <c r="M3897" s="14"/>
    </row>
    <row r="3898">
      <c r="A3898" s="16"/>
      <c r="B3898" s="16"/>
      <c r="C3898" s="14"/>
      <c r="F3898" s="16"/>
      <c r="G3898" s="16"/>
      <c r="H3898" s="14"/>
      <c r="K3898" s="16"/>
      <c r="L3898" s="16"/>
      <c r="M3898" s="14"/>
    </row>
    <row r="3899">
      <c r="A3899" s="16"/>
      <c r="B3899" s="16"/>
      <c r="C3899" s="14"/>
      <c r="F3899" s="16"/>
      <c r="G3899" s="16"/>
      <c r="H3899" s="14"/>
      <c r="K3899" s="16"/>
      <c r="L3899" s="16"/>
      <c r="M3899" s="14"/>
    </row>
    <row r="3900">
      <c r="A3900" s="16"/>
      <c r="B3900" s="16"/>
      <c r="C3900" s="14"/>
      <c r="F3900" s="16"/>
      <c r="G3900" s="16"/>
      <c r="H3900" s="14"/>
      <c r="K3900" s="16"/>
      <c r="L3900" s="16"/>
      <c r="M3900" s="14"/>
    </row>
    <row r="3901">
      <c r="A3901" s="16"/>
      <c r="B3901" s="16"/>
      <c r="C3901" s="14"/>
      <c r="F3901" s="16"/>
      <c r="G3901" s="16"/>
      <c r="H3901" s="14"/>
      <c r="K3901" s="16"/>
      <c r="L3901" s="16"/>
      <c r="M3901" s="14"/>
    </row>
    <row r="3902">
      <c r="A3902" s="16"/>
      <c r="B3902" s="16"/>
      <c r="C3902" s="14"/>
      <c r="F3902" s="16"/>
      <c r="G3902" s="16"/>
      <c r="H3902" s="14"/>
      <c r="K3902" s="16"/>
      <c r="L3902" s="16"/>
      <c r="M3902" s="14"/>
    </row>
    <row r="3903">
      <c r="A3903" s="16"/>
      <c r="B3903" s="16"/>
      <c r="C3903" s="14"/>
      <c r="F3903" s="16"/>
      <c r="G3903" s="16"/>
      <c r="H3903" s="14"/>
      <c r="K3903" s="16"/>
      <c r="L3903" s="16"/>
      <c r="M3903" s="14"/>
    </row>
    <row r="3904">
      <c r="A3904" s="16"/>
      <c r="B3904" s="16"/>
      <c r="C3904" s="14"/>
      <c r="F3904" s="16"/>
      <c r="G3904" s="16"/>
      <c r="H3904" s="14"/>
      <c r="K3904" s="16"/>
      <c r="L3904" s="16"/>
      <c r="M3904" s="14"/>
    </row>
    <row r="3905">
      <c r="A3905" s="16"/>
      <c r="B3905" s="16"/>
      <c r="C3905" s="14"/>
      <c r="F3905" s="16"/>
      <c r="G3905" s="16"/>
      <c r="H3905" s="14"/>
      <c r="K3905" s="16"/>
      <c r="L3905" s="16"/>
      <c r="M3905" s="14"/>
    </row>
    <row r="3906">
      <c r="A3906" s="16"/>
      <c r="B3906" s="16"/>
      <c r="C3906" s="14"/>
      <c r="F3906" s="16"/>
      <c r="G3906" s="16"/>
      <c r="H3906" s="14"/>
      <c r="K3906" s="16"/>
      <c r="L3906" s="16"/>
      <c r="M3906" s="14"/>
    </row>
    <row r="3907">
      <c r="A3907" s="16"/>
      <c r="B3907" s="16"/>
      <c r="C3907" s="14"/>
      <c r="F3907" s="16"/>
      <c r="G3907" s="16"/>
      <c r="H3907" s="14"/>
      <c r="K3907" s="16"/>
      <c r="L3907" s="16"/>
      <c r="M3907" s="14"/>
    </row>
    <row r="3908">
      <c r="A3908" s="16"/>
      <c r="B3908" s="16"/>
      <c r="C3908" s="14"/>
      <c r="F3908" s="16"/>
      <c r="G3908" s="16"/>
      <c r="H3908" s="14"/>
      <c r="K3908" s="16"/>
      <c r="L3908" s="16"/>
      <c r="M3908" s="14"/>
    </row>
    <row r="3909">
      <c r="A3909" s="16"/>
      <c r="B3909" s="16"/>
      <c r="C3909" s="14"/>
      <c r="F3909" s="16"/>
      <c r="G3909" s="16"/>
      <c r="H3909" s="14"/>
      <c r="K3909" s="16"/>
      <c r="L3909" s="16"/>
      <c r="M3909" s="14"/>
    </row>
    <row r="3910">
      <c r="A3910" s="16"/>
      <c r="B3910" s="16"/>
      <c r="C3910" s="14"/>
      <c r="F3910" s="16"/>
      <c r="G3910" s="16"/>
      <c r="H3910" s="14"/>
      <c r="K3910" s="16"/>
      <c r="L3910" s="16"/>
      <c r="M3910" s="14"/>
    </row>
    <row r="3911">
      <c r="A3911" s="16"/>
      <c r="B3911" s="16"/>
      <c r="C3911" s="14"/>
      <c r="F3911" s="16"/>
      <c r="G3911" s="16"/>
      <c r="H3911" s="14"/>
      <c r="K3911" s="16"/>
      <c r="L3911" s="16"/>
      <c r="M3911" s="14"/>
    </row>
    <row r="3912">
      <c r="A3912" s="16"/>
      <c r="B3912" s="16"/>
      <c r="C3912" s="14"/>
      <c r="F3912" s="16"/>
      <c r="G3912" s="16"/>
      <c r="H3912" s="14"/>
      <c r="K3912" s="16"/>
      <c r="L3912" s="16"/>
      <c r="M3912" s="14"/>
    </row>
    <row r="3913">
      <c r="A3913" s="16"/>
      <c r="B3913" s="16"/>
      <c r="C3913" s="14"/>
      <c r="F3913" s="16"/>
      <c r="G3913" s="16"/>
      <c r="H3913" s="14"/>
      <c r="K3913" s="16"/>
      <c r="L3913" s="16"/>
      <c r="M3913" s="14"/>
    </row>
    <row r="3914">
      <c r="A3914" s="16"/>
      <c r="B3914" s="16"/>
      <c r="C3914" s="14"/>
      <c r="F3914" s="16"/>
      <c r="G3914" s="16"/>
      <c r="H3914" s="14"/>
      <c r="K3914" s="16"/>
      <c r="L3914" s="16"/>
      <c r="M3914" s="14"/>
    </row>
    <row r="3915">
      <c r="A3915" s="16"/>
      <c r="B3915" s="16"/>
      <c r="C3915" s="14"/>
      <c r="F3915" s="16"/>
      <c r="G3915" s="16"/>
      <c r="H3915" s="14"/>
      <c r="K3915" s="16"/>
      <c r="L3915" s="16"/>
      <c r="M3915" s="14"/>
    </row>
    <row r="3916">
      <c r="A3916" s="16"/>
      <c r="B3916" s="16"/>
      <c r="C3916" s="14"/>
      <c r="F3916" s="16"/>
      <c r="G3916" s="16"/>
      <c r="H3916" s="14"/>
      <c r="K3916" s="16"/>
      <c r="L3916" s="16"/>
      <c r="M3916" s="14"/>
    </row>
    <row r="3917">
      <c r="A3917" s="16"/>
      <c r="B3917" s="16"/>
      <c r="C3917" s="14"/>
      <c r="F3917" s="16"/>
      <c r="G3917" s="16"/>
      <c r="H3917" s="14"/>
      <c r="K3917" s="16"/>
      <c r="L3917" s="16"/>
      <c r="M3917" s="14"/>
    </row>
    <row r="3918">
      <c r="A3918" s="16"/>
      <c r="B3918" s="16"/>
      <c r="C3918" s="14"/>
      <c r="F3918" s="16"/>
      <c r="G3918" s="16"/>
      <c r="H3918" s="14"/>
      <c r="K3918" s="16"/>
      <c r="L3918" s="16"/>
      <c r="M3918" s="14"/>
    </row>
    <row r="3919">
      <c r="A3919" s="16"/>
      <c r="B3919" s="16"/>
      <c r="C3919" s="14"/>
      <c r="F3919" s="16"/>
      <c r="G3919" s="16"/>
      <c r="H3919" s="14"/>
      <c r="K3919" s="16"/>
      <c r="L3919" s="16"/>
      <c r="M3919" s="14"/>
    </row>
    <row r="3920">
      <c r="A3920" s="16"/>
      <c r="B3920" s="16"/>
      <c r="C3920" s="14"/>
      <c r="F3920" s="16"/>
      <c r="G3920" s="16"/>
      <c r="H3920" s="14"/>
      <c r="K3920" s="16"/>
      <c r="L3920" s="16"/>
      <c r="M3920" s="14"/>
    </row>
    <row r="3921">
      <c r="A3921" s="16"/>
      <c r="B3921" s="16"/>
      <c r="C3921" s="14"/>
      <c r="F3921" s="16"/>
      <c r="G3921" s="16"/>
      <c r="H3921" s="14"/>
      <c r="K3921" s="16"/>
      <c r="L3921" s="16"/>
      <c r="M3921" s="14"/>
    </row>
    <row r="3922">
      <c r="A3922" s="16"/>
      <c r="B3922" s="16"/>
      <c r="C3922" s="14"/>
      <c r="F3922" s="16"/>
      <c r="G3922" s="16"/>
      <c r="H3922" s="14"/>
      <c r="K3922" s="16"/>
      <c r="L3922" s="16"/>
      <c r="M3922" s="14"/>
    </row>
    <row r="3923">
      <c r="A3923" s="16"/>
      <c r="B3923" s="16"/>
      <c r="C3923" s="14"/>
      <c r="F3923" s="16"/>
      <c r="G3923" s="16"/>
      <c r="H3923" s="14"/>
      <c r="K3923" s="16"/>
      <c r="L3923" s="16"/>
      <c r="M3923" s="14"/>
    </row>
    <row r="3924">
      <c r="A3924" s="16"/>
      <c r="B3924" s="16"/>
      <c r="C3924" s="14"/>
      <c r="F3924" s="16"/>
      <c r="G3924" s="16"/>
      <c r="H3924" s="14"/>
      <c r="K3924" s="16"/>
      <c r="L3924" s="16"/>
      <c r="M3924" s="14"/>
    </row>
    <row r="3925">
      <c r="A3925" s="16"/>
      <c r="B3925" s="16"/>
      <c r="C3925" s="14"/>
      <c r="F3925" s="16"/>
      <c r="G3925" s="16"/>
      <c r="H3925" s="14"/>
      <c r="K3925" s="16"/>
      <c r="L3925" s="16"/>
      <c r="M3925" s="14"/>
    </row>
    <row r="3926">
      <c r="A3926" s="16"/>
      <c r="B3926" s="16"/>
      <c r="C3926" s="14"/>
      <c r="F3926" s="16"/>
      <c r="G3926" s="16"/>
      <c r="H3926" s="14"/>
      <c r="K3926" s="16"/>
      <c r="L3926" s="16"/>
      <c r="M3926" s="14"/>
    </row>
    <row r="3927">
      <c r="A3927" s="16"/>
      <c r="B3927" s="16"/>
      <c r="C3927" s="14"/>
      <c r="F3927" s="16"/>
      <c r="G3927" s="16"/>
      <c r="H3927" s="14"/>
      <c r="K3927" s="16"/>
      <c r="L3927" s="16"/>
      <c r="M3927" s="14"/>
    </row>
    <row r="3928">
      <c r="A3928" s="16"/>
      <c r="B3928" s="16"/>
      <c r="C3928" s="14"/>
      <c r="F3928" s="16"/>
      <c r="G3928" s="16"/>
      <c r="H3928" s="14"/>
      <c r="K3928" s="16"/>
      <c r="L3928" s="16"/>
      <c r="M3928" s="14"/>
    </row>
    <row r="3929">
      <c r="A3929" s="16"/>
      <c r="B3929" s="16"/>
      <c r="C3929" s="14"/>
      <c r="F3929" s="16"/>
      <c r="G3929" s="16"/>
      <c r="H3929" s="14"/>
      <c r="K3929" s="16"/>
      <c r="L3929" s="16"/>
      <c r="M3929" s="14"/>
    </row>
    <row r="3930">
      <c r="A3930" s="16"/>
      <c r="B3930" s="16"/>
      <c r="C3930" s="14"/>
      <c r="F3930" s="16"/>
      <c r="G3930" s="16"/>
      <c r="H3930" s="14"/>
      <c r="K3930" s="16"/>
      <c r="L3930" s="16"/>
      <c r="M3930" s="14"/>
    </row>
    <row r="3931">
      <c r="A3931" s="16"/>
      <c r="B3931" s="16"/>
      <c r="C3931" s="14"/>
      <c r="F3931" s="16"/>
      <c r="G3931" s="16"/>
      <c r="H3931" s="14"/>
      <c r="K3931" s="16"/>
      <c r="L3931" s="16"/>
      <c r="M3931" s="14"/>
    </row>
    <row r="3932">
      <c r="A3932" s="16"/>
      <c r="B3932" s="16"/>
      <c r="C3932" s="14"/>
      <c r="F3932" s="16"/>
      <c r="G3932" s="16"/>
      <c r="H3932" s="14"/>
      <c r="K3932" s="16"/>
      <c r="L3932" s="16"/>
      <c r="M3932" s="14"/>
    </row>
    <row r="3933">
      <c r="A3933" s="16"/>
      <c r="B3933" s="16"/>
      <c r="C3933" s="14"/>
      <c r="F3933" s="16"/>
      <c r="G3933" s="16"/>
      <c r="H3933" s="14"/>
      <c r="K3933" s="16"/>
      <c r="L3933" s="16"/>
      <c r="M3933" s="14"/>
    </row>
    <row r="3934">
      <c r="A3934" s="16"/>
      <c r="B3934" s="16"/>
      <c r="C3934" s="14"/>
      <c r="F3934" s="16"/>
      <c r="G3934" s="16"/>
      <c r="H3934" s="14"/>
      <c r="K3934" s="16"/>
      <c r="L3934" s="16"/>
      <c r="M3934" s="14"/>
    </row>
    <row r="3935">
      <c r="A3935" s="16"/>
      <c r="B3935" s="16"/>
      <c r="C3935" s="14"/>
      <c r="F3935" s="16"/>
      <c r="G3935" s="16"/>
      <c r="H3935" s="14"/>
      <c r="K3935" s="16"/>
      <c r="L3935" s="16"/>
      <c r="M3935" s="14"/>
    </row>
    <row r="3936">
      <c r="A3936" s="16"/>
      <c r="B3936" s="16"/>
      <c r="C3936" s="14"/>
      <c r="F3936" s="16"/>
      <c r="G3936" s="16"/>
      <c r="H3936" s="14"/>
      <c r="K3936" s="16"/>
      <c r="L3936" s="16"/>
      <c r="M3936" s="14"/>
    </row>
    <row r="3937">
      <c r="A3937" s="16"/>
      <c r="B3937" s="16"/>
      <c r="C3937" s="14"/>
      <c r="F3937" s="16"/>
      <c r="G3937" s="16"/>
      <c r="H3937" s="14"/>
      <c r="K3937" s="16"/>
      <c r="L3937" s="16"/>
      <c r="M3937" s="14"/>
    </row>
    <row r="3938">
      <c r="A3938" s="16"/>
      <c r="B3938" s="16"/>
      <c r="C3938" s="14"/>
      <c r="F3938" s="16"/>
      <c r="G3938" s="16"/>
      <c r="H3938" s="14"/>
      <c r="K3938" s="16"/>
      <c r="L3938" s="16"/>
      <c r="M3938" s="14"/>
    </row>
    <row r="3939">
      <c r="A3939" s="16"/>
      <c r="B3939" s="16"/>
      <c r="C3939" s="14"/>
      <c r="F3939" s="16"/>
      <c r="G3939" s="16"/>
      <c r="H3939" s="14"/>
      <c r="K3939" s="16"/>
      <c r="L3939" s="16"/>
      <c r="M3939" s="14"/>
    </row>
    <row r="3940">
      <c r="A3940" s="16"/>
      <c r="B3940" s="16"/>
      <c r="C3940" s="14"/>
      <c r="F3940" s="16"/>
      <c r="G3940" s="16"/>
      <c r="H3940" s="14"/>
      <c r="K3940" s="16"/>
      <c r="L3940" s="16"/>
      <c r="M3940" s="14"/>
    </row>
    <row r="3941">
      <c r="A3941" s="16"/>
      <c r="B3941" s="16"/>
      <c r="C3941" s="14"/>
      <c r="F3941" s="16"/>
      <c r="G3941" s="16"/>
      <c r="H3941" s="14"/>
      <c r="K3941" s="16"/>
      <c r="L3941" s="16"/>
      <c r="M3941" s="14"/>
    </row>
    <row r="3942">
      <c r="A3942" s="16"/>
      <c r="B3942" s="16"/>
      <c r="C3942" s="14"/>
      <c r="F3942" s="16"/>
      <c r="G3942" s="16"/>
      <c r="H3942" s="14"/>
      <c r="K3942" s="16"/>
      <c r="L3942" s="16"/>
      <c r="M3942" s="14"/>
    </row>
    <row r="3943">
      <c r="A3943" s="16"/>
      <c r="B3943" s="16"/>
      <c r="C3943" s="14"/>
      <c r="F3943" s="16"/>
      <c r="G3943" s="16"/>
      <c r="H3943" s="14"/>
      <c r="K3943" s="16"/>
      <c r="L3943" s="16"/>
      <c r="M3943" s="14"/>
    </row>
    <row r="3944">
      <c r="A3944" s="16"/>
      <c r="B3944" s="16"/>
      <c r="C3944" s="14"/>
      <c r="F3944" s="16"/>
      <c r="G3944" s="16"/>
      <c r="H3944" s="14"/>
      <c r="K3944" s="16"/>
      <c r="L3944" s="16"/>
      <c r="M3944" s="14"/>
    </row>
    <row r="3945">
      <c r="A3945" s="16"/>
      <c r="B3945" s="16"/>
      <c r="C3945" s="14"/>
      <c r="F3945" s="16"/>
      <c r="G3945" s="16"/>
      <c r="H3945" s="14"/>
      <c r="K3945" s="16"/>
      <c r="L3945" s="16"/>
      <c r="M3945" s="14"/>
    </row>
    <row r="3946">
      <c r="A3946" s="16"/>
      <c r="B3946" s="16"/>
      <c r="C3946" s="14"/>
      <c r="F3946" s="16"/>
      <c r="G3946" s="16"/>
      <c r="H3946" s="14"/>
      <c r="K3946" s="16"/>
      <c r="L3946" s="16"/>
      <c r="M3946" s="14"/>
    </row>
    <row r="3947">
      <c r="A3947" s="16"/>
      <c r="B3947" s="16"/>
      <c r="C3947" s="14"/>
      <c r="F3947" s="16"/>
      <c r="G3947" s="16"/>
      <c r="H3947" s="14"/>
      <c r="K3947" s="16"/>
      <c r="L3947" s="16"/>
      <c r="M3947" s="14"/>
    </row>
    <row r="3948">
      <c r="A3948" s="16"/>
      <c r="B3948" s="16"/>
      <c r="C3948" s="14"/>
      <c r="F3948" s="16"/>
      <c r="G3948" s="16"/>
      <c r="H3948" s="14"/>
      <c r="K3948" s="16"/>
      <c r="L3948" s="16"/>
      <c r="M3948" s="14"/>
    </row>
    <row r="3949">
      <c r="A3949" s="16"/>
      <c r="B3949" s="16"/>
      <c r="C3949" s="14"/>
      <c r="F3949" s="16"/>
      <c r="G3949" s="16"/>
      <c r="H3949" s="14"/>
      <c r="K3949" s="16"/>
      <c r="L3949" s="16"/>
      <c r="M3949" s="14"/>
    </row>
    <row r="3950">
      <c r="A3950" s="16"/>
      <c r="B3950" s="16"/>
      <c r="C3950" s="14"/>
      <c r="F3950" s="16"/>
      <c r="G3950" s="16"/>
      <c r="H3950" s="14"/>
      <c r="K3950" s="16"/>
      <c r="L3950" s="16"/>
      <c r="M3950" s="14"/>
    </row>
    <row r="3951">
      <c r="A3951" s="16"/>
      <c r="B3951" s="16"/>
      <c r="C3951" s="14"/>
      <c r="F3951" s="16"/>
      <c r="G3951" s="16"/>
      <c r="H3951" s="14"/>
      <c r="K3951" s="16"/>
      <c r="L3951" s="16"/>
      <c r="M3951" s="14"/>
    </row>
    <row r="3952">
      <c r="A3952" s="16"/>
      <c r="B3952" s="16"/>
      <c r="C3952" s="14"/>
      <c r="F3952" s="16"/>
      <c r="G3952" s="16"/>
      <c r="H3952" s="14"/>
      <c r="K3952" s="16"/>
      <c r="L3952" s="16"/>
      <c r="M3952" s="14"/>
    </row>
    <row r="3953">
      <c r="A3953" s="16"/>
      <c r="B3953" s="16"/>
      <c r="C3953" s="14"/>
      <c r="F3953" s="16"/>
      <c r="G3953" s="16"/>
      <c r="H3953" s="14"/>
      <c r="K3953" s="16"/>
      <c r="L3953" s="16"/>
      <c r="M3953" s="14"/>
    </row>
    <row r="3954">
      <c r="A3954" s="16"/>
      <c r="B3954" s="16"/>
      <c r="C3954" s="14"/>
      <c r="F3954" s="16"/>
      <c r="G3954" s="16"/>
      <c r="H3954" s="14"/>
      <c r="K3954" s="16"/>
      <c r="L3954" s="16"/>
      <c r="M3954" s="14"/>
    </row>
    <row r="3955">
      <c r="A3955" s="16"/>
      <c r="B3955" s="16"/>
      <c r="C3955" s="14"/>
      <c r="F3955" s="16"/>
      <c r="G3955" s="16"/>
      <c r="H3955" s="14"/>
      <c r="K3955" s="16"/>
      <c r="L3955" s="16"/>
      <c r="M3955" s="14"/>
    </row>
    <row r="3956">
      <c r="A3956" s="16"/>
      <c r="B3956" s="16"/>
      <c r="C3956" s="14"/>
      <c r="F3956" s="16"/>
      <c r="G3956" s="16"/>
      <c r="H3956" s="14"/>
      <c r="K3956" s="16"/>
      <c r="L3956" s="16"/>
      <c r="M3956" s="14"/>
    </row>
    <row r="3957">
      <c r="A3957" s="16"/>
      <c r="B3957" s="16"/>
      <c r="C3957" s="14"/>
      <c r="F3957" s="16"/>
      <c r="G3957" s="16"/>
      <c r="H3957" s="14"/>
      <c r="K3957" s="16"/>
      <c r="L3957" s="16"/>
      <c r="M3957" s="14"/>
    </row>
    <row r="3958">
      <c r="A3958" s="16"/>
      <c r="B3958" s="16"/>
      <c r="C3958" s="14"/>
      <c r="F3958" s="16"/>
      <c r="G3958" s="16"/>
      <c r="H3958" s="14"/>
      <c r="K3958" s="16"/>
      <c r="L3958" s="16"/>
      <c r="M3958" s="14"/>
    </row>
    <row r="3959">
      <c r="A3959" s="16"/>
      <c r="B3959" s="16"/>
      <c r="C3959" s="14"/>
      <c r="F3959" s="16"/>
      <c r="G3959" s="16"/>
      <c r="H3959" s="14"/>
      <c r="K3959" s="16"/>
      <c r="L3959" s="16"/>
      <c r="M3959" s="14"/>
    </row>
    <row r="3960">
      <c r="A3960" s="16"/>
      <c r="B3960" s="16"/>
      <c r="C3960" s="14"/>
      <c r="F3960" s="16"/>
      <c r="G3960" s="16"/>
      <c r="H3960" s="14"/>
      <c r="K3960" s="16"/>
      <c r="L3960" s="16"/>
      <c r="M3960" s="14"/>
    </row>
    <row r="3961">
      <c r="A3961" s="16"/>
      <c r="B3961" s="16"/>
      <c r="C3961" s="14"/>
      <c r="F3961" s="16"/>
      <c r="G3961" s="16"/>
      <c r="H3961" s="14"/>
      <c r="K3961" s="16"/>
      <c r="L3961" s="16"/>
      <c r="M3961" s="14"/>
    </row>
    <row r="3962">
      <c r="A3962" s="16"/>
      <c r="B3962" s="16"/>
      <c r="C3962" s="14"/>
      <c r="F3962" s="16"/>
      <c r="G3962" s="16"/>
      <c r="H3962" s="14"/>
      <c r="K3962" s="16"/>
      <c r="L3962" s="16"/>
      <c r="M3962" s="14"/>
    </row>
    <row r="3963">
      <c r="A3963" s="16"/>
      <c r="B3963" s="16"/>
      <c r="C3963" s="14"/>
      <c r="F3963" s="16"/>
      <c r="G3963" s="16"/>
      <c r="H3963" s="14"/>
      <c r="K3963" s="16"/>
      <c r="L3963" s="16"/>
      <c r="M3963" s="14"/>
    </row>
    <row r="3964">
      <c r="A3964" s="16"/>
      <c r="B3964" s="16"/>
      <c r="C3964" s="14"/>
      <c r="F3964" s="16"/>
      <c r="G3964" s="16"/>
      <c r="H3964" s="14"/>
      <c r="K3964" s="16"/>
      <c r="L3964" s="16"/>
      <c r="M3964" s="14"/>
    </row>
    <row r="3965">
      <c r="A3965" s="16"/>
      <c r="B3965" s="16"/>
      <c r="C3965" s="14"/>
      <c r="F3965" s="16"/>
      <c r="G3965" s="16"/>
      <c r="H3965" s="14"/>
      <c r="K3965" s="16"/>
      <c r="L3965" s="16"/>
      <c r="M3965" s="14"/>
    </row>
    <row r="3966">
      <c r="A3966" s="16"/>
      <c r="B3966" s="16"/>
      <c r="C3966" s="14"/>
      <c r="F3966" s="16"/>
      <c r="G3966" s="16"/>
      <c r="H3966" s="14"/>
      <c r="K3966" s="16"/>
      <c r="L3966" s="16"/>
      <c r="M3966" s="14"/>
    </row>
    <row r="3967">
      <c r="A3967" s="16"/>
      <c r="B3967" s="16"/>
      <c r="C3967" s="14"/>
      <c r="F3967" s="16"/>
      <c r="G3967" s="16"/>
      <c r="H3967" s="14"/>
      <c r="K3967" s="16"/>
      <c r="L3967" s="16"/>
      <c r="M3967" s="14"/>
    </row>
    <row r="3968">
      <c r="A3968" s="16"/>
      <c r="B3968" s="16"/>
      <c r="C3968" s="14"/>
      <c r="F3968" s="16"/>
      <c r="G3968" s="16"/>
      <c r="H3968" s="14"/>
      <c r="K3968" s="16"/>
      <c r="L3968" s="16"/>
      <c r="M3968" s="14"/>
    </row>
    <row r="3969">
      <c r="A3969" s="16"/>
      <c r="B3969" s="16"/>
      <c r="C3969" s="14"/>
      <c r="F3969" s="16"/>
      <c r="G3969" s="16"/>
      <c r="H3969" s="14"/>
      <c r="K3969" s="16"/>
      <c r="L3969" s="16"/>
      <c r="M3969" s="14"/>
    </row>
    <row r="3970">
      <c r="A3970" s="16"/>
      <c r="B3970" s="16"/>
      <c r="C3970" s="14"/>
      <c r="F3970" s="16"/>
      <c r="G3970" s="16"/>
      <c r="H3970" s="14"/>
      <c r="K3970" s="16"/>
      <c r="L3970" s="16"/>
      <c r="M3970" s="14"/>
    </row>
    <row r="3971">
      <c r="A3971" s="16"/>
      <c r="B3971" s="16"/>
      <c r="C3971" s="14"/>
      <c r="F3971" s="16"/>
      <c r="G3971" s="16"/>
      <c r="H3971" s="14"/>
      <c r="K3971" s="16"/>
      <c r="L3971" s="16"/>
      <c r="M3971" s="14"/>
    </row>
    <row r="3972">
      <c r="A3972" s="16"/>
      <c r="B3972" s="16"/>
      <c r="C3972" s="14"/>
      <c r="F3972" s="16"/>
      <c r="G3972" s="16"/>
      <c r="H3972" s="14"/>
      <c r="K3972" s="16"/>
      <c r="L3972" s="16"/>
      <c r="M3972" s="14"/>
    </row>
    <row r="3973">
      <c r="A3973" s="16"/>
      <c r="B3973" s="16"/>
      <c r="C3973" s="14"/>
      <c r="F3973" s="16"/>
      <c r="G3973" s="16"/>
      <c r="H3973" s="14"/>
      <c r="K3973" s="16"/>
      <c r="L3973" s="16"/>
      <c r="M3973" s="14"/>
    </row>
    <row r="3974">
      <c r="A3974" s="16"/>
      <c r="B3974" s="16"/>
      <c r="C3974" s="14"/>
      <c r="F3974" s="16"/>
      <c r="G3974" s="16"/>
      <c r="H3974" s="14"/>
      <c r="K3974" s="16"/>
      <c r="L3974" s="16"/>
      <c r="M3974" s="14"/>
    </row>
    <row r="3975">
      <c r="A3975" s="16"/>
      <c r="B3975" s="16"/>
      <c r="C3975" s="14"/>
      <c r="F3975" s="16"/>
      <c r="G3975" s="16"/>
      <c r="H3975" s="14"/>
      <c r="K3975" s="16"/>
      <c r="L3975" s="16"/>
      <c r="M3975" s="14"/>
    </row>
    <row r="3976">
      <c r="A3976" s="16"/>
      <c r="B3976" s="16"/>
      <c r="C3976" s="14"/>
      <c r="F3976" s="16"/>
      <c r="G3976" s="16"/>
      <c r="H3976" s="14"/>
      <c r="K3976" s="16"/>
      <c r="L3976" s="16"/>
      <c r="M3976" s="14"/>
    </row>
    <row r="3977">
      <c r="A3977" s="16"/>
      <c r="B3977" s="16"/>
      <c r="C3977" s="14"/>
      <c r="F3977" s="16"/>
      <c r="G3977" s="16"/>
      <c r="H3977" s="14"/>
      <c r="K3977" s="16"/>
      <c r="L3977" s="16"/>
      <c r="M3977" s="14"/>
    </row>
    <row r="3978">
      <c r="A3978" s="16"/>
      <c r="B3978" s="16"/>
      <c r="C3978" s="14"/>
      <c r="F3978" s="16"/>
      <c r="G3978" s="16"/>
      <c r="H3978" s="14"/>
      <c r="K3978" s="16"/>
      <c r="L3978" s="16"/>
      <c r="M3978" s="14"/>
    </row>
    <row r="3979">
      <c r="A3979" s="16"/>
      <c r="B3979" s="16"/>
      <c r="C3979" s="14"/>
      <c r="F3979" s="16"/>
      <c r="G3979" s="16"/>
      <c r="H3979" s="14"/>
      <c r="K3979" s="16"/>
      <c r="L3979" s="16"/>
      <c r="M3979" s="14"/>
    </row>
    <row r="3980">
      <c r="A3980" s="16"/>
      <c r="B3980" s="16"/>
      <c r="C3980" s="14"/>
      <c r="F3980" s="16"/>
      <c r="G3980" s="16"/>
      <c r="H3980" s="14"/>
      <c r="K3980" s="16"/>
      <c r="L3980" s="16"/>
      <c r="M3980" s="14"/>
    </row>
    <row r="3981">
      <c r="A3981" s="16"/>
      <c r="B3981" s="16"/>
      <c r="C3981" s="14"/>
      <c r="F3981" s="16"/>
      <c r="G3981" s="16"/>
      <c r="H3981" s="14"/>
      <c r="K3981" s="16"/>
      <c r="L3981" s="16"/>
      <c r="M3981" s="14"/>
    </row>
    <row r="3982">
      <c r="A3982" s="16"/>
      <c r="B3982" s="16"/>
      <c r="C3982" s="14"/>
      <c r="F3982" s="16"/>
      <c r="G3982" s="16"/>
      <c r="H3982" s="14"/>
      <c r="M3982" s="14"/>
    </row>
    <row r="3983">
      <c r="A3983" s="16"/>
      <c r="B3983" s="16"/>
      <c r="C3983" s="14"/>
      <c r="F3983" s="16"/>
      <c r="G3983" s="16"/>
      <c r="H3983" s="14"/>
      <c r="M3983" s="14"/>
    </row>
    <row r="3984">
      <c r="A3984" s="16"/>
      <c r="B3984" s="16"/>
      <c r="C3984" s="14"/>
      <c r="F3984" s="16"/>
      <c r="G3984" s="16"/>
      <c r="H3984" s="14"/>
      <c r="M3984" s="14"/>
    </row>
    <row r="3985">
      <c r="A3985" s="16"/>
      <c r="B3985" s="16"/>
      <c r="C3985" s="14"/>
      <c r="F3985" s="16"/>
      <c r="G3985" s="16"/>
      <c r="H3985" s="14"/>
      <c r="M3985" s="14"/>
    </row>
    <row r="3986">
      <c r="A3986" s="16"/>
      <c r="B3986" s="16"/>
      <c r="C3986" s="14"/>
      <c r="F3986" s="16"/>
      <c r="G3986" s="16"/>
      <c r="H3986" s="14"/>
      <c r="M3986" s="14"/>
    </row>
    <row r="3987">
      <c r="A3987" s="16"/>
      <c r="B3987" s="16"/>
      <c r="C3987" s="14"/>
      <c r="F3987" s="16"/>
      <c r="G3987" s="16"/>
      <c r="H3987" s="14"/>
      <c r="M3987" s="14"/>
    </row>
    <row r="3988">
      <c r="A3988" s="16"/>
      <c r="B3988" s="16"/>
      <c r="C3988" s="14"/>
      <c r="F3988" s="16"/>
      <c r="G3988" s="16"/>
      <c r="H3988" s="14"/>
      <c r="M3988" s="14"/>
    </row>
    <row r="3989">
      <c r="A3989" s="16"/>
      <c r="B3989" s="16"/>
      <c r="C3989" s="14"/>
      <c r="F3989" s="16"/>
      <c r="G3989" s="16"/>
      <c r="H3989" s="14"/>
      <c r="M3989" s="14"/>
    </row>
    <row r="3990">
      <c r="A3990" s="16"/>
      <c r="B3990" s="16"/>
      <c r="C3990" s="14"/>
      <c r="F3990" s="16"/>
      <c r="G3990" s="16"/>
      <c r="H3990" s="14"/>
      <c r="M3990" s="14"/>
    </row>
    <row r="3991">
      <c r="A3991" s="16"/>
      <c r="B3991" s="16"/>
      <c r="C3991" s="14"/>
      <c r="F3991" s="16"/>
      <c r="G3991" s="16"/>
      <c r="H3991" s="14"/>
      <c r="M3991" s="14"/>
    </row>
    <row r="3992">
      <c r="A3992" s="16"/>
      <c r="B3992" s="16"/>
      <c r="C3992" s="14"/>
      <c r="F3992" s="16"/>
      <c r="G3992" s="16"/>
      <c r="H3992" s="14"/>
      <c r="M3992" s="14"/>
    </row>
    <row r="3993">
      <c r="A3993" s="16"/>
      <c r="B3993" s="16"/>
      <c r="C3993" s="14"/>
      <c r="F3993" s="16"/>
      <c r="G3993" s="16"/>
      <c r="H3993" s="14"/>
      <c r="M3993" s="14"/>
    </row>
    <row r="3994">
      <c r="A3994" s="16"/>
      <c r="B3994" s="16"/>
      <c r="C3994" s="14"/>
      <c r="F3994" s="16"/>
      <c r="G3994" s="16"/>
      <c r="H3994" s="14"/>
      <c r="M3994" s="14"/>
    </row>
    <row r="3995">
      <c r="A3995" s="16"/>
      <c r="B3995" s="16"/>
      <c r="C3995" s="14"/>
      <c r="F3995" s="16"/>
      <c r="G3995" s="16"/>
      <c r="H3995" s="14"/>
      <c r="M3995" s="14"/>
    </row>
    <row r="3996">
      <c r="A3996" s="16"/>
      <c r="B3996" s="16"/>
      <c r="C3996" s="14"/>
      <c r="H3996" s="14"/>
      <c r="M3996" s="14"/>
    </row>
    <row r="3997">
      <c r="A3997" s="16"/>
      <c r="B3997" s="16"/>
      <c r="C3997" s="14"/>
      <c r="H3997" s="14"/>
      <c r="M3997" s="14"/>
    </row>
    <row r="3998">
      <c r="A3998" s="16"/>
      <c r="B3998" s="16"/>
      <c r="C3998" s="14"/>
      <c r="H3998" s="14"/>
      <c r="M3998" s="14"/>
    </row>
    <row r="3999">
      <c r="A3999" s="16"/>
      <c r="B3999" s="16"/>
      <c r="C3999" s="14"/>
      <c r="H3999" s="14"/>
      <c r="M3999" s="14"/>
    </row>
    <row r="4000">
      <c r="A4000" s="16"/>
      <c r="B4000" s="16"/>
      <c r="C4000" s="14"/>
      <c r="H4000" s="14"/>
      <c r="M4000" s="14"/>
    </row>
    <row r="4001">
      <c r="A4001" s="16"/>
      <c r="B4001" s="16"/>
      <c r="C4001" s="14"/>
      <c r="H4001" s="14"/>
      <c r="M4001" s="14"/>
    </row>
    <row r="4002">
      <c r="A4002" s="16"/>
      <c r="B4002" s="16"/>
      <c r="C4002" s="14"/>
      <c r="H4002" s="14"/>
      <c r="M4002" s="14"/>
    </row>
    <row r="4003">
      <c r="A4003" s="16"/>
      <c r="B4003" s="16"/>
      <c r="C4003" s="14"/>
      <c r="H4003" s="14"/>
      <c r="M4003" s="14"/>
    </row>
    <row r="4004">
      <c r="A4004" s="16"/>
      <c r="B4004" s="16"/>
      <c r="C4004" s="14"/>
      <c r="H4004" s="14"/>
      <c r="M4004" s="14"/>
    </row>
    <row r="4005">
      <c r="A4005" s="16"/>
      <c r="B4005" s="16"/>
      <c r="C4005" s="14"/>
      <c r="H4005" s="14"/>
      <c r="M4005" s="14"/>
    </row>
    <row r="4006">
      <c r="A4006" s="16"/>
      <c r="B4006" s="16"/>
      <c r="C4006" s="14"/>
      <c r="H4006" s="14"/>
      <c r="M4006" s="14"/>
    </row>
    <row r="4007">
      <c r="A4007" s="16"/>
      <c r="B4007" s="16"/>
      <c r="C4007" s="14"/>
      <c r="H4007" s="14"/>
      <c r="M4007" s="14"/>
    </row>
    <row r="4008">
      <c r="A4008" s="16"/>
      <c r="B4008" s="16"/>
      <c r="C4008" s="14"/>
      <c r="H4008" s="14"/>
      <c r="M4008" s="14"/>
    </row>
    <row r="4009">
      <c r="A4009" s="16"/>
      <c r="B4009" s="16"/>
      <c r="C4009" s="14"/>
      <c r="H4009" s="14"/>
      <c r="M4009" s="14"/>
    </row>
    <row r="4010">
      <c r="A4010" s="16"/>
      <c r="B4010" s="16"/>
      <c r="C4010" s="14"/>
      <c r="H4010" s="14"/>
      <c r="M4010" s="14"/>
    </row>
    <row r="4011">
      <c r="A4011" s="16"/>
      <c r="B4011" s="16"/>
      <c r="C4011" s="14"/>
      <c r="H4011" s="14"/>
      <c r="M4011" s="14"/>
    </row>
    <row r="4012">
      <c r="A4012" s="16"/>
      <c r="B4012" s="16"/>
      <c r="C4012" s="14"/>
      <c r="H4012" s="14"/>
      <c r="M4012" s="14"/>
    </row>
    <row r="4013">
      <c r="A4013" s="16"/>
      <c r="B4013" s="16"/>
      <c r="C4013" s="14"/>
      <c r="H4013" s="14"/>
      <c r="M4013" s="14"/>
    </row>
    <row r="4014">
      <c r="A4014" s="16"/>
      <c r="B4014" s="16"/>
      <c r="C4014" s="14"/>
      <c r="H4014" s="14"/>
      <c r="M4014" s="14"/>
    </row>
    <row r="4015">
      <c r="A4015" s="16"/>
      <c r="B4015" s="16"/>
      <c r="C4015" s="14"/>
      <c r="H4015" s="14"/>
      <c r="M4015" s="14"/>
    </row>
    <row r="4016">
      <c r="A4016" s="16"/>
      <c r="B4016" s="16"/>
      <c r="C4016" s="14"/>
      <c r="H4016" s="14"/>
      <c r="M4016" s="14"/>
    </row>
    <row r="4017">
      <c r="A4017" s="16"/>
      <c r="B4017" s="16"/>
      <c r="C4017" s="14"/>
      <c r="H4017" s="14"/>
      <c r="M4017" s="14"/>
    </row>
    <row r="4018">
      <c r="A4018" s="16"/>
      <c r="B4018" s="16"/>
      <c r="C4018" s="14"/>
      <c r="H4018" s="14"/>
      <c r="M4018" s="14"/>
    </row>
    <row r="4019">
      <c r="A4019" s="16"/>
      <c r="B4019" s="16"/>
      <c r="C4019" s="14"/>
      <c r="H4019" s="14"/>
      <c r="M4019" s="14"/>
    </row>
    <row r="4020">
      <c r="A4020" s="16"/>
      <c r="B4020" s="16"/>
      <c r="C4020" s="14"/>
      <c r="H4020" s="14"/>
      <c r="M4020" s="14"/>
    </row>
    <row r="4021">
      <c r="A4021" s="16"/>
      <c r="B4021" s="16"/>
      <c r="C4021" s="14"/>
      <c r="H4021" s="14"/>
      <c r="M4021" s="14"/>
    </row>
    <row r="4022">
      <c r="A4022" s="16"/>
      <c r="B4022" s="16"/>
      <c r="C4022" s="14"/>
      <c r="H4022" s="14"/>
      <c r="M4022" s="14"/>
    </row>
    <row r="4023">
      <c r="A4023" s="16"/>
      <c r="B4023" s="16"/>
      <c r="C4023" s="14"/>
      <c r="H4023" s="14"/>
      <c r="M4023" s="14"/>
    </row>
    <row r="4024">
      <c r="A4024" s="16"/>
      <c r="B4024" s="16"/>
      <c r="C4024" s="14"/>
      <c r="H4024" s="14"/>
      <c r="M4024" s="14"/>
    </row>
    <row r="4025">
      <c r="A4025" s="16"/>
      <c r="B4025" s="16"/>
      <c r="C4025" s="14"/>
      <c r="H4025" s="14"/>
      <c r="M4025" s="14"/>
    </row>
    <row r="4026">
      <c r="A4026" s="16"/>
      <c r="B4026" s="16"/>
      <c r="C4026" s="14"/>
      <c r="H4026" s="14"/>
      <c r="M4026" s="14"/>
    </row>
    <row r="4027">
      <c r="A4027" s="16"/>
      <c r="B4027" s="16"/>
      <c r="C4027" s="14"/>
      <c r="H4027" s="14"/>
      <c r="M4027" s="14"/>
    </row>
    <row r="4028">
      <c r="A4028" s="16"/>
      <c r="B4028" s="16"/>
      <c r="C4028" s="14"/>
      <c r="H4028" s="14"/>
      <c r="M4028" s="14"/>
    </row>
    <row r="4029">
      <c r="A4029" s="16"/>
      <c r="B4029" s="16"/>
      <c r="C4029" s="14"/>
      <c r="H4029" s="14"/>
      <c r="M4029" s="14"/>
    </row>
    <row r="4030">
      <c r="A4030" s="16"/>
      <c r="B4030" s="16"/>
      <c r="C4030" s="14"/>
      <c r="H4030" s="14"/>
      <c r="M4030" s="14"/>
    </row>
    <row r="4031">
      <c r="A4031" s="16"/>
      <c r="B4031" s="16"/>
      <c r="C4031" s="14"/>
      <c r="H4031" s="14"/>
      <c r="M4031" s="14"/>
    </row>
    <row r="4032">
      <c r="A4032" s="16"/>
      <c r="B4032" s="16"/>
      <c r="C4032" s="14"/>
      <c r="H4032" s="14"/>
      <c r="M4032" s="14"/>
    </row>
    <row r="4033">
      <c r="A4033" s="16"/>
      <c r="B4033" s="16"/>
      <c r="C4033" s="14"/>
      <c r="H4033" s="14"/>
      <c r="M4033" s="14"/>
    </row>
    <row r="4034">
      <c r="A4034" s="16"/>
      <c r="B4034" s="16"/>
      <c r="C4034" s="14"/>
      <c r="H4034" s="14"/>
      <c r="M4034" s="14"/>
    </row>
    <row r="4035">
      <c r="A4035" s="16"/>
      <c r="B4035" s="16"/>
      <c r="C4035" s="14"/>
      <c r="H4035" s="14"/>
      <c r="M4035" s="14"/>
    </row>
    <row r="4036">
      <c r="A4036" s="16"/>
      <c r="B4036" s="16"/>
      <c r="C4036" s="14"/>
      <c r="H4036" s="14"/>
      <c r="M4036" s="14"/>
    </row>
    <row r="4037">
      <c r="A4037" s="16"/>
      <c r="B4037" s="16"/>
      <c r="C4037" s="14"/>
      <c r="H4037" s="14"/>
      <c r="M4037" s="14"/>
    </row>
    <row r="4038">
      <c r="A4038" s="16"/>
      <c r="B4038" s="16"/>
      <c r="C4038" s="14"/>
      <c r="H4038" s="14"/>
      <c r="M4038" s="14"/>
    </row>
    <row r="4039">
      <c r="A4039" s="16"/>
      <c r="B4039" s="16"/>
      <c r="C4039" s="14"/>
      <c r="H4039" s="14"/>
      <c r="M4039" s="14"/>
    </row>
    <row r="4040">
      <c r="A4040" s="16"/>
      <c r="B4040" s="16"/>
      <c r="C4040" s="14"/>
      <c r="H4040" s="14"/>
      <c r="M4040" s="14"/>
    </row>
    <row r="4041">
      <c r="A4041" s="16"/>
      <c r="B4041" s="16"/>
      <c r="C4041" s="14"/>
      <c r="H4041" s="14"/>
      <c r="M4041" s="14"/>
    </row>
    <row r="4042">
      <c r="A4042" s="16"/>
      <c r="B4042" s="16"/>
      <c r="C4042" s="14"/>
      <c r="H4042" s="14"/>
      <c r="M4042" s="14"/>
    </row>
    <row r="4043">
      <c r="A4043" s="16"/>
      <c r="B4043" s="16"/>
      <c r="C4043" s="14"/>
      <c r="H4043" s="14"/>
      <c r="M4043" s="14"/>
    </row>
    <row r="4044">
      <c r="A4044" s="16"/>
      <c r="B4044" s="16"/>
      <c r="C4044" s="14"/>
      <c r="H4044" s="14"/>
      <c r="M4044" s="14"/>
    </row>
    <row r="4045">
      <c r="A4045" s="16"/>
      <c r="B4045" s="16"/>
      <c r="C4045" s="14"/>
      <c r="H4045" s="14"/>
      <c r="M4045" s="14"/>
    </row>
    <row r="4046">
      <c r="A4046" s="16"/>
      <c r="B4046" s="16"/>
      <c r="C4046" s="14"/>
      <c r="H4046" s="14"/>
      <c r="M4046" s="14"/>
    </row>
    <row r="4047">
      <c r="A4047" s="16"/>
      <c r="B4047" s="16"/>
      <c r="C4047" s="14"/>
      <c r="H4047" s="14"/>
      <c r="M4047" s="14"/>
    </row>
    <row r="4048">
      <c r="A4048" s="16"/>
      <c r="B4048" s="16"/>
      <c r="C4048" s="14"/>
      <c r="H4048" s="14"/>
      <c r="M4048" s="14"/>
    </row>
    <row r="4049">
      <c r="A4049" s="16"/>
      <c r="B4049" s="16"/>
      <c r="C4049" s="14"/>
      <c r="H4049" s="14"/>
      <c r="M4049" s="14"/>
    </row>
    <row r="4050">
      <c r="A4050" s="16"/>
      <c r="B4050" s="16"/>
      <c r="C4050" s="14"/>
      <c r="H4050" s="14"/>
      <c r="M4050" s="14"/>
    </row>
    <row r="4051">
      <c r="A4051" s="16"/>
      <c r="B4051" s="16"/>
      <c r="C4051" s="14"/>
      <c r="H4051" s="14"/>
      <c r="M4051" s="14"/>
    </row>
    <row r="4052">
      <c r="A4052" s="16"/>
      <c r="B4052" s="16"/>
      <c r="C4052" s="14"/>
      <c r="H4052" s="14"/>
      <c r="M4052" s="14"/>
    </row>
    <row r="4053">
      <c r="A4053" s="16"/>
      <c r="B4053" s="16"/>
      <c r="C4053" s="14"/>
      <c r="H4053" s="14"/>
      <c r="M4053" s="14"/>
    </row>
    <row r="4054">
      <c r="A4054" s="16"/>
      <c r="B4054" s="16"/>
      <c r="C4054" s="14"/>
      <c r="H4054" s="14"/>
      <c r="M4054" s="14"/>
    </row>
    <row r="4055">
      <c r="A4055" s="16"/>
      <c r="B4055" s="16"/>
      <c r="C4055" s="14"/>
      <c r="H4055" s="14"/>
      <c r="M4055" s="14"/>
    </row>
    <row r="4056">
      <c r="A4056" s="16"/>
      <c r="B4056" s="16"/>
      <c r="C4056" s="14"/>
      <c r="H4056" s="14"/>
      <c r="M4056" s="14"/>
    </row>
    <row r="4057">
      <c r="A4057" s="16"/>
      <c r="B4057" s="16"/>
      <c r="C4057" s="14"/>
      <c r="H4057" s="14"/>
      <c r="M4057" s="14"/>
    </row>
    <row r="4058">
      <c r="A4058" s="16"/>
      <c r="B4058" s="16"/>
      <c r="C4058" s="14"/>
      <c r="H4058" s="14"/>
      <c r="M4058" s="14"/>
    </row>
    <row r="4059">
      <c r="A4059" s="16"/>
      <c r="B4059" s="16"/>
      <c r="C4059" s="14"/>
      <c r="H4059" s="14"/>
      <c r="M4059" s="14"/>
    </row>
  </sheetData>
  <drawing r:id="rId1"/>
</worksheet>
</file>